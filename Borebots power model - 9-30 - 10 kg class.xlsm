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HASE II PROJECT FOLDER/MARS SOCIETY 23/"/>
    </mc:Choice>
  </mc:AlternateContent>
  <xr:revisionPtr revIDLastSave="63" documentId="8_{CCBA41D8-B156-4114-A902-77A944F2235D}" xr6:coauthVersionLast="47" xr6:coauthVersionMax="47" xr10:uidLastSave="{2A5617FA-8EBC-4A9C-BFC8-8D242AF08AE6}"/>
  <bookViews>
    <workbookView xWindow="-110" yWindow="-110" windowWidth="19420" windowHeight="10420" xr2:uid="{F10BE696-5501-46F1-ACB5-1C34F3A632C9}"/>
  </bookViews>
  <sheets>
    <sheet name="Depth vs Battery Pluto" sheetId="16" r:id="rId1"/>
    <sheet name="Pluto" sheetId="17" r:id="rId2"/>
    <sheet name="x" sheetId="2" r:id="rId3"/>
    <sheet name="xx" sheetId="6" r:id="rId4"/>
    <sheet name="xxx" sheetId="8" r:id="rId5"/>
    <sheet name="xxxx" sheetId="9" r:id="rId6"/>
    <sheet name="xxxxx" sheetId="11" r:id="rId7"/>
    <sheet name="xxxxxx" sheetId="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6" l="1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K20" i="16"/>
  <c r="K21" i="16" s="1"/>
  <c r="K19" i="16"/>
  <c r="S19" i="16" s="1"/>
  <c r="G9" i="2"/>
  <c r="G10" i="2" s="1"/>
  <c r="E14" i="9"/>
  <c r="F14" i="9"/>
  <c r="G14" i="9"/>
  <c r="H14" i="9"/>
  <c r="I14" i="9"/>
  <c r="J14" i="9"/>
  <c r="E15" i="9"/>
  <c r="F15" i="9"/>
  <c r="G15" i="9"/>
  <c r="H15" i="9"/>
  <c r="I15" i="9"/>
  <c r="J15" i="9"/>
  <c r="E16" i="9"/>
  <c r="F16" i="9"/>
  <c r="G16" i="9"/>
  <c r="H16" i="9"/>
  <c r="I16" i="9"/>
  <c r="J16" i="9"/>
  <c r="E17" i="9"/>
  <c r="F17" i="9"/>
  <c r="G17" i="9"/>
  <c r="H17" i="9"/>
  <c r="I17" i="9"/>
  <c r="J17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E22" i="9"/>
  <c r="F22" i="9"/>
  <c r="G22" i="9"/>
  <c r="H22" i="9"/>
  <c r="I22" i="9"/>
  <c r="J22" i="9"/>
  <c r="Q56" i="16"/>
  <c r="P56" i="16"/>
  <c r="G56" i="16"/>
  <c r="Q55" i="16"/>
  <c r="P55" i="16"/>
  <c r="G55" i="16"/>
  <c r="Q54" i="16"/>
  <c r="P54" i="16"/>
  <c r="G54" i="16"/>
  <c r="Q53" i="16"/>
  <c r="P53" i="16"/>
  <c r="G53" i="16"/>
  <c r="Q52" i="16"/>
  <c r="P52" i="16"/>
  <c r="G52" i="16"/>
  <c r="Q51" i="16"/>
  <c r="P51" i="16"/>
  <c r="G51" i="16"/>
  <c r="Q50" i="16"/>
  <c r="P50" i="16"/>
  <c r="G50" i="16"/>
  <c r="Q49" i="16"/>
  <c r="P49" i="16"/>
  <c r="G49" i="16"/>
  <c r="Q48" i="16"/>
  <c r="P48" i="16"/>
  <c r="G48" i="16"/>
  <c r="Q47" i="16"/>
  <c r="P47" i="16"/>
  <c r="G47" i="16"/>
  <c r="Q46" i="16"/>
  <c r="P46" i="16"/>
  <c r="G46" i="16"/>
  <c r="Q45" i="16"/>
  <c r="P45" i="16"/>
  <c r="G45" i="16"/>
  <c r="Q44" i="16"/>
  <c r="P44" i="16"/>
  <c r="G44" i="16"/>
  <c r="Q43" i="16"/>
  <c r="P43" i="16"/>
  <c r="G43" i="16"/>
  <c r="Q42" i="16"/>
  <c r="P42" i="16"/>
  <c r="G42" i="16"/>
  <c r="Q41" i="16"/>
  <c r="P41" i="16"/>
  <c r="G41" i="16"/>
  <c r="Q40" i="16"/>
  <c r="P40" i="16"/>
  <c r="G40" i="16"/>
  <c r="Q39" i="16"/>
  <c r="P39" i="16"/>
  <c r="G39" i="16"/>
  <c r="Q38" i="16"/>
  <c r="P38" i="16"/>
  <c r="G38" i="16"/>
  <c r="Q37" i="16"/>
  <c r="P37" i="16"/>
  <c r="G37" i="16"/>
  <c r="Q36" i="16"/>
  <c r="P36" i="16"/>
  <c r="G36" i="16"/>
  <c r="Q35" i="16"/>
  <c r="P35" i="16"/>
  <c r="G35" i="16"/>
  <c r="Q34" i="16"/>
  <c r="P34" i="16"/>
  <c r="G34" i="16"/>
  <c r="Q33" i="16"/>
  <c r="P33" i="16"/>
  <c r="G33" i="16"/>
  <c r="Q32" i="16"/>
  <c r="P32" i="16"/>
  <c r="G32" i="16"/>
  <c r="Q31" i="16"/>
  <c r="P31" i="16"/>
  <c r="G31" i="16"/>
  <c r="Q30" i="16"/>
  <c r="P30" i="16"/>
  <c r="G30" i="16"/>
  <c r="Q29" i="16"/>
  <c r="P29" i="16"/>
  <c r="G29" i="16"/>
  <c r="Q28" i="16"/>
  <c r="P28" i="16"/>
  <c r="G28" i="16"/>
  <c r="Q27" i="16"/>
  <c r="P27" i="16"/>
  <c r="G27" i="16"/>
  <c r="Q26" i="16"/>
  <c r="P26" i="16"/>
  <c r="G26" i="16"/>
  <c r="Q25" i="16"/>
  <c r="P25" i="16"/>
  <c r="G25" i="16"/>
  <c r="Q24" i="16"/>
  <c r="P24" i="16"/>
  <c r="G24" i="16"/>
  <c r="Q23" i="16"/>
  <c r="P23" i="16"/>
  <c r="G23" i="16"/>
  <c r="Q22" i="16"/>
  <c r="P22" i="16"/>
  <c r="G22" i="16"/>
  <c r="Q21" i="16"/>
  <c r="P21" i="16"/>
  <c r="G21" i="16"/>
  <c r="Q20" i="16"/>
  <c r="P20" i="16"/>
  <c r="L20" i="16"/>
  <c r="M20" i="16" s="1"/>
  <c r="G20" i="16"/>
  <c r="Q19" i="16"/>
  <c r="P19" i="16"/>
  <c r="G19" i="16"/>
  <c r="S18" i="16"/>
  <c r="Q18" i="16"/>
  <c r="P18" i="16"/>
  <c r="L18" i="16"/>
  <c r="M18" i="16" s="1"/>
  <c r="G18" i="16"/>
  <c r="L12" i="16"/>
  <c r="C7" i="16"/>
  <c r="C6" i="16"/>
  <c r="L10" i="16"/>
  <c r="S19" i="11"/>
  <c r="S20" i="11"/>
  <c r="S21" i="11"/>
  <c r="S18" i="11"/>
  <c r="L11" i="16" a="1"/>
  <c r="H19" i="16" a="1"/>
  <c r="H28" i="16" a="1"/>
  <c r="H31" i="16" a="1"/>
  <c r="H50" i="16" a="1"/>
  <c r="N20" i="16" a="1"/>
  <c r="H45" i="16" a="1"/>
  <c r="H27" i="16" a="1"/>
  <c r="H21" i="16" a="1"/>
  <c r="H23" i="16" a="1"/>
  <c r="H56" i="16" a="1"/>
  <c r="C12" i="16" a="1"/>
  <c r="H52" i="16" a="1"/>
  <c r="H55" i="16" a="1"/>
  <c r="H25" i="16" a="1"/>
  <c r="H48" i="16" a="1"/>
  <c r="H51" i="16" a="1"/>
  <c r="H18" i="16" a="1"/>
  <c r="H38" i="16" a="1"/>
  <c r="H29" i="16" a="1"/>
  <c r="H43" i="16" a="1"/>
  <c r="H30" i="16" a="1"/>
  <c r="H36" i="16" a="1"/>
  <c r="H33" i="16" a="1"/>
  <c r="H44" i="16" a="1"/>
  <c r="H47" i="16" a="1"/>
  <c r="H34" i="16" a="1"/>
  <c r="H37" i="16" a="1"/>
  <c r="H39" i="16" a="1"/>
  <c r="H26" i="16" a="1"/>
  <c r="H40" i="16" a="1"/>
  <c r="H53" i="16" a="1"/>
  <c r="H20" i="16" a="1"/>
  <c r="N18" i="16" a="1"/>
  <c r="H32" i="16" a="1"/>
  <c r="H35" i="16" a="1"/>
  <c r="H54" i="16" a="1"/>
  <c r="H22" i="16" a="1"/>
  <c r="H49" i="16" a="1"/>
  <c r="H24" i="16" a="1"/>
  <c r="H46" i="16" a="1"/>
  <c r="H41" i="16" a="1"/>
  <c r="H42" i="16" a="1"/>
  <c r="K22" i="16" l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L21" i="16"/>
  <c r="M21" i="16" s="1"/>
  <c r="L19" i="16"/>
  <c r="M19" i="16" s="1"/>
  <c r="O19" i="16"/>
  <c r="L22" i="16"/>
  <c r="M22" i="16" s="1"/>
  <c r="L13" i="16"/>
  <c r="O18" i="16"/>
  <c r="O21" i="16"/>
  <c r="H25" i="16"/>
  <c r="H41" i="16"/>
  <c r="H45" i="16"/>
  <c r="H49" i="16"/>
  <c r="H53" i="16"/>
  <c r="H37" i="16"/>
  <c r="H29" i="16"/>
  <c r="C12" i="16"/>
  <c r="G12" i="16" s="1"/>
  <c r="H21" i="16"/>
  <c r="N20" i="16"/>
  <c r="H22" i="16"/>
  <c r="H26" i="16"/>
  <c r="H30" i="16"/>
  <c r="H34" i="16"/>
  <c r="H38" i="16"/>
  <c r="H42" i="16"/>
  <c r="H46" i="16"/>
  <c r="H50" i="16"/>
  <c r="H54" i="16"/>
  <c r="H33" i="16"/>
  <c r="L11" i="16"/>
  <c r="H18" i="16"/>
  <c r="H23" i="16"/>
  <c r="H27" i="16"/>
  <c r="H31" i="16"/>
  <c r="H35" i="16"/>
  <c r="H39" i="16"/>
  <c r="H43" i="16"/>
  <c r="H47" i="16"/>
  <c r="H51" i="16"/>
  <c r="H55" i="16"/>
  <c r="H24" i="16"/>
  <c r="H28" i="16"/>
  <c r="H32" i="16"/>
  <c r="H36" i="16"/>
  <c r="H40" i="16"/>
  <c r="H44" i="16"/>
  <c r="H48" i="16"/>
  <c r="H52" i="16"/>
  <c r="H56" i="16"/>
  <c r="H19" i="16"/>
  <c r="N18" i="16"/>
  <c r="H20" i="16"/>
  <c r="L24" i="16"/>
  <c r="M24" i="16" s="1"/>
  <c r="O20" i="16"/>
  <c r="I18" i="16"/>
  <c r="G45" i="11"/>
  <c r="P45" i="11"/>
  <c r="Q45" i="11"/>
  <c r="G46" i="11"/>
  <c r="P46" i="11"/>
  <c r="Q46" i="11"/>
  <c r="G47" i="11"/>
  <c r="P47" i="11"/>
  <c r="Q47" i="11"/>
  <c r="G48" i="11"/>
  <c r="P48" i="11"/>
  <c r="Q48" i="11"/>
  <c r="G49" i="11"/>
  <c r="P49" i="11"/>
  <c r="Q49" i="11"/>
  <c r="G50" i="11"/>
  <c r="P50" i="11"/>
  <c r="Q50" i="11"/>
  <c r="G51" i="11"/>
  <c r="P51" i="11"/>
  <c r="Q51" i="11"/>
  <c r="G52" i="11"/>
  <c r="P52" i="11"/>
  <c r="Q52" i="11"/>
  <c r="G53" i="11"/>
  <c r="P53" i="11"/>
  <c r="Q53" i="11"/>
  <c r="G54" i="11"/>
  <c r="P54" i="11"/>
  <c r="Q54" i="11"/>
  <c r="G55" i="11"/>
  <c r="P55" i="11"/>
  <c r="Q55" i="11"/>
  <c r="G56" i="11"/>
  <c r="P56" i="11"/>
  <c r="Q56" i="11"/>
  <c r="G43" i="11"/>
  <c r="P43" i="11"/>
  <c r="Q43" i="11"/>
  <c r="G44" i="11"/>
  <c r="P44" i="11"/>
  <c r="Q44" i="11"/>
  <c r="G30" i="11"/>
  <c r="P30" i="11"/>
  <c r="Q30" i="11"/>
  <c r="G31" i="11"/>
  <c r="P31" i="11"/>
  <c r="Q31" i="11"/>
  <c r="G32" i="11"/>
  <c r="P32" i="11"/>
  <c r="Q32" i="11"/>
  <c r="G33" i="11"/>
  <c r="P33" i="11"/>
  <c r="Q33" i="11"/>
  <c r="G34" i="11"/>
  <c r="P34" i="11"/>
  <c r="Q34" i="11"/>
  <c r="G35" i="11"/>
  <c r="P35" i="11"/>
  <c r="Q35" i="11"/>
  <c r="G36" i="11"/>
  <c r="P36" i="11"/>
  <c r="Q36" i="11"/>
  <c r="G37" i="11"/>
  <c r="P37" i="11"/>
  <c r="Q37" i="11"/>
  <c r="G38" i="11"/>
  <c r="P38" i="11"/>
  <c r="Q38" i="11"/>
  <c r="G39" i="11"/>
  <c r="P39" i="11"/>
  <c r="Q39" i="11"/>
  <c r="G40" i="11"/>
  <c r="P40" i="11"/>
  <c r="Q40" i="11"/>
  <c r="G41" i="11"/>
  <c r="P41" i="11"/>
  <c r="Q41" i="11"/>
  <c r="G42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K22" i="11"/>
  <c r="L21" i="11"/>
  <c r="M21" i="11" s="1"/>
  <c r="L20" i="11"/>
  <c r="M20" i="11" s="1"/>
  <c r="L19" i="11"/>
  <c r="M19" i="11" s="1"/>
  <c r="L18" i="11"/>
  <c r="M18" i="11" s="1"/>
  <c r="G29" i="11"/>
  <c r="G28" i="11"/>
  <c r="G27" i="11"/>
  <c r="G26" i="11"/>
  <c r="G25" i="11"/>
  <c r="G24" i="11"/>
  <c r="G23" i="11"/>
  <c r="G22" i="11"/>
  <c r="G21" i="11"/>
  <c r="G20" i="11"/>
  <c r="G19" i="11"/>
  <c r="G18" i="11"/>
  <c r="L12" i="11"/>
  <c r="C7" i="1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I54" i="11" s="1"/>
  <c r="I55" i="11" s="1"/>
  <c r="I56" i="11" s="1"/>
  <c r="C6" i="11"/>
  <c r="L4" i="11"/>
  <c r="O20" i="11" s="1"/>
  <c r="M7" i="9"/>
  <c r="L4" i="9"/>
  <c r="L5" i="9"/>
  <c r="L6" i="9"/>
  <c r="L7" i="9"/>
  <c r="L8" i="9"/>
  <c r="L3" i="9"/>
  <c r="M3" i="9" s="1"/>
  <c r="K7" i="9"/>
  <c r="K8" i="9" s="1"/>
  <c r="M8" i="9" s="1"/>
  <c r="M4" i="9"/>
  <c r="M5" i="9"/>
  <c r="M6" i="9"/>
  <c r="X62" i="8"/>
  <c r="X63" i="8" s="1"/>
  <c r="X61" i="8"/>
  <c r="Y61" i="8" s="1"/>
  <c r="Z61" i="8" s="1"/>
  <c r="X60" i="8"/>
  <c r="AB60" i="8" s="1"/>
  <c r="AB59" i="8"/>
  <c r="Z59" i="8"/>
  <c r="Y59" i="8"/>
  <c r="AB58" i="8"/>
  <c r="Z58" i="8"/>
  <c r="Y58" i="8"/>
  <c r="AB57" i="8"/>
  <c r="Y57" i="8"/>
  <c r="Z57" i="8" s="1"/>
  <c r="AB56" i="8"/>
  <c r="Y56" i="8"/>
  <c r="Z56" i="8" s="1"/>
  <c r="X40" i="8"/>
  <c r="Y40" i="8" s="1"/>
  <c r="Z40" i="8" s="1"/>
  <c r="Y39" i="8"/>
  <c r="Z39" i="8" s="1"/>
  <c r="Y38" i="8"/>
  <c r="Z38" i="8" s="1"/>
  <c r="Y37" i="8"/>
  <c r="Z37" i="8" s="1"/>
  <c r="Y36" i="8"/>
  <c r="Z36" i="8" s="1"/>
  <c r="G19" i="8"/>
  <c r="AA61" i="8" a="1"/>
  <c r="S42" i="8" a="1"/>
  <c r="AA36" i="8" a="1"/>
  <c r="S49" i="8" a="1"/>
  <c r="S65" i="8" a="1"/>
  <c r="AA40" i="8" a="1"/>
  <c r="S66" i="8" a="1"/>
  <c r="S44" i="8" a="1"/>
  <c r="S57" i="8" a="1"/>
  <c r="S45" i="8" a="1"/>
  <c r="AA57" i="8" a="1"/>
  <c r="S67" i="8" a="1"/>
  <c r="AA58" i="8" a="1"/>
  <c r="S68" i="8" a="1"/>
  <c r="S61" i="8" a="1"/>
  <c r="S47" i="8" a="1"/>
  <c r="S36" i="8" a="1"/>
  <c r="S63" i="8" a="1"/>
  <c r="AA38" i="8" a="1"/>
  <c r="AA39" i="8" a="1"/>
  <c r="S40" i="8" a="1"/>
  <c r="S58" i="8" a="1"/>
  <c r="S59" i="8" a="1"/>
  <c r="S60" i="8" a="1"/>
  <c r="AA56" i="8" a="1"/>
  <c r="S41" i="8" a="1"/>
  <c r="S62" i="8" a="1"/>
  <c r="S43" i="8" a="1"/>
  <c r="AA59" i="8" a="1"/>
  <c r="S69" i="8" a="1"/>
  <c r="S38" i="8" a="1"/>
  <c r="S37" i="8" a="1"/>
  <c r="S46" i="8" a="1"/>
  <c r="S64" i="8" a="1"/>
  <c r="S56" i="8" a="1"/>
  <c r="AA37" i="8" a="1"/>
  <c r="S48" i="8" a="1"/>
  <c r="S39" i="8" a="1"/>
  <c r="H53" i="11" a="1"/>
  <c r="H43" i="11" a="1"/>
  <c r="H44" i="11" a="1"/>
  <c r="H35" i="11" a="1"/>
  <c r="H26" i="11" a="1"/>
  <c r="H46" i="11" a="1"/>
  <c r="H50" i="11" a="1"/>
  <c r="H30" i="11" a="1"/>
  <c r="H20" i="11" a="1"/>
  <c r="N20" i="11" a="1"/>
  <c r="H54" i="11" a="1"/>
  <c r="H40" i="11" a="1"/>
  <c r="N19" i="11" a="1"/>
  <c r="H29" i="11" a="1"/>
  <c r="N21" i="11" a="1"/>
  <c r="H41" i="11" a="1"/>
  <c r="H19" i="11" a="1"/>
  <c r="H36" i="11" a="1"/>
  <c r="U20" i="11" a="1"/>
  <c r="H51" i="11" a="1"/>
  <c r="H31" i="11" a="1"/>
  <c r="H22" i="11" a="1"/>
  <c r="H21" i="11" a="1"/>
  <c r="H47" i="11" a="1"/>
  <c r="H42" i="11" a="1"/>
  <c r="H18" i="11" a="1"/>
  <c r="C12" i="11" a="1"/>
  <c r="H28" i="11" a="1"/>
  <c r="H37" i="11" a="1"/>
  <c r="T20" i="11" a="1"/>
  <c r="H56" i="11" a="1"/>
  <c r="H39" i="11" a="1"/>
  <c r="H24" i="11" a="1"/>
  <c r="N18" i="11" a="1"/>
  <c r="H52" i="11" a="1"/>
  <c r="H32" i="11" a="1"/>
  <c r="H25" i="11" a="1"/>
  <c r="H48" i="11" a="1"/>
  <c r="H38" i="11" a="1"/>
  <c r="H27" i="11" a="1"/>
  <c r="H45" i="11" a="1"/>
  <c r="H33" i="11" a="1"/>
  <c r="H23" i="11" a="1"/>
  <c r="H49" i="11" a="1"/>
  <c r="H55" i="11" a="1"/>
  <c r="H34" i="11" a="1"/>
  <c r="V20" i="11" a="1"/>
  <c r="N21" i="16" a="1"/>
  <c r="N19" i="16" a="1"/>
  <c r="T18" i="16" a="1"/>
  <c r="U18" i="16" a="1"/>
  <c r="N22" i="16" a="1"/>
  <c r="N24" i="16" a="1"/>
  <c r="V18" i="16" a="1"/>
  <c r="G11" i="16" l="1"/>
  <c r="N21" i="16"/>
  <c r="O24" i="16"/>
  <c r="L23" i="16"/>
  <c r="M23" i="16" s="1"/>
  <c r="O23" i="16"/>
  <c r="O22" i="16"/>
  <c r="N19" i="16"/>
  <c r="N22" i="16"/>
  <c r="N24" i="16"/>
  <c r="U18" i="16"/>
  <c r="T18" i="16"/>
  <c r="V18" i="16"/>
  <c r="I19" i="16"/>
  <c r="J18" i="16"/>
  <c r="O25" i="16"/>
  <c r="L25" i="16"/>
  <c r="M25" i="16" s="1"/>
  <c r="K23" i="11"/>
  <c r="S23" i="11" s="1"/>
  <c r="S22" i="11"/>
  <c r="O21" i="11"/>
  <c r="H55" i="11"/>
  <c r="J55" i="11" s="1"/>
  <c r="H48" i="11"/>
  <c r="J48" i="11" s="1"/>
  <c r="H52" i="11"/>
  <c r="J52" i="11" s="1"/>
  <c r="H56" i="11"/>
  <c r="J56" i="11" s="1"/>
  <c r="H47" i="11"/>
  <c r="J47" i="11" s="1"/>
  <c r="H51" i="11"/>
  <c r="J51" i="11" s="1"/>
  <c r="H54" i="11"/>
  <c r="J54" i="11" s="1"/>
  <c r="H50" i="11"/>
  <c r="J50" i="11" s="1"/>
  <c r="H46" i="11"/>
  <c r="J46" i="11" s="1"/>
  <c r="H53" i="11"/>
  <c r="J53" i="11" s="1"/>
  <c r="H49" i="11"/>
  <c r="J49" i="11" s="1"/>
  <c r="H45" i="11"/>
  <c r="J45" i="11" s="1"/>
  <c r="H44" i="11"/>
  <c r="J44" i="11" s="1"/>
  <c r="H43" i="11"/>
  <c r="J43" i="11" s="1"/>
  <c r="H34" i="11"/>
  <c r="J34" i="11" s="1"/>
  <c r="H33" i="11"/>
  <c r="J33" i="11" s="1"/>
  <c r="H38" i="11"/>
  <c r="J38" i="11" s="1"/>
  <c r="H32" i="11"/>
  <c r="J32" i="11" s="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V20" i="11"/>
  <c r="O18" i="11"/>
  <c r="O19" i="11"/>
  <c r="U20" i="11"/>
  <c r="T20" i="11"/>
  <c r="O22" i="11"/>
  <c r="N21" i="11"/>
  <c r="N18" i="11"/>
  <c r="N19" i="11"/>
  <c r="N20" i="11"/>
  <c r="L22" i="11"/>
  <c r="M22" i="11" s="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C12" i="1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X64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X41" i="8"/>
  <c r="G20" i="8"/>
  <c r="G21" i="8"/>
  <c r="G22" i="8"/>
  <c r="G23" i="8"/>
  <c r="G24" i="8"/>
  <c r="G25" i="8"/>
  <c r="G26" i="8"/>
  <c r="G27" i="8"/>
  <c r="G28" i="8"/>
  <c r="G29" i="8"/>
  <c r="G30" i="8"/>
  <c r="G31" i="8"/>
  <c r="G18" i="8"/>
  <c r="R18" i="8"/>
  <c r="S18" i="8" s="1"/>
  <c r="T18" i="8" a="1"/>
  <c r="AA62" i="8" a="1"/>
  <c r="AA60" i="8" a="1"/>
  <c r="AA63" i="8" a="1"/>
  <c r="U21" i="11" a="1"/>
  <c r="V21" i="11" a="1"/>
  <c r="T21" i="11" a="1"/>
  <c r="N22" i="11" a="1"/>
  <c r="U19" i="11" a="1"/>
  <c r="V18" i="11" a="1"/>
  <c r="T22" i="11" a="1"/>
  <c r="U22" i="11" a="1"/>
  <c r="T19" i="11" a="1"/>
  <c r="U18" i="11" a="1"/>
  <c r="L11" i="11" a="1"/>
  <c r="V22" i="11" a="1"/>
  <c r="T18" i="11" a="1"/>
  <c r="V19" i="11" a="1"/>
  <c r="AD56" i="8" a="1"/>
  <c r="AC61" i="8" a="1"/>
  <c r="V59" i="8" a="1"/>
  <c r="V64" i="8" a="1"/>
  <c r="V69" i="8" a="1"/>
  <c r="V42" i="8" a="1"/>
  <c r="V46" i="8" a="1"/>
  <c r="AC58" i="8" a="1"/>
  <c r="V36" i="8" a="1"/>
  <c r="V63" i="8" a="1"/>
  <c r="V40" i="8" a="1"/>
  <c r="V65" i="8" a="1"/>
  <c r="V43" i="8" a="1"/>
  <c r="V66" i="8" a="1"/>
  <c r="AC59" i="8" a="1"/>
  <c r="AD61" i="8" a="1"/>
  <c r="V47" i="8" a="1"/>
  <c r="V56" i="8" a="1"/>
  <c r="V49" i="8" a="1"/>
  <c r="V61" i="8" a="1"/>
  <c r="AD58" i="8" a="1"/>
  <c r="V39" i="8" a="1"/>
  <c r="AC57" i="8" a="1"/>
  <c r="AD59" i="8" a="1"/>
  <c r="V48" i="8" a="1"/>
  <c r="AD57" i="8" a="1"/>
  <c r="V41" i="8" a="1"/>
  <c r="V57" i="8" a="1"/>
  <c r="V38" i="8" a="1"/>
  <c r="V58" i="8" a="1"/>
  <c r="V37" i="8" a="1"/>
  <c r="V44" i="8" a="1"/>
  <c r="V60" i="8" a="1"/>
  <c r="V67" i="8" a="1"/>
  <c r="V45" i="8" a="1"/>
  <c r="AC56" i="8" a="1"/>
  <c r="V62" i="8" a="1"/>
  <c r="V68" i="8" a="1"/>
  <c r="N23" i="16" a="1"/>
  <c r="N25" i="16" a="1"/>
  <c r="V19" i="16" a="1"/>
  <c r="T19" i="16" a="1"/>
  <c r="U19" i="16" a="1"/>
  <c r="N23" i="16" l="1"/>
  <c r="V19" i="16"/>
  <c r="U19" i="16"/>
  <c r="T19" i="16"/>
  <c r="N25" i="16"/>
  <c r="I20" i="16"/>
  <c r="O26" i="16"/>
  <c r="L26" i="16"/>
  <c r="M26" i="16" s="1"/>
  <c r="J19" i="16"/>
  <c r="L23" i="11"/>
  <c r="M23" i="11" s="1"/>
  <c r="O23" i="11"/>
  <c r="K24" i="11"/>
  <c r="S24" i="11" s="1"/>
  <c r="V21" i="11"/>
  <c r="U21" i="11"/>
  <c r="T21" i="11"/>
  <c r="V19" i="11"/>
  <c r="V18" i="11"/>
  <c r="T18" i="11"/>
  <c r="V22" i="11"/>
  <c r="U19" i="11"/>
  <c r="T19" i="11"/>
  <c r="U18" i="11"/>
  <c r="U22" i="11"/>
  <c r="T22" i="11"/>
  <c r="N22" i="11"/>
  <c r="V39" i="8"/>
  <c r="V40" i="8"/>
  <c r="V61" i="8"/>
  <c r="V62" i="8"/>
  <c r="V45" i="8"/>
  <c r="V63" i="8"/>
  <c r="L11" i="11"/>
  <c r="V41" i="8"/>
  <c r="V68" i="8"/>
  <c r="V66" i="8"/>
  <c r="V44" i="8"/>
  <c r="V43" i="8"/>
  <c r="V46" i="8"/>
  <c r="V67" i="8"/>
  <c r="V58" i="8"/>
  <c r="V49" i="8"/>
  <c r="V64" i="8"/>
  <c r="V42" i="8"/>
  <c r="V65" i="8"/>
  <c r="V47" i="8"/>
  <c r="V59" i="8"/>
  <c r="V36" i="8"/>
  <c r="V57" i="8"/>
  <c r="V56" i="8"/>
  <c r="V48" i="8"/>
  <c r="V60" i="8"/>
  <c r="V38" i="8"/>
  <c r="V37" i="8"/>
  <c r="V69" i="8"/>
  <c r="U39" i="8"/>
  <c r="U40" i="8"/>
  <c r="U61" i="8"/>
  <c r="U62" i="8"/>
  <c r="U45" i="8"/>
  <c r="G12" i="11"/>
  <c r="G11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C56" i="8"/>
  <c r="AD56" i="8"/>
  <c r="AA60" i="8"/>
  <c r="AA63" i="8"/>
  <c r="AC61" i="8"/>
  <c r="AD61" i="8"/>
  <c r="AD57" i="8"/>
  <c r="AC57" i="8"/>
  <c r="AD59" i="8"/>
  <c r="AC59" i="8"/>
  <c r="AD58" i="8"/>
  <c r="AC58" i="8"/>
  <c r="AA62" i="8"/>
  <c r="Y64" i="8"/>
  <c r="Z64" i="8" s="1"/>
  <c r="AB64" i="8"/>
  <c r="Y41" i="8"/>
  <c r="Z41" i="8" s="1"/>
  <c r="X42" i="8"/>
  <c r="T18" i="8"/>
  <c r="R19" i="8"/>
  <c r="S19" i="8" s="1"/>
  <c r="R20" i="8"/>
  <c r="S20" i="8"/>
  <c r="R21" i="8"/>
  <c r="S21" i="8" s="1"/>
  <c r="Q22" i="8"/>
  <c r="R22" i="8" s="1"/>
  <c r="S22" i="8" s="1"/>
  <c r="Q23" i="8"/>
  <c r="R23" i="8" s="1"/>
  <c r="S23" i="8" s="1"/>
  <c r="Q24" i="8"/>
  <c r="R24" i="8" s="1"/>
  <c r="S24" i="8" s="1"/>
  <c r="L12" i="8"/>
  <c r="C6" i="8"/>
  <c r="L4" i="8"/>
  <c r="AB41" i="8" s="1"/>
  <c r="Q19" i="6"/>
  <c r="R19" i="6" s="1"/>
  <c r="Q20" i="6"/>
  <c r="R20" i="6" s="1"/>
  <c r="Q21" i="6"/>
  <c r="R21" i="6" s="1"/>
  <c r="Q18" i="6"/>
  <c r="R18" i="6" s="1"/>
  <c r="H31" i="8" a="1"/>
  <c r="H25" i="8" a="1"/>
  <c r="H23" i="8" a="1"/>
  <c r="H21" i="8" a="1"/>
  <c r="S21" i="6" a="1"/>
  <c r="H22" i="8" a="1"/>
  <c r="H30" i="8" a="1"/>
  <c r="H28" i="8" a="1"/>
  <c r="AA64" i="8" a="1"/>
  <c r="H20" i="8" a="1"/>
  <c r="H26" i="8" a="1"/>
  <c r="C12" i="8" a="1"/>
  <c r="H18" i="8" a="1"/>
  <c r="H27" i="8" a="1"/>
  <c r="T20" i="8" a="1"/>
  <c r="S18" i="6" a="1"/>
  <c r="T22" i="8" a="1"/>
  <c r="T21" i="8" a="1"/>
  <c r="T19" i="8" a="1"/>
  <c r="H24" i="8" a="1"/>
  <c r="AA41" i="8" a="1"/>
  <c r="T24" i="8" a="1"/>
  <c r="S20" i="6" a="1"/>
  <c r="T23" i="8" a="1"/>
  <c r="H19" i="8" a="1"/>
  <c r="S19" i="6" a="1"/>
  <c r="H29" i="8" a="1"/>
  <c r="N23" i="11" a="1"/>
  <c r="T23" i="11" a="1"/>
  <c r="U23" i="11" a="1"/>
  <c r="V23" i="11" a="1"/>
  <c r="AD60" i="8" a="1"/>
  <c r="AC62" i="8" a="1"/>
  <c r="AC60" i="8" a="1"/>
  <c r="AC63" i="8" a="1"/>
  <c r="AD63" i="8" a="1"/>
  <c r="AD62" i="8" a="1"/>
  <c r="N26" i="16" a="1"/>
  <c r="T20" i="16" a="1"/>
  <c r="U20" i="16" a="1"/>
  <c r="V20" i="16" a="1"/>
  <c r="U20" i="16" l="1"/>
  <c r="T20" i="16"/>
  <c r="V20" i="16"/>
  <c r="N26" i="16"/>
  <c r="I21" i="16"/>
  <c r="J20" i="16"/>
  <c r="L27" i="16"/>
  <c r="M27" i="16" s="1"/>
  <c r="O27" i="16"/>
  <c r="T23" i="11"/>
  <c r="U23" i="11"/>
  <c r="N23" i="11"/>
  <c r="V23" i="11"/>
  <c r="K25" i="11"/>
  <c r="S25" i="11" s="1"/>
  <c r="L24" i="11"/>
  <c r="M24" i="11" s="1"/>
  <c r="O24" i="11"/>
  <c r="AD62" i="8"/>
  <c r="AC62" i="8"/>
  <c r="AD63" i="8"/>
  <c r="AC63" i="8"/>
  <c r="AC60" i="8"/>
  <c r="AD60" i="8"/>
  <c r="AA64" i="8"/>
  <c r="T19" i="8"/>
  <c r="T23" i="8"/>
  <c r="T22" i="8"/>
  <c r="T20" i="8"/>
  <c r="T21" i="8"/>
  <c r="T24" i="8"/>
  <c r="L10" i="8"/>
  <c r="AB39" i="8"/>
  <c r="AB37" i="8"/>
  <c r="AB36" i="8"/>
  <c r="AB38" i="8"/>
  <c r="AB40" i="8"/>
  <c r="Q25" i="8"/>
  <c r="U25" i="8" s="1"/>
  <c r="AA41" i="8"/>
  <c r="X43" i="8"/>
  <c r="Y42" i="8"/>
  <c r="Z42" i="8" s="1"/>
  <c r="AB42" i="8"/>
  <c r="U18" i="8"/>
  <c r="U19" i="8"/>
  <c r="U20" i="8"/>
  <c r="U21" i="8"/>
  <c r="U22" i="8"/>
  <c r="U23" i="8"/>
  <c r="U24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AA42" i="8" a="1"/>
  <c r="L11" i="8" a="1"/>
  <c r="T24" i="11" a="1"/>
  <c r="N24" i="11" a="1"/>
  <c r="V24" i="11" a="1"/>
  <c r="U24" i="11" a="1"/>
  <c r="O25" i="8" a="1"/>
  <c r="K19" i="8" a="1"/>
  <c r="O21" i="8" a="1"/>
  <c r="N24" i="8" a="1"/>
  <c r="L27" i="8" a="1"/>
  <c r="O20" i="8" a="1"/>
  <c r="AD64" i="8" a="1"/>
  <c r="M24" i="8" a="1"/>
  <c r="L30" i="8" a="1"/>
  <c r="K23" i="8" a="1"/>
  <c r="O27" i="8" a="1"/>
  <c r="N30" i="8" a="1"/>
  <c r="K20" i="8" a="1"/>
  <c r="N28" i="8" a="1"/>
  <c r="O30" i="8" a="1"/>
  <c r="M21" i="8" a="1"/>
  <c r="L21" i="8" a="1"/>
  <c r="M20" i="8" a="1"/>
  <c r="K29" i="8" a="1"/>
  <c r="L20" i="8" a="1"/>
  <c r="O28" i="8" a="1"/>
  <c r="O22" i="8" a="1"/>
  <c r="M29" i="8" a="1"/>
  <c r="M28" i="8" a="1"/>
  <c r="N18" i="8" a="1"/>
  <c r="AC64" i="8" a="1"/>
  <c r="K30" i="8" a="1"/>
  <c r="K21" i="8" a="1"/>
  <c r="L26" i="8" a="1"/>
  <c r="M30" i="8" a="1"/>
  <c r="O29" i="8" a="1"/>
  <c r="M27" i="8" a="1"/>
  <c r="N22" i="8" a="1"/>
  <c r="L24" i="8" a="1"/>
  <c r="O18" i="8" a="1"/>
  <c r="K25" i="8" a="1"/>
  <c r="K27" i="8" a="1"/>
  <c r="N31" i="8" a="1"/>
  <c r="K31" i="8" a="1"/>
  <c r="O19" i="8" a="1"/>
  <c r="L19" i="8" a="1"/>
  <c r="M25" i="8" a="1"/>
  <c r="N25" i="8" a="1"/>
  <c r="K18" i="8" a="1"/>
  <c r="K24" i="8" a="1"/>
  <c r="O31" i="8" a="1"/>
  <c r="N27" i="8" a="1"/>
  <c r="O26" i="8" a="1"/>
  <c r="L18" i="8" a="1"/>
  <c r="O24" i="8" a="1"/>
  <c r="K26" i="8" a="1"/>
  <c r="K28" i="8" a="1"/>
  <c r="M23" i="8" a="1"/>
  <c r="M19" i="8" a="1"/>
  <c r="M22" i="8" a="1"/>
  <c r="N26" i="8" a="1"/>
  <c r="M18" i="8" a="1"/>
  <c r="O23" i="8" a="1"/>
  <c r="M31" i="8" a="1"/>
  <c r="L28" i="8" a="1"/>
  <c r="L22" i="8" a="1"/>
  <c r="L25" i="8" a="1"/>
  <c r="N29" i="8" a="1"/>
  <c r="L29" i="8" a="1"/>
  <c r="M26" i="8" a="1"/>
  <c r="N23" i="8" a="1"/>
  <c r="N19" i="8" a="1"/>
  <c r="N21" i="8" a="1"/>
  <c r="L31" i="8" a="1"/>
  <c r="N20" i="8" a="1"/>
  <c r="L23" i="8" a="1"/>
  <c r="K22" i="8" a="1"/>
  <c r="U21" i="16" a="1"/>
  <c r="N27" i="16" a="1"/>
  <c r="T21" i="16" a="1"/>
  <c r="V21" i="16" a="1"/>
  <c r="T21" i="16" l="1"/>
  <c r="U21" i="16"/>
  <c r="V21" i="16"/>
  <c r="N27" i="16"/>
  <c r="I22" i="16"/>
  <c r="J21" i="16"/>
  <c r="O28" i="16"/>
  <c r="L28" i="16"/>
  <c r="M28" i="16" s="1"/>
  <c r="K26" i="11"/>
  <c r="S26" i="11" s="1"/>
  <c r="U24" i="11"/>
  <c r="N24" i="11"/>
  <c r="T24" i="11"/>
  <c r="V24" i="11"/>
  <c r="L25" i="11"/>
  <c r="M25" i="11" s="1"/>
  <c r="O25" i="11"/>
  <c r="AC64" i="8"/>
  <c r="AD64" i="8"/>
  <c r="Q26" i="8"/>
  <c r="R25" i="8"/>
  <c r="S25" i="8" s="1"/>
  <c r="AA42" i="8"/>
  <c r="AB43" i="8"/>
  <c r="Y43" i="8"/>
  <c r="Z43" i="8" s="1"/>
  <c r="X44" i="8"/>
  <c r="O30" i="8"/>
  <c r="O28" i="8"/>
  <c r="O27" i="8"/>
  <c r="O26" i="8"/>
  <c r="O29" i="8"/>
  <c r="O25" i="8"/>
  <c r="O24" i="8"/>
  <c r="O23" i="8"/>
  <c r="O22" i="8"/>
  <c r="O21" i="8"/>
  <c r="O20" i="8"/>
  <c r="O18" i="8"/>
  <c r="O19" i="8"/>
  <c r="O31" i="8"/>
  <c r="M30" i="8"/>
  <c r="M28" i="8"/>
  <c r="M27" i="8"/>
  <c r="M26" i="8"/>
  <c r="M29" i="8"/>
  <c r="M25" i="8"/>
  <c r="M24" i="8"/>
  <c r="M23" i="8"/>
  <c r="M22" i="8"/>
  <c r="M21" i="8"/>
  <c r="M20" i="8"/>
  <c r="M18" i="8"/>
  <c r="M19" i="8"/>
  <c r="M31" i="8"/>
  <c r="N30" i="8"/>
  <c r="N28" i="8"/>
  <c r="N27" i="8"/>
  <c r="N26" i="8"/>
  <c r="N29" i="8"/>
  <c r="N25" i="8"/>
  <c r="N24" i="8"/>
  <c r="N23" i="8"/>
  <c r="N22" i="8"/>
  <c r="N21" i="8"/>
  <c r="N20" i="8"/>
  <c r="N18" i="8"/>
  <c r="N19" i="8"/>
  <c r="N31" i="8"/>
  <c r="L31" i="8"/>
  <c r="L19" i="8"/>
  <c r="L18" i="8"/>
  <c r="L20" i="8"/>
  <c r="L21" i="8"/>
  <c r="L22" i="8"/>
  <c r="L23" i="8"/>
  <c r="L24" i="8"/>
  <c r="L25" i="8"/>
  <c r="L29" i="8"/>
  <c r="L26" i="8"/>
  <c r="L27" i="8"/>
  <c r="L28" i="8"/>
  <c r="L30" i="8"/>
  <c r="K22" i="8"/>
  <c r="K31" i="8"/>
  <c r="K24" i="8"/>
  <c r="K25" i="8"/>
  <c r="K28" i="8"/>
  <c r="K23" i="8"/>
  <c r="K26" i="8"/>
  <c r="K30" i="8"/>
  <c r="K18" i="8"/>
  <c r="K19" i="8"/>
  <c r="K29" i="8"/>
  <c r="K27" i="8"/>
  <c r="K20" i="8"/>
  <c r="K21" i="8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H14" i="2"/>
  <c r="C14" i="2"/>
  <c r="B15" i="2"/>
  <c r="C15" i="2" s="1"/>
  <c r="K11" i="2"/>
  <c r="K12" i="2" s="1"/>
  <c r="G6" i="2"/>
  <c r="C6" i="2"/>
  <c r="C5" i="2"/>
  <c r="K3" i="2"/>
  <c r="K9" i="2" s="1"/>
  <c r="G7" i="6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C6" i="6"/>
  <c r="AA43" i="8" a="1"/>
  <c r="T25" i="8" a="1"/>
  <c r="N25" i="11" a="1"/>
  <c r="U25" i="11" a="1"/>
  <c r="T25" i="11" a="1"/>
  <c r="V25" i="11" a="1"/>
  <c r="T22" i="16" a="1"/>
  <c r="N28" i="16" a="1"/>
  <c r="V22" i="16" a="1"/>
  <c r="U22" i="16" a="1"/>
  <c r="B16" i="2" l="1"/>
  <c r="N28" i="16"/>
  <c r="U22" i="16"/>
  <c r="T22" i="16"/>
  <c r="V22" i="16"/>
  <c r="O29" i="16"/>
  <c r="L29" i="16"/>
  <c r="M29" i="16" s="1"/>
  <c r="I23" i="16"/>
  <c r="J22" i="16"/>
  <c r="O26" i="11"/>
  <c r="K27" i="11"/>
  <c r="S27" i="11" s="1"/>
  <c r="L26" i="11"/>
  <c r="M26" i="11" s="1"/>
  <c r="V25" i="11"/>
  <c r="T25" i="11"/>
  <c r="U25" i="11"/>
  <c r="N25" i="11"/>
  <c r="T25" i="8"/>
  <c r="R26" i="8"/>
  <c r="S26" i="8" s="1"/>
  <c r="U26" i="8"/>
  <c r="AA43" i="8"/>
  <c r="Y44" i="8"/>
  <c r="Z44" i="8" s="1"/>
  <c r="AB44" i="8"/>
  <c r="K4" i="6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C22" i="6" a="1"/>
  <c r="H26" i="6" a="1"/>
  <c r="C27" i="6" a="1"/>
  <c r="K10" i="2" a="1"/>
  <c r="C23" i="6" a="1"/>
  <c r="AA44" i="8" a="1"/>
  <c r="C19" i="6" a="1"/>
  <c r="H18" i="6" a="1"/>
  <c r="C25" i="6" a="1"/>
  <c r="T26" i="8" a="1"/>
  <c r="H22" i="6" a="1"/>
  <c r="C12" i="6" a="1"/>
  <c r="C32" i="6" a="1"/>
  <c r="C18" i="6" a="1"/>
  <c r="C28" i="6" a="1"/>
  <c r="C34" i="6" a="1"/>
  <c r="C11" i="2" a="1"/>
  <c r="H28" i="6" a="1"/>
  <c r="H30" i="6" a="1"/>
  <c r="H25" i="6" a="1"/>
  <c r="H29" i="6" a="1"/>
  <c r="C35" i="6" a="1"/>
  <c r="H21" i="6" a="1"/>
  <c r="C29" i="6" a="1"/>
  <c r="C24" i="6" a="1"/>
  <c r="C30" i="6" a="1"/>
  <c r="H19" i="6" a="1"/>
  <c r="H27" i="6" a="1"/>
  <c r="H23" i="6" a="1"/>
  <c r="C26" i="6" a="1"/>
  <c r="C20" i="6" a="1"/>
  <c r="C33" i="6" a="1"/>
  <c r="C31" i="6" a="1"/>
  <c r="C21" i="6" a="1"/>
  <c r="H20" i="6" a="1"/>
  <c r="H31" i="6" a="1"/>
  <c r="H24" i="6" a="1"/>
  <c r="V26" i="11" a="1"/>
  <c r="N26" i="11" a="1"/>
  <c r="U26" i="11" a="1"/>
  <c r="T26" i="11" a="1"/>
  <c r="I14" i="2" a="1"/>
  <c r="N29" i="16" a="1"/>
  <c r="V23" i="16" a="1"/>
  <c r="T23" i="16" a="1"/>
  <c r="U23" i="16" a="1"/>
  <c r="C16" i="2" l="1"/>
  <c r="B17" i="2"/>
  <c r="U23" i="16"/>
  <c r="T23" i="16"/>
  <c r="V23" i="16"/>
  <c r="N29" i="16"/>
  <c r="I24" i="16"/>
  <c r="J23" i="16"/>
  <c r="O30" i="16"/>
  <c r="L30" i="16"/>
  <c r="M30" i="16" s="1"/>
  <c r="T26" i="11"/>
  <c r="U26" i="11"/>
  <c r="N26" i="11"/>
  <c r="V26" i="11"/>
  <c r="O27" i="11"/>
  <c r="K28" i="11"/>
  <c r="S28" i="11" s="1"/>
  <c r="L27" i="11"/>
  <c r="M27" i="11" s="1"/>
  <c r="T26" i="8"/>
  <c r="AA44" i="8"/>
  <c r="C7" i="8"/>
  <c r="C7" i="6"/>
  <c r="K10" i="2"/>
  <c r="C11" i="2"/>
  <c r="I14" i="2"/>
  <c r="T21" i="6"/>
  <c r="K10" i="6"/>
  <c r="K13" i="6"/>
  <c r="H22" i="6"/>
  <c r="I22" i="6" s="1"/>
  <c r="H28" i="6"/>
  <c r="I28" i="6" s="1"/>
  <c r="H19" i="6"/>
  <c r="I19" i="6" s="1"/>
  <c r="H26" i="6"/>
  <c r="I26" i="6" s="1"/>
  <c r="H29" i="6"/>
  <c r="I29" i="6" s="1"/>
  <c r="H20" i="6"/>
  <c r="I20" i="6" s="1"/>
  <c r="H25" i="6"/>
  <c r="I25" i="6" s="1"/>
  <c r="H24" i="6"/>
  <c r="I24" i="6" s="1"/>
  <c r="H30" i="6"/>
  <c r="I30" i="6" s="1"/>
  <c r="H21" i="6"/>
  <c r="I21" i="6" s="1"/>
  <c r="H27" i="6"/>
  <c r="I27" i="6" s="1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D14" i="2" a="1"/>
  <c r="K11" i="6" a="1"/>
  <c r="E14" i="2" a="1"/>
  <c r="T27" i="11" a="1"/>
  <c r="V27" i="11" a="1"/>
  <c r="N27" i="11" a="1"/>
  <c r="U27" i="11" a="1"/>
  <c r="D27" i="6" a="1"/>
  <c r="M21" i="6" a="1"/>
  <c r="N18" i="6" a="1"/>
  <c r="D35" i="6" a="1"/>
  <c r="J22" i="6" a="1"/>
  <c r="J24" i="6" a="1"/>
  <c r="E27" i="6" a="1"/>
  <c r="K30" i="6" a="1"/>
  <c r="N22" i="6" a="1"/>
  <c r="M30" i="6" a="1"/>
  <c r="E28" i="6" a="1"/>
  <c r="J29" i="6" a="1"/>
  <c r="D21" i="6" a="1"/>
  <c r="N21" i="6" a="1"/>
  <c r="J25" i="6" a="1"/>
  <c r="D30" i="6" a="1"/>
  <c r="E21" i="6" a="1"/>
  <c r="D28" i="6" a="1"/>
  <c r="N25" i="6" a="1"/>
  <c r="J26" i="6" a="1"/>
  <c r="D29" i="6" a="1"/>
  <c r="D34" i="6" a="1"/>
  <c r="J27" i="6" a="1"/>
  <c r="N23" i="6" a="1"/>
  <c r="M20" i="6" a="1"/>
  <c r="K22" i="6" a="1"/>
  <c r="E20" i="6" a="1"/>
  <c r="V18" i="6" a="1"/>
  <c r="M26" i="6" a="1"/>
  <c r="N19" i="6" a="1"/>
  <c r="V19" i="6" a="1"/>
  <c r="N28" i="6" a="1"/>
  <c r="J30" i="6" a="1"/>
  <c r="D26" i="6" a="1"/>
  <c r="M24" i="6" a="1"/>
  <c r="J28" i="6" a="1"/>
  <c r="K21" i="6" a="1"/>
  <c r="D25" i="6" a="1"/>
  <c r="E34" i="6" a="1"/>
  <c r="K25" i="6" a="1"/>
  <c r="D20" i="6" a="1"/>
  <c r="M31" i="6" a="1"/>
  <c r="E29" i="6" a="1"/>
  <c r="D23" i="6" a="1"/>
  <c r="K28" i="6" a="1"/>
  <c r="E35" i="6" a="1"/>
  <c r="U19" i="6" a="1"/>
  <c r="K31" i="6" a="1"/>
  <c r="D33" i="6" a="1"/>
  <c r="E26" i="6" a="1"/>
  <c r="D31" i="6" a="1"/>
  <c r="J23" i="6" a="1"/>
  <c r="J18" i="6" a="1"/>
  <c r="M27" i="6" a="1"/>
  <c r="K26" i="6" a="1"/>
  <c r="J20" i="6" a="1"/>
  <c r="M29" i="6" a="1"/>
  <c r="U18" i="6" a="1"/>
  <c r="K23" i="6" a="1"/>
  <c r="K19" i="6" a="1"/>
  <c r="E31" i="6" a="1"/>
  <c r="E32" i="6" a="1"/>
  <c r="E23" i="6" a="1"/>
  <c r="N20" i="6" a="1"/>
  <c r="E22" i="6" a="1"/>
  <c r="N30" i="6" a="1"/>
  <c r="E18" i="6" a="1"/>
  <c r="E24" i="6" a="1"/>
  <c r="D19" i="6" a="1"/>
  <c r="M18" i="6" a="1"/>
  <c r="V21" i="6" a="1"/>
  <c r="V20" i="6" a="1"/>
  <c r="J31" i="6" a="1"/>
  <c r="D32" i="6" a="1"/>
  <c r="N31" i="6" a="1"/>
  <c r="K20" i="6" a="1"/>
  <c r="M23" i="6" a="1"/>
  <c r="M22" i="6" a="1"/>
  <c r="M25" i="6" a="1"/>
  <c r="N24" i="6" a="1"/>
  <c r="N26" i="6" a="1"/>
  <c r="N29" i="6" a="1"/>
  <c r="K18" i="6" a="1"/>
  <c r="U21" i="6" a="1"/>
  <c r="E19" i="6" a="1"/>
  <c r="M19" i="6" a="1"/>
  <c r="K27" i="6" a="1"/>
  <c r="K24" i="6" a="1"/>
  <c r="U20" i="6" a="1"/>
  <c r="E25" i="6" a="1"/>
  <c r="D24" i="6" a="1"/>
  <c r="E33" i="6" a="1"/>
  <c r="M28" i="6" a="1"/>
  <c r="J19" i="6" a="1"/>
  <c r="J21" i="6" a="1"/>
  <c r="D18" i="6" a="1"/>
  <c r="K29" i="6" a="1"/>
  <c r="D22" i="6" a="1"/>
  <c r="E30" i="6" a="1"/>
  <c r="N27" i="6" a="1"/>
  <c r="AD39" i="8" a="1"/>
  <c r="V21" i="8" a="1"/>
  <c r="AC39" i="8" a="1"/>
  <c r="V23" i="8" a="1"/>
  <c r="AC44" i="8" a="1"/>
  <c r="AD40" i="8" a="1"/>
  <c r="V26" i="8" a="1"/>
  <c r="AD38" i="8" a="1"/>
  <c r="V24" i="8" a="1"/>
  <c r="W22" i="8" a="1"/>
  <c r="AC36" i="8" a="1"/>
  <c r="V19" i="8" a="1"/>
  <c r="V20" i="8" a="1"/>
  <c r="W23" i="8" a="1"/>
  <c r="W20" i="8" a="1"/>
  <c r="W25" i="8" a="1"/>
  <c r="AC37" i="8" a="1"/>
  <c r="AC41" i="8" a="1"/>
  <c r="AC42" i="8" a="1"/>
  <c r="W24" i="8" a="1"/>
  <c r="W26" i="8" a="1"/>
  <c r="AD44" i="8" a="1"/>
  <c r="V18" i="8" a="1"/>
  <c r="V22" i="8" a="1"/>
  <c r="AD36" i="8" a="1"/>
  <c r="W21" i="8" a="1"/>
  <c r="AD42" i="8" a="1"/>
  <c r="W19" i="8" a="1"/>
  <c r="AD37" i="8" a="1"/>
  <c r="V25" i="8" a="1"/>
  <c r="AC38" i="8" a="1"/>
  <c r="AC43" i="8" a="1"/>
  <c r="AD41" i="8" a="1"/>
  <c r="AC40" i="8" a="1"/>
  <c r="AD43" i="8" a="1"/>
  <c r="W18" i="8" a="1"/>
  <c r="K14" i="2" a="1"/>
  <c r="E15" i="2" a="1"/>
  <c r="E16" i="2" a="1"/>
  <c r="D16" i="2" a="1"/>
  <c r="D15" i="2" a="1"/>
  <c r="T24" i="16" a="1"/>
  <c r="V24" i="16" a="1"/>
  <c r="N30" i="16" a="1"/>
  <c r="U24" i="16" a="1"/>
  <c r="B18" i="2" l="1"/>
  <c r="C17" i="2"/>
  <c r="N30" i="16"/>
  <c r="V24" i="16"/>
  <c r="T24" i="16"/>
  <c r="U24" i="16"/>
  <c r="L31" i="16"/>
  <c r="M31" i="16" s="1"/>
  <c r="O31" i="16"/>
  <c r="I25" i="16"/>
  <c r="J24" i="16"/>
  <c r="L28" i="11"/>
  <c r="M28" i="11" s="1"/>
  <c r="O28" i="11"/>
  <c r="T27" i="11"/>
  <c r="U27" i="11"/>
  <c r="N27" i="11"/>
  <c r="V27" i="11"/>
  <c r="K29" i="11"/>
  <c r="AD39" i="8"/>
  <c r="AD37" i="8"/>
  <c r="AD40" i="8"/>
  <c r="AC40" i="8"/>
  <c r="AD38" i="8"/>
  <c r="AC38" i="8"/>
  <c r="AC37" i="8"/>
  <c r="AC39" i="8"/>
  <c r="AC36" i="8"/>
  <c r="AD36" i="8"/>
  <c r="AC41" i="8"/>
  <c r="AD41" i="8"/>
  <c r="AD42" i="8"/>
  <c r="AC42" i="8"/>
  <c r="AC43" i="8"/>
  <c r="AD43" i="8"/>
  <c r="AC44" i="8"/>
  <c r="AD44" i="8"/>
  <c r="V18" i="8"/>
  <c r="W18" i="8"/>
  <c r="V19" i="8"/>
  <c r="W19" i="8"/>
  <c r="V20" i="8"/>
  <c r="W20" i="8"/>
  <c r="V21" i="8"/>
  <c r="W21" i="8"/>
  <c r="V22" i="8"/>
  <c r="W22" i="8"/>
  <c r="V23" i="8"/>
  <c r="W23" i="8"/>
  <c r="V24" i="8"/>
  <c r="W24" i="8"/>
  <c r="V25" i="8"/>
  <c r="W25" i="8"/>
  <c r="V26" i="8"/>
  <c r="W26" i="8"/>
  <c r="G12" i="8"/>
  <c r="G11" i="8"/>
  <c r="K14" i="2"/>
  <c r="D16" i="2"/>
  <c r="E16" i="2"/>
  <c r="E14" i="2"/>
  <c r="D14" i="2"/>
  <c r="E15" i="2"/>
  <c r="D15" i="2"/>
  <c r="L14" i="2"/>
  <c r="N14" i="2"/>
  <c r="M22" i="6"/>
  <c r="M30" i="6"/>
  <c r="M23" i="6"/>
  <c r="M31" i="6"/>
  <c r="M21" i="6"/>
  <c r="M24" i="6"/>
  <c r="M25" i="6"/>
  <c r="M27" i="6"/>
  <c r="M28" i="6"/>
  <c r="M29" i="6"/>
  <c r="M26" i="6"/>
  <c r="M19" i="6"/>
  <c r="M20" i="6"/>
  <c r="M18" i="6"/>
  <c r="K19" i="6"/>
  <c r="K20" i="6"/>
  <c r="K28" i="6"/>
  <c r="K31" i="6"/>
  <c r="K21" i="6"/>
  <c r="K29" i="6"/>
  <c r="K22" i="6"/>
  <c r="K30" i="6"/>
  <c r="K23" i="6"/>
  <c r="K24" i="6"/>
  <c r="K26" i="6"/>
  <c r="K25" i="6"/>
  <c r="K27" i="6"/>
  <c r="K18" i="6"/>
  <c r="N19" i="6"/>
  <c r="N20" i="6"/>
  <c r="N28" i="6"/>
  <c r="N29" i="6"/>
  <c r="N21" i="6"/>
  <c r="N22" i="6"/>
  <c r="N31" i="6"/>
  <c r="N26" i="6"/>
  <c r="N30" i="6"/>
  <c r="N27" i="6"/>
  <c r="N23" i="6"/>
  <c r="N24" i="6"/>
  <c r="N25" i="6"/>
  <c r="N18" i="6"/>
  <c r="V21" i="6"/>
  <c r="U21" i="6"/>
  <c r="U19" i="6"/>
  <c r="V19" i="6"/>
  <c r="V20" i="6"/>
  <c r="U20" i="6"/>
  <c r="V18" i="6"/>
  <c r="U18" i="6"/>
  <c r="G12" i="6"/>
  <c r="G11" i="6"/>
  <c r="J18" i="6"/>
  <c r="J23" i="6"/>
  <c r="J31" i="6"/>
  <c r="J27" i="6"/>
  <c r="J21" i="6"/>
  <c r="J30" i="6"/>
  <c r="J24" i="6"/>
  <c r="J25" i="6"/>
  <c r="J20" i="6"/>
  <c r="J29" i="6"/>
  <c r="J26" i="6"/>
  <c r="J19" i="6"/>
  <c r="J28" i="6"/>
  <c r="J22" i="6"/>
  <c r="K11" i="6"/>
  <c r="D18" i="6"/>
  <c r="E35" i="6"/>
  <c r="D35" i="6"/>
  <c r="E32" i="6"/>
  <c r="D32" i="6"/>
  <c r="E27" i="6"/>
  <c r="D27" i="6"/>
  <c r="E23" i="6"/>
  <c r="D23" i="6"/>
  <c r="E20" i="6"/>
  <c r="D20" i="6"/>
  <c r="E22" i="6"/>
  <c r="D22" i="6"/>
  <c r="E30" i="6"/>
  <c r="D30" i="6"/>
  <c r="E34" i="6"/>
  <c r="D34" i="6"/>
  <c r="E26" i="6"/>
  <c r="D26" i="6"/>
  <c r="E19" i="6"/>
  <c r="D19" i="6"/>
  <c r="E31" i="6"/>
  <c r="D31" i="6"/>
  <c r="E28" i="6"/>
  <c r="D28" i="6"/>
  <c r="E24" i="6"/>
  <c r="D24" i="6"/>
  <c r="E18" i="6"/>
  <c r="E33" i="6"/>
  <c r="D33" i="6"/>
  <c r="E21" i="6"/>
  <c r="D21" i="6"/>
  <c r="E25" i="6"/>
  <c r="D25" i="6"/>
  <c r="E29" i="6"/>
  <c r="D29" i="6"/>
  <c r="C33" i="7"/>
  <c r="G31" i="7"/>
  <c r="G33" i="7" s="1"/>
  <c r="N28" i="11" a="1"/>
  <c r="U28" i="11" a="1"/>
  <c r="T28" i="11" a="1"/>
  <c r="V28" i="11" a="1"/>
  <c r="D17" i="2" a="1"/>
  <c r="E17" i="2" a="1"/>
  <c r="U25" i="16" a="1"/>
  <c r="N31" i="16" a="1"/>
  <c r="T25" i="16" a="1"/>
  <c r="V25" i="16" a="1"/>
  <c r="E17" i="2" l="1"/>
  <c r="D17" i="2"/>
  <c r="B19" i="2"/>
  <c r="C18" i="2"/>
  <c r="V25" i="16"/>
  <c r="U25" i="16"/>
  <c r="T25" i="16"/>
  <c r="N31" i="16"/>
  <c r="I26" i="16"/>
  <c r="J25" i="16"/>
  <c r="O32" i="16"/>
  <c r="L32" i="16"/>
  <c r="M32" i="16" s="1"/>
  <c r="L29" i="11"/>
  <c r="M29" i="11" s="1"/>
  <c r="K30" i="11"/>
  <c r="K31" i="11" s="1"/>
  <c r="K32" i="11" s="1"/>
  <c r="K33" i="11" s="1"/>
  <c r="K34" i="11" s="1"/>
  <c r="K35" i="11" s="1"/>
  <c r="K36" i="11" s="1"/>
  <c r="V28" i="11"/>
  <c r="T28" i="11"/>
  <c r="U28" i="11"/>
  <c r="N28" i="11"/>
  <c r="S29" i="11"/>
  <c r="O29" i="11"/>
  <c r="P22" i="6"/>
  <c r="Q22" i="6" s="1"/>
  <c r="R22" i="6" s="1"/>
  <c r="G14" i="2"/>
  <c r="S22" i="6" a="1"/>
  <c r="N29" i="11" a="1"/>
  <c r="T29" i="11" a="1"/>
  <c r="V29" i="11" a="1"/>
  <c r="U29" i="11" a="1"/>
  <c r="D18" i="2" a="1"/>
  <c r="E18" i="2" a="1"/>
  <c r="U26" i="16" a="1"/>
  <c r="T26" i="16" a="1"/>
  <c r="N32" i="16" a="1"/>
  <c r="V26" i="16" a="1"/>
  <c r="E18" i="2" l="1"/>
  <c r="D18" i="2"/>
  <c r="B20" i="2"/>
  <c r="C19" i="2"/>
  <c r="O30" i="11"/>
  <c r="L30" i="11"/>
  <c r="M30" i="11" s="1"/>
  <c r="N32" i="16"/>
  <c r="T26" i="16"/>
  <c r="U26" i="16"/>
  <c r="V26" i="16"/>
  <c r="O33" i="16"/>
  <c r="L33" i="16"/>
  <c r="M33" i="16" s="1"/>
  <c r="I27" i="16"/>
  <c r="J26" i="16"/>
  <c r="K37" i="11"/>
  <c r="S36" i="11"/>
  <c r="N29" i="11"/>
  <c r="V29" i="11"/>
  <c r="T29" i="11"/>
  <c r="U29" i="11"/>
  <c r="S30" i="11"/>
  <c r="S22" i="6"/>
  <c r="E33" i="7"/>
  <c r="E32" i="7"/>
  <c r="E31" i="7"/>
  <c r="E30" i="7"/>
  <c r="P23" i="6"/>
  <c r="Q23" i="6" s="1"/>
  <c r="R23" i="6" s="1"/>
  <c r="T22" i="6"/>
  <c r="G15" i="2"/>
  <c r="H15" i="2" s="1"/>
  <c r="G16" i="2"/>
  <c r="H16" i="2" s="1"/>
  <c r="S23" i="6" a="1"/>
  <c r="V30" i="11" a="1"/>
  <c r="T30" i="11" a="1"/>
  <c r="U30" i="11" a="1"/>
  <c r="N30" i="11" a="1"/>
  <c r="L18" i="6" a="1"/>
  <c r="L19" i="6" a="1"/>
  <c r="L20" i="6" a="1"/>
  <c r="L28" i="6" a="1"/>
  <c r="U22" i="6" a="1"/>
  <c r="L25" i="6" a="1"/>
  <c r="L21" i="6" a="1"/>
  <c r="V22" i="6" a="1"/>
  <c r="L22" i="6" a="1"/>
  <c r="L24" i="6" a="1"/>
  <c r="L26" i="6" a="1"/>
  <c r="L30" i="6" a="1"/>
  <c r="L27" i="6" a="1"/>
  <c r="L29" i="6" a="1"/>
  <c r="L23" i="6" a="1"/>
  <c r="L31" i="6" a="1"/>
  <c r="I16" i="2" a="1"/>
  <c r="I15" i="2" a="1"/>
  <c r="D19" i="2" a="1"/>
  <c r="E19" i="2" a="1"/>
  <c r="S5" i="2" a="1"/>
  <c r="T27" i="16" a="1"/>
  <c r="V27" i="16" a="1"/>
  <c r="N33" i="16" a="1"/>
  <c r="U27" i="16" a="1"/>
  <c r="E19" i="2" l="1"/>
  <c r="D19" i="2"/>
  <c r="I15" i="2"/>
  <c r="I16" i="2"/>
  <c r="B21" i="2"/>
  <c r="C20" i="2"/>
  <c r="N30" i="11"/>
  <c r="U30" i="11"/>
  <c r="T30" i="11"/>
  <c r="V30" i="11"/>
  <c r="T27" i="16"/>
  <c r="U27" i="16"/>
  <c r="V27" i="16"/>
  <c r="N33" i="16"/>
  <c r="O34" i="16"/>
  <c r="L34" i="16"/>
  <c r="M34" i="16" s="1"/>
  <c r="I28" i="16"/>
  <c r="J27" i="16"/>
  <c r="K38" i="11"/>
  <c r="S37" i="11"/>
  <c r="L31" i="11"/>
  <c r="M31" i="11" s="1"/>
  <c r="O31" i="11"/>
  <c r="S31" i="11"/>
  <c r="S32" i="11"/>
  <c r="L18" i="6"/>
  <c r="L20" i="6"/>
  <c r="L27" i="6"/>
  <c r="L19" i="6"/>
  <c r="L26" i="6"/>
  <c r="L21" i="6"/>
  <c r="L28" i="6"/>
  <c r="L25" i="6"/>
  <c r="L24" i="6"/>
  <c r="L29" i="6"/>
  <c r="L31" i="6"/>
  <c r="L23" i="6"/>
  <c r="L30" i="6"/>
  <c r="L22" i="6"/>
  <c r="V22" i="6"/>
  <c r="U22" i="6"/>
  <c r="S23" i="6"/>
  <c r="P24" i="6"/>
  <c r="Q24" i="6" s="1"/>
  <c r="R24" i="6" s="1"/>
  <c r="T23" i="6"/>
  <c r="S5" i="2"/>
  <c r="G17" i="2"/>
  <c r="H17" i="2" s="1"/>
  <c r="S24" i="6" a="1"/>
  <c r="T31" i="11" a="1"/>
  <c r="N31" i="11" a="1"/>
  <c r="V31" i="11" a="1"/>
  <c r="U31" i="11" a="1"/>
  <c r="U23" i="6" a="1"/>
  <c r="V23" i="6" a="1"/>
  <c r="E20" i="2" a="1"/>
  <c r="D20" i="2" a="1"/>
  <c r="I17" i="2" a="1"/>
  <c r="K15" i="2" a="1"/>
  <c r="K16" i="2" a="1"/>
  <c r="T28" i="16" a="1"/>
  <c r="V28" i="16" a="1"/>
  <c r="N34" i="16" a="1"/>
  <c r="U28" i="16" a="1"/>
  <c r="K16" i="2" l="1"/>
  <c r="K15" i="2"/>
  <c r="I17" i="2"/>
  <c r="D20" i="2"/>
  <c r="E20" i="2"/>
  <c r="B22" i="2"/>
  <c r="C21" i="2"/>
  <c r="L16" i="2"/>
  <c r="N16" i="2"/>
  <c r="N15" i="2"/>
  <c r="L15" i="2"/>
  <c r="N34" i="16"/>
  <c r="V28" i="16"/>
  <c r="T28" i="16"/>
  <c r="U28" i="16"/>
  <c r="L35" i="16"/>
  <c r="M35" i="16" s="1"/>
  <c r="O35" i="16"/>
  <c r="I29" i="16"/>
  <c r="J28" i="16"/>
  <c r="K39" i="11"/>
  <c r="S38" i="11"/>
  <c r="V31" i="11"/>
  <c r="T31" i="11"/>
  <c r="U31" i="11"/>
  <c r="N31" i="11"/>
  <c r="L32" i="11"/>
  <c r="M32" i="11" s="1"/>
  <c r="O32" i="11"/>
  <c r="S33" i="11"/>
  <c r="L33" i="11"/>
  <c r="M33" i="11" s="1"/>
  <c r="O33" i="11"/>
  <c r="S24" i="6"/>
  <c r="U23" i="6"/>
  <c r="V23" i="6"/>
  <c r="P25" i="6"/>
  <c r="Q25" i="6" s="1"/>
  <c r="R25" i="6" s="1"/>
  <c r="T24" i="6"/>
  <c r="G18" i="2"/>
  <c r="H18" i="2" s="1"/>
  <c r="F14" i="2" a="1"/>
  <c r="S25" i="6" a="1"/>
  <c r="N32" i="11" a="1"/>
  <c r="U32" i="11" a="1"/>
  <c r="U33" i="11" a="1"/>
  <c r="N33" i="11" a="1"/>
  <c r="V32" i="11" a="1"/>
  <c r="T33" i="11" a="1"/>
  <c r="T32" i="11" a="1"/>
  <c r="V33" i="11" a="1"/>
  <c r="V24" i="6" a="1"/>
  <c r="U24" i="6" a="1"/>
  <c r="F17" i="2" a="1"/>
  <c r="F15" i="2" a="1"/>
  <c r="I18" i="2" a="1"/>
  <c r="K17" i="2" a="1"/>
  <c r="E21" i="2" a="1"/>
  <c r="D21" i="2" a="1"/>
  <c r="F16" i="2" a="1"/>
  <c r="F18" i="2" a="1"/>
  <c r="F19" i="2" a="1"/>
  <c r="T29" i="16" a="1"/>
  <c r="V29" i="16" a="1"/>
  <c r="N35" i="16" a="1"/>
  <c r="U29" i="16" a="1"/>
  <c r="D21" i="2" l="1"/>
  <c r="E21" i="2"/>
  <c r="K17" i="2"/>
  <c r="I18" i="2"/>
  <c r="N17" i="2"/>
  <c r="L17" i="2"/>
  <c r="B23" i="2"/>
  <c r="C22" i="2"/>
  <c r="N35" i="16"/>
  <c r="V29" i="16"/>
  <c r="U29" i="16"/>
  <c r="T29" i="16"/>
  <c r="I30" i="16"/>
  <c r="J29" i="16"/>
  <c r="O36" i="16"/>
  <c r="L36" i="16"/>
  <c r="M36" i="16" s="1"/>
  <c r="K40" i="11"/>
  <c r="S39" i="11"/>
  <c r="T32" i="11"/>
  <c r="U32" i="11"/>
  <c r="N32" i="11"/>
  <c r="V32" i="11"/>
  <c r="N33" i="11"/>
  <c r="T33" i="11"/>
  <c r="U33" i="11"/>
  <c r="V33" i="11"/>
  <c r="O35" i="11"/>
  <c r="S34" i="11"/>
  <c r="L34" i="11"/>
  <c r="M34" i="11" s="1"/>
  <c r="O34" i="11"/>
  <c r="S25" i="6"/>
  <c r="V24" i="6"/>
  <c r="U24" i="6"/>
  <c r="F14" i="2"/>
  <c r="P26" i="6"/>
  <c r="T25" i="6"/>
  <c r="F15" i="2"/>
  <c r="F19" i="2"/>
  <c r="F18" i="2"/>
  <c r="F17" i="2"/>
  <c r="F16" i="2"/>
  <c r="G19" i="2"/>
  <c r="H19" i="2" s="1"/>
  <c r="U34" i="11" a="1"/>
  <c r="N34" i="11" a="1"/>
  <c r="T34" i="11" a="1"/>
  <c r="V34" i="11" a="1"/>
  <c r="U25" i="6" a="1"/>
  <c r="V25" i="6" a="1"/>
  <c r="K18" i="2" a="1"/>
  <c r="I19" i="2" a="1"/>
  <c r="D22" i="2" a="1"/>
  <c r="E22" i="2" a="1"/>
  <c r="T30" i="16" a="1"/>
  <c r="U30" i="16" a="1"/>
  <c r="N36" i="16" a="1"/>
  <c r="V30" i="16" a="1"/>
  <c r="E22" i="2" l="1"/>
  <c r="D22" i="2"/>
  <c r="I19" i="2"/>
  <c r="K18" i="2"/>
  <c r="M18" i="2" s="1"/>
  <c r="B24" i="2"/>
  <c r="C23" i="2"/>
  <c r="N18" i="2"/>
  <c r="L18" i="2"/>
  <c r="N36" i="16"/>
  <c r="V30" i="16"/>
  <c r="T30" i="16"/>
  <c r="U30" i="16"/>
  <c r="O37" i="16"/>
  <c r="L37" i="16"/>
  <c r="M37" i="16" s="1"/>
  <c r="I31" i="16"/>
  <c r="J30" i="16"/>
  <c r="K41" i="11"/>
  <c r="S40" i="11"/>
  <c r="N34" i="11"/>
  <c r="U34" i="11"/>
  <c r="T34" i="11"/>
  <c r="V34" i="11"/>
  <c r="L36" i="11"/>
  <c r="M36" i="11" s="1"/>
  <c r="S35" i="11"/>
  <c r="L35" i="11"/>
  <c r="M35" i="11" s="1"/>
  <c r="U25" i="6"/>
  <c r="V25" i="6"/>
  <c r="T26" i="6"/>
  <c r="Q26" i="6"/>
  <c r="R26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G20" i="2"/>
  <c r="H20" i="2" s="1"/>
  <c r="S26" i="6" a="1"/>
  <c r="T35" i="11" a="1"/>
  <c r="V35" i="11" a="1"/>
  <c r="U35" i="11" a="1"/>
  <c r="N35" i="11" a="1"/>
  <c r="N36" i="11" a="1"/>
  <c r="K19" i="2" a="1"/>
  <c r="I20" i="2" a="1"/>
  <c r="F20" i="2" a="1"/>
  <c r="D23" i="2" a="1"/>
  <c r="E23" i="2" a="1"/>
  <c r="N37" i="16" a="1"/>
  <c r="V31" i="16" a="1"/>
  <c r="U31" i="16" a="1"/>
  <c r="T31" i="16" a="1"/>
  <c r="E23" i="2" l="1"/>
  <c r="D23" i="2"/>
  <c r="I20" i="2"/>
  <c r="K19" i="2"/>
  <c r="L19" i="2"/>
  <c r="N19" i="2"/>
  <c r="B25" i="2"/>
  <c r="C24" i="2"/>
  <c r="T31" i="16"/>
  <c r="U31" i="16"/>
  <c r="V31" i="16"/>
  <c r="N37" i="16"/>
  <c r="I32" i="16"/>
  <c r="J31" i="16"/>
  <c r="O38" i="16"/>
  <c r="L38" i="16"/>
  <c r="M38" i="16" s="1"/>
  <c r="K42" i="11"/>
  <c r="S41" i="11"/>
  <c r="N35" i="11"/>
  <c r="T35" i="11"/>
  <c r="U35" i="11"/>
  <c r="V35" i="11"/>
  <c r="O36" i="11"/>
  <c r="N36" i="11"/>
  <c r="S26" i="6"/>
  <c r="J19" i="2"/>
  <c r="F20" i="2"/>
  <c r="P16" i="2"/>
  <c r="P17" i="2"/>
  <c r="P15" i="2"/>
  <c r="O18" i="2"/>
  <c r="O14" i="2"/>
  <c r="P14" i="2"/>
  <c r="G21" i="2"/>
  <c r="H21" i="2" s="1"/>
  <c r="T36" i="11" a="1"/>
  <c r="U36" i="11" a="1"/>
  <c r="V36" i="11" a="1"/>
  <c r="U26" i="6" a="1"/>
  <c r="V26" i="6" a="1"/>
  <c r="I21" i="2" a="1"/>
  <c r="K20" i="2" a="1"/>
  <c r="F21" i="2" a="1"/>
  <c r="E24" i="2" a="1"/>
  <c r="D24" i="2" a="1"/>
  <c r="U32" i="16" a="1"/>
  <c r="V32" i="16" a="1"/>
  <c r="T32" i="16" a="1"/>
  <c r="N38" i="16" a="1"/>
  <c r="D24" i="2" l="1"/>
  <c r="E24" i="2"/>
  <c r="K20" i="2"/>
  <c r="I21" i="2"/>
  <c r="B26" i="2"/>
  <c r="C25" i="2"/>
  <c r="L20" i="2"/>
  <c r="N20" i="2"/>
  <c r="N38" i="16"/>
  <c r="T32" i="16"/>
  <c r="U32" i="16"/>
  <c r="V32" i="16"/>
  <c r="L39" i="16"/>
  <c r="M39" i="16" s="1"/>
  <c r="O39" i="16"/>
  <c r="I33" i="16"/>
  <c r="J32" i="16"/>
  <c r="K43" i="11"/>
  <c r="S42" i="11"/>
  <c r="U36" i="11"/>
  <c r="T36" i="11"/>
  <c r="V36" i="11"/>
  <c r="O37" i="11"/>
  <c r="L37" i="11"/>
  <c r="M37" i="11" s="1"/>
  <c r="V26" i="6"/>
  <c r="U26" i="6"/>
  <c r="M19" i="2"/>
  <c r="O19" i="2" s="1"/>
  <c r="F21" i="2"/>
  <c r="J20" i="2"/>
  <c r="P19" i="2"/>
  <c r="P18" i="2"/>
  <c r="G22" i="2"/>
  <c r="H22" i="2" s="1"/>
  <c r="V37" i="11" a="1"/>
  <c r="N37" i="11" a="1"/>
  <c r="U37" i="11" a="1"/>
  <c r="T37" i="11" a="1"/>
  <c r="I22" i="2" a="1"/>
  <c r="F22" i="2" a="1"/>
  <c r="E25" i="2" a="1"/>
  <c r="D25" i="2" a="1"/>
  <c r="K21" i="2" a="1"/>
  <c r="T33" i="16" a="1"/>
  <c r="V33" i="16" a="1"/>
  <c r="U33" i="16" a="1"/>
  <c r="N39" i="16" a="1"/>
  <c r="K21" i="2" l="1"/>
  <c r="D25" i="2"/>
  <c r="E25" i="2"/>
  <c r="I22" i="2"/>
  <c r="N21" i="2"/>
  <c r="L21" i="2"/>
  <c r="B27" i="2"/>
  <c r="C26" i="2"/>
  <c r="U33" i="16"/>
  <c r="T33" i="16"/>
  <c r="V33" i="16"/>
  <c r="N39" i="16"/>
  <c r="I34" i="16"/>
  <c r="J33" i="16"/>
  <c r="O40" i="16"/>
  <c r="L40" i="16"/>
  <c r="M40" i="16" s="1"/>
  <c r="K44" i="11"/>
  <c r="S43" i="11"/>
  <c r="T37" i="11"/>
  <c r="U37" i="11"/>
  <c r="N37" i="11"/>
  <c r="V37" i="11"/>
  <c r="O38" i="11"/>
  <c r="L38" i="11"/>
  <c r="M38" i="11" s="1"/>
  <c r="M20" i="2"/>
  <c r="O20" i="2" s="1"/>
  <c r="J21" i="2"/>
  <c r="F22" i="2"/>
  <c r="P20" i="2"/>
  <c r="G23" i="2"/>
  <c r="H23" i="2" s="1"/>
  <c r="N38" i="11" a="1"/>
  <c r="U38" i="11" a="1"/>
  <c r="T38" i="11" a="1"/>
  <c r="V38" i="11" a="1"/>
  <c r="D26" i="2" a="1"/>
  <c r="E26" i="2" a="1"/>
  <c r="F23" i="2" a="1"/>
  <c r="K22" i="2" a="1"/>
  <c r="I23" i="2" a="1"/>
  <c r="V34" i="16" a="1"/>
  <c r="N40" i="16" a="1"/>
  <c r="T34" i="16" a="1"/>
  <c r="U34" i="16" a="1"/>
  <c r="I23" i="2" l="1"/>
  <c r="K22" i="2"/>
  <c r="E26" i="2"/>
  <c r="D26" i="2"/>
  <c r="L22" i="2"/>
  <c r="N22" i="2"/>
  <c r="B28" i="2"/>
  <c r="C27" i="2"/>
  <c r="N40" i="16"/>
  <c r="V34" i="16"/>
  <c r="T34" i="16"/>
  <c r="U34" i="16"/>
  <c r="O41" i="16"/>
  <c r="L41" i="16"/>
  <c r="M41" i="16" s="1"/>
  <c r="I35" i="16"/>
  <c r="J34" i="16"/>
  <c r="K45" i="11"/>
  <c r="S44" i="11"/>
  <c r="N38" i="11"/>
  <c r="T38" i="11"/>
  <c r="U38" i="11"/>
  <c r="V38" i="11"/>
  <c r="L39" i="11"/>
  <c r="M39" i="11" s="1"/>
  <c r="O39" i="11"/>
  <c r="L40" i="11"/>
  <c r="M40" i="11" s="1"/>
  <c r="O40" i="11"/>
  <c r="M21" i="2"/>
  <c r="O21" i="2" s="1"/>
  <c r="J22" i="2"/>
  <c r="F23" i="2"/>
  <c r="P21" i="2"/>
  <c r="G24" i="2"/>
  <c r="H24" i="2" s="1"/>
  <c r="T39" i="11" a="1"/>
  <c r="T40" i="11" a="1"/>
  <c r="N39" i="11" a="1"/>
  <c r="V39" i="11" a="1"/>
  <c r="N40" i="11" a="1"/>
  <c r="U40" i="11" a="1"/>
  <c r="U39" i="11" a="1"/>
  <c r="V40" i="11" a="1"/>
  <c r="K23" i="2" a="1"/>
  <c r="I24" i="2" a="1"/>
  <c r="F24" i="2" a="1"/>
  <c r="E27" i="2" a="1"/>
  <c r="D27" i="2" a="1"/>
  <c r="N41" i="16" a="1"/>
  <c r="T35" i="16" a="1"/>
  <c r="V35" i="16" a="1"/>
  <c r="U35" i="16" a="1"/>
  <c r="D27" i="2" l="1"/>
  <c r="E27" i="2"/>
  <c r="I24" i="2"/>
  <c r="K23" i="2"/>
  <c r="B29" i="2"/>
  <c r="C28" i="2"/>
  <c r="L23" i="2"/>
  <c r="N23" i="2"/>
  <c r="V35" i="16"/>
  <c r="T35" i="16"/>
  <c r="U35" i="16"/>
  <c r="N41" i="16"/>
  <c r="O42" i="16"/>
  <c r="L42" i="16"/>
  <c r="M42" i="16" s="1"/>
  <c r="I36" i="16"/>
  <c r="J35" i="16"/>
  <c r="K46" i="11"/>
  <c r="S45" i="11"/>
  <c r="V39" i="11"/>
  <c r="N39" i="11"/>
  <c r="T39" i="11"/>
  <c r="U39" i="11"/>
  <c r="U40" i="11"/>
  <c r="T40" i="11"/>
  <c r="N40" i="11"/>
  <c r="V40" i="11"/>
  <c r="M22" i="2"/>
  <c r="O22" i="2" s="1"/>
  <c r="J23" i="2"/>
  <c r="F24" i="2"/>
  <c r="G25" i="2"/>
  <c r="H25" i="2" s="1"/>
  <c r="F25" i="2" a="1"/>
  <c r="D28" i="2" a="1"/>
  <c r="E28" i="2" a="1"/>
  <c r="K24" i="2" a="1"/>
  <c r="I25" i="2" a="1"/>
  <c r="U36" i="16" a="1"/>
  <c r="V36" i="16" a="1"/>
  <c r="N42" i="16" a="1"/>
  <c r="T36" i="16" a="1"/>
  <c r="I25" i="2" l="1"/>
  <c r="K24" i="2"/>
  <c r="E28" i="2"/>
  <c r="D28" i="2"/>
  <c r="N24" i="2"/>
  <c r="L24" i="2"/>
  <c r="B30" i="2"/>
  <c r="C29" i="2"/>
  <c r="N42" i="16"/>
  <c r="V36" i="16"/>
  <c r="T36" i="16"/>
  <c r="U36" i="16"/>
  <c r="L43" i="16"/>
  <c r="M43" i="16" s="1"/>
  <c r="O43" i="16"/>
  <c r="I37" i="16"/>
  <c r="J36" i="16"/>
  <c r="K47" i="11"/>
  <c r="S46" i="11"/>
  <c r="L41" i="11"/>
  <c r="M41" i="11" s="1"/>
  <c r="O41" i="11"/>
  <c r="M23" i="2"/>
  <c r="O23" i="2" s="1"/>
  <c r="J24" i="2"/>
  <c r="F25" i="2"/>
  <c r="P22" i="2"/>
  <c r="G26" i="2"/>
  <c r="H26" i="2" s="1"/>
  <c r="N41" i="11" a="1"/>
  <c r="T41" i="11" a="1"/>
  <c r="V41" i="11" a="1"/>
  <c r="U41" i="11" a="1"/>
  <c r="K25" i="2" a="1"/>
  <c r="F26" i="2" a="1"/>
  <c r="I26" i="2" a="1"/>
  <c r="E29" i="2" a="1"/>
  <c r="D29" i="2" a="1"/>
  <c r="U37" i="16" a="1"/>
  <c r="N43" i="16" a="1"/>
  <c r="T37" i="16" a="1"/>
  <c r="V37" i="16" a="1"/>
  <c r="D29" i="2" l="1"/>
  <c r="E29" i="2"/>
  <c r="I26" i="2"/>
  <c r="K25" i="2"/>
  <c r="B31" i="2"/>
  <c r="C30" i="2"/>
  <c r="N25" i="2"/>
  <c r="L25" i="2"/>
  <c r="U37" i="16"/>
  <c r="T37" i="16"/>
  <c r="V37" i="16"/>
  <c r="N43" i="16"/>
  <c r="I38" i="16"/>
  <c r="J37" i="16"/>
  <c r="O44" i="16"/>
  <c r="L44" i="16"/>
  <c r="M44" i="16" s="1"/>
  <c r="K48" i="11"/>
  <c r="S47" i="11"/>
  <c r="V41" i="11"/>
  <c r="U41" i="11"/>
  <c r="N41" i="11"/>
  <c r="T41" i="11"/>
  <c r="L43" i="11"/>
  <c r="M43" i="11" s="1"/>
  <c r="O42" i="11"/>
  <c r="L42" i="11"/>
  <c r="M42" i="11" s="1"/>
  <c r="M24" i="2"/>
  <c r="O24" i="2" s="1"/>
  <c r="J25" i="2"/>
  <c r="F26" i="2"/>
  <c r="P24" i="2"/>
  <c r="P23" i="2"/>
  <c r="G27" i="2"/>
  <c r="H27" i="2" s="1"/>
  <c r="T42" i="11" a="1"/>
  <c r="U42" i="11" a="1"/>
  <c r="V42" i="11" a="1"/>
  <c r="N43" i="11" a="1"/>
  <c r="N42" i="11" a="1"/>
  <c r="I27" i="2" a="1"/>
  <c r="F27" i="2" a="1"/>
  <c r="K26" i="2" a="1"/>
  <c r="D30" i="2" a="1"/>
  <c r="E30" i="2" a="1"/>
  <c r="U38" i="16" a="1"/>
  <c r="V38" i="16" a="1"/>
  <c r="T38" i="16" a="1"/>
  <c r="N44" i="16" a="1"/>
  <c r="E30" i="2" l="1"/>
  <c r="D30" i="2"/>
  <c r="K26" i="2"/>
  <c r="I27" i="2"/>
  <c r="B32" i="2"/>
  <c r="C31" i="2"/>
  <c r="L26" i="2"/>
  <c r="N26" i="2"/>
  <c r="N44" i="16"/>
  <c r="T38" i="16"/>
  <c r="U38" i="16"/>
  <c r="V38" i="16"/>
  <c r="O45" i="16"/>
  <c r="L45" i="16"/>
  <c r="M45" i="16" s="1"/>
  <c r="I39" i="16"/>
  <c r="J38" i="16"/>
  <c r="K49" i="11"/>
  <c r="S48" i="11"/>
  <c r="V42" i="11"/>
  <c r="U42" i="11"/>
  <c r="T42" i="11"/>
  <c r="N42" i="11"/>
  <c r="O43" i="11"/>
  <c r="N43" i="11"/>
  <c r="M25" i="2"/>
  <c r="O25" i="2" s="1"/>
  <c r="J26" i="2"/>
  <c r="F27" i="2"/>
  <c r="G28" i="2"/>
  <c r="H28" i="2" s="1"/>
  <c r="U43" i="11" a="1"/>
  <c r="T43" i="11" a="1"/>
  <c r="V43" i="11" a="1"/>
  <c r="K27" i="2" a="1"/>
  <c r="D31" i="2" a="1"/>
  <c r="E31" i="2" a="1"/>
  <c r="I28" i="2" a="1"/>
  <c r="F28" i="2" a="1"/>
  <c r="U39" i="16" a="1"/>
  <c r="N45" i="16" a="1"/>
  <c r="V39" i="16" a="1"/>
  <c r="T39" i="16" a="1"/>
  <c r="I28" i="2" l="1"/>
  <c r="E31" i="2"/>
  <c r="D31" i="2"/>
  <c r="K27" i="2"/>
  <c r="B33" i="2"/>
  <c r="C32" i="2"/>
  <c r="L27" i="2"/>
  <c r="N27" i="2"/>
  <c r="T39" i="16"/>
  <c r="U39" i="16"/>
  <c r="V39" i="16"/>
  <c r="N45" i="16"/>
  <c r="I40" i="16"/>
  <c r="J39" i="16"/>
  <c r="O46" i="16"/>
  <c r="L46" i="16"/>
  <c r="M46" i="16" s="1"/>
  <c r="K50" i="11"/>
  <c r="S49" i="11"/>
  <c r="V43" i="11"/>
  <c r="T43" i="11"/>
  <c r="U43" i="11"/>
  <c r="L45" i="11"/>
  <c r="M45" i="11" s="1"/>
  <c r="L44" i="11"/>
  <c r="M44" i="11" s="1"/>
  <c r="O44" i="11"/>
  <c r="M26" i="2"/>
  <c r="O26" i="2" s="1"/>
  <c r="J27" i="2"/>
  <c r="F28" i="2"/>
  <c r="P26" i="2"/>
  <c r="P25" i="2"/>
  <c r="G29" i="2"/>
  <c r="H29" i="2" s="1"/>
  <c r="U44" i="11" a="1"/>
  <c r="N45" i="11" a="1"/>
  <c r="N44" i="11" a="1"/>
  <c r="V44" i="11" a="1"/>
  <c r="T44" i="11" a="1"/>
  <c r="K28" i="2" a="1"/>
  <c r="F29" i="2" a="1"/>
  <c r="E32" i="2" a="1"/>
  <c r="D32" i="2" a="1"/>
  <c r="I29" i="2" a="1"/>
  <c r="N46" i="16" a="1"/>
  <c r="T40" i="16" a="1"/>
  <c r="V40" i="16" a="1"/>
  <c r="U40" i="16" a="1"/>
  <c r="I29" i="2" l="1"/>
  <c r="D32" i="2"/>
  <c r="E32" i="2"/>
  <c r="K28" i="2"/>
  <c r="B34" i="2"/>
  <c r="C33" i="2"/>
  <c r="L28" i="2"/>
  <c r="N28" i="2"/>
  <c r="V40" i="16"/>
  <c r="T40" i="16"/>
  <c r="U40" i="16"/>
  <c r="N46" i="16"/>
  <c r="I41" i="16"/>
  <c r="J40" i="16"/>
  <c r="L47" i="16"/>
  <c r="M47" i="16" s="1"/>
  <c r="O47" i="16"/>
  <c r="K51" i="11"/>
  <c r="S50" i="11"/>
  <c r="O45" i="11"/>
  <c r="V44" i="11"/>
  <c r="T44" i="11"/>
  <c r="U44" i="11"/>
  <c r="N44" i="11"/>
  <c r="O46" i="11"/>
  <c r="N45" i="11"/>
  <c r="M27" i="2"/>
  <c r="O27" i="2" s="1"/>
  <c r="J28" i="2"/>
  <c r="F29" i="2"/>
  <c r="P27" i="2"/>
  <c r="G30" i="2"/>
  <c r="H30" i="2" s="1"/>
  <c r="V45" i="11" a="1"/>
  <c r="U45" i="11" a="1"/>
  <c r="T45" i="11" a="1"/>
  <c r="K29" i="2" a="1"/>
  <c r="F30" i="2" a="1"/>
  <c r="E33" i="2" a="1"/>
  <c r="D33" i="2" a="1"/>
  <c r="I30" i="2" a="1"/>
  <c r="T41" i="16" a="1"/>
  <c r="U41" i="16" a="1"/>
  <c r="N47" i="16" a="1"/>
  <c r="V41" i="16" a="1"/>
  <c r="I30" i="2" l="1"/>
  <c r="D33" i="2"/>
  <c r="E33" i="2"/>
  <c r="K29" i="2"/>
  <c r="B35" i="2"/>
  <c r="C34" i="2"/>
  <c r="L29" i="2"/>
  <c r="N29" i="2"/>
  <c r="N47" i="16"/>
  <c r="V41" i="16"/>
  <c r="U41" i="16"/>
  <c r="T41" i="16"/>
  <c r="O48" i="16"/>
  <c r="L48" i="16"/>
  <c r="M48" i="16" s="1"/>
  <c r="I42" i="16"/>
  <c r="J41" i="16"/>
  <c r="K52" i="11"/>
  <c r="S51" i="11"/>
  <c r="V45" i="11"/>
  <c r="T45" i="11"/>
  <c r="U45" i="11"/>
  <c r="O47" i="11"/>
  <c r="L46" i="11"/>
  <c r="M46" i="11" s="1"/>
  <c r="M28" i="2"/>
  <c r="O28" i="2" s="1"/>
  <c r="J29" i="2"/>
  <c r="F30" i="2"/>
  <c r="P28" i="2"/>
  <c r="G31" i="2"/>
  <c r="H31" i="2" s="1"/>
  <c r="T46" i="11" a="1"/>
  <c r="V46" i="11" a="1"/>
  <c r="N46" i="11" a="1"/>
  <c r="U46" i="11" a="1"/>
  <c r="K30" i="2" a="1"/>
  <c r="F31" i="2" a="1"/>
  <c r="E34" i="2" a="1"/>
  <c r="D34" i="2" a="1"/>
  <c r="I31" i="2" a="1"/>
  <c r="U42" i="16" a="1"/>
  <c r="V42" i="16" a="1"/>
  <c r="N48" i="16" a="1"/>
  <c r="T42" i="16" a="1"/>
  <c r="I31" i="2" l="1"/>
  <c r="D34" i="2"/>
  <c r="E34" i="2"/>
  <c r="K30" i="2"/>
  <c r="B36" i="2"/>
  <c r="C35" i="2"/>
  <c r="L30" i="2"/>
  <c r="N30" i="2"/>
  <c r="T42" i="16"/>
  <c r="U42" i="16"/>
  <c r="V42" i="16"/>
  <c r="N48" i="16"/>
  <c r="O49" i="16"/>
  <c r="L49" i="16"/>
  <c r="M49" i="16" s="1"/>
  <c r="I43" i="16"/>
  <c r="J42" i="16"/>
  <c r="K53" i="11"/>
  <c r="S52" i="11"/>
  <c r="L47" i="11"/>
  <c r="M47" i="11" s="1"/>
  <c r="V46" i="11"/>
  <c r="T46" i="11"/>
  <c r="U46" i="11"/>
  <c r="N46" i="11"/>
  <c r="L48" i="11"/>
  <c r="M48" i="11" s="1"/>
  <c r="M29" i="2"/>
  <c r="O29" i="2" s="1"/>
  <c r="J30" i="2"/>
  <c r="F31" i="2"/>
  <c r="P29" i="2"/>
  <c r="G32" i="2"/>
  <c r="H32" i="2" s="1"/>
  <c r="V47" i="11" a="1"/>
  <c r="N48" i="11" a="1"/>
  <c r="U47" i="11" a="1"/>
  <c r="N47" i="11" a="1"/>
  <c r="T47" i="11" a="1"/>
  <c r="K31" i="2" a="1"/>
  <c r="I32" i="2" a="1"/>
  <c r="D35" i="2" a="1"/>
  <c r="E35" i="2" a="1"/>
  <c r="F32" i="2" a="1"/>
  <c r="U43" i="16" a="1"/>
  <c r="T43" i="16" a="1"/>
  <c r="N49" i="16" a="1"/>
  <c r="V43" i="16" a="1"/>
  <c r="E35" i="2" l="1"/>
  <c r="D35" i="2"/>
  <c r="I32" i="2"/>
  <c r="K31" i="2"/>
  <c r="B37" i="2"/>
  <c r="C36" i="2"/>
  <c r="N31" i="2"/>
  <c r="L31" i="2"/>
  <c r="V43" i="16"/>
  <c r="T43" i="16"/>
  <c r="U43" i="16"/>
  <c r="N49" i="16"/>
  <c r="I44" i="16"/>
  <c r="J43" i="16"/>
  <c r="O50" i="16"/>
  <c r="L50" i="16"/>
  <c r="M50" i="16" s="1"/>
  <c r="K54" i="11"/>
  <c r="S53" i="11"/>
  <c r="V47" i="11"/>
  <c r="N47" i="11"/>
  <c r="T47" i="11"/>
  <c r="U47" i="11"/>
  <c r="O48" i="11"/>
  <c r="N48" i="11"/>
  <c r="M30" i="2"/>
  <c r="O30" i="2" s="1"/>
  <c r="J31" i="2"/>
  <c r="F32" i="2"/>
  <c r="P30" i="2"/>
  <c r="G33" i="2"/>
  <c r="H33" i="2" s="1"/>
  <c r="V48" i="11" a="1"/>
  <c r="T48" i="11" a="1"/>
  <c r="U48" i="11" a="1"/>
  <c r="K32" i="2" a="1"/>
  <c r="E36" i="2" a="1"/>
  <c r="D36" i="2" a="1"/>
  <c r="F33" i="2" a="1"/>
  <c r="I33" i="2" a="1"/>
  <c r="V44" i="16" a="1"/>
  <c r="U44" i="16" a="1"/>
  <c r="T44" i="16" a="1"/>
  <c r="N50" i="16" a="1"/>
  <c r="I33" i="2" l="1"/>
  <c r="D36" i="2"/>
  <c r="E36" i="2"/>
  <c r="K32" i="2"/>
  <c r="B38" i="2"/>
  <c r="C37" i="2"/>
  <c r="L32" i="2"/>
  <c r="N32" i="2"/>
  <c r="N50" i="16"/>
  <c r="V44" i="16"/>
  <c r="T44" i="16"/>
  <c r="U44" i="16"/>
  <c r="L51" i="16"/>
  <c r="M51" i="16" s="1"/>
  <c r="O51" i="16"/>
  <c r="I45" i="16"/>
  <c r="J44" i="16"/>
  <c r="K55" i="11"/>
  <c r="S54" i="11"/>
  <c r="V48" i="11"/>
  <c r="T48" i="11"/>
  <c r="U48" i="11"/>
  <c r="L49" i="11"/>
  <c r="M49" i="11" s="1"/>
  <c r="O49" i="11"/>
  <c r="M31" i="2"/>
  <c r="O31" i="2" s="1"/>
  <c r="F33" i="2"/>
  <c r="J32" i="2"/>
  <c r="P31" i="2"/>
  <c r="G34" i="2"/>
  <c r="H34" i="2" s="1"/>
  <c r="T49" i="11" a="1"/>
  <c r="U49" i="11" a="1"/>
  <c r="N49" i="11" a="1"/>
  <c r="V49" i="11" a="1"/>
  <c r="K33" i="2" a="1"/>
  <c r="F34" i="2" a="1"/>
  <c r="E37" i="2" a="1"/>
  <c r="D37" i="2" a="1"/>
  <c r="I34" i="2" a="1"/>
  <c r="T45" i="16" a="1"/>
  <c r="U45" i="16" a="1"/>
  <c r="V45" i="16" a="1"/>
  <c r="N51" i="16" a="1"/>
  <c r="I34" i="2" l="1"/>
  <c r="D37" i="2"/>
  <c r="E37" i="2"/>
  <c r="K33" i="2"/>
  <c r="B39" i="2"/>
  <c r="C38" i="2"/>
  <c r="N33" i="2"/>
  <c r="L33" i="2"/>
  <c r="U45" i="16"/>
  <c r="T45" i="16"/>
  <c r="V45" i="16"/>
  <c r="N51" i="16"/>
  <c r="I46" i="16"/>
  <c r="J45" i="16"/>
  <c r="O52" i="16"/>
  <c r="L52" i="16"/>
  <c r="M52" i="16" s="1"/>
  <c r="K56" i="11"/>
  <c r="S55" i="11"/>
  <c r="U49" i="11"/>
  <c r="N49" i="11"/>
  <c r="T49" i="11"/>
  <c r="V49" i="11"/>
  <c r="L50" i="11"/>
  <c r="M50" i="11" s="1"/>
  <c r="O50" i="11"/>
  <c r="M32" i="2"/>
  <c r="O32" i="2" s="1"/>
  <c r="J33" i="2"/>
  <c r="F34" i="2"/>
  <c r="P32" i="2"/>
  <c r="G35" i="2"/>
  <c r="H35" i="2" s="1"/>
  <c r="T50" i="11" a="1"/>
  <c r="U50" i="11" a="1"/>
  <c r="N50" i="11" a="1"/>
  <c r="V50" i="11" a="1"/>
  <c r="K34" i="2" a="1"/>
  <c r="F35" i="2" a="1"/>
  <c r="E38" i="2" a="1"/>
  <c r="D38" i="2" a="1"/>
  <c r="I35" i="2" a="1"/>
  <c r="U46" i="16" a="1"/>
  <c r="N52" i="16" a="1"/>
  <c r="T46" i="16" a="1"/>
  <c r="V46" i="16" a="1"/>
  <c r="I35" i="2" l="1"/>
  <c r="D38" i="2"/>
  <c r="E38" i="2"/>
  <c r="K34" i="2"/>
  <c r="B40" i="2"/>
  <c r="C39" i="2"/>
  <c r="L34" i="2"/>
  <c r="N34" i="2"/>
  <c r="N52" i="16"/>
  <c r="T46" i="16"/>
  <c r="U46" i="16"/>
  <c r="V46" i="16"/>
  <c r="O53" i="16"/>
  <c r="L53" i="16"/>
  <c r="M53" i="16" s="1"/>
  <c r="I47" i="16"/>
  <c r="J46" i="16"/>
  <c r="S56" i="11"/>
  <c r="T50" i="11"/>
  <c r="U50" i="11"/>
  <c r="N50" i="11"/>
  <c r="V50" i="11"/>
  <c r="O52" i="11"/>
  <c r="L51" i="11"/>
  <c r="M51" i="11" s="1"/>
  <c r="O51" i="11"/>
  <c r="M33" i="2"/>
  <c r="O33" i="2" s="1"/>
  <c r="J34" i="2"/>
  <c r="F35" i="2"/>
  <c r="P33" i="2"/>
  <c r="G36" i="2"/>
  <c r="H36" i="2" s="1"/>
  <c r="U51" i="11" a="1"/>
  <c r="N51" i="11" a="1"/>
  <c r="V51" i="11" a="1"/>
  <c r="T51" i="11" a="1"/>
  <c r="K35" i="2" a="1"/>
  <c r="I36" i="2" a="1"/>
  <c r="E39" i="2" a="1"/>
  <c r="D39" i="2" a="1"/>
  <c r="F36" i="2" a="1"/>
  <c r="T47" i="16" a="1"/>
  <c r="V47" i="16" a="1"/>
  <c r="N53" i="16" a="1"/>
  <c r="U47" i="16" a="1"/>
  <c r="D39" i="2" l="1"/>
  <c r="E39" i="2"/>
  <c r="I36" i="2"/>
  <c r="K35" i="2"/>
  <c r="B41" i="2"/>
  <c r="C40" i="2"/>
  <c r="N35" i="2"/>
  <c r="L35" i="2"/>
  <c r="T47" i="16"/>
  <c r="U47" i="16"/>
  <c r="V47" i="16"/>
  <c r="N53" i="16"/>
  <c r="O54" i="16"/>
  <c r="L54" i="16"/>
  <c r="M54" i="16" s="1"/>
  <c r="I48" i="16"/>
  <c r="J47" i="16"/>
  <c r="V51" i="11"/>
  <c r="N51" i="11"/>
  <c r="T51" i="11"/>
  <c r="U51" i="11"/>
  <c r="L53" i="11"/>
  <c r="M53" i="11" s="1"/>
  <c r="L52" i="11"/>
  <c r="M52" i="11" s="1"/>
  <c r="M34" i="2"/>
  <c r="O34" i="2" s="1"/>
  <c r="J35" i="2"/>
  <c r="F36" i="2"/>
  <c r="P34" i="2"/>
  <c r="G37" i="2"/>
  <c r="H37" i="2" s="1"/>
  <c r="U52" i="11" a="1"/>
  <c r="V52" i="11" a="1"/>
  <c r="N53" i="11" a="1"/>
  <c r="N52" i="11" a="1"/>
  <c r="T52" i="11" a="1"/>
  <c r="K36" i="2" a="1"/>
  <c r="F37" i="2" a="1"/>
  <c r="D40" i="2" a="1"/>
  <c r="E40" i="2" a="1"/>
  <c r="I37" i="2" a="1"/>
  <c r="T48" i="16" a="1"/>
  <c r="U48" i="16" a="1"/>
  <c r="V48" i="16" a="1"/>
  <c r="N54" i="16" a="1"/>
  <c r="I37" i="2" l="1"/>
  <c r="E40" i="2"/>
  <c r="D40" i="2"/>
  <c r="K36" i="2"/>
  <c r="B42" i="2"/>
  <c r="C41" i="2"/>
  <c r="L36" i="2"/>
  <c r="N36" i="2"/>
  <c r="N54" i="16"/>
  <c r="V48" i="16"/>
  <c r="T48" i="16"/>
  <c r="U48" i="16"/>
  <c r="L55" i="16"/>
  <c r="M55" i="16" s="1"/>
  <c r="O55" i="16"/>
  <c r="I49" i="16"/>
  <c r="J48" i="16"/>
  <c r="O53" i="11"/>
  <c r="V52" i="11"/>
  <c r="N52" i="11"/>
  <c r="T52" i="11"/>
  <c r="U52" i="11"/>
  <c r="N53" i="11"/>
  <c r="M35" i="2"/>
  <c r="O35" i="2" s="1"/>
  <c r="F37" i="2"/>
  <c r="J36" i="2"/>
  <c r="P35" i="2"/>
  <c r="G38" i="2"/>
  <c r="H38" i="2" s="1"/>
  <c r="T53" i="11" a="1"/>
  <c r="U53" i="11" a="1"/>
  <c r="V53" i="11" a="1"/>
  <c r="K37" i="2" a="1"/>
  <c r="E41" i="2" a="1"/>
  <c r="D41" i="2" a="1"/>
  <c r="F38" i="2" a="1"/>
  <c r="I38" i="2" a="1"/>
  <c r="V49" i="16" a="1"/>
  <c r="U49" i="16" a="1"/>
  <c r="T49" i="16" a="1"/>
  <c r="N55" i="16" a="1"/>
  <c r="I38" i="2" l="1"/>
  <c r="D41" i="2"/>
  <c r="E41" i="2"/>
  <c r="K37" i="2"/>
  <c r="B43" i="2"/>
  <c r="C42" i="2"/>
  <c r="L37" i="2"/>
  <c r="N37" i="2"/>
  <c r="V49" i="16"/>
  <c r="U49" i="16"/>
  <c r="T49" i="16"/>
  <c r="N55" i="16"/>
  <c r="I50" i="16"/>
  <c r="J49" i="16"/>
  <c r="O56" i="16"/>
  <c r="L56" i="16"/>
  <c r="M56" i="16" s="1"/>
  <c r="V53" i="11"/>
  <c r="U53" i="11"/>
  <c r="T53" i="11"/>
  <c r="O54" i="11"/>
  <c r="L54" i="11"/>
  <c r="M54" i="11" s="1"/>
  <c r="M36" i="2"/>
  <c r="O36" i="2" s="1"/>
  <c r="F38" i="2"/>
  <c r="J37" i="2"/>
  <c r="P36" i="2"/>
  <c r="G39" i="2"/>
  <c r="H39" i="2" s="1"/>
  <c r="U54" i="11" a="1"/>
  <c r="T54" i="11" a="1"/>
  <c r="N54" i="11" a="1"/>
  <c r="V54" i="11" a="1"/>
  <c r="K38" i="2" a="1"/>
  <c r="I39" i="2" a="1"/>
  <c r="F39" i="2" a="1"/>
  <c r="E42" i="2" a="1"/>
  <c r="D42" i="2" a="1"/>
  <c r="U50" i="16" a="1"/>
  <c r="N56" i="16" a="1"/>
  <c r="V50" i="16" a="1"/>
  <c r="T50" i="16" a="1"/>
  <c r="D42" i="2" l="1"/>
  <c r="E42" i="2"/>
  <c r="I39" i="2"/>
  <c r="K38" i="2"/>
  <c r="B44" i="2"/>
  <c r="C43" i="2"/>
  <c r="N38" i="2"/>
  <c r="L38" i="2"/>
  <c r="T50" i="16"/>
  <c r="U50" i="16"/>
  <c r="V50" i="16"/>
  <c r="N56" i="16"/>
  <c r="I51" i="16"/>
  <c r="J50" i="16"/>
  <c r="T54" i="11"/>
  <c r="U54" i="11"/>
  <c r="N54" i="11"/>
  <c r="V54" i="11"/>
  <c r="L55" i="11"/>
  <c r="M55" i="11" s="1"/>
  <c r="O55" i="11"/>
  <c r="M37" i="2"/>
  <c r="O37" i="2" s="1"/>
  <c r="F39" i="2"/>
  <c r="J38" i="2"/>
  <c r="P37" i="2"/>
  <c r="G40" i="2"/>
  <c r="H40" i="2" s="1"/>
  <c r="T55" i="11" a="1"/>
  <c r="N55" i="11" a="1"/>
  <c r="V55" i="11" a="1"/>
  <c r="U55" i="11" a="1"/>
  <c r="D43" i="2" a="1"/>
  <c r="E43" i="2" a="1"/>
  <c r="I40" i="2" a="1"/>
  <c r="K39" i="2" a="1"/>
  <c r="F40" i="2" a="1"/>
  <c r="V51" i="16" a="1"/>
  <c r="T51" i="16" a="1"/>
  <c r="U51" i="16" a="1"/>
  <c r="K39" i="2" l="1"/>
  <c r="I40" i="2"/>
  <c r="E43" i="2"/>
  <c r="D43" i="2"/>
  <c r="B45" i="2"/>
  <c r="C44" i="2"/>
  <c r="L39" i="2"/>
  <c r="N39" i="2"/>
  <c r="T51" i="16"/>
  <c r="U51" i="16"/>
  <c r="V51" i="16"/>
  <c r="I52" i="16"/>
  <c r="J51" i="16"/>
  <c r="N55" i="11"/>
  <c r="T55" i="11"/>
  <c r="U55" i="11"/>
  <c r="V55" i="11"/>
  <c r="L56" i="11"/>
  <c r="M56" i="11" s="1"/>
  <c r="O56" i="11"/>
  <c r="M38" i="2"/>
  <c r="O38" i="2" s="1"/>
  <c r="J39" i="2"/>
  <c r="F40" i="2"/>
  <c r="P38" i="2"/>
  <c r="G41" i="2"/>
  <c r="H41" i="2" s="1"/>
  <c r="N56" i="11" a="1"/>
  <c r="U56" i="11" a="1"/>
  <c r="T56" i="11" a="1"/>
  <c r="V56" i="11" a="1"/>
  <c r="F41" i="2" a="1"/>
  <c r="K40" i="2" a="1"/>
  <c r="E44" i="2" a="1"/>
  <c r="D44" i="2" a="1"/>
  <c r="I41" i="2" a="1"/>
  <c r="V52" i="16" a="1"/>
  <c r="T52" i="16" a="1"/>
  <c r="U52" i="16" a="1"/>
  <c r="I41" i="2" l="1"/>
  <c r="D44" i="2"/>
  <c r="E44" i="2"/>
  <c r="K40" i="2"/>
  <c r="L40" i="2"/>
  <c r="N40" i="2"/>
  <c r="B46" i="2"/>
  <c r="C45" i="2"/>
  <c r="T52" i="16"/>
  <c r="U52" i="16"/>
  <c r="V52" i="16"/>
  <c r="I53" i="16"/>
  <c r="J52" i="16"/>
  <c r="V56" i="11"/>
  <c r="N56" i="11"/>
  <c r="T56" i="11"/>
  <c r="U56" i="11"/>
  <c r="M39" i="2"/>
  <c r="O39" i="2" s="1"/>
  <c r="J40" i="2"/>
  <c r="F41" i="2"/>
  <c r="P39" i="2"/>
  <c r="G42" i="2"/>
  <c r="H42" i="2" s="1"/>
  <c r="K41" i="2" a="1"/>
  <c r="E45" i="2" a="1"/>
  <c r="D45" i="2" a="1"/>
  <c r="F42" i="2" a="1"/>
  <c r="I42" i="2" a="1"/>
  <c r="T53" i="16" a="1"/>
  <c r="V53" i="16" a="1"/>
  <c r="U53" i="16" a="1"/>
  <c r="I42" i="2" l="1"/>
  <c r="D45" i="2"/>
  <c r="E45" i="2"/>
  <c r="K41" i="2"/>
  <c r="B47" i="2"/>
  <c r="C46" i="2"/>
  <c r="N41" i="2"/>
  <c r="L41" i="2"/>
  <c r="V53" i="16"/>
  <c r="U53" i="16"/>
  <c r="T53" i="16"/>
  <c r="I54" i="16"/>
  <c r="J53" i="16"/>
  <c r="M40" i="2"/>
  <c r="O40" i="2" s="1"/>
  <c r="F42" i="2"/>
  <c r="J41" i="2"/>
  <c r="P40" i="2"/>
  <c r="G43" i="2"/>
  <c r="H43" i="2" s="1"/>
  <c r="I43" i="2" a="1"/>
  <c r="F43" i="2" a="1"/>
  <c r="K42" i="2" a="1"/>
  <c r="E46" i="2" a="1"/>
  <c r="D46" i="2" a="1"/>
  <c r="U54" i="16" a="1"/>
  <c r="T54" i="16" a="1"/>
  <c r="V54" i="16" a="1"/>
  <c r="D46" i="2" l="1"/>
  <c r="E46" i="2"/>
  <c r="K42" i="2"/>
  <c r="I43" i="2"/>
  <c r="L42" i="2"/>
  <c r="N42" i="2"/>
  <c r="B48" i="2"/>
  <c r="C47" i="2"/>
  <c r="V54" i="16"/>
  <c r="T54" i="16"/>
  <c r="U54" i="16"/>
  <c r="I55" i="16"/>
  <c r="J54" i="16"/>
  <c r="M41" i="2"/>
  <c r="O41" i="2" s="1"/>
  <c r="F43" i="2"/>
  <c r="J42" i="2"/>
  <c r="P41" i="2"/>
  <c r="G44" i="2"/>
  <c r="H44" i="2" s="1"/>
  <c r="I44" i="2" a="1"/>
  <c r="F44" i="2" a="1"/>
  <c r="D47" i="2" a="1"/>
  <c r="E47" i="2" a="1"/>
  <c r="K43" i="2" a="1"/>
  <c r="U55" i="16" a="1"/>
  <c r="T55" i="16" a="1"/>
  <c r="V55" i="16" a="1"/>
  <c r="K43" i="2" l="1"/>
  <c r="E47" i="2"/>
  <c r="D47" i="2"/>
  <c r="I44" i="2"/>
  <c r="N43" i="2"/>
  <c r="L43" i="2"/>
  <c r="C48" i="2"/>
  <c r="B49" i="2"/>
  <c r="V55" i="16"/>
  <c r="T55" i="16"/>
  <c r="U55" i="16"/>
  <c r="I56" i="16"/>
  <c r="J55" i="16"/>
  <c r="M42" i="2"/>
  <c r="O42" i="2" s="1"/>
  <c r="F44" i="2"/>
  <c r="J43" i="2"/>
  <c r="P42" i="2"/>
  <c r="G45" i="2"/>
  <c r="H45" i="2" s="1"/>
  <c r="I45" i="2" a="1"/>
  <c r="F45" i="2" a="1"/>
  <c r="K44" i="2" a="1"/>
  <c r="E48" i="2" a="1"/>
  <c r="D48" i="2" a="1"/>
  <c r="T56" i="16" a="1"/>
  <c r="U56" i="16" a="1"/>
  <c r="V56" i="16" a="1"/>
  <c r="D48" i="2" l="1"/>
  <c r="E48" i="2"/>
  <c r="K44" i="2"/>
  <c r="I45" i="2"/>
  <c r="B50" i="2"/>
  <c r="C49" i="2"/>
  <c r="N44" i="2"/>
  <c r="L44" i="2"/>
  <c r="V56" i="16"/>
  <c r="S14" i="16" s="1"/>
  <c r="T56" i="16"/>
  <c r="U56" i="16"/>
  <c r="J56" i="16"/>
  <c r="M43" i="2"/>
  <c r="O43" i="2" s="1"/>
  <c r="F45" i="2"/>
  <c r="J44" i="2"/>
  <c r="P43" i="2"/>
  <c r="G46" i="2"/>
  <c r="H46" i="2" s="1"/>
  <c r="I46" i="2" a="1"/>
  <c r="F46" i="2" a="1"/>
  <c r="E49" i="2" a="1"/>
  <c r="D49" i="2" a="1"/>
  <c r="K45" i="2" a="1"/>
  <c r="K45" i="2" l="1"/>
  <c r="D49" i="2"/>
  <c r="E49" i="2"/>
  <c r="I46" i="2"/>
  <c r="B51" i="2"/>
  <c r="C50" i="2"/>
  <c r="L45" i="2"/>
  <c r="N45" i="2"/>
  <c r="M44" i="2"/>
  <c r="O44" i="2" s="1"/>
  <c r="J45" i="2"/>
  <c r="F46" i="2"/>
  <c r="P44" i="2"/>
  <c r="G47" i="2"/>
  <c r="H47" i="2" s="1"/>
  <c r="F47" i="2" a="1"/>
  <c r="K46" i="2" a="1"/>
  <c r="D50" i="2" a="1"/>
  <c r="E50" i="2" a="1"/>
  <c r="I47" i="2" a="1"/>
  <c r="I47" i="2" l="1"/>
  <c r="E50" i="2"/>
  <c r="D50" i="2"/>
  <c r="K46" i="2"/>
  <c r="L46" i="2"/>
  <c r="N46" i="2"/>
  <c r="B52" i="2"/>
  <c r="C51" i="2"/>
  <c r="M45" i="2"/>
  <c r="O45" i="2" s="1"/>
  <c r="J46" i="2"/>
  <c r="F47" i="2"/>
  <c r="G48" i="2"/>
  <c r="H48" i="2" s="1"/>
  <c r="K47" i="2" a="1"/>
  <c r="I48" i="2" a="1"/>
  <c r="F48" i="2" a="1"/>
  <c r="E51" i="2" a="1"/>
  <c r="D51" i="2" a="1"/>
  <c r="D51" i="2" l="1"/>
  <c r="E51" i="2"/>
  <c r="I48" i="2"/>
  <c r="K47" i="2"/>
  <c r="B53" i="2"/>
  <c r="C52" i="2"/>
  <c r="L47" i="2"/>
  <c r="N47" i="2"/>
  <c r="M46" i="2"/>
  <c r="O46" i="2" s="1"/>
  <c r="J47" i="2"/>
  <c r="F48" i="2"/>
  <c r="P45" i="2"/>
  <c r="P46" i="2"/>
  <c r="G49" i="2"/>
  <c r="H49" i="2" s="1"/>
  <c r="I49" i="2" a="1"/>
  <c r="F49" i="2" a="1"/>
  <c r="K48" i="2" a="1"/>
  <c r="E52" i="2" a="1"/>
  <c r="D52" i="2" a="1"/>
  <c r="D52" i="2" l="1"/>
  <c r="E52" i="2"/>
  <c r="K48" i="2"/>
  <c r="I49" i="2"/>
  <c r="B54" i="2"/>
  <c r="C53" i="2"/>
  <c r="N48" i="2"/>
  <c r="L48" i="2"/>
  <c r="M47" i="2"/>
  <c r="O47" i="2" s="1"/>
  <c r="J48" i="2"/>
  <c r="F49" i="2"/>
  <c r="P47" i="2"/>
  <c r="G50" i="2"/>
  <c r="H50" i="2" s="1"/>
  <c r="D53" i="2" a="1"/>
  <c r="E53" i="2" a="1"/>
  <c r="F50" i="2" a="1"/>
  <c r="K49" i="2" a="1"/>
  <c r="I50" i="2" a="1"/>
  <c r="I50" i="2" l="1"/>
  <c r="K49" i="2"/>
  <c r="E53" i="2"/>
  <c r="D53" i="2"/>
  <c r="B55" i="2"/>
  <c r="C54" i="2"/>
  <c r="L49" i="2"/>
  <c r="N49" i="2"/>
  <c r="M48" i="2"/>
  <c r="O48" i="2" s="1"/>
  <c r="F50" i="2"/>
  <c r="J49" i="2"/>
  <c r="P48" i="2"/>
  <c r="G51" i="2"/>
  <c r="H51" i="2" s="1"/>
  <c r="K50" i="2" a="1"/>
  <c r="D54" i="2" a="1"/>
  <c r="E54" i="2" a="1"/>
  <c r="I51" i="2" a="1"/>
  <c r="F51" i="2" a="1"/>
  <c r="I51" i="2" l="1"/>
  <c r="E54" i="2"/>
  <c r="D54" i="2"/>
  <c r="K50" i="2"/>
  <c r="B56" i="2"/>
  <c r="C55" i="2"/>
  <c r="N50" i="2"/>
  <c r="L50" i="2"/>
  <c r="M49" i="2"/>
  <c r="O49" i="2" s="1"/>
  <c r="F51" i="2"/>
  <c r="J50" i="2"/>
  <c r="P49" i="2"/>
  <c r="G52" i="2"/>
  <c r="H52" i="2" s="1"/>
  <c r="K51" i="2" a="1"/>
  <c r="F52" i="2" a="1"/>
  <c r="I52" i="2" a="1"/>
  <c r="D55" i="2" a="1"/>
  <c r="E55" i="2" a="1"/>
  <c r="E55" i="2" l="1"/>
  <c r="D55" i="2"/>
  <c r="I52" i="2"/>
  <c r="K51" i="2"/>
  <c r="B57" i="2"/>
  <c r="C56" i="2"/>
  <c r="N51" i="2"/>
  <c r="L51" i="2"/>
  <c r="M50" i="2"/>
  <c r="O50" i="2" s="1"/>
  <c r="J51" i="2"/>
  <c r="F52" i="2"/>
  <c r="P50" i="2"/>
  <c r="G53" i="2"/>
  <c r="H53" i="2" s="1"/>
  <c r="K52" i="2" a="1"/>
  <c r="E56" i="2" a="1"/>
  <c r="D56" i="2" a="1"/>
  <c r="I53" i="2" a="1"/>
  <c r="F53" i="2" a="1"/>
  <c r="I53" i="2" l="1"/>
  <c r="D56" i="2"/>
  <c r="E56" i="2"/>
  <c r="K52" i="2"/>
  <c r="B58" i="2"/>
  <c r="C57" i="2"/>
  <c r="L52" i="2"/>
  <c r="N52" i="2"/>
  <c r="M51" i="2"/>
  <c r="O51" i="2" s="1"/>
  <c r="J52" i="2"/>
  <c r="F53" i="2"/>
  <c r="P51" i="2"/>
  <c r="G54" i="2"/>
  <c r="H54" i="2" s="1"/>
  <c r="K53" i="2" a="1"/>
  <c r="F54" i="2" a="1"/>
  <c r="D57" i="2" a="1"/>
  <c r="E57" i="2" a="1"/>
  <c r="I54" i="2" a="1"/>
  <c r="I54" i="2" l="1"/>
  <c r="E57" i="2"/>
  <c r="D57" i="2"/>
  <c r="K53" i="2"/>
  <c r="B59" i="2"/>
  <c r="C58" i="2"/>
  <c r="N53" i="2"/>
  <c r="L53" i="2"/>
  <c r="M52" i="2"/>
  <c r="O52" i="2" s="1"/>
  <c r="J53" i="2"/>
  <c r="F54" i="2"/>
  <c r="P52" i="2"/>
  <c r="G55" i="2"/>
  <c r="H55" i="2" s="1"/>
  <c r="K54" i="2" a="1"/>
  <c r="F55" i="2" a="1"/>
  <c r="I55" i="2" a="1"/>
  <c r="D58" i="2" a="1"/>
  <c r="E58" i="2" a="1"/>
  <c r="E58" i="2" l="1"/>
  <c r="D58" i="2"/>
  <c r="I55" i="2"/>
  <c r="K54" i="2"/>
  <c r="B60" i="2"/>
  <c r="C59" i="2"/>
  <c r="L54" i="2"/>
  <c r="N54" i="2"/>
  <c r="M53" i="2"/>
  <c r="O53" i="2" s="1"/>
  <c r="J54" i="2"/>
  <c r="F55" i="2"/>
  <c r="P53" i="2"/>
  <c r="G56" i="2"/>
  <c r="H56" i="2" s="1"/>
  <c r="F56" i="2" a="1"/>
  <c r="K55" i="2" a="1"/>
  <c r="E59" i="2" a="1"/>
  <c r="D59" i="2" a="1"/>
  <c r="I56" i="2" a="1"/>
  <c r="I56" i="2" l="1"/>
  <c r="D59" i="2"/>
  <c r="E59" i="2"/>
  <c r="K55" i="2"/>
  <c r="B61" i="2"/>
  <c r="C60" i="2"/>
  <c r="L55" i="2"/>
  <c r="N55" i="2"/>
  <c r="M54" i="2"/>
  <c r="O54" i="2" s="1"/>
  <c r="J55" i="2"/>
  <c r="F56" i="2"/>
  <c r="P54" i="2"/>
  <c r="G57" i="2"/>
  <c r="H57" i="2" s="1"/>
  <c r="K56" i="2" a="1"/>
  <c r="I57" i="2" a="1"/>
  <c r="D60" i="2" a="1"/>
  <c r="E60" i="2" a="1"/>
  <c r="F57" i="2" a="1"/>
  <c r="E60" i="2" l="1"/>
  <c r="D60" i="2"/>
  <c r="I57" i="2"/>
  <c r="K56" i="2"/>
  <c r="B62" i="2"/>
  <c r="C61" i="2"/>
  <c r="L56" i="2"/>
  <c r="N56" i="2"/>
  <c r="M55" i="2"/>
  <c r="O55" i="2" s="1"/>
  <c r="J56" i="2"/>
  <c r="F57" i="2"/>
  <c r="P55" i="2"/>
  <c r="G58" i="2"/>
  <c r="H58" i="2" s="1"/>
  <c r="F58" i="2" a="1"/>
  <c r="K57" i="2" a="1"/>
  <c r="I58" i="2" a="1"/>
  <c r="D61" i="2" a="1"/>
  <c r="E61" i="2" a="1"/>
  <c r="E61" i="2" l="1"/>
  <c r="D61" i="2"/>
  <c r="I58" i="2"/>
  <c r="K57" i="2"/>
  <c r="B63" i="2"/>
  <c r="C62" i="2"/>
  <c r="L57" i="2"/>
  <c r="N57" i="2"/>
  <c r="M56" i="2"/>
  <c r="O56" i="2" s="1"/>
  <c r="J57" i="2"/>
  <c r="F58" i="2"/>
  <c r="P56" i="2"/>
  <c r="G59" i="2"/>
  <c r="H59" i="2" s="1"/>
  <c r="I59" i="2" a="1"/>
  <c r="K58" i="2" a="1"/>
  <c r="F59" i="2" a="1"/>
  <c r="E62" i="2" a="1"/>
  <c r="D62" i="2" a="1"/>
  <c r="D62" i="2" l="1"/>
  <c r="E62" i="2"/>
  <c r="K58" i="2"/>
  <c r="I59" i="2"/>
  <c r="B64" i="2"/>
  <c r="C63" i="2"/>
  <c r="N58" i="2"/>
  <c r="L58" i="2"/>
  <c r="M57" i="2"/>
  <c r="O57" i="2" s="1"/>
  <c r="J58" i="2"/>
  <c r="F59" i="2"/>
  <c r="P57" i="2"/>
  <c r="G60" i="2"/>
  <c r="H60" i="2" s="1"/>
  <c r="E63" i="2" a="1"/>
  <c r="D63" i="2" a="1"/>
  <c r="F60" i="2" a="1"/>
  <c r="K59" i="2" a="1"/>
  <c r="I60" i="2" a="1"/>
  <c r="I60" i="2" l="1"/>
  <c r="K59" i="2"/>
  <c r="D63" i="2"/>
  <c r="E63" i="2"/>
  <c r="B65" i="2"/>
  <c r="C64" i="2"/>
  <c r="L59" i="2"/>
  <c r="N59" i="2"/>
  <c r="M58" i="2"/>
  <c r="O58" i="2" s="1"/>
  <c r="J59" i="2"/>
  <c r="F60" i="2"/>
  <c r="P58" i="2"/>
  <c r="G61" i="2"/>
  <c r="H61" i="2" s="1"/>
  <c r="K60" i="2" a="1"/>
  <c r="D64" i="2" a="1"/>
  <c r="E64" i="2" a="1"/>
  <c r="F61" i="2" a="1"/>
  <c r="I61" i="2" a="1"/>
  <c r="I61" i="2" l="1"/>
  <c r="E64" i="2"/>
  <c r="D64" i="2"/>
  <c r="K60" i="2"/>
  <c r="B66" i="2"/>
  <c r="C65" i="2"/>
  <c r="N60" i="2"/>
  <c r="L60" i="2"/>
  <c r="M59" i="2"/>
  <c r="O59" i="2" s="1"/>
  <c r="J60" i="2"/>
  <c r="F61" i="2"/>
  <c r="P59" i="2"/>
  <c r="G62" i="2"/>
  <c r="H62" i="2" s="1"/>
  <c r="K61" i="2" a="1"/>
  <c r="I62" i="2" a="1"/>
  <c r="F62" i="2" a="1"/>
  <c r="E65" i="2" a="1"/>
  <c r="D65" i="2" a="1"/>
  <c r="D65" i="2" l="1"/>
  <c r="E65" i="2"/>
  <c r="I62" i="2"/>
  <c r="K61" i="2"/>
  <c r="B67" i="2"/>
  <c r="C66" i="2"/>
  <c r="N61" i="2"/>
  <c r="L61" i="2"/>
  <c r="M60" i="2"/>
  <c r="O60" i="2" s="1"/>
  <c r="F62" i="2"/>
  <c r="J61" i="2"/>
  <c r="P60" i="2"/>
  <c r="G63" i="2"/>
  <c r="H63" i="2" s="1"/>
  <c r="K62" i="2" a="1"/>
  <c r="F63" i="2" a="1"/>
  <c r="E66" i="2" a="1"/>
  <c r="D66" i="2" a="1"/>
  <c r="I63" i="2" a="1"/>
  <c r="I63" i="2" l="1"/>
  <c r="D66" i="2"/>
  <c r="E66" i="2"/>
  <c r="K62" i="2"/>
  <c r="B68" i="2"/>
  <c r="C67" i="2"/>
  <c r="N62" i="2"/>
  <c r="L62" i="2"/>
  <c r="M61" i="2"/>
  <c r="O61" i="2" s="1"/>
  <c r="F63" i="2"/>
  <c r="J62" i="2"/>
  <c r="P61" i="2"/>
  <c r="G64" i="2"/>
  <c r="H64" i="2" s="1"/>
  <c r="K63" i="2" a="1"/>
  <c r="E67" i="2" a="1"/>
  <c r="D67" i="2" a="1"/>
  <c r="I64" i="2" a="1"/>
  <c r="F64" i="2" a="1"/>
  <c r="I64" i="2" l="1"/>
  <c r="D67" i="2"/>
  <c r="E67" i="2"/>
  <c r="K63" i="2"/>
  <c r="B69" i="2"/>
  <c r="C68" i="2"/>
  <c r="L63" i="2"/>
  <c r="N63" i="2"/>
  <c r="M62" i="2"/>
  <c r="O62" i="2" s="1"/>
  <c r="J63" i="2"/>
  <c r="F64" i="2"/>
  <c r="P62" i="2"/>
  <c r="G65" i="2"/>
  <c r="H65" i="2" s="1"/>
  <c r="K64" i="2" a="1"/>
  <c r="F65" i="2" a="1"/>
  <c r="I65" i="2" a="1"/>
  <c r="D68" i="2" a="1"/>
  <c r="E68" i="2" a="1"/>
  <c r="E68" i="2" l="1"/>
  <c r="D68" i="2"/>
  <c r="I65" i="2"/>
  <c r="K64" i="2"/>
  <c r="B70" i="2"/>
  <c r="C69" i="2"/>
  <c r="N64" i="2"/>
  <c r="L64" i="2"/>
  <c r="M63" i="2"/>
  <c r="O63" i="2" s="1"/>
  <c r="J64" i="2"/>
  <c r="F65" i="2"/>
  <c r="P63" i="2"/>
  <c r="G66" i="2"/>
  <c r="H66" i="2" s="1"/>
  <c r="I66" i="2" a="1"/>
  <c r="F66" i="2" a="1"/>
  <c r="K65" i="2" a="1"/>
  <c r="D69" i="2" a="1"/>
  <c r="E69" i="2" a="1"/>
  <c r="E69" i="2" l="1"/>
  <c r="D69" i="2"/>
  <c r="K65" i="2"/>
  <c r="I66" i="2"/>
  <c r="B71" i="2"/>
  <c r="C70" i="2"/>
  <c r="N65" i="2"/>
  <c r="L65" i="2"/>
  <c r="M64" i="2"/>
  <c r="O64" i="2" s="1"/>
  <c r="J65" i="2"/>
  <c r="F66" i="2"/>
  <c r="P64" i="2"/>
  <c r="G67" i="2"/>
  <c r="H67" i="2" s="1"/>
  <c r="I67" i="2" a="1"/>
  <c r="K66" i="2" a="1"/>
  <c r="D70" i="2" a="1"/>
  <c r="E70" i="2" a="1"/>
  <c r="F67" i="2" a="1"/>
  <c r="E70" i="2" l="1"/>
  <c r="D70" i="2"/>
  <c r="K66" i="2"/>
  <c r="I67" i="2"/>
  <c r="B72" i="2"/>
  <c r="C71" i="2"/>
  <c r="L66" i="2"/>
  <c r="N66" i="2"/>
  <c r="M65" i="2"/>
  <c r="O65" i="2" s="1"/>
  <c r="J66" i="2"/>
  <c r="F67" i="2"/>
  <c r="P65" i="2"/>
  <c r="G68" i="2"/>
  <c r="H68" i="2" s="1"/>
  <c r="K67" i="2" a="1"/>
  <c r="I68" i="2" a="1"/>
  <c r="F68" i="2" a="1"/>
  <c r="E71" i="2" a="1"/>
  <c r="D71" i="2" a="1"/>
  <c r="D71" i="2" l="1"/>
  <c r="E71" i="2"/>
  <c r="I68" i="2"/>
  <c r="K67" i="2"/>
  <c r="B73" i="2"/>
  <c r="C72" i="2"/>
  <c r="L67" i="2"/>
  <c r="N67" i="2"/>
  <c r="M66" i="2"/>
  <c r="O66" i="2" s="1"/>
  <c r="J67" i="2"/>
  <c r="F68" i="2"/>
  <c r="P66" i="2"/>
  <c r="G69" i="2"/>
  <c r="H69" i="2" s="1"/>
  <c r="K68" i="2" a="1"/>
  <c r="I69" i="2" a="1"/>
  <c r="F69" i="2" a="1"/>
  <c r="E72" i="2" a="1"/>
  <c r="D72" i="2" a="1"/>
  <c r="D72" i="2" l="1"/>
  <c r="E72" i="2"/>
  <c r="I69" i="2"/>
  <c r="K68" i="2"/>
  <c r="B74" i="2"/>
  <c r="C73" i="2"/>
  <c r="L68" i="2"/>
  <c r="N68" i="2"/>
  <c r="M67" i="2"/>
  <c r="O67" i="2" s="1"/>
  <c r="F69" i="2"/>
  <c r="J68" i="2"/>
  <c r="P67" i="2"/>
  <c r="G70" i="2"/>
  <c r="H70" i="2" s="1"/>
  <c r="E73" i="2" a="1"/>
  <c r="D73" i="2" a="1"/>
  <c r="K69" i="2" a="1"/>
  <c r="F70" i="2" a="1"/>
  <c r="I70" i="2" a="1"/>
  <c r="I70" i="2" l="1"/>
  <c r="K69" i="2"/>
  <c r="D73" i="2"/>
  <c r="E73" i="2"/>
  <c r="B75" i="2"/>
  <c r="C74" i="2"/>
  <c r="N69" i="2"/>
  <c r="L69" i="2"/>
  <c r="M68" i="2"/>
  <c r="O68" i="2" s="1"/>
  <c r="J69" i="2"/>
  <c r="F70" i="2"/>
  <c r="P68" i="2"/>
  <c r="G71" i="2"/>
  <c r="H71" i="2" s="1"/>
  <c r="K70" i="2" a="1"/>
  <c r="I71" i="2" a="1"/>
  <c r="F71" i="2" a="1"/>
  <c r="D74" i="2" a="1"/>
  <c r="E74" i="2" a="1"/>
  <c r="E74" i="2" l="1"/>
  <c r="D74" i="2"/>
  <c r="I71" i="2"/>
  <c r="K70" i="2"/>
  <c r="B76" i="2"/>
  <c r="C75" i="2"/>
  <c r="N70" i="2"/>
  <c r="L70" i="2"/>
  <c r="M69" i="2"/>
  <c r="O69" i="2" s="1"/>
  <c r="J70" i="2"/>
  <c r="F71" i="2"/>
  <c r="P69" i="2"/>
  <c r="G72" i="2"/>
  <c r="H72" i="2" s="1"/>
  <c r="F72" i="2" a="1"/>
  <c r="K71" i="2" a="1"/>
  <c r="I72" i="2" a="1"/>
  <c r="E75" i="2" a="1"/>
  <c r="D75" i="2" a="1"/>
  <c r="D75" i="2" l="1"/>
  <c r="E75" i="2"/>
  <c r="I72" i="2"/>
  <c r="K71" i="2"/>
  <c r="N71" i="2"/>
  <c r="L71" i="2"/>
  <c r="B77" i="2"/>
  <c r="C76" i="2"/>
  <c r="M70" i="2"/>
  <c r="O70" i="2" s="1"/>
  <c r="J71" i="2"/>
  <c r="F72" i="2"/>
  <c r="P70" i="2"/>
  <c r="G73" i="2"/>
  <c r="H73" i="2" s="1"/>
  <c r="K72" i="2" a="1"/>
  <c r="I73" i="2" a="1"/>
  <c r="F73" i="2" a="1"/>
  <c r="D76" i="2" a="1"/>
  <c r="E76" i="2" a="1"/>
  <c r="E76" i="2" l="1"/>
  <c r="D76" i="2"/>
  <c r="I73" i="2"/>
  <c r="K72" i="2"/>
  <c r="B78" i="2"/>
  <c r="C77" i="2"/>
  <c r="L72" i="2"/>
  <c r="N72" i="2"/>
  <c r="M71" i="2"/>
  <c r="O71" i="2" s="1"/>
  <c r="J72" i="2"/>
  <c r="F73" i="2"/>
  <c r="P71" i="2"/>
  <c r="G74" i="2"/>
  <c r="H74" i="2" s="1"/>
  <c r="D77" i="2" a="1"/>
  <c r="E77" i="2" a="1"/>
  <c r="I74" i="2" a="1"/>
  <c r="K73" i="2" a="1"/>
  <c r="F74" i="2" a="1"/>
  <c r="K73" i="2" l="1"/>
  <c r="I74" i="2"/>
  <c r="E77" i="2"/>
  <c r="D77" i="2"/>
  <c r="L73" i="2"/>
  <c r="N73" i="2"/>
  <c r="B79" i="2"/>
  <c r="C78" i="2"/>
  <c r="M72" i="2"/>
  <c r="O72" i="2" s="1"/>
  <c r="J73" i="2"/>
  <c r="F74" i="2"/>
  <c r="P72" i="2"/>
  <c r="G75" i="2"/>
  <c r="H75" i="2" s="1"/>
  <c r="K74" i="2" a="1"/>
  <c r="F75" i="2" a="1"/>
  <c r="E78" i="2" a="1"/>
  <c r="D78" i="2" a="1"/>
  <c r="I75" i="2" a="1"/>
  <c r="I75" i="2" l="1"/>
  <c r="D78" i="2"/>
  <c r="E78" i="2"/>
  <c r="K74" i="2"/>
  <c r="B80" i="2"/>
  <c r="C79" i="2"/>
  <c r="N74" i="2"/>
  <c r="L74" i="2"/>
  <c r="M73" i="2"/>
  <c r="O73" i="2" s="1"/>
  <c r="J74" i="2"/>
  <c r="F75" i="2"/>
  <c r="P73" i="2"/>
  <c r="G76" i="2"/>
  <c r="H76" i="2" s="1"/>
  <c r="K75" i="2" a="1"/>
  <c r="I76" i="2" a="1"/>
  <c r="F76" i="2" a="1"/>
  <c r="E79" i="2" a="1"/>
  <c r="D79" i="2" a="1"/>
  <c r="D79" i="2" l="1"/>
  <c r="E79" i="2"/>
  <c r="I76" i="2"/>
  <c r="K75" i="2"/>
  <c r="B81" i="2"/>
  <c r="C80" i="2"/>
  <c r="L75" i="2"/>
  <c r="N75" i="2"/>
  <c r="M74" i="2"/>
  <c r="O74" i="2" s="1"/>
  <c r="J75" i="2"/>
  <c r="F76" i="2"/>
  <c r="P74" i="2"/>
  <c r="G77" i="2"/>
  <c r="H77" i="2" s="1"/>
  <c r="I77" i="2" a="1"/>
  <c r="E80" i="2" a="1"/>
  <c r="D80" i="2" a="1"/>
  <c r="K76" i="2" a="1"/>
  <c r="F77" i="2" a="1"/>
  <c r="K76" i="2" l="1"/>
  <c r="D80" i="2"/>
  <c r="E80" i="2"/>
  <c r="I77" i="2"/>
  <c r="B82" i="2"/>
  <c r="C81" i="2"/>
  <c r="N76" i="2"/>
  <c r="L76" i="2"/>
  <c r="M75" i="2"/>
  <c r="O75" i="2" s="1"/>
  <c r="J76" i="2"/>
  <c r="F77" i="2"/>
  <c r="P75" i="2"/>
  <c r="G78" i="2"/>
  <c r="H78" i="2" s="1"/>
  <c r="D81" i="2" a="1"/>
  <c r="E81" i="2" a="1"/>
  <c r="K77" i="2" a="1"/>
  <c r="I78" i="2" a="1"/>
  <c r="F78" i="2" a="1"/>
  <c r="I78" i="2" l="1"/>
  <c r="K77" i="2"/>
  <c r="E81" i="2"/>
  <c r="D81" i="2"/>
  <c r="B83" i="2"/>
  <c r="C82" i="2"/>
  <c r="L77" i="2"/>
  <c r="N77" i="2"/>
  <c r="M76" i="2"/>
  <c r="O76" i="2" s="1"/>
  <c r="F78" i="2"/>
  <c r="J77" i="2"/>
  <c r="P76" i="2"/>
  <c r="G79" i="2"/>
  <c r="H79" i="2" s="1"/>
  <c r="K78" i="2" a="1"/>
  <c r="I79" i="2" a="1"/>
  <c r="F79" i="2" a="1"/>
  <c r="E82" i="2" a="1"/>
  <c r="D82" i="2" a="1"/>
  <c r="D82" i="2" l="1"/>
  <c r="E82" i="2"/>
  <c r="I79" i="2"/>
  <c r="K78" i="2"/>
  <c r="B84" i="2"/>
  <c r="C83" i="2"/>
  <c r="L78" i="2"/>
  <c r="N78" i="2"/>
  <c r="M77" i="2"/>
  <c r="O77" i="2" s="1"/>
  <c r="J78" i="2"/>
  <c r="F79" i="2"/>
  <c r="P77" i="2"/>
  <c r="G80" i="2"/>
  <c r="H80" i="2" s="1"/>
  <c r="K79" i="2" a="1"/>
  <c r="F80" i="2" a="1"/>
  <c r="D83" i="2" a="1"/>
  <c r="E83" i="2" a="1"/>
  <c r="I80" i="2" a="1"/>
  <c r="I80" i="2" l="1"/>
  <c r="E83" i="2"/>
  <c r="D83" i="2"/>
  <c r="K79" i="2"/>
  <c r="B85" i="2"/>
  <c r="C84" i="2"/>
  <c r="L79" i="2"/>
  <c r="N79" i="2"/>
  <c r="M78" i="2"/>
  <c r="O78" i="2" s="1"/>
  <c r="F80" i="2"/>
  <c r="J79" i="2"/>
  <c r="P78" i="2"/>
  <c r="G81" i="2"/>
  <c r="H81" i="2" s="1"/>
  <c r="K80" i="2" a="1"/>
  <c r="I81" i="2" a="1"/>
  <c r="D84" i="2" a="1"/>
  <c r="E84" i="2" a="1"/>
  <c r="F81" i="2" a="1"/>
  <c r="E84" i="2" l="1"/>
  <c r="D84" i="2"/>
  <c r="I81" i="2"/>
  <c r="K80" i="2"/>
  <c r="B86" i="2"/>
  <c r="C85" i="2"/>
  <c r="L80" i="2"/>
  <c r="N80" i="2"/>
  <c r="M79" i="2"/>
  <c r="O79" i="2" s="1"/>
  <c r="J80" i="2"/>
  <c r="F81" i="2"/>
  <c r="P79" i="2"/>
  <c r="G82" i="2"/>
  <c r="H82" i="2" s="1"/>
  <c r="K81" i="2" a="1"/>
  <c r="E85" i="2" a="1"/>
  <c r="D85" i="2" a="1"/>
  <c r="I82" i="2" a="1"/>
  <c r="F82" i="2" a="1"/>
  <c r="I82" i="2" l="1"/>
  <c r="D85" i="2"/>
  <c r="E85" i="2"/>
  <c r="K81" i="2"/>
  <c r="B87" i="2"/>
  <c r="C86" i="2"/>
  <c r="L81" i="2"/>
  <c r="N81" i="2"/>
  <c r="M80" i="2"/>
  <c r="O80" i="2" s="1"/>
  <c r="F82" i="2"/>
  <c r="J81" i="2"/>
  <c r="P80" i="2"/>
  <c r="G83" i="2"/>
  <c r="H83" i="2" s="1"/>
  <c r="K82" i="2" a="1"/>
  <c r="E86" i="2" a="1"/>
  <c r="D86" i="2" a="1"/>
  <c r="I83" i="2" a="1"/>
  <c r="F83" i="2" a="1"/>
  <c r="I83" i="2" l="1"/>
  <c r="D86" i="2"/>
  <c r="E86" i="2"/>
  <c r="K82" i="2"/>
  <c r="B88" i="2"/>
  <c r="C87" i="2"/>
  <c r="N82" i="2"/>
  <c r="L82" i="2"/>
  <c r="M81" i="2"/>
  <c r="O81" i="2" s="1"/>
  <c r="F83" i="2"/>
  <c r="J82" i="2"/>
  <c r="P81" i="2"/>
  <c r="G84" i="2"/>
  <c r="H84" i="2" s="1"/>
  <c r="K83" i="2" a="1"/>
  <c r="D87" i="2" a="1"/>
  <c r="E87" i="2" a="1"/>
  <c r="I84" i="2" a="1"/>
  <c r="F84" i="2" a="1"/>
  <c r="I84" i="2" l="1"/>
  <c r="E87" i="2"/>
  <c r="D87" i="2"/>
  <c r="K83" i="2"/>
  <c r="B89" i="2"/>
  <c r="C88" i="2"/>
  <c r="N83" i="2"/>
  <c r="L83" i="2"/>
  <c r="M82" i="2"/>
  <c r="O82" i="2" s="1"/>
  <c r="F84" i="2"/>
  <c r="J83" i="2"/>
  <c r="P82" i="2"/>
  <c r="G85" i="2"/>
  <c r="H85" i="2" s="1"/>
  <c r="K84" i="2" a="1"/>
  <c r="F85" i="2" a="1"/>
  <c r="I85" i="2" a="1"/>
  <c r="D88" i="2" a="1"/>
  <c r="E88" i="2" a="1"/>
  <c r="E88" i="2" l="1"/>
  <c r="D88" i="2"/>
  <c r="I85" i="2"/>
  <c r="K84" i="2"/>
  <c r="B90" i="2"/>
  <c r="C89" i="2"/>
  <c r="L84" i="2"/>
  <c r="N84" i="2"/>
  <c r="M83" i="2"/>
  <c r="O83" i="2" s="1"/>
  <c r="J84" i="2"/>
  <c r="F85" i="2"/>
  <c r="P83" i="2"/>
  <c r="G86" i="2"/>
  <c r="H86" i="2" s="1"/>
  <c r="F86" i="2" a="1"/>
  <c r="K85" i="2" a="1"/>
  <c r="E89" i="2" a="1"/>
  <c r="D89" i="2" a="1"/>
  <c r="I86" i="2" a="1"/>
  <c r="I86" i="2" l="1"/>
  <c r="D89" i="2"/>
  <c r="E89" i="2"/>
  <c r="K85" i="2"/>
  <c r="B91" i="2"/>
  <c r="C90" i="2"/>
  <c r="N85" i="2"/>
  <c r="L85" i="2"/>
  <c r="M84" i="2"/>
  <c r="O84" i="2" s="1"/>
  <c r="F86" i="2"/>
  <c r="J85" i="2"/>
  <c r="P84" i="2"/>
  <c r="G87" i="2"/>
  <c r="H87" i="2" s="1"/>
  <c r="K86" i="2" a="1"/>
  <c r="D90" i="2" a="1"/>
  <c r="E90" i="2" a="1"/>
  <c r="F87" i="2" a="1"/>
  <c r="I87" i="2" a="1"/>
  <c r="I87" i="2" l="1"/>
  <c r="E90" i="2"/>
  <c r="D90" i="2"/>
  <c r="K86" i="2"/>
  <c r="B92" i="2"/>
  <c r="C91" i="2"/>
  <c r="L86" i="2"/>
  <c r="N86" i="2"/>
  <c r="M85" i="2"/>
  <c r="O85" i="2" s="1"/>
  <c r="J86" i="2"/>
  <c r="F87" i="2"/>
  <c r="P85" i="2"/>
  <c r="G88" i="2"/>
  <c r="H88" i="2" s="1"/>
  <c r="K87" i="2" a="1"/>
  <c r="E91" i="2" a="1"/>
  <c r="D91" i="2" a="1"/>
  <c r="F88" i="2" a="1"/>
  <c r="I88" i="2" a="1"/>
  <c r="I88" i="2" l="1"/>
  <c r="D91" i="2"/>
  <c r="E91" i="2"/>
  <c r="K87" i="2"/>
  <c r="B93" i="2"/>
  <c r="C92" i="2"/>
  <c r="L87" i="2"/>
  <c r="N87" i="2"/>
  <c r="M86" i="2"/>
  <c r="O86" i="2" s="1"/>
  <c r="J87" i="2"/>
  <c r="F88" i="2"/>
  <c r="P86" i="2"/>
  <c r="G89" i="2"/>
  <c r="H89" i="2" s="1"/>
  <c r="K88" i="2" a="1"/>
  <c r="F89" i="2" a="1"/>
  <c r="I89" i="2" a="1"/>
  <c r="D92" i="2" a="1"/>
  <c r="E92" i="2" a="1"/>
  <c r="E92" i="2" l="1"/>
  <c r="D92" i="2"/>
  <c r="I89" i="2"/>
  <c r="K88" i="2"/>
  <c r="B94" i="2"/>
  <c r="C93" i="2"/>
  <c r="N88" i="2"/>
  <c r="L88" i="2"/>
  <c r="M87" i="2"/>
  <c r="O87" i="2" s="1"/>
  <c r="F89" i="2"/>
  <c r="J88" i="2"/>
  <c r="P87" i="2"/>
  <c r="G90" i="2"/>
  <c r="H90" i="2" s="1"/>
  <c r="K89" i="2" a="1"/>
  <c r="I90" i="2" a="1"/>
  <c r="D93" i="2" a="1"/>
  <c r="E93" i="2" a="1"/>
  <c r="F90" i="2" a="1"/>
  <c r="E93" i="2" l="1"/>
  <c r="D93" i="2"/>
  <c r="I90" i="2"/>
  <c r="K89" i="2"/>
  <c r="B95" i="2"/>
  <c r="C94" i="2"/>
  <c r="L89" i="2"/>
  <c r="N89" i="2"/>
  <c r="M88" i="2"/>
  <c r="O88" i="2" s="1"/>
  <c r="F90" i="2"/>
  <c r="J89" i="2"/>
  <c r="P88" i="2"/>
  <c r="G91" i="2"/>
  <c r="H91" i="2" s="1"/>
  <c r="K90" i="2" a="1"/>
  <c r="I91" i="2" a="1"/>
  <c r="E94" i="2" a="1"/>
  <c r="D94" i="2" a="1"/>
  <c r="F91" i="2" a="1"/>
  <c r="D94" i="2" l="1"/>
  <c r="E94" i="2"/>
  <c r="I91" i="2"/>
  <c r="K90" i="2"/>
  <c r="B96" i="2"/>
  <c r="C95" i="2"/>
  <c r="N90" i="2"/>
  <c r="L90" i="2"/>
  <c r="M89" i="2"/>
  <c r="O89" i="2" s="1"/>
  <c r="F91" i="2"/>
  <c r="J90" i="2"/>
  <c r="P89" i="2"/>
  <c r="G92" i="2"/>
  <c r="H92" i="2" s="1"/>
  <c r="K91" i="2" a="1"/>
  <c r="I92" i="2" a="1"/>
  <c r="F92" i="2" a="1"/>
  <c r="E95" i="2" a="1"/>
  <c r="D95" i="2" a="1"/>
  <c r="D95" i="2" l="1"/>
  <c r="E95" i="2"/>
  <c r="I92" i="2"/>
  <c r="K91" i="2"/>
  <c r="B97" i="2"/>
  <c r="C96" i="2"/>
  <c r="L91" i="2"/>
  <c r="N91" i="2"/>
  <c r="M90" i="2"/>
  <c r="O90" i="2" s="1"/>
  <c r="F92" i="2"/>
  <c r="J91" i="2"/>
  <c r="P90" i="2"/>
  <c r="G93" i="2"/>
  <c r="H93" i="2" s="1"/>
  <c r="I93" i="2" a="1"/>
  <c r="F93" i="2" a="1"/>
  <c r="K92" i="2" a="1"/>
  <c r="E96" i="2" a="1"/>
  <c r="D96" i="2" a="1"/>
  <c r="D96" i="2" l="1"/>
  <c r="E96" i="2"/>
  <c r="K92" i="2"/>
  <c r="I93" i="2"/>
  <c r="N92" i="2"/>
  <c r="L92" i="2"/>
  <c r="B98" i="2"/>
  <c r="C97" i="2"/>
  <c r="M91" i="2"/>
  <c r="O91" i="2" s="1"/>
  <c r="J92" i="2"/>
  <c r="F93" i="2"/>
  <c r="P91" i="2"/>
  <c r="G94" i="2"/>
  <c r="H94" i="2" s="1"/>
  <c r="D97" i="2" a="1"/>
  <c r="E97" i="2" a="1"/>
  <c r="K93" i="2" a="1"/>
  <c r="I94" i="2" a="1"/>
  <c r="F94" i="2" a="1"/>
  <c r="I94" i="2" l="1"/>
  <c r="K93" i="2"/>
  <c r="E97" i="2"/>
  <c r="D97" i="2"/>
  <c r="B99" i="2"/>
  <c r="C98" i="2"/>
  <c r="L93" i="2"/>
  <c r="N93" i="2"/>
  <c r="M92" i="2"/>
  <c r="O92" i="2" s="1"/>
  <c r="J93" i="2"/>
  <c r="F94" i="2"/>
  <c r="P92" i="2"/>
  <c r="G95" i="2"/>
  <c r="H95" i="2" s="1"/>
  <c r="K94" i="2" a="1"/>
  <c r="E98" i="2" a="1"/>
  <c r="D98" i="2" a="1"/>
  <c r="F95" i="2" a="1"/>
  <c r="I95" i="2" a="1"/>
  <c r="I95" i="2" l="1"/>
  <c r="D98" i="2"/>
  <c r="E98" i="2"/>
  <c r="K94" i="2"/>
  <c r="B100" i="2"/>
  <c r="C99" i="2"/>
  <c r="L94" i="2"/>
  <c r="N94" i="2"/>
  <c r="M93" i="2"/>
  <c r="O93" i="2" s="1"/>
  <c r="J94" i="2"/>
  <c r="F95" i="2"/>
  <c r="P93" i="2"/>
  <c r="G96" i="2"/>
  <c r="H96" i="2" s="1"/>
  <c r="K95" i="2" a="1"/>
  <c r="F96" i="2" a="1"/>
  <c r="I96" i="2" a="1"/>
  <c r="E99" i="2" a="1"/>
  <c r="D99" i="2" a="1"/>
  <c r="D99" i="2" l="1"/>
  <c r="E99" i="2"/>
  <c r="I96" i="2"/>
  <c r="K95" i="2"/>
  <c r="B101" i="2"/>
  <c r="C100" i="2"/>
  <c r="N95" i="2"/>
  <c r="L95" i="2"/>
  <c r="M94" i="2"/>
  <c r="O94" i="2" s="1"/>
  <c r="F96" i="2"/>
  <c r="J95" i="2"/>
  <c r="P94" i="2"/>
  <c r="G97" i="2"/>
  <c r="H97" i="2" s="1"/>
  <c r="E100" i="2" a="1"/>
  <c r="D100" i="2" a="1"/>
  <c r="I97" i="2" a="1"/>
  <c r="K96" i="2" a="1"/>
  <c r="F97" i="2" a="1"/>
  <c r="K96" i="2" l="1"/>
  <c r="I97" i="2"/>
  <c r="D100" i="2"/>
  <c r="E100" i="2"/>
  <c r="L96" i="2"/>
  <c r="N96" i="2"/>
  <c r="B102" i="2"/>
  <c r="C101" i="2"/>
  <c r="M95" i="2"/>
  <c r="O95" i="2" s="1"/>
  <c r="F97" i="2"/>
  <c r="J96" i="2"/>
  <c r="P95" i="2"/>
  <c r="G98" i="2"/>
  <c r="H98" i="2" s="1"/>
  <c r="F98" i="2" a="1"/>
  <c r="K97" i="2" a="1"/>
  <c r="I98" i="2" a="1"/>
  <c r="D101" i="2" a="1"/>
  <c r="E101" i="2" a="1"/>
  <c r="E101" i="2" l="1"/>
  <c r="D101" i="2"/>
  <c r="I98" i="2"/>
  <c r="K97" i="2"/>
  <c r="B103" i="2"/>
  <c r="C102" i="2"/>
  <c r="L97" i="2"/>
  <c r="N97" i="2"/>
  <c r="M96" i="2"/>
  <c r="O96" i="2" s="1"/>
  <c r="F98" i="2"/>
  <c r="J97" i="2"/>
  <c r="P96" i="2"/>
  <c r="G99" i="2"/>
  <c r="H99" i="2" s="1"/>
  <c r="K98" i="2" a="1"/>
  <c r="I99" i="2" a="1"/>
  <c r="D102" i="2" a="1"/>
  <c r="E102" i="2" a="1"/>
  <c r="F99" i="2" a="1"/>
  <c r="E102" i="2" l="1"/>
  <c r="D102" i="2"/>
  <c r="I99" i="2"/>
  <c r="K98" i="2"/>
  <c r="B104" i="2"/>
  <c r="C103" i="2"/>
  <c r="L98" i="2"/>
  <c r="N98" i="2"/>
  <c r="M97" i="2"/>
  <c r="O97" i="2" s="1"/>
  <c r="F99" i="2"/>
  <c r="J98" i="2"/>
  <c r="P97" i="2"/>
  <c r="G100" i="2"/>
  <c r="H100" i="2" s="1"/>
  <c r="K99" i="2" a="1"/>
  <c r="D103" i="2" a="1"/>
  <c r="E103" i="2" a="1"/>
  <c r="F100" i="2" a="1"/>
  <c r="I100" i="2" a="1"/>
  <c r="I100" i="2" l="1"/>
  <c r="E103" i="2"/>
  <c r="D103" i="2"/>
  <c r="K99" i="2"/>
  <c r="B105" i="2"/>
  <c r="C104" i="2"/>
  <c r="N99" i="2"/>
  <c r="L99" i="2"/>
  <c r="M98" i="2"/>
  <c r="O98" i="2" s="1"/>
  <c r="J99" i="2"/>
  <c r="F100" i="2"/>
  <c r="P98" i="2"/>
  <c r="G101" i="2"/>
  <c r="H101" i="2" s="1"/>
  <c r="K100" i="2" a="1"/>
  <c r="I101" i="2" a="1"/>
  <c r="F101" i="2" a="1"/>
  <c r="E104" i="2" a="1"/>
  <c r="D104" i="2" a="1"/>
  <c r="D104" i="2" l="1"/>
  <c r="E104" i="2"/>
  <c r="I101" i="2"/>
  <c r="K100" i="2"/>
  <c r="B106" i="2"/>
  <c r="C105" i="2"/>
  <c r="N100" i="2"/>
  <c r="L100" i="2"/>
  <c r="M99" i="2"/>
  <c r="O99" i="2" s="1"/>
  <c r="J100" i="2"/>
  <c r="F101" i="2"/>
  <c r="P99" i="2"/>
  <c r="G103" i="2"/>
  <c r="H103" i="2" s="1"/>
  <c r="G102" i="2"/>
  <c r="H102" i="2" s="1"/>
  <c r="F102" i="2" a="1"/>
  <c r="I103" i="2" a="1"/>
  <c r="E105" i="2" a="1"/>
  <c r="D105" i="2" a="1"/>
  <c r="I102" i="2" a="1"/>
  <c r="K101" i="2" a="1"/>
  <c r="F103" i="2" a="1"/>
  <c r="K101" i="2" l="1"/>
  <c r="I102" i="2"/>
  <c r="D105" i="2"/>
  <c r="E105" i="2"/>
  <c r="I103" i="2"/>
  <c r="N101" i="2"/>
  <c r="L101" i="2"/>
  <c r="B107" i="2"/>
  <c r="C106" i="2"/>
  <c r="M100" i="2"/>
  <c r="O100" i="2" s="1"/>
  <c r="J101" i="2"/>
  <c r="F103" i="2"/>
  <c r="F102" i="2"/>
  <c r="P100" i="2"/>
  <c r="G104" i="2"/>
  <c r="H104" i="2" s="1"/>
  <c r="D106" i="2" a="1"/>
  <c r="E106" i="2" a="1"/>
  <c r="K102" i="2" a="1"/>
  <c r="K103" i="2" a="1"/>
  <c r="F104" i="2" a="1"/>
  <c r="I104" i="2" a="1"/>
  <c r="I104" i="2" l="1"/>
  <c r="K103" i="2"/>
  <c r="K102" i="2"/>
  <c r="E106" i="2"/>
  <c r="D106" i="2"/>
  <c r="B108" i="2"/>
  <c r="C107" i="2"/>
  <c r="L103" i="2"/>
  <c r="N103" i="2"/>
  <c r="L102" i="2"/>
  <c r="N102" i="2"/>
  <c r="M101" i="2"/>
  <c r="O101" i="2" s="1"/>
  <c r="J102" i="2"/>
  <c r="F104" i="2"/>
  <c r="J103" i="2"/>
  <c r="P101" i="2"/>
  <c r="G105" i="2"/>
  <c r="H105" i="2" s="1"/>
  <c r="K104" i="2" a="1"/>
  <c r="I105" i="2" a="1"/>
  <c r="F105" i="2" a="1"/>
  <c r="E107" i="2" a="1"/>
  <c r="D107" i="2" a="1"/>
  <c r="D107" i="2" l="1"/>
  <c r="E107" i="2"/>
  <c r="I105" i="2"/>
  <c r="K104" i="2"/>
  <c r="B109" i="2"/>
  <c r="C108" i="2"/>
  <c r="L104" i="2"/>
  <c r="N104" i="2"/>
  <c r="M103" i="2"/>
  <c r="O103" i="2" s="1"/>
  <c r="M102" i="2"/>
  <c r="O102" i="2" s="1"/>
  <c r="J104" i="2"/>
  <c r="F105" i="2"/>
  <c r="P103" i="2"/>
  <c r="G106" i="2"/>
  <c r="H106" i="2" s="1"/>
  <c r="P102" i="2"/>
  <c r="K105" i="2" a="1"/>
  <c r="F106" i="2" a="1"/>
  <c r="E108" i="2" a="1"/>
  <c r="D108" i="2" a="1"/>
  <c r="I106" i="2" a="1"/>
  <c r="I106" i="2" l="1"/>
  <c r="D108" i="2"/>
  <c r="E108" i="2"/>
  <c r="K105" i="2"/>
  <c r="B110" i="2"/>
  <c r="C109" i="2"/>
  <c r="L105" i="2"/>
  <c r="N105" i="2"/>
  <c r="M104" i="2"/>
  <c r="O104" i="2" s="1"/>
  <c r="J105" i="2"/>
  <c r="F106" i="2"/>
  <c r="P104" i="2"/>
  <c r="G107" i="2"/>
  <c r="H107" i="2" s="1"/>
  <c r="K106" i="2" a="1"/>
  <c r="I107" i="2" a="1"/>
  <c r="E109" i="2" a="1"/>
  <c r="D109" i="2" a="1"/>
  <c r="F107" i="2" a="1"/>
  <c r="D109" i="2" l="1"/>
  <c r="E109" i="2"/>
  <c r="I107" i="2"/>
  <c r="K106" i="2"/>
  <c r="B111" i="2"/>
  <c r="C110" i="2"/>
  <c r="L106" i="2"/>
  <c r="N106" i="2"/>
  <c r="M105" i="2"/>
  <c r="O105" i="2" s="1"/>
  <c r="F107" i="2"/>
  <c r="J106" i="2"/>
  <c r="P105" i="2"/>
  <c r="G108" i="2"/>
  <c r="H108" i="2" s="1"/>
  <c r="K107" i="2" a="1"/>
  <c r="E110" i="2" a="1"/>
  <c r="D110" i="2" a="1"/>
  <c r="F108" i="2" a="1"/>
  <c r="I108" i="2" a="1"/>
  <c r="I108" i="2" l="1"/>
  <c r="D110" i="2"/>
  <c r="E110" i="2"/>
  <c r="K107" i="2"/>
  <c r="B112" i="2"/>
  <c r="C111" i="2"/>
  <c r="L107" i="2"/>
  <c r="N107" i="2"/>
  <c r="M106" i="2"/>
  <c r="O106" i="2" s="1"/>
  <c r="J107" i="2"/>
  <c r="F108" i="2"/>
  <c r="P106" i="2"/>
  <c r="G109" i="2"/>
  <c r="H109" i="2" s="1"/>
  <c r="K108" i="2" a="1"/>
  <c r="E111" i="2" a="1"/>
  <c r="D111" i="2" a="1"/>
  <c r="I109" i="2" a="1"/>
  <c r="F109" i="2" a="1"/>
  <c r="I109" i="2" l="1"/>
  <c r="D111" i="2"/>
  <c r="E111" i="2"/>
  <c r="K108" i="2"/>
  <c r="B113" i="2"/>
  <c r="C112" i="2"/>
  <c r="N108" i="2"/>
  <c r="L108" i="2"/>
  <c r="M107" i="2"/>
  <c r="O107" i="2" s="1"/>
  <c r="F109" i="2"/>
  <c r="J108" i="2"/>
  <c r="G110" i="2"/>
  <c r="H110" i="2" s="1"/>
  <c r="P107" i="2"/>
  <c r="K109" i="2" a="1"/>
  <c r="I110" i="2" a="1"/>
  <c r="E112" i="2" a="1"/>
  <c r="D112" i="2" a="1"/>
  <c r="F110" i="2" a="1"/>
  <c r="D112" i="2" l="1"/>
  <c r="E112" i="2"/>
  <c r="I110" i="2"/>
  <c r="K109" i="2"/>
  <c r="B114" i="2"/>
  <c r="C113" i="2"/>
  <c r="N109" i="2"/>
  <c r="L109" i="2"/>
  <c r="M108" i="2"/>
  <c r="F110" i="2"/>
  <c r="J109" i="2"/>
  <c r="P108" i="2"/>
  <c r="O108" i="2"/>
  <c r="G111" i="2"/>
  <c r="H111" i="2" s="1"/>
  <c r="K110" i="2" a="1"/>
  <c r="E113" i="2" a="1"/>
  <c r="D113" i="2" a="1"/>
  <c r="I111" i="2" a="1"/>
  <c r="F111" i="2" a="1"/>
  <c r="I111" i="2" l="1"/>
  <c r="D113" i="2"/>
  <c r="E113" i="2"/>
  <c r="K110" i="2"/>
  <c r="B115" i="2"/>
  <c r="C114" i="2"/>
  <c r="N110" i="2"/>
  <c r="L110" i="2"/>
  <c r="M109" i="2"/>
  <c r="O109" i="2" s="1"/>
  <c r="J110" i="2"/>
  <c r="F111" i="2"/>
  <c r="G112" i="2"/>
  <c r="H112" i="2" s="1"/>
  <c r="P109" i="2"/>
  <c r="K111" i="2" a="1"/>
  <c r="I112" i="2" a="1"/>
  <c r="D114" i="2" a="1"/>
  <c r="E114" i="2" a="1"/>
  <c r="F112" i="2" a="1"/>
  <c r="E114" i="2" l="1"/>
  <c r="D114" i="2"/>
  <c r="I112" i="2"/>
  <c r="K111" i="2"/>
  <c r="B116" i="2"/>
  <c r="C115" i="2"/>
  <c r="L111" i="2"/>
  <c r="N111" i="2"/>
  <c r="M110" i="2"/>
  <c r="O110" i="2" s="1"/>
  <c r="J111" i="2"/>
  <c r="F112" i="2"/>
  <c r="P110" i="2"/>
  <c r="G113" i="2"/>
  <c r="H113" i="2" s="1"/>
  <c r="I113" i="2" a="1"/>
  <c r="F113" i="2" a="1"/>
  <c r="K112" i="2" a="1"/>
  <c r="D115" i="2" a="1"/>
  <c r="E115" i="2" a="1"/>
  <c r="E115" i="2" l="1"/>
  <c r="D115" i="2"/>
  <c r="K112" i="2"/>
  <c r="I113" i="2"/>
  <c r="N112" i="2"/>
  <c r="L112" i="2"/>
  <c r="B117" i="2"/>
  <c r="C116" i="2"/>
  <c r="M111" i="2"/>
  <c r="O111" i="2" s="1"/>
  <c r="F113" i="2"/>
  <c r="J112" i="2"/>
  <c r="P111" i="2"/>
  <c r="G114" i="2"/>
  <c r="H114" i="2" s="1"/>
  <c r="D116" i="2" a="1"/>
  <c r="E116" i="2" a="1"/>
  <c r="K113" i="2" a="1"/>
  <c r="I114" i="2" a="1"/>
  <c r="F114" i="2" a="1"/>
  <c r="I114" i="2" l="1"/>
  <c r="K113" i="2"/>
  <c r="E116" i="2"/>
  <c r="D116" i="2"/>
  <c r="B118" i="2"/>
  <c r="C117" i="2"/>
  <c r="L113" i="2"/>
  <c r="N113" i="2"/>
  <c r="M112" i="2"/>
  <c r="O112" i="2" s="1"/>
  <c r="J113" i="2"/>
  <c r="F114" i="2"/>
  <c r="P112" i="2"/>
  <c r="G115" i="2"/>
  <c r="H115" i="2" s="1"/>
  <c r="K114" i="2" a="1"/>
  <c r="I115" i="2" a="1"/>
  <c r="F115" i="2" a="1"/>
  <c r="E117" i="2" a="1"/>
  <c r="D117" i="2" a="1"/>
  <c r="D117" i="2" l="1"/>
  <c r="E117" i="2"/>
  <c r="I115" i="2"/>
  <c r="K114" i="2"/>
  <c r="B119" i="2"/>
  <c r="C118" i="2"/>
  <c r="L114" i="2"/>
  <c r="P114" i="2" s="1"/>
  <c r="N114" i="2"/>
  <c r="M113" i="2"/>
  <c r="O113" i="2" s="1"/>
  <c r="J114" i="2"/>
  <c r="F115" i="2"/>
  <c r="P113" i="2"/>
  <c r="G116" i="2"/>
  <c r="H116" i="2" s="1"/>
  <c r="K115" i="2" a="1"/>
  <c r="D118" i="2" a="1"/>
  <c r="E118" i="2" a="1"/>
  <c r="F116" i="2" a="1"/>
  <c r="I116" i="2" a="1"/>
  <c r="I116" i="2" l="1"/>
  <c r="E118" i="2"/>
  <c r="D118" i="2"/>
  <c r="K115" i="2"/>
  <c r="B120" i="2"/>
  <c r="C119" i="2"/>
  <c r="N115" i="2"/>
  <c r="L115" i="2"/>
  <c r="M114" i="2"/>
  <c r="O114" i="2" s="1"/>
  <c r="J115" i="2"/>
  <c r="F116" i="2"/>
  <c r="G117" i="2"/>
  <c r="H117" i="2" s="1"/>
  <c r="K116" i="2" a="1"/>
  <c r="E119" i="2" a="1"/>
  <c r="D119" i="2" a="1"/>
  <c r="I117" i="2" a="1"/>
  <c r="F117" i="2" a="1"/>
  <c r="I117" i="2" l="1"/>
  <c r="D119" i="2"/>
  <c r="E119" i="2"/>
  <c r="K116" i="2"/>
  <c r="B121" i="2"/>
  <c r="C120" i="2"/>
  <c r="L116" i="2"/>
  <c r="P116" i="2" s="1"/>
  <c r="N116" i="2"/>
  <c r="M115" i="2"/>
  <c r="O115" i="2" s="1"/>
  <c r="J116" i="2"/>
  <c r="F117" i="2"/>
  <c r="P115" i="2"/>
  <c r="G118" i="2"/>
  <c r="H118" i="2" s="1"/>
  <c r="K117" i="2" a="1"/>
  <c r="I118" i="2" a="1"/>
  <c r="F118" i="2" a="1"/>
  <c r="D120" i="2" a="1"/>
  <c r="E120" i="2" a="1"/>
  <c r="E120" i="2" l="1"/>
  <c r="D120" i="2"/>
  <c r="I118" i="2"/>
  <c r="K117" i="2"/>
  <c r="B122" i="2"/>
  <c r="C121" i="2"/>
  <c r="N117" i="2"/>
  <c r="L117" i="2"/>
  <c r="M116" i="2"/>
  <c r="O116" i="2" s="1"/>
  <c r="J117" i="2"/>
  <c r="F118" i="2"/>
  <c r="G119" i="2"/>
  <c r="H119" i="2" s="1"/>
  <c r="K118" i="2" a="1"/>
  <c r="I119" i="2" a="1"/>
  <c r="F119" i="2" a="1"/>
  <c r="E121" i="2" a="1"/>
  <c r="D121" i="2" a="1"/>
  <c r="D121" i="2" l="1"/>
  <c r="E121" i="2"/>
  <c r="I119" i="2"/>
  <c r="K118" i="2"/>
  <c r="B123" i="2"/>
  <c r="C122" i="2"/>
  <c r="L118" i="2"/>
  <c r="P118" i="2" s="1"/>
  <c r="N118" i="2"/>
  <c r="M117" i="2"/>
  <c r="J118" i="2"/>
  <c r="F119" i="2"/>
  <c r="G120" i="2"/>
  <c r="H120" i="2" s="1"/>
  <c r="P117" i="2"/>
  <c r="O117" i="2"/>
  <c r="D122" i="2" a="1"/>
  <c r="E122" i="2" a="1"/>
  <c r="K119" i="2" a="1"/>
  <c r="F120" i="2" a="1"/>
  <c r="I120" i="2" a="1"/>
  <c r="I120" i="2" l="1"/>
  <c r="K119" i="2"/>
  <c r="E122" i="2"/>
  <c r="D122" i="2"/>
  <c r="N119" i="2"/>
  <c r="L119" i="2"/>
  <c r="P119" i="2" s="1"/>
  <c r="B124" i="2"/>
  <c r="C123" i="2"/>
  <c r="M118" i="2"/>
  <c r="O118" i="2" s="1"/>
  <c r="J119" i="2"/>
  <c r="F120" i="2"/>
  <c r="G121" i="2"/>
  <c r="H121" i="2" s="1"/>
  <c r="K120" i="2" a="1"/>
  <c r="E123" i="2" a="1"/>
  <c r="D123" i="2" a="1"/>
  <c r="F121" i="2" a="1"/>
  <c r="I121" i="2" a="1"/>
  <c r="I121" i="2" l="1"/>
  <c r="D123" i="2"/>
  <c r="E123" i="2"/>
  <c r="K120" i="2"/>
  <c r="B125" i="2"/>
  <c r="C124" i="2"/>
  <c r="L120" i="2"/>
  <c r="N120" i="2"/>
  <c r="M119" i="2"/>
  <c r="O119" i="2" s="1"/>
  <c r="F121" i="2"/>
  <c r="J120" i="2"/>
  <c r="G122" i="2"/>
  <c r="H122" i="2" s="1"/>
  <c r="K121" i="2" a="1"/>
  <c r="F122" i="2" a="1"/>
  <c r="I122" i="2" a="1"/>
  <c r="E124" i="2" a="1"/>
  <c r="D124" i="2" a="1"/>
  <c r="D124" i="2" l="1"/>
  <c r="E124" i="2"/>
  <c r="I122" i="2"/>
  <c r="K121" i="2"/>
  <c r="B126" i="2"/>
  <c r="C125" i="2"/>
  <c r="N121" i="2"/>
  <c r="L121" i="2"/>
  <c r="M120" i="2"/>
  <c r="O120" i="2" s="1"/>
  <c r="F122" i="2"/>
  <c r="J121" i="2"/>
  <c r="P120" i="2"/>
  <c r="G123" i="2"/>
  <c r="H123" i="2" s="1"/>
  <c r="K122" i="2" a="1"/>
  <c r="I123" i="2" a="1"/>
  <c r="E125" i="2" a="1"/>
  <c r="D125" i="2" a="1"/>
  <c r="F123" i="2" a="1"/>
  <c r="D125" i="2" l="1"/>
  <c r="E125" i="2"/>
  <c r="I123" i="2"/>
  <c r="K122" i="2"/>
  <c r="B127" i="2"/>
  <c r="C126" i="2"/>
  <c r="N122" i="2"/>
  <c r="L122" i="2"/>
  <c r="M121" i="2"/>
  <c r="O121" i="2" s="1"/>
  <c r="P121" i="2"/>
  <c r="F123" i="2"/>
  <c r="J122" i="2"/>
  <c r="G124" i="2"/>
  <c r="H124" i="2" s="1"/>
  <c r="F124" i="2" a="1"/>
  <c r="K123" i="2" a="1"/>
  <c r="I124" i="2" a="1"/>
  <c r="E126" i="2" a="1"/>
  <c r="D126" i="2" a="1"/>
  <c r="D126" i="2" l="1"/>
  <c r="E126" i="2"/>
  <c r="I124" i="2"/>
  <c r="K123" i="2"/>
  <c r="B128" i="2"/>
  <c r="C127" i="2"/>
  <c r="N123" i="2"/>
  <c r="L123" i="2"/>
  <c r="M122" i="2"/>
  <c r="O122" i="2" s="1"/>
  <c r="J123" i="2"/>
  <c r="F124" i="2"/>
  <c r="P122" i="2"/>
  <c r="G125" i="2"/>
  <c r="H125" i="2" s="1"/>
  <c r="I125" i="2" a="1"/>
  <c r="F125" i="2" a="1"/>
  <c r="K124" i="2" a="1"/>
  <c r="E127" i="2" a="1"/>
  <c r="D127" i="2" a="1"/>
  <c r="D127" i="2" l="1"/>
  <c r="E127" i="2"/>
  <c r="K124" i="2"/>
  <c r="I125" i="2"/>
  <c r="B129" i="2"/>
  <c r="C128" i="2"/>
  <c r="L124" i="2"/>
  <c r="N124" i="2"/>
  <c r="M123" i="2"/>
  <c r="O123" i="2" s="1"/>
  <c r="J124" i="2"/>
  <c r="F125" i="2"/>
  <c r="G126" i="2"/>
  <c r="H126" i="2" s="1"/>
  <c r="P123" i="2"/>
  <c r="K125" i="2" a="1"/>
  <c r="I126" i="2" a="1"/>
  <c r="D128" i="2" a="1"/>
  <c r="E128" i="2" a="1"/>
  <c r="F126" i="2" a="1"/>
  <c r="E128" i="2" l="1"/>
  <c r="D128" i="2"/>
  <c r="I126" i="2"/>
  <c r="K125" i="2"/>
  <c r="B130" i="2"/>
  <c r="C129" i="2"/>
  <c r="L125" i="2"/>
  <c r="N125" i="2"/>
  <c r="M124" i="2"/>
  <c r="O124" i="2" s="1"/>
  <c r="F126" i="2"/>
  <c r="J125" i="2"/>
  <c r="P124" i="2"/>
  <c r="G127" i="2"/>
  <c r="H127" i="2" s="1"/>
  <c r="K126" i="2" a="1"/>
  <c r="I127" i="2" a="1"/>
  <c r="F127" i="2" a="1"/>
  <c r="E129" i="2" a="1"/>
  <c r="D129" i="2" a="1"/>
  <c r="D129" i="2" l="1"/>
  <c r="E129" i="2"/>
  <c r="I127" i="2"/>
  <c r="K126" i="2"/>
  <c r="B131" i="2"/>
  <c r="C130" i="2"/>
  <c r="L126" i="2"/>
  <c r="N126" i="2"/>
  <c r="M125" i="2"/>
  <c r="O125" i="2" s="1"/>
  <c r="P125" i="2"/>
  <c r="J126" i="2"/>
  <c r="F127" i="2"/>
  <c r="G128" i="2"/>
  <c r="H128" i="2" s="1"/>
  <c r="I128" i="2" a="1"/>
  <c r="F128" i="2" a="1"/>
  <c r="K127" i="2" a="1"/>
  <c r="D130" i="2" a="1"/>
  <c r="E130" i="2" a="1"/>
  <c r="E130" i="2" l="1"/>
  <c r="D130" i="2"/>
  <c r="K127" i="2"/>
  <c r="I128" i="2"/>
  <c r="L127" i="2"/>
  <c r="N127" i="2"/>
  <c r="B132" i="2"/>
  <c r="C131" i="2"/>
  <c r="M126" i="2"/>
  <c r="O126" i="2" s="1"/>
  <c r="F128" i="2"/>
  <c r="J127" i="2"/>
  <c r="P126" i="2"/>
  <c r="G129" i="2"/>
  <c r="H129" i="2" s="1"/>
  <c r="I129" i="2" a="1"/>
  <c r="K128" i="2" a="1"/>
  <c r="F129" i="2" a="1"/>
  <c r="D131" i="2" a="1"/>
  <c r="E131" i="2" a="1"/>
  <c r="E131" i="2" l="1"/>
  <c r="D131" i="2"/>
  <c r="K128" i="2"/>
  <c r="I129" i="2"/>
  <c r="B133" i="2"/>
  <c r="C132" i="2"/>
  <c r="N128" i="2"/>
  <c r="L128" i="2"/>
  <c r="M127" i="2"/>
  <c r="O127" i="2" s="1"/>
  <c r="F129" i="2"/>
  <c r="J128" i="2"/>
  <c r="P127" i="2"/>
  <c r="G130" i="2"/>
  <c r="H130" i="2" s="1"/>
  <c r="F130" i="2" a="1"/>
  <c r="K129" i="2" a="1"/>
  <c r="I130" i="2" a="1"/>
  <c r="D132" i="2" a="1"/>
  <c r="E132" i="2" a="1"/>
  <c r="E132" i="2" l="1"/>
  <c r="D132" i="2"/>
  <c r="I130" i="2"/>
  <c r="K129" i="2"/>
  <c r="B134" i="2"/>
  <c r="C133" i="2"/>
  <c r="L129" i="2"/>
  <c r="N129" i="2"/>
  <c r="M128" i="2"/>
  <c r="O128" i="2" s="1"/>
  <c r="F130" i="2"/>
  <c r="J129" i="2"/>
  <c r="P128" i="2"/>
  <c r="G131" i="2"/>
  <c r="H131" i="2" s="1"/>
  <c r="K130" i="2" a="1"/>
  <c r="I131" i="2" a="1"/>
  <c r="D133" i="2" a="1"/>
  <c r="E133" i="2" a="1"/>
  <c r="F131" i="2" a="1"/>
  <c r="E133" i="2" l="1"/>
  <c r="D133" i="2"/>
  <c r="I131" i="2"/>
  <c r="K130" i="2"/>
  <c r="B135" i="2"/>
  <c r="C134" i="2"/>
  <c r="L130" i="2"/>
  <c r="N130" i="2"/>
  <c r="M129" i="2"/>
  <c r="O129" i="2" s="1"/>
  <c r="F131" i="2"/>
  <c r="J130" i="2"/>
  <c r="P129" i="2"/>
  <c r="G132" i="2"/>
  <c r="H132" i="2" s="1"/>
  <c r="K131" i="2" a="1"/>
  <c r="E134" i="2" a="1"/>
  <c r="D134" i="2" a="1"/>
  <c r="F132" i="2" a="1"/>
  <c r="I132" i="2" a="1"/>
  <c r="I132" i="2" l="1"/>
  <c r="D134" i="2"/>
  <c r="E134" i="2"/>
  <c r="K131" i="2"/>
  <c r="B136" i="2"/>
  <c r="C135" i="2"/>
  <c r="L131" i="2"/>
  <c r="N131" i="2"/>
  <c r="M130" i="2"/>
  <c r="O130" i="2" s="1"/>
  <c r="J131" i="2"/>
  <c r="F132" i="2"/>
  <c r="P130" i="2"/>
  <c r="G133" i="2"/>
  <c r="H133" i="2" s="1"/>
  <c r="K132" i="2" a="1"/>
  <c r="I133" i="2" a="1"/>
  <c r="F133" i="2" a="1"/>
  <c r="D135" i="2" a="1"/>
  <c r="E135" i="2" a="1"/>
  <c r="E135" i="2" l="1"/>
  <c r="D135" i="2"/>
  <c r="I133" i="2"/>
  <c r="K132" i="2"/>
  <c r="B137" i="2"/>
  <c r="C136" i="2"/>
  <c r="L132" i="2"/>
  <c r="N132" i="2"/>
  <c r="M131" i="2"/>
  <c r="O131" i="2" s="1"/>
  <c r="J132" i="2"/>
  <c r="F133" i="2"/>
  <c r="P131" i="2"/>
  <c r="G134" i="2"/>
  <c r="H134" i="2" s="1"/>
  <c r="K133" i="2" a="1"/>
  <c r="D136" i="2" a="1"/>
  <c r="E136" i="2" a="1"/>
  <c r="F134" i="2" a="1"/>
  <c r="I134" i="2" a="1"/>
  <c r="I134" i="2" l="1"/>
  <c r="E136" i="2"/>
  <c r="D136" i="2"/>
  <c r="K133" i="2"/>
  <c r="B138" i="2"/>
  <c r="C137" i="2"/>
  <c r="N133" i="2"/>
  <c r="L133" i="2"/>
  <c r="M132" i="2"/>
  <c r="J133" i="2"/>
  <c r="F134" i="2"/>
  <c r="P132" i="2"/>
  <c r="O132" i="2"/>
  <c r="G135" i="2"/>
  <c r="H135" i="2" s="1"/>
  <c r="K134" i="2" a="1"/>
  <c r="D137" i="2" a="1"/>
  <c r="E137" i="2" a="1"/>
  <c r="I135" i="2" a="1"/>
  <c r="F135" i="2" a="1"/>
  <c r="I135" i="2" l="1"/>
  <c r="E137" i="2"/>
  <c r="D137" i="2"/>
  <c r="K134" i="2"/>
  <c r="B139" i="2"/>
  <c r="C138" i="2"/>
  <c r="L134" i="2"/>
  <c r="N134" i="2"/>
  <c r="M133" i="2"/>
  <c r="J134" i="2"/>
  <c r="F135" i="2"/>
  <c r="G136" i="2"/>
  <c r="H136" i="2" s="1"/>
  <c r="P133" i="2"/>
  <c r="O133" i="2"/>
  <c r="K135" i="2" a="1"/>
  <c r="I136" i="2" a="1"/>
  <c r="E138" i="2" a="1"/>
  <c r="D138" i="2" a="1"/>
  <c r="F136" i="2" a="1"/>
  <c r="D138" i="2" l="1"/>
  <c r="E138" i="2"/>
  <c r="I136" i="2"/>
  <c r="K135" i="2"/>
  <c r="B140" i="2"/>
  <c r="C139" i="2"/>
  <c r="L135" i="2"/>
  <c r="N135" i="2"/>
  <c r="M134" i="2"/>
  <c r="O134" i="2" s="1"/>
  <c r="F136" i="2"/>
  <c r="J135" i="2"/>
  <c r="P134" i="2"/>
  <c r="G137" i="2"/>
  <c r="H137" i="2" s="1"/>
  <c r="K136" i="2" a="1"/>
  <c r="E139" i="2" a="1"/>
  <c r="D139" i="2" a="1"/>
  <c r="F137" i="2" a="1"/>
  <c r="I137" i="2" a="1"/>
  <c r="I137" i="2" l="1"/>
  <c r="D139" i="2"/>
  <c r="E139" i="2"/>
  <c r="K136" i="2"/>
  <c r="B141" i="2"/>
  <c r="C140" i="2"/>
  <c r="N136" i="2"/>
  <c r="L136" i="2"/>
  <c r="M135" i="2"/>
  <c r="F137" i="2"/>
  <c r="J136" i="2"/>
  <c r="G138" i="2"/>
  <c r="H138" i="2" s="1"/>
  <c r="O135" i="2"/>
  <c r="P135" i="2"/>
  <c r="K137" i="2" a="1"/>
  <c r="I138" i="2" a="1"/>
  <c r="F138" i="2" a="1"/>
  <c r="E140" i="2" a="1"/>
  <c r="D140" i="2" a="1"/>
  <c r="D140" i="2" l="1"/>
  <c r="E140" i="2"/>
  <c r="I138" i="2"/>
  <c r="K137" i="2"/>
  <c r="B142" i="2"/>
  <c r="C141" i="2"/>
  <c r="L137" i="2"/>
  <c r="N137" i="2"/>
  <c r="M136" i="2"/>
  <c r="O136" i="2" s="1"/>
  <c r="F138" i="2"/>
  <c r="P136" i="2"/>
  <c r="J137" i="2"/>
  <c r="G139" i="2"/>
  <c r="H139" i="2" s="1"/>
  <c r="K138" i="2" a="1"/>
  <c r="F139" i="2" a="1"/>
  <c r="D141" i="2" a="1"/>
  <c r="E141" i="2" a="1"/>
  <c r="I139" i="2" a="1"/>
  <c r="I139" i="2" l="1"/>
  <c r="E141" i="2"/>
  <c r="D141" i="2"/>
  <c r="K138" i="2"/>
  <c r="B143" i="2"/>
  <c r="C142" i="2"/>
  <c r="L138" i="2"/>
  <c r="N138" i="2"/>
  <c r="M137" i="2"/>
  <c r="P137" i="2"/>
  <c r="F139" i="2"/>
  <c r="J138" i="2"/>
  <c r="O137" i="2"/>
  <c r="G140" i="2"/>
  <c r="H140" i="2" s="1"/>
  <c r="K139" i="2" a="1"/>
  <c r="I140" i="2" a="1"/>
  <c r="E142" i="2" a="1"/>
  <c r="D142" i="2" a="1"/>
  <c r="F140" i="2" a="1"/>
  <c r="D142" i="2" l="1"/>
  <c r="E142" i="2"/>
  <c r="I140" i="2"/>
  <c r="K139" i="2"/>
  <c r="B144" i="2"/>
  <c r="C143" i="2"/>
  <c r="N139" i="2"/>
  <c r="L139" i="2"/>
  <c r="P139" i="2" s="1"/>
  <c r="M138" i="2"/>
  <c r="J139" i="2"/>
  <c r="P138" i="2"/>
  <c r="F140" i="2"/>
  <c r="O138" i="2"/>
  <c r="G141" i="2"/>
  <c r="H141" i="2" s="1"/>
  <c r="K140" i="2" a="1"/>
  <c r="E143" i="2" a="1"/>
  <c r="D143" i="2" a="1"/>
  <c r="I141" i="2" a="1"/>
  <c r="F141" i="2" a="1"/>
  <c r="I141" i="2" l="1"/>
  <c r="D143" i="2"/>
  <c r="E143" i="2"/>
  <c r="K140" i="2"/>
  <c r="B145" i="2"/>
  <c r="C144" i="2"/>
  <c r="N140" i="2"/>
  <c r="L140" i="2"/>
  <c r="M139" i="2"/>
  <c r="O139" i="2" s="1"/>
  <c r="F141" i="2"/>
  <c r="J140" i="2"/>
  <c r="G142" i="2"/>
  <c r="H142" i="2" s="1"/>
  <c r="K141" i="2" a="1"/>
  <c r="I142" i="2" a="1"/>
  <c r="F142" i="2" a="1"/>
  <c r="D144" i="2" a="1"/>
  <c r="E144" i="2" a="1"/>
  <c r="E144" i="2" l="1"/>
  <c r="D144" i="2"/>
  <c r="I142" i="2"/>
  <c r="K141" i="2"/>
  <c r="B146" i="2"/>
  <c r="C145" i="2"/>
  <c r="L141" i="2"/>
  <c r="N141" i="2"/>
  <c r="M140" i="2"/>
  <c r="O140" i="2" s="1"/>
  <c r="F142" i="2"/>
  <c r="J141" i="2"/>
  <c r="P140" i="2"/>
  <c r="G143" i="2"/>
  <c r="H143" i="2" s="1"/>
  <c r="K142" i="2" a="1"/>
  <c r="I143" i="2" a="1"/>
  <c r="D145" i="2" a="1"/>
  <c r="E145" i="2" a="1"/>
  <c r="F143" i="2" a="1"/>
  <c r="E145" i="2" l="1"/>
  <c r="D145" i="2"/>
  <c r="I143" i="2"/>
  <c r="K142" i="2"/>
  <c r="B147" i="2"/>
  <c r="C146" i="2"/>
  <c r="N142" i="2"/>
  <c r="L142" i="2"/>
  <c r="P142" i="2" s="1"/>
  <c r="M141" i="2"/>
  <c r="J142" i="2"/>
  <c r="P141" i="2"/>
  <c r="F143" i="2"/>
  <c r="O141" i="2"/>
  <c r="G144" i="2"/>
  <c r="H144" i="2" s="1"/>
  <c r="I144" i="2" a="1"/>
  <c r="F144" i="2" a="1"/>
  <c r="K143" i="2" a="1"/>
  <c r="E146" i="2" a="1"/>
  <c r="D146" i="2" a="1"/>
  <c r="D146" i="2" l="1"/>
  <c r="E146" i="2"/>
  <c r="K143" i="2"/>
  <c r="I144" i="2"/>
  <c r="B148" i="2"/>
  <c r="C147" i="2"/>
  <c r="L143" i="2"/>
  <c r="N143" i="2"/>
  <c r="M142" i="2"/>
  <c r="O142" i="2" s="1"/>
  <c r="F144" i="2"/>
  <c r="J143" i="2"/>
  <c r="G145" i="2"/>
  <c r="H145" i="2" s="1"/>
  <c r="D147" i="2" a="1"/>
  <c r="E147" i="2" a="1"/>
  <c r="K144" i="2" a="1"/>
  <c r="I145" i="2" a="1"/>
  <c r="F145" i="2" a="1"/>
  <c r="I145" i="2" l="1"/>
  <c r="K144" i="2"/>
  <c r="E147" i="2"/>
  <c r="D147" i="2"/>
  <c r="B149" i="2"/>
  <c r="C148" i="2"/>
  <c r="N144" i="2"/>
  <c r="L144" i="2"/>
  <c r="M143" i="2"/>
  <c r="O143" i="2" s="1"/>
  <c r="F145" i="2"/>
  <c r="J144" i="2"/>
  <c r="G146" i="2"/>
  <c r="H146" i="2" s="1"/>
  <c r="P143" i="2"/>
  <c r="K145" i="2" a="1"/>
  <c r="I146" i="2" a="1"/>
  <c r="D148" i="2" a="1"/>
  <c r="E148" i="2" a="1"/>
  <c r="F146" i="2" a="1"/>
  <c r="E148" i="2" l="1"/>
  <c r="D148" i="2"/>
  <c r="I146" i="2"/>
  <c r="K145" i="2"/>
  <c r="B150" i="2"/>
  <c r="C149" i="2"/>
  <c r="L145" i="2"/>
  <c r="N145" i="2"/>
  <c r="M144" i="2"/>
  <c r="O144" i="2" s="1"/>
  <c r="J145" i="2"/>
  <c r="F146" i="2"/>
  <c r="P144" i="2"/>
  <c r="G147" i="2"/>
  <c r="H147" i="2" s="1"/>
  <c r="K146" i="2" a="1"/>
  <c r="F147" i="2" a="1"/>
  <c r="D149" i="2" a="1"/>
  <c r="E149" i="2" a="1"/>
  <c r="I147" i="2" a="1"/>
  <c r="I147" i="2" l="1"/>
  <c r="E149" i="2"/>
  <c r="D149" i="2"/>
  <c r="K146" i="2"/>
  <c r="B151" i="2"/>
  <c r="C150" i="2"/>
  <c r="L146" i="2"/>
  <c r="P146" i="2" s="1"/>
  <c r="N146" i="2"/>
  <c r="M145" i="2"/>
  <c r="O145" i="2" s="1"/>
  <c r="J146" i="2"/>
  <c r="F147" i="2"/>
  <c r="G148" i="2"/>
  <c r="H148" i="2" s="1"/>
  <c r="P145" i="2"/>
  <c r="K147" i="2" a="1"/>
  <c r="F148" i="2" a="1"/>
  <c r="I148" i="2" a="1"/>
  <c r="D150" i="2" a="1"/>
  <c r="E150" i="2" a="1"/>
  <c r="E150" i="2" l="1"/>
  <c r="D150" i="2"/>
  <c r="I148" i="2"/>
  <c r="K147" i="2"/>
  <c r="B152" i="2"/>
  <c r="C151" i="2"/>
  <c r="L147" i="2"/>
  <c r="N147" i="2"/>
  <c r="M146" i="2"/>
  <c r="O146" i="2" s="1"/>
  <c r="J147" i="2"/>
  <c r="F148" i="2"/>
  <c r="G149" i="2"/>
  <c r="H149" i="2" s="1"/>
  <c r="D151" i="2" a="1"/>
  <c r="E151" i="2" a="1"/>
  <c r="K148" i="2" a="1"/>
  <c r="I149" i="2" a="1"/>
  <c r="F149" i="2" a="1"/>
  <c r="I149" i="2" l="1"/>
  <c r="K148" i="2"/>
  <c r="E151" i="2"/>
  <c r="D151" i="2"/>
  <c r="B153" i="2"/>
  <c r="C152" i="2"/>
  <c r="L148" i="2"/>
  <c r="N148" i="2"/>
  <c r="M147" i="2"/>
  <c r="O147" i="2" s="1"/>
  <c r="F149" i="2"/>
  <c r="J148" i="2"/>
  <c r="P147" i="2"/>
  <c r="G150" i="2"/>
  <c r="H150" i="2" s="1"/>
  <c r="K149" i="2" a="1"/>
  <c r="I150" i="2" a="1"/>
  <c r="D152" i="2" a="1"/>
  <c r="E152" i="2" a="1"/>
  <c r="F150" i="2" a="1"/>
  <c r="E152" i="2" l="1"/>
  <c r="D152" i="2"/>
  <c r="I150" i="2"/>
  <c r="K149" i="2"/>
  <c r="B154" i="2"/>
  <c r="C153" i="2"/>
  <c r="N149" i="2"/>
  <c r="L149" i="2"/>
  <c r="M148" i="2"/>
  <c r="F150" i="2"/>
  <c r="J149" i="2"/>
  <c r="G151" i="2"/>
  <c r="H151" i="2" s="1"/>
  <c r="O148" i="2"/>
  <c r="P148" i="2"/>
  <c r="K150" i="2" a="1"/>
  <c r="D153" i="2" a="1"/>
  <c r="E153" i="2" a="1"/>
  <c r="I151" i="2" a="1"/>
  <c r="F151" i="2" a="1"/>
  <c r="I151" i="2" l="1"/>
  <c r="E153" i="2"/>
  <c r="D153" i="2"/>
  <c r="K150" i="2"/>
  <c r="B155" i="2"/>
  <c r="C154" i="2"/>
  <c r="L150" i="2"/>
  <c r="N150" i="2"/>
  <c r="M149" i="2"/>
  <c r="O149" i="2" s="1"/>
  <c r="J150" i="2"/>
  <c r="F151" i="2"/>
  <c r="P149" i="2"/>
  <c r="G152" i="2"/>
  <c r="H152" i="2" s="1"/>
  <c r="K151" i="2" a="1"/>
  <c r="I152" i="2" a="1"/>
  <c r="D154" i="2" a="1"/>
  <c r="E154" i="2" a="1"/>
  <c r="F152" i="2" a="1"/>
  <c r="E154" i="2" l="1"/>
  <c r="D154" i="2"/>
  <c r="I152" i="2"/>
  <c r="K151" i="2"/>
  <c r="B156" i="2"/>
  <c r="C155" i="2"/>
  <c r="N151" i="2"/>
  <c r="L151" i="2"/>
  <c r="M150" i="2"/>
  <c r="O150" i="2" s="1"/>
  <c r="J151" i="2"/>
  <c r="F152" i="2"/>
  <c r="P150" i="2"/>
  <c r="G153" i="2"/>
  <c r="H153" i="2" s="1"/>
  <c r="I153" i="2" a="1"/>
  <c r="F153" i="2" a="1"/>
  <c r="K152" i="2" a="1"/>
  <c r="D155" i="2" a="1"/>
  <c r="E155" i="2" a="1"/>
  <c r="E155" i="2" l="1"/>
  <c r="D155" i="2"/>
  <c r="K152" i="2"/>
  <c r="I153" i="2"/>
  <c r="L152" i="2"/>
  <c r="P152" i="2" s="1"/>
  <c r="N152" i="2"/>
  <c r="B157" i="2"/>
  <c r="C156" i="2"/>
  <c r="M151" i="2"/>
  <c r="O151" i="2" s="1"/>
  <c r="J152" i="2"/>
  <c r="F153" i="2"/>
  <c r="P151" i="2"/>
  <c r="G154" i="2"/>
  <c r="H154" i="2" s="1"/>
  <c r="K153" i="2" a="1"/>
  <c r="I154" i="2" a="1"/>
  <c r="D156" i="2" a="1"/>
  <c r="E156" i="2" a="1"/>
  <c r="F154" i="2" a="1"/>
  <c r="E156" i="2" l="1"/>
  <c r="D156" i="2"/>
  <c r="I154" i="2"/>
  <c r="K153" i="2"/>
  <c r="B158" i="2"/>
  <c r="C157" i="2"/>
  <c r="L153" i="2"/>
  <c r="N153" i="2"/>
  <c r="M152" i="2"/>
  <c r="O152" i="2" s="1"/>
  <c r="J153" i="2"/>
  <c r="F154" i="2"/>
  <c r="G155" i="2"/>
  <c r="H155" i="2" s="1"/>
  <c r="K154" i="2" a="1"/>
  <c r="I155" i="2" a="1"/>
  <c r="F155" i="2" a="1"/>
  <c r="D157" i="2" a="1"/>
  <c r="E157" i="2" a="1"/>
  <c r="E157" i="2" l="1"/>
  <c r="D157" i="2"/>
  <c r="I155" i="2"/>
  <c r="K154" i="2"/>
  <c r="B159" i="2"/>
  <c r="C158" i="2"/>
  <c r="N154" i="2"/>
  <c r="L154" i="2"/>
  <c r="M153" i="2"/>
  <c r="O153" i="2" s="1"/>
  <c r="J154" i="2"/>
  <c r="F155" i="2"/>
  <c r="P153" i="2"/>
  <c r="G156" i="2"/>
  <c r="H156" i="2" s="1"/>
  <c r="F156" i="2" a="1"/>
  <c r="K155" i="2" a="1"/>
  <c r="D158" i="2" a="1"/>
  <c r="E158" i="2" a="1"/>
  <c r="I156" i="2" a="1"/>
  <c r="I156" i="2" l="1"/>
  <c r="E158" i="2"/>
  <c r="D158" i="2"/>
  <c r="K155" i="2"/>
  <c r="B160" i="2"/>
  <c r="C159" i="2"/>
  <c r="L155" i="2"/>
  <c r="N155" i="2"/>
  <c r="M154" i="2"/>
  <c r="O154" i="2" s="1"/>
  <c r="J155" i="2"/>
  <c r="F156" i="2"/>
  <c r="P154" i="2"/>
  <c r="G157" i="2"/>
  <c r="H157" i="2" s="1"/>
  <c r="K156" i="2" a="1"/>
  <c r="E159" i="2" a="1"/>
  <c r="D159" i="2" a="1"/>
  <c r="I157" i="2" a="1"/>
  <c r="F157" i="2" a="1"/>
  <c r="I157" i="2" l="1"/>
  <c r="D159" i="2"/>
  <c r="E159" i="2"/>
  <c r="K156" i="2"/>
  <c r="B161" i="2"/>
  <c r="C160" i="2"/>
  <c r="L156" i="2"/>
  <c r="N156" i="2"/>
  <c r="M155" i="2"/>
  <c r="O155" i="2" s="1"/>
  <c r="J156" i="2"/>
  <c r="F157" i="2"/>
  <c r="P155" i="2"/>
  <c r="G158" i="2"/>
  <c r="H158" i="2" s="1"/>
  <c r="K157" i="2" a="1"/>
  <c r="I158" i="2" a="1"/>
  <c r="E160" i="2" a="1"/>
  <c r="D160" i="2" a="1"/>
  <c r="F158" i="2" a="1"/>
  <c r="D160" i="2" l="1"/>
  <c r="E160" i="2"/>
  <c r="I158" i="2"/>
  <c r="K157" i="2"/>
  <c r="B162" i="2"/>
  <c r="C161" i="2"/>
  <c r="N157" i="2"/>
  <c r="L157" i="2"/>
  <c r="M156" i="2"/>
  <c r="O156" i="2" s="1"/>
  <c r="J157" i="2"/>
  <c r="F158" i="2"/>
  <c r="P156" i="2"/>
  <c r="G159" i="2"/>
  <c r="H159" i="2" s="1"/>
  <c r="F159" i="2" a="1"/>
  <c r="K158" i="2" a="1"/>
  <c r="E161" i="2" a="1"/>
  <c r="D161" i="2" a="1"/>
  <c r="I159" i="2" a="1"/>
  <c r="I159" i="2" l="1"/>
  <c r="D161" i="2"/>
  <c r="E161" i="2"/>
  <c r="K158" i="2"/>
  <c r="B163" i="2"/>
  <c r="C162" i="2"/>
  <c r="L158" i="2"/>
  <c r="N158" i="2"/>
  <c r="M157" i="2"/>
  <c r="O157" i="2" s="1"/>
  <c r="J158" i="2"/>
  <c r="F159" i="2"/>
  <c r="P157" i="2"/>
  <c r="G160" i="2"/>
  <c r="H160" i="2" s="1"/>
  <c r="K159" i="2" a="1"/>
  <c r="D162" i="2" a="1"/>
  <c r="E162" i="2" a="1"/>
  <c r="I160" i="2" a="1"/>
  <c r="F160" i="2" a="1"/>
  <c r="I160" i="2" l="1"/>
  <c r="E162" i="2"/>
  <c r="D162" i="2"/>
  <c r="K159" i="2"/>
  <c r="B164" i="2"/>
  <c r="C163" i="2"/>
  <c r="N159" i="2"/>
  <c r="L159" i="2"/>
  <c r="M158" i="2"/>
  <c r="J159" i="2"/>
  <c r="F160" i="2"/>
  <c r="P158" i="2"/>
  <c r="O158" i="2"/>
  <c r="G161" i="2"/>
  <c r="H161" i="2" s="1"/>
  <c r="K160" i="2" a="1"/>
  <c r="E163" i="2" a="1"/>
  <c r="D163" i="2" a="1"/>
  <c r="I161" i="2" a="1"/>
  <c r="F161" i="2" a="1"/>
  <c r="I161" i="2" l="1"/>
  <c r="D163" i="2"/>
  <c r="E163" i="2"/>
  <c r="K160" i="2"/>
  <c r="B165" i="2"/>
  <c r="C164" i="2"/>
  <c r="L160" i="2"/>
  <c r="N160" i="2"/>
  <c r="M159" i="2"/>
  <c r="J160" i="2"/>
  <c r="F161" i="2"/>
  <c r="O159" i="2"/>
  <c r="P159" i="2"/>
  <c r="G162" i="2"/>
  <c r="H162" i="2" s="1"/>
  <c r="K161" i="2" a="1"/>
  <c r="I162" i="2" a="1"/>
  <c r="F162" i="2" a="1"/>
  <c r="D164" i="2" a="1"/>
  <c r="E164" i="2" a="1"/>
  <c r="E164" i="2" l="1"/>
  <c r="D164" i="2"/>
  <c r="I162" i="2"/>
  <c r="K161" i="2"/>
  <c r="B166" i="2"/>
  <c r="C165" i="2"/>
  <c r="L161" i="2"/>
  <c r="N161" i="2"/>
  <c r="M160" i="2"/>
  <c r="J161" i="2"/>
  <c r="F162" i="2"/>
  <c r="O160" i="2"/>
  <c r="P160" i="2"/>
  <c r="G163" i="2"/>
  <c r="H163" i="2" s="1"/>
  <c r="I163" i="2" a="1"/>
  <c r="F163" i="2" a="1"/>
  <c r="K162" i="2" a="1"/>
  <c r="E165" i="2" a="1"/>
  <c r="D165" i="2" a="1"/>
  <c r="D165" i="2" l="1"/>
  <c r="E165" i="2"/>
  <c r="K162" i="2"/>
  <c r="I163" i="2"/>
  <c r="L162" i="2"/>
  <c r="N162" i="2"/>
  <c r="B167" i="2"/>
  <c r="C166" i="2"/>
  <c r="M161" i="2"/>
  <c r="O161" i="2" s="1"/>
  <c r="J162" i="2"/>
  <c r="F163" i="2"/>
  <c r="P161" i="2"/>
  <c r="G164" i="2"/>
  <c r="H164" i="2" s="1"/>
  <c r="E166" i="2" a="1"/>
  <c r="D166" i="2" a="1"/>
  <c r="K163" i="2" a="1"/>
  <c r="F164" i="2" a="1"/>
  <c r="I164" i="2" a="1"/>
  <c r="I164" i="2" l="1"/>
  <c r="K163" i="2"/>
  <c r="D166" i="2"/>
  <c r="E166" i="2"/>
  <c r="B168" i="2"/>
  <c r="C167" i="2"/>
  <c r="L163" i="2"/>
  <c r="P163" i="2" s="1"/>
  <c r="N163" i="2"/>
  <c r="M162" i="2"/>
  <c r="O162" i="2" s="1"/>
  <c r="J163" i="2"/>
  <c r="F164" i="2"/>
  <c r="P162" i="2"/>
  <c r="G165" i="2"/>
  <c r="H165" i="2" s="1"/>
  <c r="K164" i="2" a="1"/>
  <c r="D167" i="2" a="1"/>
  <c r="E167" i="2" a="1"/>
  <c r="F165" i="2" a="1"/>
  <c r="I165" i="2" a="1"/>
  <c r="I165" i="2" l="1"/>
  <c r="E167" i="2"/>
  <c r="D167" i="2"/>
  <c r="K164" i="2"/>
  <c r="B169" i="2"/>
  <c r="C168" i="2"/>
  <c r="L164" i="2"/>
  <c r="N164" i="2"/>
  <c r="M163" i="2"/>
  <c r="J164" i="2"/>
  <c r="F165" i="2"/>
  <c r="O163" i="2"/>
  <c r="G166" i="2"/>
  <c r="H166" i="2" s="1"/>
  <c r="K165" i="2" a="1"/>
  <c r="I166" i="2" a="1"/>
  <c r="F166" i="2" a="1"/>
  <c r="E168" i="2" a="1"/>
  <c r="D168" i="2" a="1"/>
  <c r="D168" i="2" l="1"/>
  <c r="E168" i="2"/>
  <c r="I166" i="2"/>
  <c r="K165" i="2"/>
  <c r="B170" i="2"/>
  <c r="C169" i="2"/>
  <c r="N165" i="2"/>
  <c r="L165" i="2"/>
  <c r="M164" i="2"/>
  <c r="F166" i="2"/>
  <c r="J165" i="2"/>
  <c r="O164" i="2"/>
  <c r="P164" i="2"/>
  <c r="G167" i="2"/>
  <c r="H167" i="2" s="1"/>
  <c r="K166" i="2" a="1"/>
  <c r="E169" i="2" a="1"/>
  <c r="D169" i="2" a="1"/>
  <c r="F167" i="2" a="1"/>
  <c r="I167" i="2" a="1"/>
  <c r="I167" i="2" l="1"/>
  <c r="D169" i="2"/>
  <c r="E169" i="2"/>
  <c r="K166" i="2"/>
  <c r="B171" i="2"/>
  <c r="C170" i="2"/>
  <c r="N166" i="2"/>
  <c r="L166" i="2"/>
  <c r="M165" i="2"/>
  <c r="O165" i="2" s="1"/>
  <c r="F167" i="2"/>
  <c r="J166" i="2"/>
  <c r="P165" i="2"/>
  <c r="G168" i="2"/>
  <c r="H168" i="2" s="1"/>
  <c r="K167" i="2" a="1"/>
  <c r="F168" i="2" a="1"/>
  <c r="D170" i="2" a="1"/>
  <c r="E170" i="2" a="1"/>
  <c r="I168" i="2" a="1"/>
  <c r="I168" i="2" l="1"/>
  <c r="E170" i="2"/>
  <c r="D170" i="2"/>
  <c r="K167" i="2"/>
  <c r="B172" i="2"/>
  <c r="C171" i="2"/>
  <c r="L167" i="2"/>
  <c r="P167" i="2" s="1"/>
  <c r="N167" i="2"/>
  <c r="M166" i="2"/>
  <c r="O166" i="2" s="1"/>
  <c r="J167" i="2"/>
  <c r="F168" i="2"/>
  <c r="P166" i="2"/>
  <c r="G169" i="2"/>
  <c r="H169" i="2" s="1"/>
  <c r="K168" i="2" a="1"/>
  <c r="E171" i="2" a="1"/>
  <c r="D171" i="2" a="1"/>
  <c r="I169" i="2" a="1"/>
  <c r="F169" i="2" a="1"/>
  <c r="I169" i="2" l="1"/>
  <c r="D171" i="2"/>
  <c r="E171" i="2"/>
  <c r="K168" i="2"/>
  <c r="B173" i="2"/>
  <c r="C172" i="2"/>
  <c r="L168" i="2"/>
  <c r="N168" i="2"/>
  <c r="M167" i="2"/>
  <c r="O167" i="2" s="1"/>
  <c r="J168" i="2"/>
  <c r="F169" i="2"/>
  <c r="G170" i="2"/>
  <c r="H170" i="2" s="1"/>
  <c r="K169" i="2" a="1"/>
  <c r="I170" i="2" a="1"/>
  <c r="F170" i="2" a="1"/>
  <c r="D172" i="2" a="1"/>
  <c r="E172" i="2" a="1"/>
  <c r="E172" i="2" l="1"/>
  <c r="D172" i="2"/>
  <c r="I170" i="2"/>
  <c r="K169" i="2"/>
  <c r="B174" i="2"/>
  <c r="C173" i="2"/>
  <c r="N169" i="2"/>
  <c r="L169" i="2"/>
  <c r="M168" i="2"/>
  <c r="O168" i="2" s="1"/>
  <c r="J169" i="2"/>
  <c r="F170" i="2"/>
  <c r="P168" i="2"/>
  <c r="G171" i="2"/>
  <c r="H171" i="2" s="1"/>
  <c r="K170" i="2" a="1"/>
  <c r="I171" i="2" a="1"/>
  <c r="F171" i="2" a="1"/>
  <c r="D173" i="2" a="1"/>
  <c r="E173" i="2" a="1"/>
  <c r="E173" i="2" l="1"/>
  <c r="D173" i="2"/>
  <c r="I171" i="2"/>
  <c r="K170" i="2"/>
  <c r="B175" i="2"/>
  <c r="C174" i="2"/>
  <c r="N170" i="2"/>
  <c r="L170" i="2"/>
  <c r="P170" i="2" s="1"/>
  <c r="M169" i="2"/>
  <c r="O169" i="2" s="1"/>
  <c r="J170" i="2"/>
  <c r="F171" i="2"/>
  <c r="P169" i="2"/>
  <c r="G172" i="2"/>
  <c r="H172" i="2" s="1"/>
  <c r="D174" i="2" a="1"/>
  <c r="E174" i="2" a="1"/>
  <c r="K171" i="2" a="1"/>
  <c r="F172" i="2" a="1"/>
  <c r="I172" i="2" a="1"/>
  <c r="I172" i="2" l="1"/>
  <c r="K171" i="2"/>
  <c r="E174" i="2"/>
  <c r="D174" i="2"/>
  <c r="B176" i="2"/>
  <c r="C175" i="2"/>
  <c r="L171" i="2"/>
  <c r="N171" i="2"/>
  <c r="M170" i="2"/>
  <c r="F172" i="2"/>
  <c r="J171" i="2"/>
  <c r="O170" i="2"/>
  <c r="G173" i="2"/>
  <c r="H173" i="2" s="1"/>
  <c r="K172" i="2" a="1"/>
  <c r="F173" i="2" a="1"/>
  <c r="I173" i="2" a="1"/>
  <c r="E175" i="2" a="1"/>
  <c r="D175" i="2" a="1"/>
  <c r="D175" i="2" l="1"/>
  <c r="E175" i="2"/>
  <c r="I173" i="2"/>
  <c r="K172" i="2"/>
  <c r="B177" i="2"/>
  <c r="C176" i="2"/>
  <c r="L172" i="2"/>
  <c r="N172" i="2"/>
  <c r="M171" i="2"/>
  <c r="O171" i="2" s="1"/>
  <c r="F173" i="2"/>
  <c r="J172" i="2"/>
  <c r="P171" i="2"/>
  <c r="G174" i="2"/>
  <c r="H174" i="2" s="1"/>
  <c r="I174" i="2" a="1"/>
  <c r="K173" i="2" a="1"/>
  <c r="F174" i="2" a="1"/>
  <c r="E176" i="2" a="1"/>
  <c r="D176" i="2" a="1"/>
  <c r="D176" i="2" l="1"/>
  <c r="E176" i="2"/>
  <c r="K173" i="2"/>
  <c r="I174" i="2"/>
  <c r="B178" i="2"/>
  <c r="C177" i="2"/>
  <c r="L173" i="2"/>
  <c r="N173" i="2"/>
  <c r="M172" i="2"/>
  <c r="F174" i="2"/>
  <c r="J173" i="2"/>
  <c r="P172" i="2"/>
  <c r="O172" i="2"/>
  <c r="G175" i="2"/>
  <c r="H175" i="2" s="1"/>
  <c r="E177" i="2" a="1"/>
  <c r="D177" i="2" a="1"/>
  <c r="I175" i="2" a="1"/>
  <c r="F175" i="2" a="1"/>
  <c r="K174" i="2" a="1"/>
  <c r="K174" i="2" l="1"/>
  <c r="I175" i="2"/>
  <c r="D177" i="2"/>
  <c r="E177" i="2"/>
  <c r="N174" i="2"/>
  <c r="L174" i="2"/>
  <c r="B179" i="2"/>
  <c r="C178" i="2"/>
  <c r="S14" i="11"/>
  <c r="M173" i="2"/>
  <c r="J174" i="2"/>
  <c r="F175" i="2"/>
  <c r="G176" i="2"/>
  <c r="H176" i="2" s="1"/>
  <c r="P173" i="2"/>
  <c r="O173" i="2"/>
  <c r="I176" i="2" a="1"/>
  <c r="K175" i="2" a="1"/>
  <c r="E178" i="2" a="1"/>
  <c r="D178" i="2" a="1"/>
  <c r="F176" i="2" a="1"/>
  <c r="D178" i="2" l="1"/>
  <c r="E178" i="2"/>
  <c r="K175" i="2"/>
  <c r="I176" i="2"/>
  <c r="L175" i="2"/>
  <c r="N175" i="2"/>
  <c r="B180" i="2"/>
  <c r="C179" i="2"/>
  <c r="M174" i="2"/>
  <c r="O174" i="2" s="1"/>
  <c r="F176" i="2"/>
  <c r="J175" i="2"/>
  <c r="P174" i="2"/>
  <c r="G177" i="2"/>
  <c r="H177" i="2" s="1"/>
  <c r="E179" i="2" a="1"/>
  <c r="D179" i="2" a="1"/>
  <c r="K176" i="2" a="1"/>
  <c r="F177" i="2" a="1"/>
  <c r="I177" i="2" a="1"/>
  <c r="I177" i="2" l="1"/>
  <c r="K176" i="2"/>
  <c r="D179" i="2"/>
  <c r="E179" i="2"/>
  <c r="L176" i="2"/>
  <c r="P176" i="2" s="1"/>
  <c r="N176" i="2"/>
  <c r="B181" i="2"/>
  <c r="C180" i="2"/>
  <c r="M175" i="2"/>
  <c r="J176" i="2"/>
  <c r="F177" i="2"/>
  <c r="O175" i="2"/>
  <c r="P175" i="2"/>
  <c r="G178" i="2"/>
  <c r="H178" i="2" s="1"/>
  <c r="K177" i="2" a="1"/>
  <c r="I178" i="2" a="1"/>
  <c r="F178" i="2" a="1"/>
  <c r="E180" i="2" a="1"/>
  <c r="D180" i="2" a="1"/>
  <c r="D180" i="2" l="1"/>
  <c r="E180" i="2"/>
  <c r="I178" i="2"/>
  <c r="K177" i="2"/>
  <c r="B182" i="2"/>
  <c r="C181" i="2"/>
  <c r="N177" i="2"/>
  <c r="L177" i="2"/>
  <c r="P177" i="2" s="1"/>
  <c r="M176" i="2"/>
  <c r="J177" i="2"/>
  <c r="F178" i="2"/>
  <c r="O176" i="2"/>
  <c r="G179" i="2"/>
  <c r="H179" i="2" s="1"/>
  <c r="K178" i="2" a="1"/>
  <c r="E181" i="2" a="1"/>
  <c r="D181" i="2" a="1"/>
  <c r="I179" i="2" a="1"/>
  <c r="F179" i="2" a="1"/>
  <c r="I179" i="2" l="1"/>
  <c r="D181" i="2"/>
  <c r="E181" i="2"/>
  <c r="K178" i="2"/>
  <c r="B183" i="2"/>
  <c r="C182" i="2"/>
  <c r="L178" i="2"/>
  <c r="N178" i="2"/>
  <c r="M177" i="2"/>
  <c r="O177" i="2" s="1"/>
  <c r="F179" i="2"/>
  <c r="J178" i="2"/>
  <c r="G180" i="2"/>
  <c r="H180" i="2" s="1"/>
  <c r="K179" i="2" a="1"/>
  <c r="I180" i="2" a="1"/>
  <c r="E182" i="2" a="1"/>
  <c r="D182" i="2" a="1"/>
  <c r="F180" i="2" a="1"/>
  <c r="D182" i="2" l="1"/>
  <c r="E182" i="2"/>
  <c r="I180" i="2"/>
  <c r="K179" i="2"/>
  <c r="B184" i="2"/>
  <c r="C183" i="2"/>
  <c r="L179" i="2"/>
  <c r="N179" i="2"/>
  <c r="M178" i="2"/>
  <c r="O178" i="2" s="1"/>
  <c r="J179" i="2"/>
  <c r="F180" i="2"/>
  <c r="P178" i="2"/>
  <c r="G181" i="2"/>
  <c r="H181" i="2" s="1"/>
  <c r="K180" i="2" a="1"/>
  <c r="F181" i="2" a="1"/>
  <c r="I181" i="2" a="1"/>
  <c r="D183" i="2" a="1"/>
  <c r="E183" i="2" a="1"/>
  <c r="E183" i="2" l="1"/>
  <c r="D183" i="2"/>
  <c r="I181" i="2"/>
  <c r="K180" i="2"/>
  <c r="B185" i="2"/>
  <c r="C184" i="2"/>
  <c r="L180" i="2"/>
  <c r="N180" i="2"/>
  <c r="M179" i="2"/>
  <c r="F181" i="2"/>
  <c r="J180" i="2"/>
  <c r="O179" i="2"/>
  <c r="P179" i="2"/>
  <c r="G182" i="2"/>
  <c r="H182" i="2" s="1"/>
  <c r="K181" i="2" a="1"/>
  <c r="I182" i="2" a="1"/>
  <c r="D184" i="2" a="1"/>
  <c r="E184" i="2" a="1"/>
  <c r="F182" i="2" a="1"/>
  <c r="E184" i="2" l="1"/>
  <c r="D184" i="2"/>
  <c r="I182" i="2"/>
  <c r="K181" i="2"/>
  <c r="B186" i="2"/>
  <c r="C185" i="2"/>
  <c r="N181" i="2"/>
  <c r="L181" i="2"/>
  <c r="M180" i="2"/>
  <c r="O180" i="2" s="1"/>
  <c r="F182" i="2"/>
  <c r="J181" i="2"/>
  <c r="P180" i="2"/>
  <c r="G183" i="2"/>
  <c r="H183" i="2" s="1"/>
  <c r="K182" i="2" a="1"/>
  <c r="I183" i="2" a="1"/>
  <c r="F183" i="2" a="1"/>
  <c r="D185" i="2" a="1"/>
  <c r="E185" i="2" a="1"/>
  <c r="E185" i="2" l="1"/>
  <c r="D185" i="2"/>
  <c r="I183" i="2"/>
  <c r="K182" i="2"/>
  <c r="N182" i="2"/>
  <c r="L182" i="2"/>
  <c r="B187" i="2"/>
  <c r="C186" i="2"/>
  <c r="M181" i="2"/>
  <c r="J182" i="2"/>
  <c r="F183" i="2"/>
  <c r="P181" i="2"/>
  <c r="O181" i="2"/>
  <c r="G184" i="2"/>
  <c r="H184" i="2" s="1"/>
  <c r="I184" i="2" a="1"/>
  <c r="K183" i="2" a="1"/>
  <c r="D186" i="2" a="1"/>
  <c r="E186" i="2" a="1"/>
  <c r="F184" i="2" a="1"/>
  <c r="E186" i="2" l="1"/>
  <c r="D186" i="2"/>
  <c r="K183" i="2"/>
  <c r="I184" i="2"/>
  <c r="B188" i="2"/>
  <c r="C187" i="2"/>
  <c r="L183" i="2"/>
  <c r="P183" i="2" s="1"/>
  <c r="N183" i="2"/>
  <c r="M182" i="2"/>
  <c r="J183" i="2"/>
  <c r="F184" i="2"/>
  <c r="O182" i="2"/>
  <c r="P182" i="2"/>
  <c r="G185" i="2"/>
  <c r="H185" i="2" s="1"/>
  <c r="K184" i="2" a="1"/>
  <c r="I185" i="2" a="1"/>
  <c r="F185" i="2" a="1"/>
  <c r="E187" i="2" a="1"/>
  <c r="D187" i="2" a="1"/>
  <c r="D187" i="2" l="1"/>
  <c r="E187" i="2"/>
  <c r="I185" i="2"/>
  <c r="K184" i="2"/>
  <c r="B189" i="2"/>
  <c r="C188" i="2"/>
  <c r="L184" i="2"/>
  <c r="N184" i="2"/>
  <c r="M183" i="2"/>
  <c r="J184" i="2"/>
  <c r="F185" i="2"/>
  <c r="O183" i="2"/>
  <c r="G186" i="2"/>
  <c r="H186" i="2" s="1"/>
  <c r="F186" i="2" a="1"/>
  <c r="K185" i="2" a="1"/>
  <c r="I186" i="2" a="1"/>
  <c r="E188" i="2" a="1"/>
  <c r="D188" i="2" a="1"/>
  <c r="D188" i="2" l="1"/>
  <c r="E188" i="2"/>
  <c r="I186" i="2"/>
  <c r="K185" i="2"/>
  <c r="N185" i="2"/>
  <c r="L185" i="2"/>
  <c r="B190" i="2"/>
  <c r="C189" i="2"/>
  <c r="M184" i="2"/>
  <c r="O184" i="2" s="1"/>
  <c r="J185" i="2"/>
  <c r="F186" i="2"/>
  <c r="P184" i="2"/>
  <c r="G187" i="2"/>
  <c r="H187" i="2" s="1"/>
  <c r="K186" i="2" a="1"/>
  <c r="E189" i="2" a="1"/>
  <c r="D189" i="2" a="1"/>
  <c r="I187" i="2" a="1"/>
  <c r="F187" i="2" a="1"/>
  <c r="I187" i="2" l="1"/>
  <c r="D189" i="2"/>
  <c r="E189" i="2"/>
  <c r="K186" i="2"/>
  <c r="B191" i="2"/>
  <c r="C190" i="2"/>
  <c r="L186" i="2"/>
  <c r="N186" i="2"/>
  <c r="M185" i="2"/>
  <c r="O185" i="2" s="1"/>
  <c r="J186" i="2"/>
  <c r="F187" i="2"/>
  <c r="P185" i="2"/>
  <c r="G188" i="2"/>
  <c r="H188" i="2" s="1"/>
  <c r="K187" i="2" a="1"/>
  <c r="F188" i="2" a="1"/>
  <c r="I188" i="2" a="1"/>
  <c r="E190" i="2" a="1"/>
  <c r="D190" i="2" a="1"/>
  <c r="D190" i="2" l="1"/>
  <c r="E190" i="2"/>
  <c r="I188" i="2"/>
  <c r="K187" i="2"/>
  <c r="B192" i="2"/>
  <c r="C191" i="2"/>
  <c r="N187" i="2"/>
  <c r="L187" i="2"/>
  <c r="M186" i="2"/>
  <c r="J187" i="2"/>
  <c r="F188" i="2"/>
  <c r="O186" i="2"/>
  <c r="P186" i="2"/>
  <c r="G189" i="2"/>
  <c r="H189" i="2" s="1"/>
  <c r="K188" i="2" a="1"/>
  <c r="I189" i="2" a="1"/>
  <c r="E191" i="2" a="1"/>
  <c r="D191" i="2" a="1"/>
  <c r="F189" i="2" a="1"/>
  <c r="D191" i="2" l="1"/>
  <c r="E191" i="2"/>
  <c r="I189" i="2"/>
  <c r="K188" i="2"/>
  <c r="N188" i="2"/>
  <c r="L188" i="2"/>
  <c r="B193" i="2"/>
  <c r="C192" i="2"/>
  <c r="M187" i="2"/>
  <c r="J188" i="2"/>
  <c r="F189" i="2"/>
  <c r="G190" i="2"/>
  <c r="H190" i="2" s="1"/>
  <c r="P187" i="2"/>
  <c r="O187" i="2"/>
  <c r="K189" i="2" a="1"/>
  <c r="I190" i="2" a="1"/>
  <c r="D192" i="2" a="1"/>
  <c r="E192" i="2" a="1"/>
  <c r="F190" i="2" a="1"/>
  <c r="E192" i="2" l="1"/>
  <c r="D192" i="2"/>
  <c r="I190" i="2"/>
  <c r="K189" i="2"/>
  <c r="B194" i="2"/>
  <c r="C193" i="2"/>
  <c r="L189" i="2"/>
  <c r="P189" i="2" s="1"/>
  <c r="N189" i="2"/>
  <c r="M188" i="2"/>
  <c r="O188" i="2" s="1"/>
  <c r="J189" i="2"/>
  <c r="F190" i="2"/>
  <c r="P188" i="2"/>
  <c r="G191" i="2"/>
  <c r="H191" i="2" s="1"/>
  <c r="K190" i="2" a="1"/>
  <c r="D193" i="2" a="1"/>
  <c r="E193" i="2" a="1"/>
  <c r="F191" i="2" a="1"/>
  <c r="I191" i="2" a="1"/>
  <c r="I191" i="2" l="1"/>
  <c r="E193" i="2"/>
  <c r="D193" i="2"/>
  <c r="K190" i="2"/>
  <c r="B195" i="2"/>
  <c r="C194" i="2"/>
  <c r="N190" i="2"/>
  <c r="L190" i="2"/>
  <c r="M189" i="2"/>
  <c r="O189" i="2" s="1"/>
  <c r="F191" i="2"/>
  <c r="J190" i="2"/>
  <c r="G192" i="2"/>
  <c r="H192" i="2" s="1"/>
  <c r="K191" i="2" a="1"/>
  <c r="F192" i="2" a="1"/>
  <c r="I192" i="2" a="1"/>
  <c r="E194" i="2" a="1"/>
  <c r="D194" i="2" a="1"/>
  <c r="D194" i="2" l="1"/>
  <c r="E194" i="2"/>
  <c r="I192" i="2"/>
  <c r="K191" i="2"/>
  <c r="B196" i="2"/>
  <c r="C195" i="2"/>
  <c r="N191" i="2"/>
  <c r="L191" i="2"/>
  <c r="M190" i="2"/>
  <c r="F192" i="2"/>
  <c r="J191" i="2"/>
  <c r="P190" i="2"/>
  <c r="O190" i="2"/>
  <c r="G193" i="2"/>
  <c r="H193" i="2" s="1"/>
  <c r="K192" i="2" a="1"/>
  <c r="F193" i="2" a="1"/>
  <c r="E195" i="2" a="1"/>
  <c r="D195" i="2" a="1"/>
  <c r="I193" i="2" a="1"/>
  <c r="I193" i="2" l="1"/>
  <c r="D195" i="2"/>
  <c r="E195" i="2"/>
  <c r="K192" i="2"/>
  <c r="B197" i="2"/>
  <c r="C196" i="2"/>
  <c r="L192" i="2"/>
  <c r="P192" i="2" s="1"/>
  <c r="N192" i="2"/>
  <c r="M191" i="2"/>
  <c r="O191" i="2"/>
  <c r="J192" i="2"/>
  <c r="F193" i="2"/>
  <c r="P191" i="2"/>
  <c r="G194" i="2"/>
  <c r="H194" i="2" s="1"/>
  <c r="K193" i="2" a="1"/>
  <c r="F194" i="2" a="1"/>
  <c r="E196" i="2" a="1"/>
  <c r="D196" i="2" a="1"/>
  <c r="I194" i="2" a="1"/>
  <c r="I194" i="2" l="1"/>
  <c r="D196" i="2"/>
  <c r="E196" i="2"/>
  <c r="K193" i="2"/>
  <c r="B198" i="2"/>
  <c r="C197" i="2"/>
  <c r="N193" i="2"/>
  <c r="L193" i="2"/>
  <c r="M192" i="2"/>
  <c r="O192" i="2" s="1"/>
  <c r="J193" i="2"/>
  <c r="F194" i="2"/>
  <c r="G195" i="2"/>
  <c r="H195" i="2" s="1"/>
  <c r="K194" i="2" a="1"/>
  <c r="F195" i="2" a="1"/>
  <c r="I195" i="2" a="1"/>
  <c r="E197" i="2" a="1"/>
  <c r="D197" i="2" a="1"/>
  <c r="D197" i="2" l="1"/>
  <c r="E197" i="2"/>
  <c r="I195" i="2"/>
  <c r="K194" i="2"/>
  <c r="B199" i="2"/>
  <c r="C198" i="2"/>
  <c r="N194" i="2"/>
  <c r="L194" i="2"/>
  <c r="M193" i="2"/>
  <c r="O193" i="2" s="1"/>
  <c r="J194" i="2"/>
  <c r="F195" i="2"/>
  <c r="P193" i="2"/>
  <c r="G196" i="2"/>
  <c r="H196" i="2" s="1"/>
  <c r="E198" i="2" a="1"/>
  <c r="D198" i="2" a="1"/>
  <c r="I196" i="2" a="1"/>
  <c r="K195" i="2" a="1"/>
  <c r="F196" i="2" a="1"/>
  <c r="K195" i="2" l="1"/>
  <c r="I196" i="2"/>
  <c r="D198" i="2"/>
  <c r="E198" i="2"/>
  <c r="B200" i="2"/>
  <c r="C199" i="2"/>
  <c r="L195" i="2"/>
  <c r="N195" i="2"/>
  <c r="M194" i="2"/>
  <c r="O194" i="2" s="1"/>
  <c r="J195" i="2"/>
  <c r="F196" i="2"/>
  <c r="P194" i="2"/>
  <c r="G197" i="2"/>
  <c r="H197" i="2" s="1"/>
  <c r="K196" i="2" a="1"/>
  <c r="F197" i="2" a="1"/>
  <c r="E199" i="2" a="1"/>
  <c r="D199" i="2" a="1"/>
  <c r="I197" i="2" a="1"/>
  <c r="I197" i="2" l="1"/>
  <c r="D199" i="2"/>
  <c r="E199" i="2"/>
  <c r="K196" i="2"/>
  <c r="B201" i="2"/>
  <c r="C200" i="2"/>
  <c r="L196" i="2"/>
  <c r="N196" i="2"/>
  <c r="M195" i="2"/>
  <c r="O195" i="2" s="1"/>
  <c r="F197" i="2"/>
  <c r="J196" i="2"/>
  <c r="G198" i="2"/>
  <c r="H198" i="2" s="1"/>
  <c r="P195" i="2"/>
  <c r="K197" i="2" a="1"/>
  <c r="F198" i="2" a="1"/>
  <c r="I198" i="2" a="1"/>
  <c r="E200" i="2" a="1"/>
  <c r="D200" i="2" a="1"/>
  <c r="D200" i="2" l="1"/>
  <c r="E200" i="2"/>
  <c r="I198" i="2"/>
  <c r="K197" i="2"/>
  <c r="B202" i="2"/>
  <c r="C201" i="2"/>
  <c r="N197" i="2"/>
  <c r="L197" i="2"/>
  <c r="M196" i="2"/>
  <c r="F198" i="2"/>
  <c r="J197" i="2"/>
  <c r="P196" i="2"/>
  <c r="O196" i="2"/>
  <c r="G199" i="2"/>
  <c r="H199" i="2" s="1"/>
  <c r="I199" i="2" a="1"/>
  <c r="K198" i="2" a="1"/>
  <c r="E201" i="2" a="1"/>
  <c r="D201" i="2" a="1"/>
  <c r="F199" i="2" a="1"/>
  <c r="D201" i="2" l="1"/>
  <c r="E201" i="2"/>
  <c r="K198" i="2"/>
  <c r="I199" i="2"/>
  <c r="B203" i="2"/>
  <c r="C202" i="2"/>
  <c r="N198" i="2"/>
  <c r="L198" i="2"/>
  <c r="M197" i="2"/>
  <c r="O197" i="2" s="1"/>
  <c r="F199" i="2"/>
  <c r="P197" i="2"/>
  <c r="J198" i="2"/>
  <c r="G200" i="2"/>
  <c r="H200" i="2" s="1"/>
  <c r="I200" i="2" a="1"/>
  <c r="K199" i="2" a="1"/>
  <c r="F200" i="2" a="1"/>
  <c r="D202" i="2" a="1"/>
  <c r="E202" i="2" a="1"/>
  <c r="E202" i="2" l="1"/>
  <c r="D202" i="2"/>
  <c r="K199" i="2"/>
  <c r="I200" i="2"/>
  <c r="B204" i="2"/>
  <c r="C203" i="2"/>
  <c r="L199" i="2"/>
  <c r="N199" i="2"/>
  <c r="M198" i="2"/>
  <c r="O198" i="2" s="1"/>
  <c r="J199" i="2"/>
  <c r="F200" i="2"/>
  <c r="P198" i="2"/>
  <c r="G201" i="2"/>
  <c r="H201" i="2" s="1"/>
  <c r="D203" i="2" a="1"/>
  <c r="E203" i="2" a="1"/>
  <c r="K200" i="2" a="1"/>
  <c r="F201" i="2" a="1"/>
  <c r="I201" i="2" a="1"/>
  <c r="I201" i="2" l="1"/>
  <c r="K200" i="2"/>
  <c r="E203" i="2"/>
  <c r="D203" i="2"/>
  <c r="B205" i="2"/>
  <c r="C204" i="2"/>
  <c r="L200" i="2"/>
  <c r="N200" i="2"/>
  <c r="M199" i="2"/>
  <c r="O199" i="2" s="1"/>
  <c r="F201" i="2"/>
  <c r="J200" i="2"/>
  <c r="P199" i="2"/>
  <c r="G202" i="2"/>
  <c r="H202" i="2" s="1"/>
  <c r="K201" i="2" a="1"/>
  <c r="F202" i="2" a="1"/>
  <c r="D204" i="2" a="1"/>
  <c r="E204" i="2" a="1"/>
  <c r="I202" i="2" a="1"/>
  <c r="I202" i="2" l="1"/>
  <c r="E204" i="2"/>
  <c r="D204" i="2"/>
  <c r="K201" i="2"/>
  <c r="B206" i="2"/>
  <c r="C205" i="2"/>
  <c r="N201" i="2"/>
  <c r="L201" i="2"/>
  <c r="P201" i="2" s="1"/>
  <c r="M200" i="2"/>
  <c r="O200" i="2" s="1"/>
  <c r="J201" i="2"/>
  <c r="F202" i="2"/>
  <c r="P200" i="2"/>
  <c r="G203" i="2"/>
  <c r="H203" i="2" s="1"/>
  <c r="K202" i="2" a="1"/>
  <c r="D205" i="2" a="1"/>
  <c r="E205" i="2" a="1"/>
  <c r="F203" i="2" a="1"/>
  <c r="I203" i="2" a="1"/>
  <c r="I203" i="2" l="1"/>
  <c r="E205" i="2"/>
  <c r="D205" i="2"/>
  <c r="K202" i="2"/>
  <c r="B207" i="2"/>
  <c r="C206" i="2"/>
  <c r="L202" i="2"/>
  <c r="N202" i="2"/>
  <c r="M201" i="2"/>
  <c r="O201" i="2" s="1"/>
  <c r="J202" i="2"/>
  <c r="F203" i="2"/>
  <c r="G204" i="2"/>
  <c r="H204" i="2" s="1"/>
  <c r="K203" i="2" a="1"/>
  <c r="I204" i="2" a="1"/>
  <c r="F204" i="2" a="1"/>
  <c r="E206" i="2" a="1"/>
  <c r="D206" i="2" a="1"/>
  <c r="D206" i="2" l="1"/>
  <c r="E206" i="2"/>
  <c r="I204" i="2"/>
  <c r="K203" i="2"/>
  <c r="B208" i="2"/>
  <c r="C207" i="2"/>
  <c r="N203" i="2"/>
  <c r="L203" i="2"/>
  <c r="M202" i="2"/>
  <c r="O202" i="2" s="1"/>
  <c r="J203" i="2"/>
  <c r="F204" i="2"/>
  <c r="G205" i="2"/>
  <c r="H205" i="2" s="1"/>
  <c r="P202" i="2"/>
  <c r="K204" i="2" a="1"/>
  <c r="I205" i="2" a="1"/>
  <c r="D207" i="2" a="1"/>
  <c r="E207" i="2" a="1"/>
  <c r="F205" i="2" a="1"/>
  <c r="E207" i="2" l="1"/>
  <c r="D207" i="2"/>
  <c r="I205" i="2"/>
  <c r="K204" i="2"/>
  <c r="B209" i="2"/>
  <c r="C208" i="2"/>
  <c r="L204" i="2"/>
  <c r="N204" i="2"/>
  <c r="M203" i="2"/>
  <c r="O203" i="2" s="1"/>
  <c r="F205" i="2"/>
  <c r="J204" i="2"/>
  <c r="P203" i="2"/>
  <c r="G206" i="2"/>
  <c r="H206" i="2" s="1"/>
  <c r="D208" i="2" a="1"/>
  <c r="E208" i="2" a="1"/>
  <c r="K205" i="2" a="1"/>
  <c r="I206" i="2" a="1"/>
  <c r="F206" i="2" a="1"/>
  <c r="I206" i="2" l="1"/>
  <c r="K205" i="2"/>
  <c r="E208" i="2"/>
  <c r="D208" i="2"/>
  <c r="L205" i="2"/>
  <c r="N205" i="2"/>
  <c r="B210" i="2"/>
  <c r="C209" i="2"/>
  <c r="M204" i="2"/>
  <c r="F206" i="2"/>
  <c r="J205" i="2"/>
  <c r="P204" i="2"/>
  <c r="O204" i="2"/>
  <c r="G207" i="2"/>
  <c r="H207" i="2" s="1"/>
  <c r="K206" i="2" a="1"/>
  <c r="I207" i="2" a="1"/>
  <c r="E209" i="2" a="1"/>
  <c r="D209" i="2" a="1"/>
  <c r="F207" i="2" a="1"/>
  <c r="D209" i="2" l="1"/>
  <c r="E209" i="2"/>
  <c r="I207" i="2"/>
  <c r="K206" i="2"/>
  <c r="B211" i="2"/>
  <c r="C210" i="2"/>
  <c r="L206" i="2"/>
  <c r="N206" i="2"/>
  <c r="M205" i="2"/>
  <c r="F207" i="2"/>
  <c r="J206" i="2"/>
  <c r="P205" i="2"/>
  <c r="O205" i="2"/>
  <c r="G208" i="2"/>
  <c r="H208" i="2" s="1"/>
  <c r="K207" i="2" a="1"/>
  <c r="I208" i="2" a="1"/>
  <c r="F208" i="2" a="1"/>
  <c r="E210" i="2" a="1"/>
  <c r="D210" i="2" a="1"/>
  <c r="D210" i="2" l="1"/>
  <c r="E210" i="2"/>
  <c r="I208" i="2"/>
  <c r="K207" i="2"/>
  <c r="B212" i="2"/>
  <c r="C211" i="2"/>
  <c r="N207" i="2"/>
  <c r="L207" i="2"/>
  <c r="M206" i="2"/>
  <c r="O206" i="2" s="1"/>
  <c r="J207" i="2"/>
  <c r="F208" i="2"/>
  <c r="P206" i="2"/>
  <c r="G209" i="2"/>
  <c r="H209" i="2" s="1"/>
  <c r="D211" i="2" a="1"/>
  <c r="E211" i="2" a="1"/>
  <c r="K208" i="2" a="1"/>
  <c r="I209" i="2" a="1"/>
  <c r="F209" i="2" a="1"/>
  <c r="I209" i="2" l="1"/>
  <c r="K208" i="2"/>
  <c r="E211" i="2"/>
  <c r="D211" i="2"/>
  <c r="B213" i="2"/>
  <c r="C212" i="2"/>
  <c r="N208" i="2"/>
  <c r="L208" i="2"/>
  <c r="M207" i="2"/>
  <c r="O207" i="2" s="1"/>
  <c r="J208" i="2"/>
  <c r="F209" i="2"/>
  <c r="P207" i="2"/>
  <c r="G210" i="2"/>
  <c r="H210" i="2" s="1"/>
  <c r="K209" i="2" a="1"/>
  <c r="D212" i="2" a="1"/>
  <c r="E212" i="2" a="1"/>
  <c r="F210" i="2" a="1"/>
  <c r="I210" i="2" a="1"/>
  <c r="I210" i="2" l="1"/>
  <c r="E212" i="2"/>
  <c r="D212" i="2"/>
  <c r="K209" i="2"/>
  <c r="B214" i="2"/>
  <c r="C213" i="2"/>
  <c r="L209" i="2"/>
  <c r="P209" i="2" s="1"/>
  <c r="N209" i="2"/>
  <c r="M208" i="2"/>
  <c r="O208" i="2" s="1"/>
  <c r="J209" i="2"/>
  <c r="F210" i="2"/>
  <c r="G211" i="2"/>
  <c r="H211" i="2" s="1"/>
  <c r="P208" i="2"/>
  <c r="K210" i="2" a="1"/>
  <c r="I211" i="2" a="1"/>
  <c r="F211" i="2" a="1"/>
  <c r="D213" i="2" a="1"/>
  <c r="E213" i="2" a="1"/>
  <c r="E213" i="2" l="1"/>
  <c r="D213" i="2"/>
  <c r="I211" i="2"/>
  <c r="K210" i="2"/>
  <c r="B215" i="2"/>
  <c r="C214" i="2"/>
  <c r="L210" i="2"/>
  <c r="P210" i="2" s="1"/>
  <c r="N210" i="2"/>
  <c r="M209" i="2"/>
  <c r="O209" i="2" s="1"/>
  <c r="J210" i="2"/>
  <c r="F211" i="2"/>
  <c r="G212" i="2"/>
  <c r="H212" i="2" s="1"/>
  <c r="K211" i="2" a="1"/>
  <c r="D214" i="2" a="1"/>
  <c r="E214" i="2" a="1"/>
  <c r="I212" i="2" a="1"/>
  <c r="F212" i="2" a="1"/>
  <c r="I212" i="2" l="1"/>
  <c r="E214" i="2"/>
  <c r="D214" i="2"/>
  <c r="K211" i="2"/>
  <c r="B216" i="2"/>
  <c r="C215" i="2"/>
  <c r="L211" i="2"/>
  <c r="N211" i="2"/>
  <c r="M210" i="2"/>
  <c r="O210" i="2" s="1"/>
  <c r="J211" i="2"/>
  <c r="F212" i="2"/>
  <c r="G213" i="2"/>
  <c r="H213" i="2" s="1"/>
  <c r="K212" i="2" a="1"/>
  <c r="I213" i="2" a="1"/>
  <c r="D215" i="2" a="1"/>
  <c r="E215" i="2" a="1"/>
  <c r="F213" i="2" a="1"/>
  <c r="E215" i="2" l="1"/>
  <c r="D215" i="2"/>
  <c r="I213" i="2"/>
  <c r="K212" i="2"/>
  <c r="B217" i="2"/>
  <c r="C216" i="2"/>
  <c r="N212" i="2"/>
  <c r="L212" i="2"/>
  <c r="P212" i="2" s="1"/>
  <c r="M211" i="2"/>
  <c r="O211" i="2" s="1"/>
  <c r="J212" i="2"/>
  <c r="F213" i="2"/>
  <c r="P211" i="2"/>
  <c r="G214" i="2"/>
  <c r="H214" i="2" s="1"/>
  <c r="F214" i="2" a="1"/>
  <c r="K213" i="2" a="1"/>
  <c r="D216" i="2" a="1"/>
  <c r="E216" i="2" a="1"/>
  <c r="I214" i="2" a="1"/>
  <c r="I214" i="2" l="1"/>
  <c r="E216" i="2"/>
  <c r="D216" i="2"/>
  <c r="K213" i="2"/>
  <c r="B218" i="2"/>
  <c r="C217" i="2"/>
  <c r="N213" i="2"/>
  <c r="L213" i="2"/>
  <c r="M212" i="2"/>
  <c r="J213" i="2"/>
  <c r="F214" i="2"/>
  <c r="O212" i="2"/>
  <c r="G215" i="2"/>
  <c r="H215" i="2" s="1"/>
  <c r="K214" i="2" a="1"/>
  <c r="D217" i="2" a="1"/>
  <c r="E217" i="2" a="1"/>
  <c r="I215" i="2" a="1"/>
  <c r="F215" i="2" a="1"/>
  <c r="I215" i="2" l="1"/>
  <c r="E217" i="2"/>
  <c r="D217" i="2"/>
  <c r="K214" i="2"/>
  <c r="B219" i="2"/>
  <c r="C218" i="2"/>
  <c r="L214" i="2"/>
  <c r="N214" i="2"/>
  <c r="M213" i="2"/>
  <c r="O213" i="2" s="1"/>
  <c r="J214" i="2"/>
  <c r="F215" i="2"/>
  <c r="P213" i="2"/>
  <c r="G216" i="2"/>
  <c r="H216" i="2" s="1"/>
  <c r="K215" i="2" a="1"/>
  <c r="F216" i="2" a="1"/>
  <c r="D218" i="2" a="1"/>
  <c r="E218" i="2" a="1"/>
  <c r="I216" i="2" a="1"/>
  <c r="I216" i="2" l="1"/>
  <c r="E218" i="2"/>
  <c r="D218" i="2"/>
  <c r="K215" i="2"/>
  <c r="B220" i="2"/>
  <c r="C219" i="2"/>
  <c r="N215" i="2"/>
  <c r="L215" i="2"/>
  <c r="M214" i="2"/>
  <c r="J215" i="2"/>
  <c r="F216" i="2"/>
  <c r="O214" i="2"/>
  <c r="P214" i="2"/>
  <c r="G217" i="2"/>
  <c r="H217" i="2" s="1"/>
  <c r="K216" i="2" a="1"/>
  <c r="I217" i="2" a="1"/>
  <c r="D219" i="2" a="1"/>
  <c r="E219" i="2" a="1"/>
  <c r="F217" i="2" a="1"/>
  <c r="E219" i="2" l="1"/>
  <c r="D219" i="2"/>
  <c r="I217" i="2"/>
  <c r="K216" i="2"/>
  <c r="B221" i="2"/>
  <c r="C220" i="2"/>
  <c r="L216" i="2"/>
  <c r="P216" i="2" s="1"/>
  <c r="N216" i="2"/>
  <c r="M215" i="2"/>
  <c r="O215" i="2" s="1"/>
  <c r="J216" i="2"/>
  <c r="F217" i="2"/>
  <c r="P215" i="2"/>
  <c r="G218" i="2"/>
  <c r="H218" i="2" s="1"/>
  <c r="D220" i="2" a="1"/>
  <c r="E220" i="2" a="1"/>
  <c r="I218" i="2" a="1"/>
  <c r="K217" i="2" a="1"/>
  <c r="F218" i="2" a="1"/>
  <c r="K217" i="2" l="1"/>
  <c r="I218" i="2"/>
  <c r="E220" i="2"/>
  <c r="D220" i="2"/>
  <c r="N217" i="2"/>
  <c r="L217" i="2"/>
  <c r="B222" i="2"/>
  <c r="C221" i="2"/>
  <c r="M216" i="2"/>
  <c r="O216" i="2" s="1"/>
  <c r="F218" i="2"/>
  <c r="J217" i="2"/>
  <c r="G219" i="2"/>
  <c r="H219" i="2" s="1"/>
  <c r="E221" i="2" a="1"/>
  <c r="D221" i="2" a="1"/>
  <c r="K218" i="2" a="1"/>
  <c r="I219" i="2" a="1"/>
  <c r="F219" i="2" a="1"/>
  <c r="I219" i="2" l="1"/>
  <c r="K218" i="2"/>
  <c r="D221" i="2"/>
  <c r="E221" i="2"/>
  <c r="B223" i="2"/>
  <c r="C222" i="2"/>
  <c r="N218" i="2"/>
  <c r="L218" i="2"/>
  <c r="M217" i="2"/>
  <c r="J218" i="2"/>
  <c r="F219" i="2"/>
  <c r="P217" i="2"/>
  <c r="O217" i="2"/>
  <c r="G220" i="2"/>
  <c r="H220" i="2" s="1"/>
  <c r="K219" i="2" a="1"/>
  <c r="I220" i="2" a="1"/>
  <c r="F220" i="2" a="1"/>
  <c r="D222" i="2" a="1"/>
  <c r="E222" i="2" a="1"/>
  <c r="E222" i="2" l="1"/>
  <c r="D222" i="2"/>
  <c r="I220" i="2"/>
  <c r="K219" i="2"/>
  <c r="B224" i="2"/>
  <c r="C223" i="2"/>
  <c r="N219" i="2"/>
  <c r="L219" i="2"/>
  <c r="M218" i="2"/>
  <c r="O218" i="2" s="1"/>
  <c r="F220" i="2"/>
  <c r="J219" i="2"/>
  <c r="P218" i="2"/>
  <c r="G221" i="2"/>
  <c r="H221" i="2" s="1"/>
  <c r="K220" i="2" a="1"/>
  <c r="I221" i="2" a="1"/>
  <c r="E223" i="2" a="1"/>
  <c r="D223" i="2" a="1"/>
  <c r="F221" i="2" a="1"/>
  <c r="D223" i="2" l="1"/>
  <c r="E223" i="2"/>
  <c r="I221" i="2"/>
  <c r="K220" i="2"/>
  <c r="L220" i="2"/>
  <c r="N220" i="2"/>
  <c r="B225" i="2"/>
  <c r="C224" i="2"/>
  <c r="M219" i="2"/>
  <c r="O219" i="2" s="1"/>
  <c r="F221" i="2"/>
  <c r="J220" i="2"/>
  <c r="P219" i="2"/>
  <c r="G222" i="2"/>
  <c r="H222" i="2" s="1"/>
  <c r="K221" i="2" a="1"/>
  <c r="I222" i="2" a="1"/>
  <c r="D224" i="2" a="1"/>
  <c r="E224" i="2" a="1"/>
  <c r="F222" i="2" a="1"/>
  <c r="E224" i="2" l="1"/>
  <c r="D224" i="2"/>
  <c r="I222" i="2"/>
  <c r="K221" i="2"/>
  <c r="B226" i="2"/>
  <c r="C225" i="2"/>
  <c r="L221" i="2"/>
  <c r="N221" i="2"/>
  <c r="M220" i="2"/>
  <c r="J221" i="2"/>
  <c r="F222" i="2"/>
  <c r="O220" i="2"/>
  <c r="P220" i="2"/>
  <c r="G223" i="2"/>
  <c r="H223" i="2" s="1"/>
  <c r="K222" i="2" a="1"/>
  <c r="D225" i="2" a="1"/>
  <c r="E225" i="2" a="1"/>
  <c r="I223" i="2" a="1"/>
  <c r="F223" i="2" a="1"/>
  <c r="I223" i="2" l="1"/>
  <c r="E225" i="2"/>
  <c r="D225" i="2"/>
  <c r="K222" i="2"/>
  <c r="B227" i="2"/>
  <c r="C226" i="2"/>
  <c r="N222" i="2"/>
  <c r="L222" i="2"/>
  <c r="P222" i="2" s="1"/>
  <c r="M221" i="2"/>
  <c r="O221" i="2" s="1"/>
  <c r="J222" i="2"/>
  <c r="F223" i="2"/>
  <c r="P221" i="2"/>
  <c r="G224" i="2"/>
  <c r="H224" i="2" s="1"/>
  <c r="K223" i="2" a="1"/>
  <c r="I224" i="2" a="1"/>
  <c r="D226" i="2" a="1"/>
  <c r="E226" i="2" a="1"/>
  <c r="F224" i="2" a="1"/>
  <c r="E226" i="2" l="1"/>
  <c r="D226" i="2"/>
  <c r="I224" i="2"/>
  <c r="K223" i="2"/>
  <c r="B228" i="2"/>
  <c r="C227" i="2"/>
  <c r="L223" i="2"/>
  <c r="N223" i="2"/>
  <c r="M222" i="2"/>
  <c r="O222" i="2" s="1"/>
  <c r="F224" i="2"/>
  <c r="J223" i="2"/>
  <c r="G225" i="2"/>
  <c r="H225" i="2" s="1"/>
  <c r="I225" i="2" a="1"/>
  <c r="D227" i="2" a="1"/>
  <c r="E227" i="2" a="1"/>
  <c r="K224" i="2" a="1"/>
  <c r="F225" i="2" a="1"/>
  <c r="K224" i="2" l="1"/>
  <c r="E227" i="2"/>
  <c r="D227" i="2"/>
  <c r="I225" i="2"/>
  <c r="B229" i="2"/>
  <c r="C228" i="2"/>
  <c r="L224" i="2"/>
  <c r="N224" i="2"/>
  <c r="M223" i="2"/>
  <c r="O223" i="2" s="1"/>
  <c r="J224" i="2"/>
  <c r="F225" i="2"/>
  <c r="P223" i="2"/>
  <c r="G226" i="2"/>
  <c r="H226" i="2" s="1"/>
  <c r="E228" i="2" a="1"/>
  <c r="D228" i="2" a="1"/>
  <c r="K225" i="2" a="1"/>
  <c r="F226" i="2" a="1"/>
  <c r="I226" i="2" a="1"/>
  <c r="I226" i="2" l="1"/>
  <c r="K225" i="2"/>
  <c r="D228" i="2"/>
  <c r="E228" i="2"/>
  <c r="B230" i="2"/>
  <c r="C229" i="2"/>
  <c r="N225" i="2"/>
  <c r="L225" i="2"/>
  <c r="P225" i="2" s="1"/>
  <c r="M224" i="2"/>
  <c r="O224" i="2" s="1"/>
  <c r="J225" i="2"/>
  <c r="F226" i="2"/>
  <c r="P224" i="2"/>
  <c r="G227" i="2"/>
  <c r="H227" i="2" s="1"/>
  <c r="K226" i="2" a="1"/>
  <c r="F227" i="2" a="1"/>
  <c r="E229" i="2" a="1"/>
  <c r="D229" i="2" a="1"/>
  <c r="I227" i="2" a="1"/>
  <c r="I227" i="2" l="1"/>
  <c r="D229" i="2"/>
  <c r="E229" i="2"/>
  <c r="K226" i="2"/>
  <c r="B231" i="2"/>
  <c r="C230" i="2"/>
  <c r="N226" i="2"/>
  <c r="L226" i="2"/>
  <c r="M225" i="2"/>
  <c r="O225" i="2" s="1"/>
  <c r="J226" i="2"/>
  <c r="F227" i="2"/>
  <c r="G228" i="2"/>
  <c r="H228" i="2" s="1"/>
  <c r="K227" i="2" a="1"/>
  <c r="I228" i="2" a="1"/>
  <c r="E230" i="2" a="1"/>
  <c r="D230" i="2" a="1"/>
  <c r="F228" i="2" a="1"/>
  <c r="D230" i="2" l="1"/>
  <c r="E230" i="2"/>
  <c r="I228" i="2"/>
  <c r="K227" i="2"/>
  <c r="B232" i="2"/>
  <c r="C231" i="2"/>
  <c r="N227" i="2"/>
  <c r="L227" i="2"/>
  <c r="M226" i="2"/>
  <c r="O226" i="2" s="1"/>
  <c r="J227" i="2"/>
  <c r="F228" i="2"/>
  <c r="P226" i="2"/>
  <c r="G229" i="2"/>
  <c r="H229" i="2" s="1"/>
  <c r="K228" i="2" a="1"/>
  <c r="E231" i="2" a="1"/>
  <c r="D231" i="2" a="1"/>
  <c r="I229" i="2" a="1"/>
  <c r="F229" i="2" a="1"/>
  <c r="I229" i="2" l="1"/>
  <c r="D231" i="2"/>
  <c r="E231" i="2"/>
  <c r="K228" i="2"/>
  <c r="L228" i="2"/>
  <c r="N228" i="2"/>
  <c r="B233" i="2"/>
  <c r="C232" i="2"/>
  <c r="M227" i="2"/>
  <c r="O227" i="2" s="1"/>
  <c r="J228" i="2"/>
  <c r="F229" i="2"/>
  <c r="P227" i="2"/>
  <c r="G230" i="2"/>
  <c r="H230" i="2" s="1"/>
  <c r="K229" i="2" a="1"/>
  <c r="D232" i="2" a="1"/>
  <c r="E232" i="2" a="1"/>
  <c r="I230" i="2" a="1"/>
  <c r="F230" i="2" a="1"/>
  <c r="I230" i="2" l="1"/>
  <c r="E232" i="2"/>
  <c r="D232" i="2"/>
  <c r="K229" i="2"/>
  <c r="B234" i="2"/>
  <c r="C233" i="2"/>
  <c r="N229" i="2"/>
  <c r="L229" i="2"/>
  <c r="M228" i="2"/>
  <c r="F230" i="2"/>
  <c r="J229" i="2"/>
  <c r="P228" i="2"/>
  <c r="O228" i="2"/>
  <c r="G231" i="2"/>
  <c r="H231" i="2" s="1"/>
  <c r="K230" i="2" a="1"/>
  <c r="E233" i="2" a="1"/>
  <c r="D233" i="2" a="1"/>
  <c r="I231" i="2" a="1"/>
  <c r="F231" i="2" a="1"/>
  <c r="I231" i="2" l="1"/>
  <c r="D233" i="2"/>
  <c r="E233" i="2"/>
  <c r="K230" i="2"/>
  <c r="B235" i="2"/>
  <c r="C234" i="2"/>
  <c r="N230" i="2"/>
  <c r="L230" i="2"/>
  <c r="P230" i="2" s="1"/>
  <c r="M229" i="2"/>
  <c r="J230" i="2"/>
  <c r="F231" i="2"/>
  <c r="P229" i="2"/>
  <c r="O229" i="2"/>
  <c r="G232" i="2"/>
  <c r="H232" i="2" s="1"/>
  <c r="K231" i="2" a="1"/>
  <c r="E234" i="2" a="1"/>
  <c r="D234" i="2" a="1"/>
  <c r="I232" i="2" a="1"/>
  <c r="F232" i="2" a="1"/>
  <c r="I232" i="2" l="1"/>
  <c r="D234" i="2"/>
  <c r="E234" i="2"/>
  <c r="K231" i="2"/>
  <c r="B236" i="2"/>
  <c r="C235" i="2"/>
  <c r="N231" i="2"/>
  <c r="L231" i="2"/>
  <c r="M230" i="2"/>
  <c r="J231" i="2"/>
  <c r="F232" i="2"/>
  <c r="O230" i="2"/>
  <c r="G233" i="2"/>
  <c r="H233" i="2" s="1"/>
  <c r="K232" i="2" a="1"/>
  <c r="F233" i="2" a="1"/>
  <c r="I233" i="2" a="1"/>
  <c r="D235" i="2" a="1"/>
  <c r="E235" i="2" a="1"/>
  <c r="E235" i="2" l="1"/>
  <c r="D235" i="2"/>
  <c r="I233" i="2"/>
  <c r="K232" i="2"/>
  <c r="B237" i="2"/>
  <c r="C236" i="2"/>
  <c r="N232" i="2"/>
  <c r="L232" i="2"/>
  <c r="P232" i="2" s="1"/>
  <c r="M231" i="2"/>
  <c r="O231" i="2" s="1"/>
  <c r="J232" i="2"/>
  <c r="F233" i="2"/>
  <c r="P231" i="2"/>
  <c r="G234" i="2"/>
  <c r="H234" i="2" s="1"/>
  <c r="K233" i="2" a="1"/>
  <c r="D236" i="2" a="1"/>
  <c r="E236" i="2" a="1"/>
  <c r="F234" i="2" a="1"/>
  <c r="I234" i="2" a="1"/>
  <c r="I234" i="2" l="1"/>
  <c r="E236" i="2"/>
  <c r="D236" i="2"/>
  <c r="K233" i="2"/>
  <c r="B238" i="2"/>
  <c r="C237" i="2"/>
  <c r="L233" i="2"/>
  <c r="N233" i="2"/>
  <c r="M232" i="2"/>
  <c r="J233" i="2"/>
  <c r="F234" i="2"/>
  <c r="O232" i="2"/>
  <c r="G235" i="2"/>
  <c r="H235" i="2" s="1"/>
  <c r="K234" i="2" a="1"/>
  <c r="I235" i="2" a="1"/>
  <c r="D237" i="2" a="1"/>
  <c r="E237" i="2" a="1"/>
  <c r="F235" i="2" a="1"/>
  <c r="E237" i="2" l="1"/>
  <c r="D237" i="2"/>
  <c r="I235" i="2"/>
  <c r="K234" i="2"/>
  <c r="B239" i="2"/>
  <c r="C238" i="2"/>
  <c r="L234" i="2"/>
  <c r="N234" i="2"/>
  <c r="M233" i="2"/>
  <c r="O233" i="2" s="1"/>
  <c r="F235" i="2"/>
  <c r="J234" i="2"/>
  <c r="P233" i="2"/>
  <c r="G236" i="2"/>
  <c r="H236" i="2" s="1"/>
  <c r="F236" i="2" a="1"/>
  <c r="K235" i="2" a="1"/>
  <c r="E238" i="2" a="1"/>
  <c r="D238" i="2" a="1"/>
  <c r="I236" i="2" a="1"/>
  <c r="I236" i="2" l="1"/>
  <c r="D238" i="2"/>
  <c r="E238" i="2"/>
  <c r="K235" i="2"/>
  <c r="B240" i="2"/>
  <c r="C239" i="2"/>
  <c r="L235" i="2"/>
  <c r="N235" i="2"/>
  <c r="M234" i="2"/>
  <c r="O234" i="2" s="1"/>
  <c r="J235" i="2"/>
  <c r="F236" i="2"/>
  <c r="P234" i="2"/>
  <c r="G237" i="2"/>
  <c r="H237" i="2" s="1"/>
  <c r="K236" i="2" a="1"/>
  <c r="I237" i="2" a="1"/>
  <c r="F237" i="2" a="1"/>
  <c r="D239" i="2" a="1"/>
  <c r="E239" i="2" a="1"/>
  <c r="E239" i="2" l="1"/>
  <c r="D239" i="2"/>
  <c r="I237" i="2"/>
  <c r="K236" i="2"/>
  <c r="B241" i="2"/>
  <c r="C240" i="2"/>
  <c r="L236" i="2"/>
  <c r="N236" i="2"/>
  <c r="M235" i="2"/>
  <c r="O235" i="2" s="1"/>
  <c r="J236" i="2"/>
  <c r="F237" i="2"/>
  <c r="P235" i="2"/>
  <c r="G238" i="2"/>
  <c r="H238" i="2" s="1"/>
  <c r="K237" i="2" a="1"/>
  <c r="D240" i="2" a="1"/>
  <c r="E240" i="2" a="1"/>
  <c r="F238" i="2" a="1"/>
  <c r="I238" i="2" a="1"/>
  <c r="I238" i="2" l="1"/>
  <c r="E240" i="2"/>
  <c r="D240" i="2"/>
  <c r="K237" i="2"/>
  <c r="B242" i="2"/>
  <c r="C241" i="2"/>
  <c r="L237" i="2"/>
  <c r="N237" i="2"/>
  <c r="M236" i="2"/>
  <c r="O236" i="2" s="1"/>
  <c r="F238" i="2"/>
  <c r="J237" i="2"/>
  <c r="P236" i="2"/>
  <c r="G239" i="2"/>
  <c r="H239" i="2" s="1"/>
  <c r="K238" i="2" a="1"/>
  <c r="I239" i="2" a="1"/>
  <c r="E241" i="2" a="1"/>
  <c r="D241" i="2" a="1"/>
  <c r="F239" i="2" a="1"/>
  <c r="D241" i="2" l="1"/>
  <c r="E241" i="2"/>
  <c r="I239" i="2"/>
  <c r="K238" i="2"/>
  <c r="B243" i="2"/>
  <c r="C242" i="2"/>
  <c r="N238" i="2"/>
  <c r="L238" i="2"/>
  <c r="M237" i="2"/>
  <c r="F239" i="2"/>
  <c r="J238" i="2"/>
  <c r="O237" i="2"/>
  <c r="P237" i="2"/>
  <c r="G240" i="2"/>
  <c r="H240" i="2" s="1"/>
  <c r="I240" i="2" a="1"/>
  <c r="K239" i="2" a="1"/>
  <c r="E242" i="2" a="1"/>
  <c r="D242" i="2" a="1"/>
  <c r="F240" i="2" a="1"/>
  <c r="D242" i="2" l="1"/>
  <c r="E242" i="2"/>
  <c r="K239" i="2"/>
  <c r="I240" i="2"/>
  <c r="N239" i="2"/>
  <c r="L239" i="2"/>
  <c r="P239" i="2" s="1"/>
  <c r="B244" i="2"/>
  <c r="C243" i="2"/>
  <c r="M238" i="2"/>
  <c r="J239" i="2"/>
  <c r="F240" i="2"/>
  <c r="G241" i="2"/>
  <c r="H241" i="2" s="1"/>
  <c r="P238" i="2"/>
  <c r="O238" i="2"/>
  <c r="D243" i="2" a="1"/>
  <c r="E243" i="2" a="1"/>
  <c r="K240" i="2" a="1"/>
  <c r="I241" i="2" a="1"/>
  <c r="F241" i="2" a="1"/>
  <c r="I241" i="2" l="1"/>
  <c r="K240" i="2"/>
  <c r="E243" i="2"/>
  <c r="D243" i="2"/>
  <c r="L240" i="2"/>
  <c r="P240" i="2" s="1"/>
  <c r="N240" i="2"/>
  <c r="B245" i="2"/>
  <c r="C244" i="2"/>
  <c r="M239" i="2"/>
  <c r="J240" i="2"/>
  <c r="F241" i="2"/>
  <c r="O239" i="2"/>
  <c r="G242" i="2"/>
  <c r="H242" i="2" s="1"/>
  <c r="K241" i="2" a="1"/>
  <c r="D244" i="2" a="1"/>
  <c r="E244" i="2" a="1"/>
  <c r="F242" i="2" a="1"/>
  <c r="I242" i="2" a="1"/>
  <c r="I242" i="2" l="1"/>
  <c r="E244" i="2"/>
  <c r="D244" i="2"/>
  <c r="K241" i="2"/>
  <c r="B246" i="2"/>
  <c r="C245" i="2"/>
  <c r="L241" i="2"/>
  <c r="P241" i="2" s="1"/>
  <c r="N241" i="2"/>
  <c r="M240" i="2"/>
  <c r="J241" i="2"/>
  <c r="F242" i="2"/>
  <c r="O240" i="2"/>
  <c r="G243" i="2"/>
  <c r="H243" i="2" s="1"/>
  <c r="K242" i="2" a="1"/>
  <c r="D245" i="2" a="1"/>
  <c r="E245" i="2" a="1"/>
  <c r="F243" i="2" a="1"/>
  <c r="I243" i="2" a="1"/>
  <c r="I243" i="2" l="1"/>
  <c r="E245" i="2"/>
  <c r="D245" i="2"/>
  <c r="K242" i="2"/>
  <c r="B247" i="2"/>
  <c r="C246" i="2"/>
  <c r="N242" i="2"/>
  <c r="L242" i="2"/>
  <c r="M241" i="2"/>
  <c r="O241" i="2" s="1"/>
  <c r="J242" i="2"/>
  <c r="F243" i="2"/>
  <c r="G244" i="2"/>
  <c r="H244" i="2" s="1"/>
  <c r="K243" i="2" a="1"/>
  <c r="D246" i="2" a="1"/>
  <c r="E246" i="2" a="1"/>
  <c r="F244" i="2" a="1"/>
  <c r="I244" i="2" a="1"/>
  <c r="I244" i="2" l="1"/>
  <c r="E246" i="2"/>
  <c r="D246" i="2"/>
  <c r="K243" i="2"/>
  <c r="B248" i="2"/>
  <c r="C247" i="2"/>
  <c r="L243" i="2"/>
  <c r="N243" i="2"/>
  <c r="M242" i="2"/>
  <c r="F244" i="2"/>
  <c r="J243" i="2"/>
  <c r="G245" i="2"/>
  <c r="H245" i="2" s="1"/>
  <c r="P242" i="2"/>
  <c r="O242" i="2"/>
  <c r="K244" i="2" a="1"/>
  <c r="I245" i="2" a="1"/>
  <c r="D247" i="2" a="1"/>
  <c r="E247" i="2" a="1"/>
  <c r="F245" i="2" a="1"/>
  <c r="E247" i="2" l="1"/>
  <c r="D247" i="2"/>
  <c r="I245" i="2"/>
  <c r="K244" i="2"/>
  <c r="B249" i="2"/>
  <c r="C248" i="2"/>
  <c r="N244" i="2"/>
  <c r="L244" i="2"/>
  <c r="M243" i="2"/>
  <c r="J244" i="2"/>
  <c r="F245" i="2"/>
  <c r="P243" i="2"/>
  <c r="O243" i="2"/>
  <c r="G246" i="2"/>
  <c r="H246" i="2" s="1"/>
  <c r="K245" i="2" a="1"/>
  <c r="F246" i="2" a="1"/>
  <c r="I246" i="2" a="1"/>
  <c r="E248" i="2" a="1"/>
  <c r="D248" i="2" a="1"/>
  <c r="D248" i="2" l="1"/>
  <c r="E248" i="2"/>
  <c r="I246" i="2"/>
  <c r="K245" i="2"/>
  <c r="B250" i="2"/>
  <c r="C249" i="2"/>
  <c r="N245" i="2"/>
  <c r="L245" i="2"/>
  <c r="M244" i="2"/>
  <c r="J245" i="2"/>
  <c r="F246" i="2"/>
  <c r="P244" i="2"/>
  <c r="O244" i="2"/>
  <c r="G247" i="2"/>
  <c r="H247" i="2" s="1"/>
  <c r="K246" i="2" a="1"/>
  <c r="I247" i="2" a="1"/>
  <c r="F247" i="2" a="1"/>
  <c r="D249" i="2" a="1"/>
  <c r="E249" i="2" a="1"/>
  <c r="E249" i="2" l="1"/>
  <c r="D249" i="2"/>
  <c r="I247" i="2"/>
  <c r="K246" i="2"/>
  <c r="B251" i="2"/>
  <c r="C250" i="2"/>
  <c r="N246" i="2"/>
  <c r="L246" i="2"/>
  <c r="M245" i="2"/>
  <c r="O245" i="2" s="1"/>
  <c r="J246" i="2"/>
  <c r="F247" i="2"/>
  <c r="P245" i="2"/>
  <c r="G248" i="2"/>
  <c r="H248" i="2" s="1"/>
  <c r="I248" i="2" a="1"/>
  <c r="K247" i="2" a="1"/>
  <c r="F248" i="2" a="1"/>
  <c r="D250" i="2" a="1"/>
  <c r="E250" i="2" a="1"/>
  <c r="E250" i="2" l="1"/>
  <c r="D250" i="2"/>
  <c r="K247" i="2"/>
  <c r="I248" i="2"/>
  <c r="B252" i="2"/>
  <c r="C251" i="2"/>
  <c r="L247" i="2"/>
  <c r="N247" i="2"/>
  <c r="M246" i="2"/>
  <c r="O246" i="2" s="1"/>
  <c r="J247" i="2"/>
  <c r="F248" i="2"/>
  <c r="P246" i="2"/>
  <c r="G249" i="2"/>
  <c r="H249" i="2" s="1"/>
  <c r="F249" i="2" a="1"/>
  <c r="D251" i="2" a="1"/>
  <c r="E251" i="2" a="1"/>
  <c r="K248" i="2" a="1"/>
  <c r="I249" i="2" a="1"/>
  <c r="I249" i="2" l="1"/>
  <c r="K248" i="2"/>
  <c r="E251" i="2"/>
  <c r="D251" i="2"/>
  <c r="L248" i="2"/>
  <c r="N248" i="2"/>
  <c r="B253" i="2"/>
  <c r="C252" i="2"/>
  <c r="M247" i="2"/>
  <c r="O247" i="2" s="1"/>
  <c r="F249" i="2"/>
  <c r="J248" i="2"/>
  <c r="P247" i="2"/>
  <c r="G250" i="2"/>
  <c r="H250" i="2" s="1"/>
  <c r="K249" i="2" a="1"/>
  <c r="D252" i="2" a="1"/>
  <c r="E252" i="2" a="1"/>
  <c r="F250" i="2" a="1"/>
  <c r="I250" i="2" a="1"/>
  <c r="I250" i="2" l="1"/>
  <c r="E252" i="2"/>
  <c r="D252" i="2"/>
  <c r="K249" i="2"/>
  <c r="B254" i="2"/>
  <c r="C253" i="2"/>
  <c r="N249" i="2"/>
  <c r="L249" i="2"/>
  <c r="M248" i="2"/>
  <c r="P248" i="2"/>
  <c r="F250" i="2"/>
  <c r="J249" i="2"/>
  <c r="O248" i="2"/>
  <c r="G251" i="2"/>
  <c r="H251" i="2" s="1"/>
  <c r="K250" i="2" a="1"/>
  <c r="D253" i="2" a="1"/>
  <c r="E253" i="2" a="1"/>
  <c r="F251" i="2" a="1"/>
  <c r="I251" i="2" a="1"/>
  <c r="I251" i="2" l="1"/>
  <c r="E253" i="2"/>
  <c r="D253" i="2"/>
  <c r="K250" i="2"/>
  <c r="B255" i="2"/>
  <c r="C254" i="2"/>
  <c r="L250" i="2"/>
  <c r="N250" i="2"/>
  <c r="M249" i="2"/>
  <c r="F251" i="2"/>
  <c r="J250" i="2"/>
  <c r="P249" i="2"/>
  <c r="O249" i="2"/>
  <c r="G252" i="2"/>
  <c r="H252" i="2" s="1"/>
  <c r="K251" i="2" a="1"/>
  <c r="E254" i="2" a="1"/>
  <c r="D254" i="2" a="1"/>
  <c r="F252" i="2" a="1"/>
  <c r="I252" i="2" a="1"/>
  <c r="I252" i="2" l="1"/>
  <c r="D254" i="2"/>
  <c r="E254" i="2"/>
  <c r="K251" i="2"/>
  <c r="B256" i="2"/>
  <c r="C255" i="2"/>
  <c r="L251" i="2"/>
  <c r="P251" i="2" s="1"/>
  <c r="N251" i="2"/>
  <c r="M250" i="2"/>
  <c r="J251" i="2"/>
  <c r="F252" i="2"/>
  <c r="O250" i="2"/>
  <c r="P250" i="2"/>
  <c r="G253" i="2"/>
  <c r="H253" i="2" s="1"/>
  <c r="K252" i="2" a="1"/>
  <c r="F253" i="2" a="1"/>
  <c r="D255" i="2" a="1"/>
  <c r="E255" i="2" a="1"/>
  <c r="I253" i="2" a="1"/>
  <c r="I253" i="2" l="1"/>
  <c r="E255" i="2"/>
  <c r="D255" i="2"/>
  <c r="K252" i="2"/>
  <c r="B257" i="2"/>
  <c r="C256" i="2"/>
  <c r="N252" i="2"/>
  <c r="L252" i="2"/>
  <c r="P252" i="2" s="1"/>
  <c r="M251" i="2"/>
  <c r="O251" i="2" s="1"/>
  <c r="J252" i="2"/>
  <c r="F253" i="2"/>
  <c r="G254" i="2"/>
  <c r="H254" i="2" s="1"/>
  <c r="K253" i="2" a="1"/>
  <c r="I254" i="2" a="1"/>
  <c r="F254" i="2" a="1"/>
  <c r="E256" i="2" a="1"/>
  <c r="D256" i="2" a="1"/>
  <c r="D256" i="2" l="1"/>
  <c r="E256" i="2"/>
  <c r="I254" i="2"/>
  <c r="K253" i="2"/>
  <c r="B258" i="2"/>
  <c r="C257" i="2"/>
  <c r="L253" i="2"/>
  <c r="N253" i="2"/>
  <c r="M252" i="2"/>
  <c r="O252" i="2" s="1"/>
  <c r="J253" i="2"/>
  <c r="F254" i="2"/>
  <c r="G255" i="2"/>
  <c r="H255" i="2" s="1"/>
  <c r="K254" i="2" a="1"/>
  <c r="F255" i="2" a="1"/>
  <c r="I255" i="2" a="1"/>
  <c r="D257" i="2" a="1"/>
  <c r="E257" i="2" a="1"/>
  <c r="E257" i="2" l="1"/>
  <c r="D257" i="2"/>
  <c r="I255" i="2"/>
  <c r="K254" i="2"/>
  <c r="B259" i="2"/>
  <c r="C258" i="2"/>
  <c r="N254" i="2"/>
  <c r="L254" i="2"/>
  <c r="P254" i="2" s="1"/>
  <c r="M253" i="2"/>
  <c r="J254" i="2"/>
  <c r="F255" i="2"/>
  <c r="G256" i="2"/>
  <c r="H256" i="2" s="1"/>
  <c r="P253" i="2"/>
  <c r="O253" i="2"/>
  <c r="K255" i="2" a="1"/>
  <c r="I256" i="2" a="1"/>
  <c r="D258" i="2" a="1"/>
  <c r="E258" i="2" a="1"/>
  <c r="F256" i="2" a="1"/>
  <c r="E258" i="2" l="1"/>
  <c r="D258" i="2"/>
  <c r="I256" i="2"/>
  <c r="K255" i="2"/>
  <c r="B260" i="2"/>
  <c r="C259" i="2"/>
  <c r="L255" i="2"/>
  <c r="N255" i="2"/>
  <c r="M254" i="2"/>
  <c r="F256" i="2"/>
  <c r="J255" i="2"/>
  <c r="O254" i="2"/>
  <c r="G257" i="2"/>
  <c r="H257" i="2" s="1"/>
  <c r="K256" i="2" a="1"/>
  <c r="I257" i="2" a="1"/>
  <c r="F257" i="2" a="1"/>
  <c r="E259" i="2" a="1"/>
  <c r="D259" i="2" a="1"/>
  <c r="D259" i="2" l="1"/>
  <c r="E259" i="2"/>
  <c r="I257" i="2"/>
  <c r="K256" i="2"/>
  <c r="B261" i="2"/>
  <c r="C260" i="2"/>
  <c r="L256" i="2"/>
  <c r="N256" i="2"/>
  <c r="M255" i="2"/>
  <c r="J256" i="2"/>
  <c r="F257" i="2"/>
  <c r="P255" i="2"/>
  <c r="O255" i="2"/>
  <c r="G258" i="2"/>
  <c r="H258" i="2" s="1"/>
  <c r="E260" i="2" a="1"/>
  <c r="D260" i="2" a="1"/>
  <c r="I258" i="2" a="1"/>
  <c r="K257" i="2" a="1"/>
  <c r="F258" i="2" a="1"/>
  <c r="K257" i="2" l="1"/>
  <c r="I258" i="2"/>
  <c r="D260" i="2"/>
  <c r="E260" i="2"/>
  <c r="B262" i="2"/>
  <c r="C261" i="2"/>
  <c r="L257" i="2"/>
  <c r="P257" i="2" s="1"/>
  <c r="N257" i="2"/>
  <c r="M256" i="2"/>
  <c r="J257" i="2"/>
  <c r="F258" i="2"/>
  <c r="P256" i="2"/>
  <c r="O256" i="2"/>
  <c r="G259" i="2"/>
  <c r="H259" i="2" s="1"/>
  <c r="D261" i="2" a="1"/>
  <c r="E261" i="2" a="1"/>
  <c r="I259" i="2" a="1"/>
  <c r="K258" i="2" a="1"/>
  <c r="F259" i="2" a="1"/>
  <c r="K258" i="2" l="1"/>
  <c r="I259" i="2"/>
  <c r="E261" i="2"/>
  <c r="D261" i="2"/>
  <c r="B263" i="2"/>
  <c r="C262" i="2"/>
  <c r="N258" i="2"/>
  <c r="L258" i="2"/>
  <c r="P258" i="2" s="1"/>
  <c r="M257" i="2"/>
  <c r="J258" i="2"/>
  <c r="F259" i="2"/>
  <c r="O257" i="2"/>
  <c r="G260" i="2"/>
  <c r="H260" i="2" s="1"/>
  <c r="K259" i="2" a="1"/>
  <c r="D262" i="2" a="1"/>
  <c r="E262" i="2" a="1"/>
  <c r="I260" i="2" a="1"/>
  <c r="F260" i="2" a="1"/>
  <c r="I260" i="2" l="1"/>
  <c r="E262" i="2"/>
  <c r="D262" i="2"/>
  <c r="K259" i="2"/>
  <c r="B264" i="2"/>
  <c r="C263" i="2"/>
  <c r="L259" i="2"/>
  <c r="N259" i="2"/>
  <c r="M258" i="2"/>
  <c r="O258" i="2" s="1"/>
  <c r="F260" i="2"/>
  <c r="J259" i="2"/>
  <c r="G261" i="2"/>
  <c r="H261" i="2" s="1"/>
  <c r="K260" i="2" a="1"/>
  <c r="I261" i="2" a="1"/>
  <c r="F261" i="2" a="1"/>
  <c r="D263" i="2" a="1"/>
  <c r="E263" i="2" a="1"/>
  <c r="E263" i="2" l="1"/>
  <c r="D263" i="2"/>
  <c r="I261" i="2"/>
  <c r="K260" i="2"/>
  <c r="B265" i="2"/>
  <c r="C264" i="2"/>
  <c r="L260" i="2"/>
  <c r="N260" i="2"/>
  <c r="M259" i="2"/>
  <c r="O259" i="2" s="1"/>
  <c r="F261" i="2"/>
  <c r="J260" i="2"/>
  <c r="P259" i="2"/>
  <c r="G262" i="2"/>
  <c r="H262" i="2" s="1"/>
  <c r="I262" i="2" a="1"/>
  <c r="F262" i="2" a="1"/>
  <c r="K261" i="2" a="1"/>
  <c r="E264" i="2" a="1"/>
  <c r="D264" i="2" a="1"/>
  <c r="D264" i="2" l="1"/>
  <c r="E264" i="2"/>
  <c r="K261" i="2"/>
  <c r="I262" i="2"/>
  <c r="N261" i="2"/>
  <c r="L261" i="2"/>
  <c r="B266" i="2"/>
  <c r="C265" i="2"/>
  <c r="M260" i="2"/>
  <c r="O260" i="2" s="1"/>
  <c r="J261" i="2"/>
  <c r="F262" i="2"/>
  <c r="P260" i="2"/>
  <c r="G263" i="2"/>
  <c r="H263" i="2" s="1"/>
  <c r="K262" i="2" a="1"/>
  <c r="I263" i="2" a="1"/>
  <c r="F263" i="2" a="1"/>
  <c r="D265" i="2" a="1"/>
  <c r="E265" i="2" a="1"/>
  <c r="E265" i="2" l="1"/>
  <c r="D265" i="2"/>
  <c r="I263" i="2"/>
  <c r="K262" i="2"/>
  <c r="B267" i="2"/>
  <c r="C266" i="2"/>
  <c r="L262" i="2"/>
  <c r="N262" i="2"/>
  <c r="M261" i="2"/>
  <c r="O261" i="2" s="1"/>
  <c r="J262" i="2"/>
  <c r="F263" i="2"/>
  <c r="P261" i="2"/>
  <c r="G264" i="2"/>
  <c r="H264" i="2" s="1"/>
  <c r="K263" i="2" a="1"/>
  <c r="E266" i="2" a="1"/>
  <c r="D266" i="2" a="1"/>
  <c r="I264" i="2" a="1"/>
  <c r="F264" i="2" a="1"/>
  <c r="I264" i="2" l="1"/>
  <c r="D266" i="2"/>
  <c r="E266" i="2"/>
  <c r="K263" i="2"/>
  <c r="B268" i="2"/>
  <c r="C267" i="2"/>
  <c r="L263" i="2"/>
  <c r="N263" i="2"/>
  <c r="M262" i="2"/>
  <c r="O262" i="2" s="1"/>
  <c r="J263" i="2"/>
  <c r="F264" i="2"/>
  <c r="P262" i="2"/>
  <c r="G265" i="2"/>
  <c r="H265" i="2" s="1"/>
  <c r="K264" i="2" a="1"/>
  <c r="F265" i="2" a="1"/>
  <c r="I265" i="2" a="1"/>
  <c r="E267" i="2" a="1"/>
  <c r="D267" i="2" a="1"/>
  <c r="D267" i="2" l="1"/>
  <c r="E267" i="2"/>
  <c r="I265" i="2"/>
  <c r="K264" i="2"/>
  <c r="B269" i="2"/>
  <c r="C268" i="2"/>
  <c r="N264" i="2"/>
  <c r="L264" i="2"/>
  <c r="P264" i="2" s="1"/>
  <c r="M263" i="2"/>
  <c r="O263" i="2" s="1"/>
  <c r="J264" i="2"/>
  <c r="F265" i="2"/>
  <c r="P263" i="2"/>
  <c r="G266" i="2"/>
  <c r="H266" i="2" s="1"/>
  <c r="K265" i="2" a="1"/>
  <c r="E268" i="2" a="1"/>
  <c r="D268" i="2" a="1"/>
  <c r="F266" i="2" a="1"/>
  <c r="I266" i="2" a="1"/>
  <c r="I266" i="2" l="1"/>
  <c r="D268" i="2"/>
  <c r="E268" i="2"/>
  <c r="K265" i="2"/>
  <c r="L265" i="2"/>
  <c r="N265" i="2"/>
  <c r="B270" i="2"/>
  <c r="C269" i="2"/>
  <c r="M264" i="2"/>
  <c r="O264" i="2" s="1"/>
  <c r="J265" i="2"/>
  <c r="F266" i="2"/>
  <c r="G267" i="2"/>
  <c r="H267" i="2" s="1"/>
  <c r="K266" i="2" a="1"/>
  <c r="I267" i="2" a="1"/>
  <c r="F267" i="2" a="1"/>
  <c r="D269" i="2" a="1"/>
  <c r="E269" i="2" a="1"/>
  <c r="E269" i="2" l="1"/>
  <c r="D269" i="2"/>
  <c r="I267" i="2"/>
  <c r="K266" i="2"/>
  <c r="B271" i="2"/>
  <c r="C270" i="2"/>
  <c r="L266" i="2"/>
  <c r="N266" i="2"/>
  <c r="M265" i="2"/>
  <c r="J266" i="2"/>
  <c r="F267" i="2"/>
  <c r="O265" i="2"/>
  <c r="P265" i="2"/>
  <c r="G268" i="2"/>
  <c r="H268" i="2" s="1"/>
  <c r="K267" i="2" a="1"/>
  <c r="I268" i="2" a="1"/>
  <c r="D270" i="2" a="1"/>
  <c r="E270" i="2" a="1"/>
  <c r="F268" i="2" a="1"/>
  <c r="E270" i="2" l="1"/>
  <c r="D270" i="2"/>
  <c r="I268" i="2"/>
  <c r="K267" i="2"/>
  <c r="B272" i="2"/>
  <c r="C271" i="2"/>
  <c r="N267" i="2"/>
  <c r="L267" i="2"/>
  <c r="M266" i="2"/>
  <c r="O266" i="2" s="1"/>
  <c r="J267" i="2"/>
  <c r="F268" i="2"/>
  <c r="P266" i="2"/>
  <c r="G269" i="2"/>
  <c r="H269" i="2" s="1"/>
  <c r="F269" i="2" a="1"/>
  <c r="K268" i="2" a="1"/>
  <c r="E271" i="2" a="1"/>
  <c r="D271" i="2" a="1"/>
  <c r="I269" i="2" a="1"/>
  <c r="I269" i="2" l="1"/>
  <c r="D271" i="2"/>
  <c r="E271" i="2"/>
  <c r="K268" i="2"/>
  <c r="B273" i="2"/>
  <c r="C272" i="2"/>
  <c r="L268" i="2"/>
  <c r="N268" i="2"/>
  <c r="M267" i="2"/>
  <c r="J268" i="2"/>
  <c r="F269" i="2"/>
  <c r="G270" i="2"/>
  <c r="H270" i="2" s="1"/>
  <c r="P267" i="2"/>
  <c r="O267" i="2"/>
  <c r="K269" i="2" a="1"/>
  <c r="I270" i="2" a="1"/>
  <c r="D272" i="2" a="1"/>
  <c r="E272" i="2" a="1"/>
  <c r="F270" i="2" a="1"/>
  <c r="E272" i="2" l="1"/>
  <c r="D272" i="2"/>
  <c r="I270" i="2"/>
  <c r="K269" i="2"/>
  <c r="B274" i="2"/>
  <c r="C273" i="2"/>
  <c r="L269" i="2"/>
  <c r="N269" i="2"/>
  <c r="M268" i="2"/>
  <c r="O268" i="2" s="1"/>
  <c r="F270" i="2"/>
  <c r="J269" i="2"/>
  <c r="P268" i="2"/>
  <c r="G271" i="2"/>
  <c r="H271" i="2" s="1"/>
  <c r="K270" i="2" a="1"/>
  <c r="D273" i="2" a="1"/>
  <c r="E273" i="2" a="1"/>
  <c r="I271" i="2" a="1"/>
  <c r="F271" i="2" a="1"/>
  <c r="I271" i="2" l="1"/>
  <c r="E273" i="2"/>
  <c r="D273" i="2"/>
  <c r="K270" i="2"/>
  <c r="B275" i="2"/>
  <c r="C274" i="2"/>
  <c r="L270" i="2"/>
  <c r="N270" i="2"/>
  <c r="M269" i="2"/>
  <c r="F271" i="2"/>
  <c r="J270" i="2"/>
  <c r="G272" i="2"/>
  <c r="H272" i="2" s="1"/>
  <c r="P269" i="2"/>
  <c r="O269" i="2"/>
  <c r="K271" i="2" a="1"/>
  <c r="I272" i="2" a="1"/>
  <c r="D274" i="2" a="1"/>
  <c r="E274" i="2" a="1"/>
  <c r="F272" i="2" a="1"/>
  <c r="E274" i="2" l="1"/>
  <c r="D274" i="2"/>
  <c r="I272" i="2"/>
  <c r="K271" i="2"/>
  <c r="B276" i="2"/>
  <c r="C275" i="2"/>
  <c r="L271" i="2"/>
  <c r="N271" i="2"/>
  <c r="M270" i="2"/>
  <c r="J271" i="2"/>
  <c r="F272" i="2"/>
  <c r="P270" i="2"/>
  <c r="O270" i="2"/>
  <c r="G273" i="2"/>
  <c r="H273" i="2" s="1"/>
  <c r="E275" i="2" a="1"/>
  <c r="D275" i="2" a="1"/>
  <c r="K272" i="2" a="1"/>
  <c r="I273" i="2" a="1"/>
  <c r="F273" i="2" a="1"/>
  <c r="I273" i="2" l="1"/>
  <c r="K272" i="2"/>
  <c r="D275" i="2"/>
  <c r="E275" i="2"/>
  <c r="N272" i="2"/>
  <c r="L272" i="2"/>
  <c r="B277" i="2"/>
  <c r="C276" i="2"/>
  <c r="M271" i="2"/>
  <c r="J272" i="2"/>
  <c r="F273" i="2"/>
  <c r="G274" i="2"/>
  <c r="H274" i="2" s="1"/>
  <c r="P271" i="2"/>
  <c r="O271" i="2"/>
  <c r="K273" i="2" a="1"/>
  <c r="I274" i="2" a="1"/>
  <c r="F274" i="2" a="1"/>
  <c r="D276" i="2" a="1"/>
  <c r="E276" i="2" a="1"/>
  <c r="E276" i="2" l="1"/>
  <c r="D276" i="2"/>
  <c r="I274" i="2"/>
  <c r="K273" i="2"/>
  <c r="B278" i="2"/>
  <c r="C277" i="2"/>
  <c r="N273" i="2"/>
  <c r="L273" i="2"/>
  <c r="M272" i="2"/>
  <c r="F274" i="2"/>
  <c r="J273" i="2"/>
  <c r="G275" i="2"/>
  <c r="H275" i="2" s="1"/>
  <c r="O272" i="2"/>
  <c r="P272" i="2"/>
  <c r="K274" i="2" a="1"/>
  <c r="I275" i="2" a="1"/>
  <c r="E277" i="2" a="1"/>
  <c r="D277" i="2" a="1"/>
  <c r="F275" i="2" a="1"/>
  <c r="D277" i="2" l="1"/>
  <c r="E277" i="2"/>
  <c r="I275" i="2"/>
  <c r="K274" i="2"/>
  <c r="L274" i="2"/>
  <c r="P274" i="2" s="1"/>
  <c r="N274" i="2"/>
  <c r="B279" i="2"/>
  <c r="C278" i="2"/>
  <c r="M273" i="2"/>
  <c r="O273" i="2" s="1"/>
  <c r="J274" i="2"/>
  <c r="F275" i="2"/>
  <c r="P273" i="2"/>
  <c r="G276" i="2"/>
  <c r="H276" i="2" s="1"/>
  <c r="K275" i="2" a="1"/>
  <c r="E278" i="2" a="1"/>
  <c r="D278" i="2" a="1"/>
  <c r="I276" i="2" a="1"/>
  <c r="F276" i="2" a="1"/>
  <c r="I276" i="2" l="1"/>
  <c r="D278" i="2"/>
  <c r="E278" i="2"/>
  <c r="K275" i="2"/>
  <c r="B280" i="2"/>
  <c r="C279" i="2"/>
  <c r="N275" i="2"/>
  <c r="L275" i="2"/>
  <c r="M274" i="2"/>
  <c r="J275" i="2"/>
  <c r="F276" i="2"/>
  <c r="O274" i="2"/>
  <c r="G277" i="2"/>
  <c r="H277" i="2" s="1"/>
  <c r="K276" i="2" a="1"/>
  <c r="I277" i="2" a="1"/>
  <c r="D279" i="2" a="1"/>
  <c r="E279" i="2" a="1"/>
  <c r="F277" i="2" a="1"/>
  <c r="E279" i="2" l="1"/>
  <c r="D279" i="2"/>
  <c r="I277" i="2"/>
  <c r="K276" i="2"/>
  <c r="B281" i="2"/>
  <c r="C280" i="2"/>
  <c r="N276" i="2"/>
  <c r="L276" i="2"/>
  <c r="M275" i="2"/>
  <c r="O275" i="2" s="1"/>
  <c r="J276" i="2"/>
  <c r="F277" i="2"/>
  <c r="P275" i="2"/>
  <c r="G278" i="2"/>
  <c r="H278" i="2" s="1"/>
  <c r="D280" i="2" a="1"/>
  <c r="E280" i="2" a="1"/>
  <c r="F278" i="2" a="1"/>
  <c r="K277" i="2" a="1"/>
  <c r="I278" i="2" a="1"/>
  <c r="I278" i="2" l="1"/>
  <c r="K277" i="2"/>
  <c r="E280" i="2"/>
  <c r="D280" i="2"/>
  <c r="B282" i="2"/>
  <c r="C281" i="2"/>
  <c r="N277" i="2"/>
  <c r="L277" i="2"/>
  <c r="P277" i="2" s="1"/>
  <c r="M276" i="2"/>
  <c r="O276" i="2" s="1"/>
  <c r="J277" i="2"/>
  <c r="F278" i="2"/>
  <c r="G279" i="2"/>
  <c r="H279" i="2" s="1"/>
  <c r="P276" i="2"/>
  <c r="K278" i="2" a="1"/>
  <c r="I279" i="2" a="1"/>
  <c r="D281" i="2" a="1"/>
  <c r="E281" i="2" a="1"/>
  <c r="F279" i="2" a="1"/>
  <c r="E281" i="2" l="1"/>
  <c r="D281" i="2"/>
  <c r="I279" i="2"/>
  <c r="K278" i="2"/>
  <c r="B283" i="2"/>
  <c r="C282" i="2"/>
  <c r="N278" i="2"/>
  <c r="L278" i="2"/>
  <c r="M277" i="2"/>
  <c r="O277" i="2" s="1"/>
  <c r="F279" i="2"/>
  <c r="J278" i="2"/>
  <c r="G280" i="2"/>
  <c r="H280" i="2" s="1"/>
  <c r="K279" i="2" a="1"/>
  <c r="I280" i="2" a="1"/>
  <c r="F280" i="2" a="1"/>
  <c r="D282" i="2" a="1"/>
  <c r="E282" i="2" a="1"/>
  <c r="E282" i="2" l="1"/>
  <c r="D282" i="2"/>
  <c r="I280" i="2"/>
  <c r="K279" i="2"/>
  <c r="B284" i="2"/>
  <c r="C283" i="2"/>
  <c r="N279" i="2"/>
  <c r="L279" i="2"/>
  <c r="P279" i="2" s="1"/>
  <c r="M278" i="2"/>
  <c r="O278" i="2" s="1"/>
  <c r="J279" i="2"/>
  <c r="F280" i="2"/>
  <c r="P278" i="2"/>
  <c r="G281" i="2"/>
  <c r="H281" i="2" s="1"/>
  <c r="I281" i="2" a="1"/>
  <c r="K280" i="2" a="1"/>
  <c r="F281" i="2" a="1"/>
  <c r="D283" i="2" a="1"/>
  <c r="E283" i="2" a="1"/>
  <c r="E283" i="2" l="1"/>
  <c r="D283" i="2"/>
  <c r="K280" i="2"/>
  <c r="I281" i="2"/>
  <c r="B285" i="2"/>
  <c r="C284" i="2"/>
  <c r="L280" i="2"/>
  <c r="P280" i="2" s="1"/>
  <c r="N280" i="2"/>
  <c r="M279" i="2"/>
  <c r="O279" i="2" s="1"/>
  <c r="J280" i="2"/>
  <c r="F281" i="2"/>
  <c r="G282" i="2"/>
  <c r="H282" i="2" s="1"/>
  <c r="D284" i="2" a="1"/>
  <c r="E284" i="2" a="1"/>
  <c r="K281" i="2" a="1"/>
  <c r="I282" i="2" a="1"/>
  <c r="F282" i="2" a="1"/>
  <c r="I282" i="2" l="1"/>
  <c r="K281" i="2"/>
  <c r="E284" i="2"/>
  <c r="D284" i="2"/>
  <c r="B286" i="2"/>
  <c r="C285" i="2"/>
  <c r="L281" i="2"/>
  <c r="P281" i="2" s="1"/>
  <c r="N281" i="2"/>
  <c r="M280" i="2"/>
  <c r="O280" i="2" s="1"/>
  <c r="J281" i="2"/>
  <c r="F282" i="2"/>
  <c r="G283" i="2"/>
  <c r="H283" i="2" s="1"/>
  <c r="K282" i="2" a="1"/>
  <c r="I283" i="2" a="1"/>
  <c r="F283" i="2" a="1"/>
  <c r="E285" i="2" a="1"/>
  <c r="D285" i="2" a="1"/>
  <c r="D285" i="2" l="1"/>
  <c r="E285" i="2"/>
  <c r="I283" i="2"/>
  <c r="K282" i="2"/>
  <c r="B287" i="2"/>
  <c r="C286" i="2"/>
  <c r="L282" i="2"/>
  <c r="P282" i="2" s="1"/>
  <c r="N282" i="2"/>
  <c r="M281" i="2"/>
  <c r="J282" i="2"/>
  <c r="F283" i="2"/>
  <c r="O281" i="2"/>
  <c r="G284" i="2"/>
  <c r="H284" i="2" s="1"/>
  <c r="K283" i="2" a="1"/>
  <c r="E286" i="2" a="1"/>
  <c r="D286" i="2" a="1"/>
  <c r="I284" i="2" a="1"/>
  <c r="F284" i="2" a="1"/>
  <c r="I284" i="2" l="1"/>
  <c r="D286" i="2"/>
  <c r="E286" i="2"/>
  <c r="K283" i="2"/>
  <c r="B288" i="2"/>
  <c r="C287" i="2"/>
  <c r="L283" i="2"/>
  <c r="N283" i="2"/>
  <c r="M282" i="2"/>
  <c r="F284" i="2"/>
  <c r="J283" i="2"/>
  <c r="O282" i="2"/>
  <c r="G285" i="2"/>
  <c r="H285" i="2" s="1"/>
  <c r="K284" i="2" a="1"/>
  <c r="F285" i="2" a="1"/>
  <c r="I285" i="2" a="1"/>
  <c r="E287" i="2" a="1"/>
  <c r="D287" i="2" a="1"/>
  <c r="D287" i="2" l="1"/>
  <c r="E287" i="2"/>
  <c r="I285" i="2"/>
  <c r="K284" i="2"/>
  <c r="B289" i="2"/>
  <c r="C288" i="2"/>
  <c r="L284" i="2"/>
  <c r="N284" i="2"/>
  <c r="M283" i="2"/>
  <c r="O283" i="2" s="1"/>
  <c r="J284" i="2"/>
  <c r="F285" i="2"/>
  <c r="P283" i="2"/>
  <c r="G286" i="2"/>
  <c r="H286" i="2" s="1"/>
  <c r="D288" i="2" a="1"/>
  <c r="E288" i="2" a="1"/>
  <c r="K285" i="2" a="1"/>
  <c r="I286" i="2" a="1"/>
  <c r="F286" i="2" a="1"/>
  <c r="I286" i="2" l="1"/>
  <c r="K285" i="2"/>
  <c r="E288" i="2"/>
  <c r="D288" i="2"/>
  <c r="B290" i="2"/>
  <c r="C289" i="2"/>
  <c r="L285" i="2"/>
  <c r="N285" i="2"/>
  <c r="M284" i="2"/>
  <c r="O284" i="2" s="1"/>
  <c r="J285" i="2"/>
  <c r="F286" i="2"/>
  <c r="P284" i="2"/>
  <c r="G287" i="2"/>
  <c r="H287" i="2" s="1"/>
  <c r="K286" i="2" a="1"/>
  <c r="I287" i="2" a="1"/>
  <c r="F287" i="2" a="1"/>
  <c r="D289" i="2" a="1"/>
  <c r="E289" i="2" a="1"/>
  <c r="E289" i="2" l="1"/>
  <c r="D289" i="2"/>
  <c r="I287" i="2"/>
  <c r="K286" i="2"/>
  <c r="B291" i="2"/>
  <c r="C290" i="2"/>
  <c r="N286" i="2"/>
  <c r="L286" i="2"/>
  <c r="M285" i="2"/>
  <c r="O285" i="2" s="1"/>
  <c r="F287" i="2"/>
  <c r="J286" i="2"/>
  <c r="P285" i="2"/>
  <c r="G288" i="2"/>
  <c r="H288" i="2" s="1"/>
  <c r="K287" i="2" a="1"/>
  <c r="E290" i="2" a="1"/>
  <c r="D290" i="2" a="1"/>
  <c r="F288" i="2" a="1"/>
  <c r="I288" i="2" a="1"/>
  <c r="I288" i="2" l="1"/>
  <c r="D290" i="2"/>
  <c r="E290" i="2"/>
  <c r="K287" i="2"/>
  <c r="B292" i="2"/>
  <c r="C291" i="2"/>
  <c r="N287" i="2"/>
  <c r="L287" i="2"/>
  <c r="M286" i="2"/>
  <c r="O286" i="2" s="1"/>
  <c r="J287" i="2"/>
  <c r="F288" i="2"/>
  <c r="P286" i="2"/>
  <c r="G289" i="2"/>
  <c r="H289" i="2" s="1"/>
  <c r="K288" i="2" a="1"/>
  <c r="I289" i="2" a="1"/>
  <c r="E291" i="2" a="1"/>
  <c r="D291" i="2" a="1"/>
  <c r="F289" i="2" a="1"/>
  <c r="D291" i="2" l="1"/>
  <c r="E291" i="2"/>
  <c r="I289" i="2"/>
  <c r="K288" i="2"/>
  <c r="B293" i="2"/>
  <c r="C292" i="2"/>
  <c r="N288" i="2"/>
  <c r="L288" i="2"/>
  <c r="M287" i="2"/>
  <c r="O287" i="2" s="1"/>
  <c r="J288" i="2"/>
  <c r="F289" i="2"/>
  <c r="P287" i="2"/>
  <c r="G290" i="2"/>
  <c r="H290" i="2" s="1"/>
  <c r="F290" i="2" a="1"/>
  <c r="K289" i="2" a="1"/>
  <c r="I290" i="2" a="1"/>
  <c r="D292" i="2" a="1"/>
  <c r="E292" i="2" a="1"/>
  <c r="E292" i="2" l="1"/>
  <c r="D292" i="2"/>
  <c r="I290" i="2"/>
  <c r="K289" i="2"/>
  <c r="B294" i="2"/>
  <c r="C293" i="2"/>
  <c r="N289" i="2"/>
  <c r="L289" i="2"/>
  <c r="M288" i="2"/>
  <c r="F290" i="2"/>
  <c r="J289" i="2"/>
  <c r="P288" i="2"/>
  <c r="O288" i="2"/>
  <c r="G291" i="2"/>
  <c r="H291" i="2" s="1"/>
  <c r="K290" i="2" a="1"/>
  <c r="E293" i="2" a="1"/>
  <c r="D293" i="2" a="1"/>
  <c r="I291" i="2" a="1"/>
  <c r="F291" i="2" a="1"/>
  <c r="I291" i="2" l="1"/>
  <c r="D293" i="2"/>
  <c r="E293" i="2"/>
  <c r="K290" i="2"/>
  <c r="B295" i="2"/>
  <c r="C294" i="2"/>
  <c r="L290" i="2"/>
  <c r="P290" i="2" s="1"/>
  <c r="N290" i="2"/>
  <c r="M289" i="2"/>
  <c r="O289" i="2" s="1"/>
  <c r="J290" i="2"/>
  <c r="F291" i="2"/>
  <c r="P289" i="2"/>
  <c r="G292" i="2"/>
  <c r="H292" i="2" s="1"/>
  <c r="K291" i="2" a="1"/>
  <c r="E294" i="2" a="1"/>
  <c r="D294" i="2" a="1"/>
  <c r="I292" i="2" a="1"/>
  <c r="F292" i="2" a="1"/>
  <c r="I292" i="2" l="1"/>
  <c r="D294" i="2"/>
  <c r="E294" i="2"/>
  <c r="K291" i="2"/>
  <c r="B296" i="2"/>
  <c r="C295" i="2"/>
  <c r="L291" i="2"/>
  <c r="N291" i="2"/>
  <c r="M290" i="2"/>
  <c r="O290" i="2" s="1"/>
  <c r="J291" i="2"/>
  <c r="F292" i="2"/>
  <c r="G293" i="2"/>
  <c r="H293" i="2" s="1"/>
  <c r="K292" i="2" a="1"/>
  <c r="I293" i="2" a="1"/>
  <c r="D295" i="2" a="1"/>
  <c r="E295" i="2" a="1"/>
  <c r="F293" i="2" a="1"/>
  <c r="E295" i="2" l="1"/>
  <c r="D295" i="2"/>
  <c r="I293" i="2"/>
  <c r="K292" i="2"/>
  <c r="B297" i="2"/>
  <c r="C296" i="2"/>
  <c r="L292" i="2"/>
  <c r="P292" i="2" s="1"/>
  <c r="N292" i="2"/>
  <c r="M291" i="2"/>
  <c r="O291" i="2" s="1"/>
  <c r="J292" i="2"/>
  <c r="F293" i="2"/>
  <c r="P291" i="2"/>
  <c r="G294" i="2"/>
  <c r="H294" i="2" s="1"/>
  <c r="K293" i="2" a="1"/>
  <c r="F294" i="2" a="1"/>
  <c r="I294" i="2" a="1"/>
  <c r="E296" i="2" a="1"/>
  <c r="D296" i="2" a="1"/>
  <c r="D296" i="2" l="1"/>
  <c r="E296" i="2"/>
  <c r="I294" i="2"/>
  <c r="K293" i="2"/>
  <c r="N293" i="2"/>
  <c r="L293" i="2"/>
  <c r="B298" i="2"/>
  <c r="C297" i="2"/>
  <c r="M292" i="2"/>
  <c r="F294" i="2"/>
  <c r="J293" i="2"/>
  <c r="O292" i="2"/>
  <c r="G295" i="2"/>
  <c r="H295" i="2" s="1"/>
  <c r="K294" i="2" a="1"/>
  <c r="I295" i="2" a="1"/>
  <c r="F295" i="2" a="1"/>
  <c r="E297" i="2" a="1"/>
  <c r="D297" i="2" a="1"/>
  <c r="D297" i="2" l="1"/>
  <c r="E297" i="2"/>
  <c r="I295" i="2"/>
  <c r="K294" i="2"/>
  <c r="N294" i="2"/>
  <c r="L294" i="2"/>
  <c r="B299" i="2"/>
  <c r="C298" i="2"/>
  <c r="M293" i="2"/>
  <c r="J294" i="2"/>
  <c r="F295" i="2"/>
  <c r="P293" i="2"/>
  <c r="O293" i="2"/>
  <c r="G296" i="2"/>
  <c r="H296" i="2" s="1"/>
  <c r="I296" i="2" a="1"/>
  <c r="K295" i="2" a="1"/>
  <c r="D298" i="2" a="1"/>
  <c r="E298" i="2" a="1"/>
  <c r="F296" i="2" a="1"/>
  <c r="E298" i="2" l="1"/>
  <c r="D298" i="2"/>
  <c r="K295" i="2"/>
  <c r="I296" i="2"/>
  <c r="B300" i="2"/>
  <c r="C299" i="2"/>
  <c r="N295" i="2"/>
  <c r="L295" i="2"/>
  <c r="M294" i="2"/>
  <c r="O294" i="2" s="1"/>
  <c r="J295" i="2"/>
  <c r="F296" i="2"/>
  <c r="P294" i="2"/>
  <c r="G297" i="2"/>
  <c r="H297" i="2" s="1"/>
  <c r="K296" i="2" a="1"/>
  <c r="D299" i="2" a="1"/>
  <c r="E299" i="2" a="1"/>
  <c r="I297" i="2" a="1"/>
  <c r="F297" i="2" a="1"/>
  <c r="I297" i="2" l="1"/>
  <c r="E299" i="2"/>
  <c r="D299" i="2"/>
  <c r="K296" i="2"/>
  <c r="B301" i="2"/>
  <c r="C300" i="2"/>
  <c r="N296" i="2"/>
  <c r="L296" i="2"/>
  <c r="M295" i="2"/>
  <c r="O295" i="2" s="1"/>
  <c r="J296" i="2"/>
  <c r="F297" i="2"/>
  <c r="P295" i="2"/>
  <c r="G298" i="2"/>
  <c r="H298" i="2" s="1"/>
  <c r="K297" i="2" a="1"/>
  <c r="I298" i="2" a="1"/>
  <c r="D300" i="2" a="1"/>
  <c r="E300" i="2" a="1"/>
  <c r="F298" i="2" a="1"/>
  <c r="E300" i="2" l="1"/>
  <c r="D300" i="2"/>
  <c r="I298" i="2"/>
  <c r="K297" i="2"/>
  <c r="B302" i="2"/>
  <c r="C301" i="2"/>
  <c r="N297" i="2"/>
  <c r="L297" i="2"/>
  <c r="M296" i="2"/>
  <c r="J297" i="2"/>
  <c r="F298" i="2"/>
  <c r="G299" i="2"/>
  <c r="H299" i="2" s="1"/>
  <c r="P296" i="2"/>
  <c r="O296" i="2"/>
  <c r="F299" i="2" a="1"/>
  <c r="D301" i="2" a="1"/>
  <c r="E301" i="2" a="1"/>
  <c r="K298" i="2" a="1"/>
  <c r="I299" i="2" a="1"/>
  <c r="I299" i="2" l="1"/>
  <c r="K298" i="2"/>
  <c r="E301" i="2"/>
  <c r="D301" i="2"/>
  <c r="L298" i="2"/>
  <c r="N298" i="2"/>
  <c r="B303" i="2"/>
  <c r="C302" i="2"/>
  <c r="M297" i="2"/>
  <c r="J298" i="2"/>
  <c r="F299" i="2"/>
  <c r="P297" i="2"/>
  <c r="O297" i="2"/>
  <c r="G300" i="2"/>
  <c r="H300" i="2" s="1"/>
  <c r="K299" i="2" a="1"/>
  <c r="F300" i="2" a="1"/>
  <c r="I300" i="2" a="1"/>
  <c r="E302" i="2" a="1"/>
  <c r="D302" i="2" a="1"/>
  <c r="D302" i="2" l="1"/>
  <c r="E302" i="2"/>
  <c r="I300" i="2"/>
  <c r="K299" i="2"/>
  <c r="B304" i="2"/>
  <c r="C303" i="2"/>
  <c r="N299" i="2"/>
  <c r="L299" i="2"/>
  <c r="M298" i="2"/>
  <c r="F300" i="2"/>
  <c r="J299" i="2"/>
  <c r="G301" i="2"/>
  <c r="H301" i="2" s="1"/>
  <c r="O298" i="2"/>
  <c r="P298" i="2"/>
  <c r="K300" i="2" a="1"/>
  <c r="I301" i="2" a="1"/>
  <c r="E303" i="2" a="1"/>
  <c r="D303" i="2" a="1"/>
  <c r="F301" i="2" a="1"/>
  <c r="D303" i="2" l="1"/>
  <c r="E303" i="2"/>
  <c r="I301" i="2"/>
  <c r="K300" i="2"/>
  <c r="B305" i="2"/>
  <c r="C304" i="2"/>
  <c r="L300" i="2"/>
  <c r="P300" i="2" s="1"/>
  <c r="N300" i="2"/>
  <c r="M299" i="2"/>
  <c r="O299" i="2" s="1"/>
  <c r="J300" i="2"/>
  <c r="F301" i="2"/>
  <c r="P299" i="2"/>
  <c r="G302" i="2"/>
  <c r="H302" i="2" s="1"/>
  <c r="D304" i="2" a="1"/>
  <c r="E304" i="2" a="1"/>
  <c r="I302" i="2" a="1"/>
  <c r="K301" i="2" a="1"/>
  <c r="F302" i="2" a="1"/>
  <c r="K301" i="2" l="1"/>
  <c r="I302" i="2"/>
  <c r="E304" i="2"/>
  <c r="D304" i="2"/>
  <c r="L301" i="2"/>
  <c r="N301" i="2"/>
  <c r="B306" i="2"/>
  <c r="C305" i="2"/>
  <c r="M300" i="2"/>
  <c r="O300" i="2" s="1"/>
  <c r="F302" i="2"/>
  <c r="J301" i="2"/>
  <c r="G303" i="2"/>
  <c r="H303" i="2" s="1"/>
  <c r="K302" i="2" a="1"/>
  <c r="I303" i="2" a="1"/>
  <c r="D305" i="2" a="1"/>
  <c r="E305" i="2" a="1"/>
  <c r="F303" i="2" a="1"/>
  <c r="E305" i="2" l="1"/>
  <c r="D305" i="2"/>
  <c r="I303" i="2"/>
  <c r="K302" i="2"/>
  <c r="B307" i="2"/>
  <c r="C306" i="2"/>
  <c r="L302" i="2"/>
  <c r="N302" i="2"/>
  <c r="M301" i="2"/>
  <c r="P301" i="2"/>
  <c r="F303" i="2"/>
  <c r="J302" i="2"/>
  <c r="O301" i="2"/>
  <c r="G304" i="2"/>
  <c r="H304" i="2" s="1"/>
  <c r="K303" i="2" a="1"/>
  <c r="D306" i="2" a="1"/>
  <c r="E306" i="2" a="1"/>
  <c r="I304" i="2" a="1"/>
  <c r="F304" i="2" a="1"/>
  <c r="I304" i="2" l="1"/>
  <c r="E306" i="2"/>
  <c r="D306" i="2"/>
  <c r="K303" i="2"/>
  <c r="B308" i="2"/>
  <c r="C307" i="2"/>
  <c r="N303" i="2"/>
  <c r="L303" i="2"/>
  <c r="M302" i="2"/>
  <c r="F304" i="2"/>
  <c r="J303" i="2"/>
  <c r="P302" i="2"/>
  <c r="O302" i="2"/>
  <c r="G305" i="2"/>
  <c r="H305" i="2" s="1"/>
  <c r="K304" i="2" a="1"/>
  <c r="E307" i="2" a="1"/>
  <c r="D307" i="2" a="1"/>
  <c r="I305" i="2" a="1"/>
  <c r="F305" i="2" a="1"/>
  <c r="I305" i="2" l="1"/>
  <c r="D307" i="2"/>
  <c r="E307" i="2"/>
  <c r="K304" i="2"/>
  <c r="B309" i="2"/>
  <c r="C308" i="2"/>
  <c r="N304" i="2"/>
  <c r="L304" i="2"/>
  <c r="M303" i="2"/>
  <c r="J304" i="2"/>
  <c r="F305" i="2"/>
  <c r="P303" i="2"/>
  <c r="O303" i="2"/>
  <c r="G306" i="2"/>
  <c r="H306" i="2" s="1"/>
  <c r="K305" i="2" a="1"/>
  <c r="I306" i="2" a="1"/>
  <c r="E308" i="2" a="1"/>
  <c r="D308" i="2" a="1"/>
  <c r="F306" i="2" a="1"/>
  <c r="D308" i="2" l="1"/>
  <c r="E308" i="2"/>
  <c r="I306" i="2"/>
  <c r="K305" i="2"/>
  <c r="B310" i="2"/>
  <c r="C309" i="2"/>
  <c r="L305" i="2"/>
  <c r="N305" i="2"/>
  <c r="M304" i="2"/>
  <c r="O304" i="2" s="1"/>
  <c r="F306" i="2"/>
  <c r="J305" i="2"/>
  <c r="P304" i="2"/>
  <c r="G307" i="2"/>
  <c r="H307" i="2" s="1"/>
  <c r="E309" i="2" a="1"/>
  <c r="D309" i="2" a="1"/>
  <c r="K306" i="2" a="1"/>
  <c r="I307" i="2" a="1"/>
  <c r="F307" i="2" a="1"/>
  <c r="I307" i="2" l="1"/>
  <c r="K306" i="2"/>
  <c r="D309" i="2"/>
  <c r="E309" i="2"/>
  <c r="B311" i="2"/>
  <c r="C310" i="2"/>
  <c r="N306" i="2"/>
  <c r="L306" i="2"/>
  <c r="M305" i="2"/>
  <c r="O305" i="2" s="1"/>
  <c r="F307" i="2"/>
  <c r="J306" i="2"/>
  <c r="P305" i="2"/>
  <c r="G308" i="2"/>
  <c r="H308" i="2" s="1"/>
  <c r="K307" i="2" a="1"/>
  <c r="D310" i="2" a="1"/>
  <c r="E310" i="2" a="1"/>
  <c r="I308" i="2" a="1"/>
  <c r="F308" i="2" a="1"/>
  <c r="I308" i="2" l="1"/>
  <c r="E310" i="2"/>
  <c r="D310" i="2"/>
  <c r="K307" i="2"/>
  <c r="B312" i="2"/>
  <c r="C311" i="2"/>
  <c r="L307" i="2"/>
  <c r="N307" i="2"/>
  <c r="M306" i="2"/>
  <c r="F308" i="2"/>
  <c r="J307" i="2"/>
  <c r="O306" i="2"/>
  <c r="P306" i="2"/>
  <c r="G309" i="2"/>
  <c r="H309" i="2" s="1"/>
  <c r="K308" i="2" a="1"/>
  <c r="D311" i="2" a="1"/>
  <c r="E311" i="2" a="1"/>
  <c r="F309" i="2" a="1"/>
  <c r="I309" i="2" a="1"/>
  <c r="I309" i="2" l="1"/>
  <c r="E311" i="2"/>
  <c r="D311" i="2"/>
  <c r="K308" i="2"/>
  <c r="B313" i="2"/>
  <c r="C312" i="2"/>
  <c r="L308" i="2"/>
  <c r="N308" i="2"/>
  <c r="M307" i="2"/>
  <c r="O307" i="2" s="1"/>
  <c r="F309" i="2"/>
  <c r="P307" i="2"/>
  <c r="J308" i="2"/>
  <c r="G310" i="2"/>
  <c r="H310" i="2" s="1"/>
  <c r="K309" i="2" a="1"/>
  <c r="E312" i="2" a="1"/>
  <c r="D312" i="2" a="1"/>
  <c r="I310" i="2" a="1"/>
  <c r="F310" i="2" a="1"/>
  <c r="I310" i="2" l="1"/>
  <c r="D312" i="2"/>
  <c r="E312" i="2"/>
  <c r="K309" i="2"/>
  <c r="B314" i="2"/>
  <c r="C313" i="2"/>
  <c r="N309" i="2"/>
  <c r="L309" i="2"/>
  <c r="M308" i="2"/>
  <c r="J309" i="2"/>
  <c r="F310" i="2"/>
  <c r="P308" i="2"/>
  <c r="O308" i="2"/>
  <c r="G311" i="2"/>
  <c r="H311" i="2" s="1"/>
  <c r="K310" i="2" a="1"/>
  <c r="I311" i="2" a="1"/>
  <c r="F311" i="2" a="1"/>
  <c r="D313" i="2" a="1"/>
  <c r="E313" i="2" a="1"/>
  <c r="E313" i="2" l="1"/>
  <c r="D313" i="2"/>
  <c r="I311" i="2"/>
  <c r="K310" i="2"/>
  <c r="B315" i="2"/>
  <c r="C314" i="2"/>
  <c r="L310" i="2"/>
  <c r="P310" i="2" s="1"/>
  <c r="N310" i="2"/>
  <c r="M309" i="2"/>
  <c r="O309" i="2" s="1"/>
  <c r="J310" i="2"/>
  <c r="F311" i="2"/>
  <c r="P309" i="2"/>
  <c r="G312" i="2"/>
  <c r="H312" i="2" s="1"/>
  <c r="K311" i="2" a="1"/>
  <c r="F312" i="2" a="1"/>
  <c r="I312" i="2" a="1"/>
  <c r="D314" i="2" a="1"/>
  <c r="E314" i="2" a="1"/>
  <c r="E314" i="2" l="1"/>
  <c r="D314" i="2"/>
  <c r="I312" i="2"/>
  <c r="K311" i="2"/>
  <c r="B316" i="2"/>
  <c r="C315" i="2"/>
  <c r="L311" i="2"/>
  <c r="P311" i="2" s="1"/>
  <c r="N311" i="2"/>
  <c r="M310" i="2"/>
  <c r="O310" i="2" s="1"/>
  <c r="J311" i="2"/>
  <c r="F312" i="2"/>
  <c r="G313" i="2"/>
  <c r="H313" i="2" s="1"/>
  <c r="F313" i="2" a="1"/>
  <c r="K312" i="2" a="1"/>
  <c r="E315" i="2" a="1"/>
  <c r="D315" i="2" a="1"/>
  <c r="I313" i="2" a="1"/>
  <c r="I313" i="2" l="1"/>
  <c r="D315" i="2"/>
  <c r="E315" i="2"/>
  <c r="K312" i="2"/>
  <c r="B317" i="2"/>
  <c r="C316" i="2"/>
  <c r="L312" i="2"/>
  <c r="N312" i="2"/>
  <c r="M311" i="2"/>
  <c r="O311" i="2" s="1"/>
  <c r="F313" i="2"/>
  <c r="J312" i="2"/>
  <c r="G314" i="2"/>
  <c r="H314" i="2" s="1"/>
  <c r="K313" i="2" a="1"/>
  <c r="I314" i="2" a="1"/>
  <c r="F314" i="2" a="1"/>
  <c r="D316" i="2" a="1"/>
  <c r="E316" i="2" a="1"/>
  <c r="E316" i="2" l="1"/>
  <c r="D316" i="2"/>
  <c r="I314" i="2"/>
  <c r="K313" i="2"/>
  <c r="B318" i="2"/>
  <c r="C317" i="2"/>
  <c r="N313" i="2"/>
  <c r="L313" i="2"/>
  <c r="M312" i="2"/>
  <c r="O312" i="2" s="1"/>
  <c r="F314" i="2"/>
  <c r="J313" i="2"/>
  <c r="G315" i="2"/>
  <c r="H315" i="2" s="1"/>
  <c r="P312" i="2"/>
  <c r="I315" i="2" a="1"/>
  <c r="F315" i="2" a="1"/>
  <c r="K314" i="2" a="1"/>
  <c r="E317" i="2" a="1"/>
  <c r="D317" i="2" a="1"/>
  <c r="D317" i="2" l="1"/>
  <c r="E317" i="2"/>
  <c r="K314" i="2"/>
  <c r="I315" i="2"/>
  <c r="B319" i="2"/>
  <c r="C318" i="2"/>
  <c r="L314" i="2"/>
  <c r="P314" i="2" s="1"/>
  <c r="N314" i="2"/>
  <c r="M313" i="2"/>
  <c r="J314" i="2"/>
  <c r="F315" i="2"/>
  <c r="O313" i="2"/>
  <c r="P313" i="2"/>
  <c r="G316" i="2"/>
  <c r="H316" i="2" s="1"/>
  <c r="F316" i="2" a="1"/>
  <c r="K315" i="2" a="1"/>
  <c r="E318" i="2" a="1"/>
  <c r="D318" i="2" a="1"/>
  <c r="I316" i="2" a="1"/>
  <c r="I316" i="2" l="1"/>
  <c r="D318" i="2"/>
  <c r="E318" i="2"/>
  <c r="K315" i="2"/>
  <c r="N315" i="2"/>
  <c r="L315" i="2"/>
  <c r="B320" i="2"/>
  <c r="C319" i="2"/>
  <c r="M314" i="2"/>
  <c r="O314" i="2" s="1"/>
  <c r="J315" i="2"/>
  <c r="F316" i="2"/>
  <c r="G317" i="2"/>
  <c r="H317" i="2" s="1"/>
  <c r="K316" i="2" a="1"/>
  <c r="I317" i="2" a="1"/>
  <c r="F317" i="2" a="1"/>
  <c r="D319" i="2" a="1"/>
  <c r="E319" i="2" a="1"/>
  <c r="E319" i="2" l="1"/>
  <c r="D319" i="2"/>
  <c r="I317" i="2"/>
  <c r="K316" i="2"/>
  <c r="B321" i="2"/>
  <c r="C320" i="2"/>
  <c r="N316" i="2"/>
  <c r="L316" i="2"/>
  <c r="P316" i="2" s="1"/>
  <c r="M315" i="2"/>
  <c r="O315" i="2" s="1"/>
  <c r="J316" i="2"/>
  <c r="F317" i="2"/>
  <c r="P315" i="2"/>
  <c r="G318" i="2"/>
  <c r="H318" i="2" s="1"/>
  <c r="I318" i="2" a="1"/>
  <c r="K317" i="2" a="1"/>
  <c r="F318" i="2" a="1"/>
  <c r="D320" i="2" a="1"/>
  <c r="E320" i="2" a="1"/>
  <c r="E320" i="2" l="1"/>
  <c r="D320" i="2"/>
  <c r="K317" i="2"/>
  <c r="I318" i="2"/>
  <c r="N317" i="2"/>
  <c r="L317" i="2"/>
  <c r="B322" i="2"/>
  <c r="C321" i="2"/>
  <c r="M316" i="2"/>
  <c r="O316" i="2" s="1"/>
  <c r="F318" i="2"/>
  <c r="J317" i="2"/>
  <c r="G319" i="2"/>
  <c r="H319" i="2" s="1"/>
  <c r="K318" i="2" a="1"/>
  <c r="I319" i="2" a="1"/>
  <c r="F319" i="2" a="1"/>
  <c r="D321" i="2" a="1"/>
  <c r="E321" i="2" a="1"/>
  <c r="E321" i="2" l="1"/>
  <c r="D321" i="2"/>
  <c r="I319" i="2"/>
  <c r="K318" i="2"/>
  <c r="B323" i="2"/>
  <c r="C322" i="2"/>
  <c r="L318" i="2"/>
  <c r="N318" i="2"/>
  <c r="M317" i="2"/>
  <c r="F319" i="2"/>
  <c r="P317" i="2"/>
  <c r="J318" i="2"/>
  <c r="O317" i="2"/>
  <c r="G320" i="2"/>
  <c r="H320" i="2" s="1"/>
  <c r="K319" i="2" a="1"/>
  <c r="D322" i="2" a="1"/>
  <c r="E322" i="2" a="1"/>
  <c r="I320" i="2" a="1"/>
  <c r="F320" i="2" a="1"/>
  <c r="I320" i="2" l="1"/>
  <c r="E322" i="2"/>
  <c r="D322" i="2"/>
  <c r="K319" i="2"/>
  <c r="B324" i="2"/>
  <c r="C323" i="2"/>
  <c r="L319" i="2"/>
  <c r="N319" i="2"/>
  <c r="M318" i="2"/>
  <c r="J319" i="2"/>
  <c r="F320" i="2"/>
  <c r="P318" i="2"/>
  <c r="O318" i="2"/>
  <c r="G321" i="2"/>
  <c r="H321" i="2" s="1"/>
  <c r="K320" i="2" a="1"/>
  <c r="I321" i="2" a="1"/>
  <c r="F321" i="2" a="1"/>
  <c r="D323" i="2" a="1"/>
  <c r="E323" i="2" a="1"/>
  <c r="E323" i="2" l="1"/>
  <c r="D323" i="2"/>
  <c r="I321" i="2"/>
  <c r="K320" i="2"/>
  <c r="B325" i="2"/>
  <c r="C324" i="2"/>
  <c r="L320" i="2"/>
  <c r="N320" i="2"/>
  <c r="M319" i="2"/>
  <c r="O319" i="2" s="1"/>
  <c r="F321" i="2"/>
  <c r="J320" i="2"/>
  <c r="P319" i="2"/>
  <c r="G322" i="2"/>
  <c r="H322" i="2" s="1"/>
  <c r="I322" i="2" a="1"/>
  <c r="K321" i="2" a="1"/>
  <c r="D324" i="2" a="1"/>
  <c r="E324" i="2" a="1"/>
  <c r="F322" i="2" a="1"/>
  <c r="E324" i="2" l="1"/>
  <c r="D324" i="2"/>
  <c r="K321" i="2"/>
  <c r="I322" i="2"/>
  <c r="L321" i="2"/>
  <c r="N321" i="2"/>
  <c r="B326" i="2"/>
  <c r="C325" i="2"/>
  <c r="M320" i="2"/>
  <c r="F322" i="2"/>
  <c r="J321" i="2"/>
  <c r="G323" i="2"/>
  <c r="H323" i="2" s="1"/>
  <c r="O320" i="2"/>
  <c r="P320" i="2"/>
  <c r="I323" i="2" a="1"/>
  <c r="F323" i="2" a="1"/>
  <c r="K322" i="2" a="1"/>
  <c r="D325" i="2" a="1"/>
  <c r="E325" i="2" a="1"/>
  <c r="E325" i="2" l="1"/>
  <c r="D325" i="2"/>
  <c r="K322" i="2"/>
  <c r="I323" i="2"/>
  <c r="B327" i="2"/>
  <c r="C326" i="2"/>
  <c r="N322" i="2"/>
  <c r="L322" i="2"/>
  <c r="M321" i="2"/>
  <c r="J322" i="2"/>
  <c r="F323" i="2"/>
  <c r="O321" i="2"/>
  <c r="P321" i="2"/>
  <c r="G324" i="2"/>
  <c r="H324" i="2" s="1"/>
  <c r="K323" i="2" a="1"/>
  <c r="F324" i="2" a="1"/>
  <c r="I324" i="2" a="1"/>
  <c r="D326" i="2" a="1"/>
  <c r="E326" i="2" a="1"/>
  <c r="E326" i="2" l="1"/>
  <c r="D326" i="2"/>
  <c r="I324" i="2"/>
  <c r="K323" i="2"/>
  <c r="B328" i="2"/>
  <c r="C327" i="2"/>
  <c r="N323" i="2"/>
  <c r="L323" i="2"/>
  <c r="M322" i="2"/>
  <c r="J323" i="2"/>
  <c r="F324" i="2"/>
  <c r="G325" i="2"/>
  <c r="H325" i="2" s="1"/>
  <c r="O322" i="2"/>
  <c r="P322" i="2"/>
  <c r="K324" i="2" a="1"/>
  <c r="I325" i="2" a="1"/>
  <c r="D327" i="2" a="1"/>
  <c r="E327" i="2" a="1"/>
  <c r="F325" i="2" a="1"/>
  <c r="E327" i="2" l="1"/>
  <c r="D327" i="2"/>
  <c r="I325" i="2"/>
  <c r="K324" i="2"/>
  <c r="B329" i="2"/>
  <c r="C328" i="2"/>
  <c r="L324" i="2"/>
  <c r="N324" i="2"/>
  <c r="M323" i="2"/>
  <c r="J324" i="2"/>
  <c r="F325" i="2"/>
  <c r="P323" i="2"/>
  <c r="O323" i="2"/>
  <c r="G326" i="2"/>
  <c r="H326" i="2" s="1"/>
  <c r="E328" i="2" a="1"/>
  <c r="D328" i="2" a="1"/>
  <c r="I326" i="2" a="1"/>
  <c r="F326" i="2" a="1"/>
  <c r="K325" i="2" a="1"/>
  <c r="K325" i="2" l="1"/>
  <c r="I326" i="2"/>
  <c r="D328" i="2"/>
  <c r="E328" i="2"/>
  <c r="N325" i="2"/>
  <c r="L325" i="2"/>
  <c r="B330" i="2"/>
  <c r="C329" i="2"/>
  <c r="M324" i="2"/>
  <c r="O324" i="2" s="1"/>
  <c r="F326" i="2"/>
  <c r="J325" i="2"/>
  <c r="P324" i="2"/>
  <c r="G327" i="2"/>
  <c r="H327" i="2" s="1"/>
  <c r="K326" i="2" a="1"/>
  <c r="I327" i="2" a="1"/>
  <c r="F327" i="2" a="1"/>
  <c r="E329" i="2" a="1"/>
  <c r="D329" i="2" a="1"/>
  <c r="D329" i="2" l="1"/>
  <c r="E329" i="2"/>
  <c r="I327" i="2"/>
  <c r="K326" i="2"/>
  <c r="L326" i="2"/>
  <c r="N326" i="2"/>
  <c r="B331" i="2"/>
  <c r="C330" i="2"/>
  <c r="M325" i="2"/>
  <c r="F327" i="2"/>
  <c r="J326" i="2"/>
  <c r="O325" i="2"/>
  <c r="P325" i="2"/>
  <c r="G328" i="2"/>
  <c r="H328" i="2" s="1"/>
  <c r="K327" i="2" a="1"/>
  <c r="I328" i="2" a="1"/>
  <c r="F328" i="2" a="1"/>
  <c r="D330" i="2" a="1"/>
  <c r="E330" i="2" a="1"/>
  <c r="E330" i="2" l="1"/>
  <c r="D330" i="2"/>
  <c r="I328" i="2"/>
  <c r="K327" i="2"/>
  <c r="B332" i="2"/>
  <c r="C331" i="2"/>
  <c r="N327" i="2"/>
  <c r="L327" i="2"/>
  <c r="M326" i="2"/>
  <c r="F328" i="2"/>
  <c r="J327" i="2"/>
  <c r="O326" i="2"/>
  <c r="P326" i="2"/>
  <c r="G329" i="2"/>
  <c r="H329" i="2" s="1"/>
  <c r="K328" i="2" a="1"/>
  <c r="E331" i="2" a="1"/>
  <c r="D331" i="2" a="1"/>
  <c r="I329" i="2" a="1"/>
  <c r="F329" i="2" a="1"/>
  <c r="I329" i="2" l="1"/>
  <c r="D331" i="2"/>
  <c r="E331" i="2"/>
  <c r="K328" i="2"/>
  <c r="B333" i="2"/>
  <c r="C332" i="2"/>
  <c r="N328" i="2"/>
  <c r="L328" i="2"/>
  <c r="M327" i="2"/>
  <c r="F329" i="2"/>
  <c r="J328" i="2"/>
  <c r="P327" i="2"/>
  <c r="O327" i="2"/>
  <c r="G330" i="2"/>
  <c r="H330" i="2" s="1"/>
  <c r="K329" i="2" a="1"/>
  <c r="D332" i="2" a="1"/>
  <c r="E332" i="2" a="1"/>
  <c r="F330" i="2" a="1"/>
  <c r="I330" i="2" a="1"/>
  <c r="I330" i="2" l="1"/>
  <c r="E332" i="2"/>
  <c r="D332" i="2"/>
  <c r="K329" i="2"/>
  <c r="B334" i="2"/>
  <c r="C333" i="2"/>
  <c r="L329" i="2"/>
  <c r="N329" i="2"/>
  <c r="M328" i="2"/>
  <c r="J329" i="2"/>
  <c r="F330" i="2"/>
  <c r="O328" i="2"/>
  <c r="P328" i="2"/>
  <c r="G331" i="2"/>
  <c r="H331" i="2" s="1"/>
  <c r="K330" i="2" a="1"/>
  <c r="D333" i="2" a="1"/>
  <c r="E333" i="2" a="1"/>
  <c r="I331" i="2" a="1"/>
  <c r="F331" i="2" a="1"/>
  <c r="I331" i="2" l="1"/>
  <c r="E333" i="2"/>
  <c r="D333" i="2"/>
  <c r="K330" i="2"/>
  <c r="B335" i="2"/>
  <c r="C334" i="2"/>
  <c r="N330" i="2"/>
  <c r="L330" i="2"/>
  <c r="M329" i="2"/>
  <c r="O329" i="2" s="1"/>
  <c r="F331" i="2"/>
  <c r="J330" i="2"/>
  <c r="P329" i="2"/>
  <c r="G332" i="2"/>
  <c r="H332" i="2" s="1"/>
  <c r="K331" i="2" a="1"/>
  <c r="I332" i="2" a="1"/>
  <c r="D334" i="2" a="1"/>
  <c r="E334" i="2" a="1"/>
  <c r="F332" i="2" a="1"/>
  <c r="E334" i="2" l="1"/>
  <c r="D334" i="2"/>
  <c r="I332" i="2"/>
  <c r="K331" i="2"/>
  <c r="B336" i="2"/>
  <c r="C335" i="2"/>
  <c r="N331" i="2"/>
  <c r="L331" i="2"/>
  <c r="M330" i="2"/>
  <c r="O330" i="2" s="1"/>
  <c r="F332" i="2"/>
  <c r="J331" i="2"/>
  <c r="P330" i="2"/>
  <c r="G333" i="2"/>
  <c r="H333" i="2" s="1"/>
  <c r="K332" i="2" a="1"/>
  <c r="I333" i="2" a="1"/>
  <c r="D335" i="2" a="1"/>
  <c r="E335" i="2" a="1"/>
  <c r="F333" i="2" a="1"/>
  <c r="E335" i="2" l="1"/>
  <c r="D335" i="2"/>
  <c r="I333" i="2"/>
  <c r="K332" i="2"/>
  <c r="B337" i="2"/>
  <c r="C336" i="2"/>
  <c r="L332" i="2"/>
  <c r="N332" i="2"/>
  <c r="M331" i="2"/>
  <c r="O331" i="2" s="1"/>
  <c r="J332" i="2"/>
  <c r="P331" i="2"/>
  <c r="F333" i="2"/>
  <c r="G334" i="2"/>
  <c r="H334" i="2" s="1"/>
  <c r="F334" i="2" a="1"/>
  <c r="K333" i="2" a="1"/>
  <c r="I334" i="2" a="1"/>
  <c r="E336" i="2" a="1"/>
  <c r="D336" i="2" a="1"/>
  <c r="D336" i="2" l="1"/>
  <c r="E336" i="2"/>
  <c r="I334" i="2"/>
  <c r="K333" i="2"/>
  <c r="B338" i="2"/>
  <c r="C337" i="2"/>
  <c r="L333" i="2"/>
  <c r="N333" i="2"/>
  <c r="M332" i="2"/>
  <c r="O332" i="2" s="1"/>
  <c r="F334" i="2"/>
  <c r="J333" i="2"/>
  <c r="P332" i="2"/>
  <c r="G335" i="2"/>
  <c r="H335" i="2" s="1"/>
  <c r="K334" i="2" a="1"/>
  <c r="I335" i="2" a="1"/>
  <c r="E337" i="2" a="1"/>
  <c r="D337" i="2" a="1"/>
  <c r="F335" i="2" a="1"/>
  <c r="D337" i="2" l="1"/>
  <c r="E337" i="2"/>
  <c r="I335" i="2"/>
  <c r="K334" i="2"/>
  <c r="B339" i="2"/>
  <c r="C338" i="2"/>
  <c r="L334" i="2"/>
  <c r="N334" i="2"/>
  <c r="M333" i="2"/>
  <c r="O333" i="2" s="1"/>
  <c r="F335" i="2"/>
  <c r="J334" i="2"/>
  <c r="P333" i="2"/>
  <c r="G336" i="2"/>
  <c r="H336" i="2" s="1"/>
  <c r="D338" i="2" a="1"/>
  <c r="E338" i="2" a="1"/>
  <c r="F336" i="2" a="1"/>
  <c r="K335" i="2" a="1"/>
  <c r="I336" i="2" a="1"/>
  <c r="I336" i="2" l="1"/>
  <c r="K335" i="2"/>
  <c r="E338" i="2"/>
  <c r="D338" i="2"/>
  <c r="L335" i="2"/>
  <c r="P335" i="2" s="1"/>
  <c r="N335" i="2"/>
  <c r="B340" i="2"/>
  <c r="C339" i="2"/>
  <c r="M334" i="2"/>
  <c r="O334" i="2" s="1"/>
  <c r="J335" i="2"/>
  <c r="F336" i="2"/>
  <c r="P334" i="2"/>
  <c r="G337" i="2"/>
  <c r="H337" i="2" s="1"/>
  <c r="K336" i="2" a="1"/>
  <c r="I337" i="2" a="1"/>
  <c r="E339" i="2" a="1"/>
  <c r="D339" i="2" a="1"/>
  <c r="F337" i="2" a="1"/>
  <c r="D339" i="2" l="1"/>
  <c r="E339" i="2"/>
  <c r="I337" i="2"/>
  <c r="K336" i="2"/>
  <c r="B341" i="2"/>
  <c r="C340" i="2"/>
  <c r="L336" i="2"/>
  <c r="N336" i="2"/>
  <c r="M335" i="2"/>
  <c r="O335" i="2" s="1"/>
  <c r="F337" i="2"/>
  <c r="J336" i="2"/>
  <c r="G338" i="2"/>
  <c r="H338" i="2" s="1"/>
  <c r="K337" i="2" a="1"/>
  <c r="I338" i="2" a="1"/>
  <c r="F338" i="2" a="1"/>
  <c r="D340" i="2" a="1"/>
  <c r="E340" i="2" a="1"/>
  <c r="E340" i="2" l="1"/>
  <c r="D340" i="2"/>
  <c r="I338" i="2"/>
  <c r="K337" i="2"/>
  <c r="B342" i="2"/>
  <c r="C341" i="2"/>
  <c r="L337" i="2"/>
  <c r="N337" i="2"/>
  <c r="M336" i="2"/>
  <c r="O336" i="2" s="1"/>
  <c r="F338" i="2"/>
  <c r="J337" i="2"/>
  <c r="P336" i="2"/>
  <c r="G339" i="2"/>
  <c r="H339" i="2" s="1"/>
  <c r="K338" i="2" a="1"/>
  <c r="E341" i="2" a="1"/>
  <c r="D341" i="2" a="1"/>
  <c r="I339" i="2" a="1"/>
  <c r="F339" i="2" a="1"/>
  <c r="I339" i="2" l="1"/>
  <c r="D341" i="2"/>
  <c r="E341" i="2"/>
  <c r="K338" i="2"/>
  <c r="B343" i="2"/>
  <c r="C342" i="2"/>
  <c r="N338" i="2"/>
  <c r="L338" i="2"/>
  <c r="M337" i="2"/>
  <c r="F339" i="2"/>
  <c r="J338" i="2"/>
  <c r="P337" i="2"/>
  <c r="O337" i="2"/>
  <c r="G340" i="2"/>
  <c r="H340" i="2" s="1"/>
  <c r="K339" i="2" a="1"/>
  <c r="D342" i="2" a="1"/>
  <c r="E342" i="2" a="1"/>
  <c r="I340" i="2" a="1"/>
  <c r="F340" i="2" a="1"/>
  <c r="I340" i="2" l="1"/>
  <c r="E342" i="2"/>
  <c r="D342" i="2"/>
  <c r="K339" i="2"/>
  <c r="B344" i="2"/>
  <c r="C343" i="2"/>
  <c r="N339" i="2"/>
  <c r="L339" i="2"/>
  <c r="M338" i="2"/>
  <c r="F340" i="2"/>
  <c r="J339" i="2"/>
  <c r="P338" i="2"/>
  <c r="O338" i="2"/>
  <c r="G341" i="2"/>
  <c r="H341" i="2" s="1"/>
  <c r="K340" i="2" a="1"/>
  <c r="F341" i="2" a="1"/>
  <c r="D343" i="2" a="1"/>
  <c r="E343" i="2" a="1"/>
  <c r="I341" i="2" a="1"/>
  <c r="I341" i="2" l="1"/>
  <c r="E343" i="2"/>
  <c r="D343" i="2"/>
  <c r="K340" i="2"/>
  <c r="B345" i="2"/>
  <c r="C344" i="2"/>
  <c r="N340" i="2"/>
  <c r="L340" i="2"/>
  <c r="P340" i="2" s="1"/>
  <c r="M339" i="2"/>
  <c r="J340" i="2"/>
  <c r="F341" i="2"/>
  <c r="G342" i="2"/>
  <c r="H342" i="2" s="1"/>
  <c r="O339" i="2"/>
  <c r="P339" i="2"/>
  <c r="K341" i="2" a="1"/>
  <c r="E344" i="2" a="1"/>
  <c r="D344" i="2" a="1"/>
  <c r="I342" i="2" a="1"/>
  <c r="F342" i="2" a="1"/>
  <c r="I342" i="2" l="1"/>
  <c r="D344" i="2"/>
  <c r="E344" i="2"/>
  <c r="K341" i="2"/>
  <c r="B346" i="2"/>
  <c r="C345" i="2"/>
  <c r="N341" i="2"/>
  <c r="L341" i="2"/>
  <c r="M340" i="2"/>
  <c r="O340" i="2" s="1"/>
  <c r="F342" i="2"/>
  <c r="J341" i="2"/>
  <c r="G343" i="2"/>
  <c r="H343" i="2" s="1"/>
  <c r="K342" i="2" a="1"/>
  <c r="F343" i="2" a="1"/>
  <c r="I343" i="2" a="1"/>
  <c r="D345" i="2" a="1"/>
  <c r="E345" i="2" a="1"/>
  <c r="E345" i="2" l="1"/>
  <c r="D345" i="2"/>
  <c r="I343" i="2"/>
  <c r="K342" i="2"/>
  <c r="B347" i="2"/>
  <c r="C346" i="2"/>
  <c r="L342" i="2"/>
  <c r="N342" i="2"/>
  <c r="M341" i="2"/>
  <c r="J342" i="2"/>
  <c r="F343" i="2"/>
  <c r="O341" i="2"/>
  <c r="P341" i="2"/>
  <c r="G344" i="2"/>
  <c r="H344" i="2" s="1"/>
  <c r="I344" i="2" a="1"/>
  <c r="K343" i="2" a="1"/>
  <c r="F344" i="2" a="1"/>
  <c r="D346" i="2" a="1"/>
  <c r="E346" i="2" a="1"/>
  <c r="E346" i="2" l="1"/>
  <c r="D346" i="2"/>
  <c r="K343" i="2"/>
  <c r="I344" i="2"/>
  <c r="B348" i="2"/>
  <c r="C347" i="2"/>
  <c r="L343" i="2"/>
  <c r="N343" i="2"/>
  <c r="M342" i="2"/>
  <c r="O342" i="2" s="1"/>
  <c r="J343" i="2"/>
  <c r="F344" i="2"/>
  <c r="P342" i="2"/>
  <c r="G345" i="2"/>
  <c r="H345" i="2" s="1"/>
  <c r="F345" i="2" a="1"/>
  <c r="K344" i="2" a="1"/>
  <c r="D347" i="2" a="1"/>
  <c r="E347" i="2" a="1"/>
  <c r="I345" i="2" a="1"/>
  <c r="I345" i="2" l="1"/>
  <c r="E347" i="2"/>
  <c r="D347" i="2"/>
  <c r="K344" i="2"/>
  <c r="B349" i="2"/>
  <c r="C348" i="2"/>
  <c r="N344" i="2"/>
  <c r="L344" i="2"/>
  <c r="M343" i="2"/>
  <c r="J344" i="2"/>
  <c r="F345" i="2"/>
  <c r="P343" i="2"/>
  <c r="O343" i="2"/>
  <c r="G346" i="2"/>
  <c r="H346" i="2" s="1"/>
  <c r="K345" i="2" a="1"/>
  <c r="D348" i="2" a="1"/>
  <c r="E348" i="2" a="1"/>
  <c r="F346" i="2" a="1"/>
  <c r="I346" i="2" a="1"/>
  <c r="I346" i="2" l="1"/>
  <c r="E348" i="2"/>
  <c r="D348" i="2"/>
  <c r="K345" i="2"/>
  <c r="B350" i="2"/>
  <c r="C349" i="2"/>
  <c r="L345" i="2"/>
  <c r="N345" i="2"/>
  <c r="M344" i="2"/>
  <c r="O344" i="2" s="1"/>
  <c r="J345" i="2"/>
  <c r="F346" i="2"/>
  <c r="G347" i="2"/>
  <c r="H347" i="2" s="1"/>
  <c r="P344" i="2"/>
  <c r="K346" i="2" a="1"/>
  <c r="F347" i="2" a="1"/>
  <c r="I347" i="2" a="1"/>
  <c r="E349" i="2" a="1"/>
  <c r="D349" i="2" a="1"/>
  <c r="D349" i="2" l="1"/>
  <c r="E349" i="2"/>
  <c r="I347" i="2"/>
  <c r="K346" i="2"/>
  <c r="B351" i="2"/>
  <c r="C350" i="2"/>
  <c r="N346" i="2"/>
  <c r="L346" i="2"/>
  <c r="P346" i="2" s="1"/>
  <c r="M345" i="2"/>
  <c r="O345" i="2" s="1"/>
  <c r="J346" i="2"/>
  <c r="F347" i="2"/>
  <c r="P345" i="2"/>
  <c r="G348" i="2"/>
  <c r="H348" i="2" s="1"/>
  <c r="F348" i="2" a="1"/>
  <c r="K347" i="2" a="1"/>
  <c r="I348" i="2" a="1"/>
  <c r="D350" i="2" a="1"/>
  <c r="E350" i="2" a="1"/>
  <c r="E350" i="2" l="1"/>
  <c r="D350" i="2"/>
  <c r="I348" i="2"/>
  <c r="K347" i="2"/>
  <c r="B352" i="2"/>
  <c r="C351" i="2"/>
  <c r="N347" i="2"/>
  <c r="L347" i="2"/>
  <c r="M346" i="2"/>
  <c r="O346" i="2" s="1"/>
  <c r="F348" i="2"/>
  <c r="J347" i="2"/>
  <c r="G349" i="2"/>
  <c r="H349" i="2" s="1"/>
  <c r="K348" i="2" a="1"/>
  <c r="I349" i="2" a="1"/>
  <c r="E351" i="2" a="1"/>
  <c r="D351" i="2" a="1"/>
  <c r="F349" i="2" a="1"/>
  <c r="D351" i="2" l="1"/>
  <c r="E351" i="2"/>
  <c r="I349" i="2"/>
  <c r="K348" i="2"/>
  <c r="N348" i="2"/>
  <c r="L348" i="2"/>
  <c r="B353" i="2"/>
  <c r="C352" i="2"/>
  <c r="M347" i="2"/>
  <c r="O347" i="2" s="1"/>
  <c r="F349" i="2"/>
  <c r="J348" i="2"/>
  <c r="G351" i="2"/>
  <c r="H351" i="2" s="1"/>
  <c r="P347" i="2"/>
  <c r="G350" i="2"/>
  <c r="H350" i="2" s="1"/>
  <c r="D352" i="2" a="1"/>
  <c r="E352" i="2" a="1"/>
  <c r="F351" i="2" a="1"/>
  <c r="I350" i="2" a="1"/>
  <c r="K349" i="2" a="1"/>
  <c r="I351" i="2" a="1"/>
  <c r="F350" i="2" a="1"/>
  <c r="I351" i="2" l="1"/>
  <c r="K349" i="2"/>
  <c r="I350" i="2"/>
  <c r="E352" i="2"/>
  <c r="D352" i="2"/>
  <c r="B354" i="2"/>
  <c r="C353" i="2"/>
  <c r="L349" i="2"/>
  <c r="N349" i="2"/>
  <c r="L351" i="2"/>
  <c r="M348" i="2"/>
  <c r="J349" i="2"/>
  <c r="F351" i="2"/>
  <c r="F350" i="2"/>
  <c r="G352" i="2"/>
  <c r="H352" i="2" s="1"/>
  <c r="O348" i="2"/>
  <c r="P348" i="2"/>
  <c r="K351" i="2" a="1"/>
  <c r="D353" i="2" a="1"/>
  <c r="E353" i="2" a="1"/>
  <c r="F352" i="2" a="1"/>
  <c r="K350" i="2" a="1"/>
  <c r="I352" i="2" a="1"/>
  <c r="I352" i="2" l="1"/>
  <c r="K350" i="2"/>
  <c r="E353" i="2"/>
  <c r="D353" i="2"/>
  <c r="K351" i="2"/>
  <c r="B355" i="2"/>
  <c r="C354" i="2"/>
  <c r="N350" i="2"/>
  <c r="L350" i="2"/>
  <c r="N351" i="2"/>
  <c r="M349" i="2"/>
  <c r="O349" i="2" s="1"/>
  <c r="P351" i="2"/>
  <c r="F352" i="2"/>
  <c r="J350" i="2"/>
  <c r="J351" i="2"/>
  <c r="G353" i="2"/>
  <c r="H353" i="2" s="1"/>
  <c r="P349" i="2"/>
  <c r="K352" i="2" a="1"/>
  <c r="F353" i="2" a="1"/>
  <c r="I353" i="2" a="1"/>
  <c r="D354" i="2" a="1"/>
  <c r="E354" i="2" a="1"/>
  <c r="E354" i="2" l="1"/>
  <c r="D354" i="2"/>
  <c r="I353" i="2"/>
  <c r="K352" i="2"/>
  <c r="B356" i="2"/>
  <c r="C355" i="2"/>
  <c r="L352" i="2"/>
  <c r="N352" i="2"/>
  <c r="M350" i="2"/>
  <c r="M351" i="2"/>
  <c r="O351" i="2" s="1"/>
  <c r="J352" i="2"/>
  <c r="F353" i="2"/>
  <c r="G354" i="2"/>
  <c r="H354" i="2" s="1"/>
  <c r="O350" i="2"/>
  <c r="P350" i="2"/>
  <c r="K353" i="2" a="1"/>
  <c r="I354" i="2" a="1"/>
  <c r="E355" i="2" a="1"/>
  <c r="D355" i="2" a="1"/>
  <c r="F354" i="2" a="1"/>
  <c r="D355" i="2" l="1"/>
  <c r="E355" i="2"/>
  <c r="I354" i="2"/>
  <c r="K353" i="2"/>
  <c r="L353" i="2"/>
  <c r="N353" i="2"/>
  <c r="B357" i="2"/>
  <c r="C356" i="2"/>
  <c r="M352" i="2"/>
  <c r="O352" i="2" s="1"/>
  <c r="J353" i="2"/>
  <c r="F354" i="2"/>
  <c r="G355" i="2"/>
  <c r="H355" i="2" s="1"/>
  <c r="P352" i="2"/>
  <c r="K354" i="2" a="1"/>
  <c r="I355" i="2" a="1"/>
  <c r="D356" i="2" a="1"/>
  <c r="E356" i="2" a="1"/>
  <c r="F355" i="2" a="1"/>
  <c r="E356" i="2" l="1"/>
  <c r="D356" i="2"/>
  <c r="I355" i="2"/>
  <c r="K354" i="2"/>
  <c r="B358" i="2"/>
  <c r="C357" i="2"/>
  <c r="L354" i="2"/>
  <c r="P354" i="2" s="1"/>
  <c r="N354" i="2"/>
  <c r="M353" i="2"/>
  <c r="J354" i="2"/>
  <c r="F355" i="2"/>
  <c r="G356" i="2"/>
  <c r="H356" i="2" s="1"/>
  <c r="P353" i="2"/>
  <c r="O353" i="2"/>
  <c r="F356" i="2" a="1"/>
  <c r="K355" i="2" a="1"/>
  <c r="D357" i="2" a="1"/>
  <c r="E357" i="2" a="1"/>
  <c r="I356" i="2" a="1"/>
  <c r="I356" i="2" l="1"/>
  <c r="E357" i="2"/>
  <c r="D357" i="2"/>
  <c r="K355" i="2"/>
  <c r="B359" i="2"/>
  <c r="C358" i="2"/>
  <c r="N355" i="2"/>
  <c r="L355" i="2"/>
  <c r="M354" i="2"/>
  <c r="O354" i="2" s="1"/>
  <c r="F356" i="2"/>
  <c r="J355" i="2"/>
  <c r="G357" i="2"/>
  <c r="H357" i="2" s="1"/>
  <c r="K356" i="2" a="1"/>
  <c r="E358" i="2" a="1"/>
  <c r="D358" i="2" a="1"/>
  <c r="I357" i="2" a="1"/>
  <c r="F357" i="2" a="1"/>
  <c r="I357" i="2" l="1"/>
  <c r="D358" i="2"/>
  <c r="E358" i="2"/>
  <c r="K356" i="2"/>
  <c r="B360" i="2"/>
  <c r="C359" i="2"/>
  <c r="L357" i="2"/>
  <c r="L356" i="2"/>
  <c r="N356" i="2"/>
  <c r="M355" i="2"/>
  <c r="O355" i="2" s="1"/>
  <c r="J356" i="2"/>
  <c r="P355" i="2"/>
  <c r="F357" i="2"/>
  <c r="G358" i="2"/>
  <c r="H358" i="2" s="1"/>
  <c r="K357" i="2" a="1"/>
  <c r="E359" i="2" a="1"/>
  <c r="D359" i="2" a="1"/>
  <c r="I358" i="2" a="1"/>
  <c r="F358" i="2" a="1"/>
  <c r="I358" i="2" l="1"/>
  <c r="D359" i="2"/>
  <c r="E359" i="2"/>
  <c r="K357" i="2"/>
  <c r="B361" i="2"/>
  <c r="C360" i="2"/>
  <c r="N357" i="2"/>
  <c r="M356" i="2"/>
  <c r="O356" i="2" s="1"/>
  <c r="P357" i="2"/>
  <c r="J357" i="2"/>
  <c r="F358" i="2"/>
  <c r="G359" i="2"/>
  <c r="H359" i="2" s="1"/>
  <c r="P356" i="2"/>
  <c r="K358" i="2" a="1"/>
  <c r="F359" i="2" a="1"/>
  <c r="I359" i="2" a="1"/>
  <c r="E360" i="2" a="1"/>
  <c r="D360" i="2" a="1"/>
  <c r="D360" i="2" l="1"/>
  <c r="E360" i="2"/>
  <c r="I359" i="2"/>
  <c r="K358" i="2"/>
  <c r="B362" i="2"/>
  <c r="C361" i="2"/>
  <c r="L358" i="2"/>
  <c r="P358" i="2" s="1"/>
  <c r="N358" i="2"/>
  <c r="M357" i="2"/>
  <c r="O357" i="2" s="1"/>
  <c r="J358" i="2"/>
  <c r="F359" i="2"/>
  <c r="G360" i="2"/>
  <c r="H360" i="2" s="1"/>
  <c r="I360" i="2" a="1"/>
  <c r="F360" i="2" a="1"/>
  <c r="K359" i="2" a="1"/>
  <c r="E361" i="2" a="1"/>
  <c r="D361" i="2" a="1"/>
  <c r="D361" i="2" l="1"/>
  <c r="E361" i="2"/>
  <c r="K359" i="2"/>
  <c r="I360" i="2"/>
  <c r="L359" i="2"/>
  <c r="N359" i="2"/>
  <c r="B363" i="2"/>
  <c r="C362" i="2"/>
  <c r="M358" i="2"/>
  <c r="O358" i="2" s="1"/>
  <c r="F360" i="2"/>
  <c r="J359" i="2"/>
  <c r="G361" i="2"/>
  <c r="H361" i="2" s="1"/>
  <c r="D362" i="2" a="1"/>
  <c r="E362" i="2" a="1"/>
  <c r="K360" i="2" a="1"/>
  <c r="I361" i="2" a="1"/>
  <c r="F361" i="2" a="1"/>
  <c r="I361" i="2" l="1"/>
  <c r="K360" i="2"/>
  <c r="E362" i="2"/>
  <c r="D362" i="2"/>
  <c r="B364" i="2"/>
  <c r="C363" i="2"/>
  <c r="N360" i="2"/>
  <c r="L360" i="2"/>
  <c r="L361" i="2"/>
  <c r="M359" i="2"/>
  <c r="O359" i="2" s="1"/>
  <c r="J360" i="2"/>
  <c r="P359" i="2"/>
  <c r="F361" i="2"/>
  <c r="G362" i="2"/>
  <c r="H362" i="2" s="1"/>
  <c r="K361" i="2" a="1"/>
  <c r="E363" i="2" a="1"/>
  <c r="D363" i="2" a="1"/>
  <c r="I362" i="2" a="1"/>
  <c r="F362" i="2" a="1"/>
  <c r="I362" i="2" l="1"/>
  <c r="D363" i="2"/>
  <c r="E363" i="2"/>
  <c r="K361" i="2"/>
  <c r="B365" i="2"/>
  <c r="C364" i="2"/>
  <c r="N361" i="2"/>
  <c r="M360" i="2"/>
  <c r="O360" i="2" s="1"/>
  <c r="J361" i="2"/>
  <c r="F362" i="2"/>
  <c r="P360" i="2"/>
  <c r="G363" i="2"/>
  <c r="H363" i="2" s="1"/>
  <c r="K362" i="2" a="1"/>
  <c r="I363" i="2" a="1"/>
  <c r="E364" i="2" a="1"/>
  <c r="D364" i="2" a="1"/>
  <c r="F363" i="2" a="1"/>
  <c r="D364" i="2" l="1"/>
  <c r="E364" i="2"/>
  <c r="I363" i="2"/>
  <c r="K362" i="2"/>
  <c r="B366" i="2"/>
  <c r="C365" i="2"/>
  <c r="L362" i="2"/>
  <c r="N362" i="2"/>
  <c r="M361" i="2"/>
  <c r="F363" i="2"/>
  <c r="J362" i="2"/>
  <c r="G364" i="2"/>
  <c r="H364" i="2" s="1"/>
  <c r="P361" i="2"/>
  <c r="O361" i="2"/>
  <c r="K363" i="2" a="1"/>
  <c r="I364" i="2" a="1"/>
  <c r="D365" i="2" a="1"/>
  <c r="E365" i="2" a="1"/>
  <c r="F364" i="2" a="1"/>
  <c r="E365" i="2" l="1"/>
  <c r="D365" i="2"/>
  <c r="I364" i="2"/>
  <c r="K363" i="2"/>
  <c r="L363" i="2"/>
  <c r="N363" i="2"/>
  <c r="B367" i="2"/>
  <c r="C366" i="2"/>
  <c r="M362" i="2"/>
  <c r="F364" i="2"/>
  <c r="J363" i="2"/>
  <c r="P362" i="2"/>
  <c r="O362" i="2"/>
  <c r="G365" i="2"/>
  <c r="H365" i="2" s="1"/>
  <c r="K364" i="2" a="1"/>
  <c r="I365" i="2" a="1"/>
  <c r="F365" i="2" a="1"/>
  <c r="D366" i="2" a="1"/>
  <c r="E366" i="2" a="1"/>
  <c r="E366" i="2" l="1"/>
  <c r="D366" i="2"/>
  <c r="I365" i="2"/>
  <c r="K364" i="2"/>
  <c r="B368" i="2"/>
  <c r="C367" i="2"/>
  <c r="L364" i="2"/>
  <c r="N364" i="2"/>
  <c r="M363" i="2"/>
  <c r="O363" i="2" s="1"/>
  <c r="F365" i="2"/>
  <c r="P363" i="2"/>
  <c r="J364" i="2"/>
  <c r="G366" i="2"/>
  <c r="H366" i="2" s="1"/>
  <c r="F366" i="2" a="1"/>
  <c r="K365" i="2" a="1"/>
  <c r="I366" i="2" a="1"/>
  <c r="D367" i="2" a="1"/>
  <c r="E367" i="2" a="1"/>
  <c r="E367" i="2" l="1"/>
  <c r="D367" i="2"/>
  <c r="I366" i="2"/>
  <c r="K365" i="2"/>
  <c r="L365" i="2"/>
  <c r="N365" i="2"/>
  <c r="B369" i="2"/>
  <c r="C368" i="2"/>
  <c r="M364" i="2"/>
  <c r="O364" i="2" s="1"/>
  <c r="J365" i="2"/>
  <c r="F366" i="2"/>
  <c r="P364" i="2"/>
  <c r="G367" i="2"/>
  <c r="H367" i="2" s="1"/>
  <c r="K366" i="2" a="1"/>
  <c r="I367" i="2" a="1"/>
  <c r="E368" i="2" a="1"/>
  <c r="D368" i="2" a="1"/>
  <c r="F367" i="2" a="1"/>
  <c r="D368" i="2" l="1"/>
  <c r="E368" i="2"/>
  <c r="I367" i="2"/>
  <c r="K366" i="2"/>
  <c r="B370" i="2"/>
  <c r="C369" i="2"/>
  <c r="N366" i="2"/>
  <c r="L366" i="2"/>
  <c r="M365" i="2"/>
  <c r="F367" i="2"/>
  <c r="J366" i="2"/>
  <c r="O365" i="2"/>
  <c r="P365" i="2"/>
  <c r="G368" i="2"/>
  <c r="H368" i="2" s="1"/>
  <c r="K367" i="2" a="1"/>
  <c r="D369" i="2" a="1"/>
  <c r="E369" i="2" a="1"/>
  <c r="I368" i="2" a="1"/>
  <c r="F368" i="2" a="1"/>
  <c r="I368" i="2" l="1"/>
  <c r="E369" i="2"/>
  <c r="D369" i="2"/>
  <c r="K367" i="2"/>
  <c r="B371" i="2"/>
  <c r="C370" i="2"/>
  <c r="L367" i="2"/>
  <c r="P367" i="2" s="1"/>
  <c r="N367" i="2"/>
  <c r="M366" i="2"/>
  <c r="J367" i="2"/>
  <c r="F368" i="2"/>
  <c r="G369" i="2"/>
  <c r="H369" i="2" s="1"/>
  <c r="P366" i="2"/>
  <c r="O366" i="2"/>
  <c r="K368" i="2" a="1"/>
  <c r="I369" i="2" a="1"/>
  <c r="E370" i="2" a="1"/>
  <c r="D370" i="2" a="1"/>
  <c r="F369" i="2" a="1"/>
  <c r="D370" i="2" l="1"/>
  <c r="E370" i="2"/>
  <c r="I369" i="2"/>
  <c r="K368" i="2"/>
  <c r="B372" i="2"/>
  <c r="C371" i="2"/>
  <c r="L368" i="2"/>
  <c r="N368" i="2"/>
  <c r="M367" i="2"/>
  <c r="O367" i="2" s="1"/>
  <c r="J368" i="2"/>
  <c r="F369" i="2"/>
  <c r="G370" i="2"/>
  <c r="H370" i="2" s="1"/>
  <c r="D371" i="2" a="1"/>
  <c r="E371" i="2" a="1"/>
  <c r="K369" i="2" a="1"/>
  <c r="I370" i="2" a="1"/>
  <c r="F370" i="2" a="1"/>
  <c r="I370" i="2" l="1"/>
  <c r="K369" i="2"/>
  <c r="E371" i="2"/>
  <c r="D371" i="2"/>
  <c r="B373" i="2"/>
  <c r="C372" i="2"/>
  <c r="L369" i="2"/>
  <c r="N369" i="2"/>
  <c r="M368" i="2"/>
  <c r="O368" i="2" s="1"/>
  <c r="F370" i="2"/>
  <c r="J369" i="2"/>
  <c r="P368" i="2"/>
  <c r="G371" i="2"/>
  <c r="H371" i="2" s="1"/>
  <c r="K370" i="2" a="1"/>
  <c r="F371" i="2" a="1"/>
  <c r="D372" i="2" a="1"/>
  <c r="E372" i="2" a="1"/>
  <c r="I371" i="2" a="1"/>
  <c r="I371" i="2" l="1"/>
  <c r="E372" i="2"/>
  <c r="D372" i="2"/>
  <c r="K370" i="2"/>
  <c r="B374" i="2"/>
  <c r="C373" i="2"/>
  <c r="L370" i="2"/>
  <c r="P370" i="2" s="1"/>
  <c r="N370" i="2"/>
  <c r="M369" i="2"/>
  <c r="O369" i="2" s="1"/>
  <c r="J370" i="2"/>
  <c r="F371" i="2"/>
  <c r="P369" i="2"/>
  <c r="G372" i="2"/>
  <c r="H372" i="2" s="1"/>
  <c r="K371" i="2" a="1"/>
  <c r="F372" i="2" a="1"/>
  <c r="E373" i="2" a="1"/>
  <c r="D373" i="2" a="1"/>
  <c r="I372" i="2" a="1"/>
  <c r="I372" i="2" l="1"/>
  <c r="D373" i="2"/>
  <c r="E373" i="2"/>
  <c r="K371" i="2"/>
  <c r="B375" i="2"/>
  <c r="C374" i="2"/>
  <c r="L371" i="2"/>
  <c r="N371" i="2"/>
  <c r="M370" i="2"/>
  <c r="O370" i="2" s="1"/>
  <c r="F372" i="2"/>
  <c r="J371" i="2"/>
  <c r="G373" i="2"/>
  <c r="H373" i="2" s="1"/>
  <c r="K372" i="2" a="1"/>
  <c r="F373" i="2" a="1"/>
  <c r="I373" i="2" a="1"/>
  <c r="D374" i="2" a="1"/>
  <c r="E374" i="2" a="1"/>
  <c r="E374" i="2" l="1"/>
  <c r="D374" i="2"/>
  <c r="I373" i="2"/>
  <c r="K372" i="2"/>
  <c r="B376" i="2"/>
  <c r="C375" i="2"/>
  <c r="L372" i="2"/>
  <c r="P372" i="2" s="1"/>
  <c r="N372" i="2"/>
  <c r="M371" i="2"/>
  <c r="O371" i="2" s="1"/>
  <c r="J372" i="2"/>
  <c r="P371" i="2"/>
  <c r="F373" i="2"/>
  <c r="G374" i="2"/>
  <c r="H374" i="2" s="1"/>
  <c r="I374" i="2" a="1"/>
  <c r="F374" i="2" a="1"/>
  <c r="K373" i="2" a="1"/>
  <c r="D375" i="2" a="1"/>
  <c r="E375" i="2" a="1"/>
  <c r="E375" i="2" l="1"/>
  <c r="D375" i="2"/>
  <c r="K373" i="2"/>
  <c r="I374" i="2"/>
  <c r="B377" i="2"/>
  <c r="C376" i="2"/>
  <c r="N373" i="2"/>
  <c r="L373" i="2"/>
  <c r="M372" i="2"/>
  <c r="O372" i="2" s="1"/>
  <c r="F374" i="2"/>
  <c r="J373" i="2"/>
  <c r="G375" i="2"/>
  <c r="H375" i="2" s="1"/>
  <c r="E376" i="2" a="1"/>
  <c r="D376" i="2" a="1"/>
  <c r="K374" i="2" a="1"/>
  <c r="F375" i="2" a="1"/>
  <c r="I375" i="2" a="1"/>
  <c r="I375" i="2" l="1"/>
  <c r="K374" i="2"/>
  <c r="D376" i="2"/>
  <c r="E376" i="2"/>
  <c r="B378" i="2"/>
  <c r="C377" i="2"/>
  <c r="L374" i="2"/>
  <c r="N374" i="2"/>
  <c r="M373" i="2"/>
  <c r="O373" i="2" s="1"/>
  <c r="F375" i="2"/>
  <c r="J374" i="2"/>
  <c r="P373" i="2"/>
  <c r="G376" i="2"/>
  <c r="H376" i="2" s="1"/>
  <c r="K375" i="2" a="1"/>
  <c r="I376" i="2" a="1"/>
  <c r="D377" i="2" a="1"/>
  <c r="E377" i="2" a="1"/>
  <c r="F376" i="2" a="1"/>
  <c r="E377" i="2" l="1"/>
  <c r="D377" i="2"/>
  <c r="I376" i="2"/>
  <c r="K375" i="2"/>
  <c r="B379" i="2"/>
  <c r="C378" i="2"/>
  <c r="L375" i="2"/>
  <c r="N375" i="2"/>
  <c r="M374" i="2"/>
  <c r="J375" i="2"/>
  <c r="F376" i="2"/>
  <c r="O374" i="2"/>
  <c r="P374" i="2"/>
  <c r="G377" i="2"/>
  <c r="H377" i="2" s="1"/>
  <c r="I377" i="2" a="1"/>
  <c r="K376" i="2" a="1"/>
  <c r="F377" i="2" a="1"/>
  <c r="E378" i="2" a="1"/>
  <c r="D378" i="2" a="1"/>
  <c r="D378" i="2" l="1"/>
  <c r="E378" i="2"/>
  <c r="K376" i="2"/>
  <c r="I377" i="2"/>
  <c r="L376" i="2"/>
  <c r="N376" i="2"/>
  <c r="B380" i="2"/>
  <c r="C379" i="2"/>
  <c r="M375" i="2"/>
  <c r="J376" i="2"/>
  <c r="F377" i="2"/>
  <c r="G378" i="2"/>
  <c r="H378" i="2" s="1"/>
  <c r="P375" i="2"/>
  <c r="O375" i="2"/>
  <c r="I378" i="2" a="1"/>
  <c r="D379" i="2" a="1"/>
  <c r="E379" i="2" a="1"/>
  <c r="K377" i="2" a="1"/>
  <c r="F378" i="2" a="1"/>
  <c r="K377" i="2" l="1"/>
  <c r="E379" i="2"/>
  <c r="D379" i="2"/>
  <c r="I378" i="2"/>
  <c r="L377" i="2"/>
  <c r="P377" i="2" s="1"/>
  <c r="N377" i="2"/>
  <c r="L378" i="2"/>
  <c r="B381" i="2"/>
  <c r="C380" i="2"/>
  <c r="M376" i="2"/>
  <c r="O376" i="2" s="1"/>
  <c r="J377" i="2"/>
  <c r="F378" i="2"/>
  <c r="P376" i="2"/>
  <c r="G379" i="2"/>
  <c r="H379" i="2" s="1"/>
  <c r="D380" i="2" a="1"/>
  <c r="E380" i="2" a="1"/>
  <c r="F379" i="2" a="1"/>
  <c r="K378" i="2" a="1"/>
  <c r="I379" i="2" a="1"/>
  <c r="I379" i="2" l="1"/>
  <c r="K378" i="2"/>
  <c r="E380" i="2"/>
  <c r="D380" i="2"/>
  <c r="B382" i="2"/>
  <c r="C381" i="2"/>
  <c r="N378" i="2"/>
  <c r="L379" i="2"/>
  <c r="M377" i="2"/>
  <c r="O377" i="2" s="1"/>
  <c r="F379" i="2"/>
  <c r="J378" i="2"/>
  <c r="G380" i="2"/>
  <c r="H380" i="2" s="1"/>
  <c r="K379" i="2" a="1"/>
  <c r="I380" i="2" a="1"/>
  <c r="F380" i="2" a="1"/>
  <c r="E381" i="2" a="1"/>
  <c r="D381" i="2" a="1"/>
  <c r="D381" i="2" l="1"/>
  <c r="E381" i="2"/>
  <c r="I380" i="2"/>
  <c r="K379" i="2"/>
  <c r="B383" i="2"/>
  <c r="C382" i="2"/>
  <c r="N379" i="2"/>
  <c r="M378" i="2"/>
  <c r="O378" i="2" s="1"/>
  <c r="J379" i="2"/>
  <c r="F380" i="2"/>
  <c r="P378" i="2"/>
  <c r="G381" i="2"/>
  <c r="H381" i="2" s="1"/>
  <c r="K380" i="2" a="1"/>
  <c r="I381" i="2" a="1"/>
  <c r="D382" i="2" a="1"/>
  <c r="E382" i="2" a="1"/>
  <c r="F381" i="2" a="1"/>
  <c r="E382" i="2" l="1"/>
  <c r="D382" i="2"/>
  <c r="I381" i="2"/>
  <c r="K380" i="2"/>
  <c r="B384" i="2"/>
  <c r="C383" i="2"/>
  <c r="L380" i="2"/>
  <c r="N380" i="2"/>
  <c r="M379" i="2"/>
  <c r="O379" i="2" s="1"/>
  <c r="F381" i="2"/>
  <c r="J380" i="2"/>
  <c r="G382" i="2"/>
  <c r="H382" i="2" s="1"/>
  <c r="P379" i="2"/>
  <c r="K381" i="2" a="1"/>
  <c r="I382" i="2" a="1"/>
  <c r="D383" i="2" a="1"/>
  <c r="E383" i="2" a="1"/>
  <c r="F382" i="2" a="1"/>
  <c r="E383" i="2" l="1"/>
  <c r="D383" i="2"/>
  <c r="I382" i="2"/>
  <c r="K381" i="2"/>
  <c r="B385" i="2"/>
  <c r="C384" i="2"/>
  <c r="L381" i="2"/>
  <c r="N381" i="2"/>
  <c r="M380" i="2"/>
  <c r="O380" i="2" s="1"/>
  <c r="F382" i="2"/>
  <c r="J381" i="2"/>
  <c r="P380" i="2"/>
  <c r="G383" i="2"/>
  <c r="H383" i="2" s="1"/>
  <c r="I383" i="2" a="1"/>
  <c r="K382" i="2" a="1"/>
  <c r="F383" i="2" a="1"/>
  <c r="D384" i="2" a="1"/>
  <c r="E384" i="2" a="1"/>
  <c r="E384" i="2" l="1"/>
  <c r="D384" i="2"/>
  <c r="K382" i="2"/>
  <c r="I383" i="2"/>
  <c r="B386" i="2"/>
  <c r="C385" i="2"/>
  <c r="L382" i="2"/>
  <c r="N382" i="2"/>
  <c r="M381" i="2"/>
  <c r="F383" i="2"/>
  <c r="J382" i="2"/>
  <c r="G384" i="2"/>
  <c r="H384" i="2" s="1"/>
  <c r="P381" i="2"/>
  <c r="O381" i="2"/>
  <c r="I384" i="2" a="1"/>
  <c r="E385" i="2" a="1"/>
  <c r="D385" i="2" a="1"/>
  <c r="K383" i="2" a="1"/>
  <c r="F384" i="2" a="1"/>
  <c r="K383" i="2" l="1"/>
  <c r="D385" i="2"/>
  <c r="E385" i="2"/>
  <c r="I384" i="2"/>
  <c r="B387" i="2"/>
  <c r="C386" i="2"/>
  <c r="N383" i="2"/>
  <c r="L383" i="2"/>
  <c r="P383" i="2" s="1"/>
  <c r="M382" i="2"/>
  <c r="J383" i="2"/>
  <c r="F384" i="2"/>
  <c r="G385" i="2"/>
  <c r="H385" i="2" s="1"/>
  <c r="P382" i="2"/>
  <c r="O382" i="2"/>
  <c r="K384" i="2" a="1"/>
  <c r="I385" i="2" a="1"/>
  <c r="E386" i="2" a="1"/>
  <c r="D386" i="2" a="1"/>
  <c r="F385" i="2" a="1"/>
  <c r="D386" i="2" l="1"/>
  <c r="E386" i="2"/>
  <c r="I385" i="2"/>
  <c r="K384" i="2"/>
  <c r="L385" i="2"/>
  <c r="B388" i="2"/>
  <c r="C387" i="2"/>
  <c r="L384" i="2"/>
  <c r="N384" i="2"/>
  <c r="M383" i="2"/>
  <c r="O383" i="2" s="1"/>
  <c r="F385" i="2"/>
  <c r="J384" i="2"/>
  <c r="G386" i="2"/>
  <c r="H386" i="2" s="1"/>
  <c r="F386" i="2" a="1"/>
  <c r="K385" i="2" a="1"/>
  <c r="E387" i="2" a="1"/>
  <c r="D387" i="2" a="1"/>
  <c r="I386" i="2" a="1"/>
  <c r="I386" i="2" l="1"/>
  <c r="D387" i="2"/>
  <c r="E387" i="2"/>
  <c r="K385" i="2"/>
  <c r="B389" i="2"/>
  <c r="C388" i="2"/>
  <c r="N385" i="2"/>
  <c r="L386" i="2"/>
  <c r="M384" i="2"/>
  <c r="O384" i="2" s="1"/>
  <c r="J385" i="2"/>
  <c r="P385" i="2"/>
  <c r="F386" i="2"/>
  <c r="P384" i="2"/>
  <c r="G387" i="2"/>
  <c r="H387" i="2" s="1"/>
  <c r="K386" i="2" a="1"/>
  <c r="D388" i="2" a="1"/>
  <c r="E388" i="2" a="1"/>
  <c r="I387" i="2" a="1"/>
  <c r="F387" i="2" a="1"/>
  <c r="I387" i="2" l="1"/>
  <c r="E388" i="2"/>
  <c r="D388" i="2"/>
  <c r="K386" i="2"/>
  <c r="L387" i="2"/>
  <c r="B390" i="2"/>
  <c r="C389" i="2"/>
  <c r="N386" i="2"/>
  <c r="M385" i="2"/>
  <c r="O385" i="2" s="1"/>
  <c r="F387" i="2"/>
  <c r="J386" i="2"/>
  <c r="G388" i="2"/>
  <c r="H388" i="2" s="1"/>
  <c r="K387" i="2" a="1"/>
  <c r="I388" i="2" a="1"/>
  <c r="F388" i="2" a="1"/>
  <c r="D389" i="2" a="1"/>
  <c r="E389" i="2" a="1"/>
  <c r="E389" i="2" l="1"/>
  <c r="D389" i="2"/>
  <c r="I388" i="2"/>
  <c r="K387" i="2"/>
  <c r="B391" i="2"/>
  <c r="C390" i="2"/>
  <c r="N387" i="2"/>
  <c r="M386" i="2"/>
  <c r="O386" i="2" s="1"/>
  <c r="F388" i="2"/>
  <c r="P386" i="2"/>
  <c r="J387" i="2"/>
  <c r="G389" i="2"/>
  <c r="H389" i="2" s="1"/>
  <c r="I389" i="2" a="1"/>
  <c r="F389" i="2" a="1"/>
  <c r="K388" i="2" a="1"/>
  <c r="E390" i="2" a="1"/>
  <c r="D390" i="2" a="1"/>
  <c r="D390" i="2" l="1"/>
  <c r="E390" i="2"/>
  <c r="K388" i="2"/>
  <c r="I389" i="2"/>
  <c r="B392" i="2"/>
  <c r="C391" i="2"/>
  <c r="N388" i="2"/>
  <c r="L388" i="2"/>
  <c r="M387" i="2"/>
  <c r="O387" i="2" s="1"/>
  <c r="J388" i="2"/>
  <c r="F389" i="2"/>
  <c r="G390" i="2"/>
  <c r="H390" i="2" s="1"/>
  <c r="P387" i="2"/>
  <c r="I390" i="2" a="1"/>
  <c r="D391" i="2" a="1"/>
  <c r="E391" i="2" a="1"/>
  <c r="K389" i="2" a="1"/>
  <c r="F390" i="2" a="1"/>
  <c r="K389" i="2" l="1"/>
  <c r="E391" i="2"/>
  <c r="D391" i="2"/>
  <c r="I390" i="2"/>
  <c r="B393" i="2"/>
  <c r="C392" i="2"/>
  <c r="N389" i="2"/>
  <c r="L389" i="2"/>
  <c r="M388" i="2"/>
  <c r="O388" i="2" s="1"/>
  <c r="F390" i="2"/>
  <c r="J389" i="2"/>
  <c r="P388" i="2"/>
  <c r="G391" i="2"/>
  <c r="H391" i="2" s="1"/>
  <c r="K390" i="2" a="1"/>
  <c r="I391" i="2" a="1"/>
  <c r="D392" i="2" a="1"/>
  <c r="E392" i="2" a="1"/>
  <c r="F391" i="2" a="1"/>
  <c r="E392" i="2" l="1"/>
  <c r="D392" i="2"/>
  <c r="I391" i="2"/>
  <c r="K390" i="2"/>
  <c r="B394" i="2"/>
  <c r="C393" i="2"/>
  <c r="L391" i="2"/>
  <c r="N390" i="2"/>
  <c r="L390" i="2"/>
  <c r="M389" i="2"/>
  <c r="F391" i="2"/>
  <c r="J390" i="2"/>
  <c r="O389" i="2"/>
  <c r="P389" i="2"/>
  <c r="G392" i="2"/>
  <c r="H392" i="2" s="1"/>
  <c r="K391" i="2" a="1"/>
  <c r="E393" i="2" a="1"/>
  <c r="D393" i="2" a="1"/>
  <c r="I392" i="2" a="1"/>
  <c r="F392" i="2" a="1"/>
  <c r="I392" i="2" l="1"/>
  <c r="D393" i="2"/>
  <c r="E393" i="2"/>
  <c r="K391" i="2"/>
  <c r="N391" i="2"/>
  <c r="B395" i="2"/>
  <c r="C394" i="2"/>
  <c r="L392" i="2"/>
  <c r="M390" i="2"/>
  <c r="O390" i="2" s="1"/>
  <c r="J391" i="2"/>
  <c r="P391" i="2"/>
  <c r="F392" i="2"/>
  <c r="P390" i="2"/>
  <c r="G393" i="2"/>
  <c r="H393" i="2" s="1"/>
  <c r="K392" i="2" a="1"/>
  <c r="E394" i="2" a="1"/>
  <c r="D394" i="2" a="1"/>
  <c r="I393" i="2" a="1"/>
  <c r="F393" i="2" a="1"/>
  <c r="I393" i="2" l="1"/>
  <c r="D394" i="2"/>
  <c r="E394" i="2"/>
  <c r="K392" i="2"/>
  <c r="B396" i="2"/>
  <c r="C395" i="2"/>
  <c r="N392" i="2"/>
  <c r="M391" i="2"/>
  <c r="O391" i="2" s="1"/>
  <c r="J392" i="2"/>
  <c r="F393" i="2"/>
  <c r="G394" i="2"/>
  <c r="H394" i="2" s="1"/>
  <c r="K393" i="2" a="1"/>
  <c r="I394" i="2" a="1"/>
  <c r="F394" i="2" a="1"/>
  <c r="E395" i="2" a="1"/>
  <c r="D395" i="2" a="1"/>
  <c r="D395" i="2" l="1"/>
  <c r="E395" i="2"/>
  <c r="I394" i="2"/>
  <c r="K393" i="2"/>
  <c r="B397" i="2"/>
  <c r="C396" i="2"/>
  <c r="L393" i="2"/>
  <c r="N393" i="2"/>
  <c r="M392" i="2"/>
  <c r="F394" i="2"/>
  <c r="J393" i="2"/>
  <c r="P392" i="2"/>
  <c r="O392" i="2"/>
  <c r="G395" i="2"/>
  <c r="H395" i="2" s="1"/>
  <c r="D396" i="2" a="1"/>
  <c r="E396" i="2" a="1"/>
  <c r="I395" i="2" a="1"/>
  <c r="K394" i="2" a="1"/>
  <c r="F395" i="2" a="1"/>
  <c r="K394" i="2" l="1"/>
  <c r="I395" i="2"/>
  <c r="E396" i="2"/>
  <c r="D396" i="2"/>
  <c r="L394" i="2"/>
  <c r="P394" i="2" s="1"/>
  <c r="N394" i="2"/>
  <c r="B398" i="2"/>
  <c r="C397" i="2"/>
  <c r="M393" i="2"/>
  <c r="O393" i="2" s="1"/>
  <c r="J394" i="2"/>
  <c r="F395" i="2"/>
  <c r="P393" i="2"/>
  <c r="G396" i="2"/>
  <c r="H396" i="2" s="1"/>
  <c r="D397" i="2" a="1"/>
  <c r="E397" i="2" a="1"/>
  <c r="K395" i="2" a="1"/>
  <c r="I396" i="2" a="1"/>
  <c r="F396" i="2" a="1"/>
  <c r="I396" i="2" l="1"/>
  <c r="K395" i="2"/>
  <c r="E397" i="2"/>
  <c r="D397" i="2"/>
  <c r="B399" i="2"/>
  <c r="C398" i="2"/>
  <c r="N395" i="2"/>
  <c r="L395" i="2"/>
  <c r="M394" i="2"/>
  <c r="O394" i="2" s="1"/>
  <c r="F396" i="2"/>
  <c r="J395" i="2"/>
  <c r="G397" i="2"/>
  <c r="H397" i="2" s="1"/>
  <c r="K396" i="2" a="1"/>
  <c r="I397" i="2" a="1"/>
  <c r="F397" i="2" a="1"/>
  <c r="E398" i="2" a="1"/>
  <c r="D398" i="2" a="1"/>
  <c r="D398" i="2" l="1"/>
  <c r="E398" i="2"/>
  <c r="I397" i="2"/>
  <c r="K396" i="2"/>
  <c r="B400" i="2"/>
  <c r="C399" i="2"/>
  <c r="L396" i="2"/>
  <c r="N396" i="2"/>
  <c r="M395" i="2"/>
  <c r="O395" i="2" s="1"/>
  <c r="F397" i="2"/>
  <c r="P395" i="2"/>
  <c r="J396" i="2"/>
  <c r="G398" i="2"/>
  <c r="H398" i="2" s="1"/>
  <c r="E399" i="2" a="1"/>
  <c r="D399" i="2" a="1"/>
  <c r="K397" i="2" a="1"/>
  <c r="I398" i="2" a="1"/>
  <c r="F398" i="2" a="1"/>
  <c r="I398" i="2" l="1"/>
  <c r="K397" i="2"/>
  <c r="D399" i="2"/>
  <c r="E399" i="2"/>
  <c r="B401" i="2"/>
  <c r="C400" i="2"/>
  <c r="L397" i="2"/>
  <c r="N397" i="2"/>
  <c r="M396" i="2"/>
  <c r="O396" i="2" s="1"/>
  <c r="J397" i="2"/>
  <c r="F398" i="2"/>
  <c r="P396" i="2"/>
  <c r="G399" i="2"/>
  <c r="H399" i="2" s="1"/>
  <c r="K398" i="2" a="1"/>
  <c r="I399" i="2" a="1"/>
  <c r="F399" i="2" a="1"/>
  <c r="D400" i="2" a="1"/>
  <c r="E400" i="2" a="1"/>
  <c r="E400" i="2" l="1"/>
  <c r="D400" i="2"/>
  <c r="I399" i="2"/>
  <c r="K398" i="2"/>
  <c r="B402" i="2"/>
  <c r="C401" i="2"/>
  <c r="L399" i="2"/>
  <c r="L398" i="2"/>
  <c r="N398" i="2"/>
  <c r="M397" i="2"/>
  <c r="F399" i="2"/>
  <c r="J398" i="2"/>
  <c r="G400" i="2"/>
  <c r="H400" i="2" s="1"/>
  <c r="P397" i="2"/>
  <c r="O397" i="2"/>
  <c r="I400" i="2" a="1"/>
  <c r="K399" i="2" a="1"/>
  <c r="D401" i="2" a="1"/>
  <c r="E401" i="2" a="1"/>
  <c r="F400" i="2" a="1"/>
  <c r="E401" i="2" l="1"/>
  <c r="D401" i="2"/>
  <c r="K399" i="2"/>
  <c r="I400" i="2"/>
  <c r="B403" i="2"/>
  <c r="C402" i="2"/>
  <c r="N399" i="2"/>
  <c r="M398" i="2"/>
  <c r="O398" i="2" s="1"/>
  <c r="J399" i="2"/>
  <c r="F400" i="2"/>
  <c r="G401" i="2"/>
  <c r="H401" i="2" s="1"/>
  <c r="P398" i="2"/>
  <c r="K400" i="2" a="1"/>
  <c r="E402" i="2" a="1"/>
  <c r="D402" i="2" a="1"/>
  <c r="F401" i="2" a="1"/>
  <c r="I401" i="2" a="1"/>
  <c r="I401" i="2" l="1"/>
  <c r="D402" i="2"/>
  <c r="E402" i="2"/>
  <c r="K400" i="2"/>
  <c r="B404" i="2"/>
  <c r="C403" i="2"/>
  <c r="L400" i="2"/>
  <c r="N400" i="2"/>
  <c r="L401" i="2"/>
  <c r="M399" i="2"/>
  <c r="F401" i="2"/>
  <c r="J400" i="2"/>
  <c r="P399" i="2"/>
  <c r="O399" i="2"/>
  <c r="G402" i="2"/>
  <c r="H402" i="2" s="1"/>
  <c r="K401" i="2" a="1"/>
  <c r="F402" i="2" a="1"/>
  <c r="D403" i="2" a="1"/>
  <c r="E403" i="2" a="1"/>
  <c r="I402" i="2" a="1"/>
  <c r="I402" i="2" l="1"/>
  <c r="E403" i="2"/>
  <c r="D403" i="2"/>
  <c r="K401" i="2"/>
  <c r="B405" i="2"/>
  <c r="C404" i="2"/>
  <c r="N401" i="2"/>
  <c r="M400" i="2"/>
  <c r="O400" i="2" s="1"/>
  <c r="F402" i="2"/>
  <c r="P400" i="2"/>
  <c r="J401" i="2"/>
  <c r="G403" i="2"/>
  <c r="H403" i="2" s="1"/>
  <c r="K402" i="2" a="1"/>
  <c r="I403" i="2" a="1"/>
  <c r="F403" i="2" a="1"/>
  <c r="D404" i="2" a="1"/>
  <c r="E404" i="2" a="1"/>
  <c r="E404" i="2" l="1"/>
  <c r="D404" i="2"/>
  <c r="I403" i="2"/>
  <c r="K402" i="2"/>
  <c r="B406" i="2"/>
  <c r="C405" i="2"/>
  <c r="L402" i="2"/>
  <c r="N402" i="2"/>
  <c r="M401" i="2"/>
  <c r="O401" i="2" s="1"/>
  <c r="F403" i="2"/>
  <c r="P401" i="2"/>
  <c r="J402" i="2"/>
  <c r="G404" i="2"/>
  <c r="H404" i="2" s="1"/>
  <c r="I404" i="2" a="1"/>
  <c r="K403" i="2" a="1"/>
  <c r="E405" i="2" a="1"/>
  <c r="D405" i="2" a="1"/>
  <c r="F404" i="2" a="1"/>
  <c r="D405" i="2" l="1"/>
  <c r="E405" i="2"/>
  <c r="K403" i="2"/>
  <c r="I404" i="2"/>
  <c r="B407" i="2"/>
  <c r="C406" i="2"/>
  <c r="L403" i="2"/>
  <c r="N403" i="2"/>
  <c r="M402" i="2"/>
  <c r="J403" i="2"/>
  <c r="F404" i="2"/>
  <c r="G405" i="2"/>
  <c r="H405" i="2" s="1"/>
  <c r="P402" i="2"/>
  <c r="O402" i="2"/>
  <c r="K404" i="2" a="1"/>
  <c r="I405" i="2" a="1"/>
  <c r="E406" i="2" a="1"/>
  <c r="D406" i="2" a="1"/>
  <c r="F405" i="2" a="1"/>
  <c r="D406" i="2" l="1"/>
  <c r="E406" i="2"/>
  <c r="I405" i="2"/>
  <c r="K404" i="2"/>
  <c r="B408" i="2"/>
  <c r="C407" i="2"/>
  <c r="N404" i="2"/>
  <c r="L404" i="2"/>
  <c r="P404" i="2" s="1"/>
  <c r="M403" i="2"/>
  <c r="J404" i="2"/>
  <c r="F405" i="2"/>
  <c r="G406" i="2"/>
  <c r="H406" i="2" s="1"/>
  <c r="O403" i="2"/>
  <c r="P403" i="2"/>
  <c r="I406" i="2" a="1"/>
  <c r="F406" i="2" a="1"/>
  <c r="K405" i="2" a="1"/>
  <c r="E407" i="2" a="1"/>
  <c r="D407" i="2" a="1"/>
  <c r="D407" i="2" l="1"/>
  <c r="E407" i="2"/>
  <c r="K405" i="2"/>
  <c r="I406" i="2"/>
  <c r="N405" i="2"/>
  <c r="L405" i="2"/>
  <c r="B409" i="2"/>
  <c r="C408" i="2"/>
  <c r="M404" i="2"/>
  <c r="O404" i="2" s="1"/>
  <c r="J405" i="2"/>
  <c r="F406" i="2"/>
  <c r="G407" i="2"/>
  <c r="H407" i="2" s="1"/>
  <c r="K406" i="2" a="1"/>
  <c r="I407" i="2" a="1"/>
  <c r="F407" i="2" a="1"/>
  <c r="E408" i="2" a="1"/>
  <c r="D408" i="2" a="1"/>
  <c r="D408" i="2" l="1"/>
  <c r="E408" i="2"/>
  <c r="I407" i="2"/>
  <c r="K406" i="2"/>
  <c r="L406" i="2"/>
  <c r="N406" i="2"/>
  <c r="B410" i="2"/>
  <c r="C409" i="2"/>
  <c r="M405" i="2"/>
  <c r="F407" i="2"/>
  <c r="J406" i="2"/>
  <c r="G408" i="2"/>
  <c r="H408" i="2" s="1"/>
  <c r="O405" i="2"/>
  <c r="P405" i="2"/>
  <c r="K407" i="2" a="1"/>
  <c r="I408" i="2" a="1"/>
  <c r="F408" i="2" a="1"/>
  <c r="E409" i="2" a="1"/>
  <c r="D409" i="2" a="1"/>
  <c r="D409" i="2" l="1"/>
  <c r="E409" i="2"/>
  <c r="I408" i="2"/>
  <c r="K407" i="2"/>
  <c r="B411" i="2"/>
  <c r="C410" i="2"/>
  <c r="L407" i="2"/>
  <c r="N407" i="2"/>
  <c r="M406" i="2"/>
  <c r="O406" i="2" s="1"/>
  <c r="J407" i="2"/>
  <c r="F408" i="2"/>
  <c r="P406" i="2"/>
  <c r="G409" i="2"/>
  <c r="H409" i="2" s="1"/>
  <c r="F409" i="2" a="1"/>
  <c r="K408" i="2" a="1"/>
  <c r="E410" i="2" a="1"/>
  <c r="D410" i="2" a="1"/>
  <c r="I409" i="2" a="1"/>
  <c r="I409" i="2" l="1"/>
  <c r="D410" i="2"/>
  <c r="E410" i="2"/>
  <c r="K408" i="2"/>
  <c r="B412" i="2"/>
  <c r="C411" i="2"/>
  <c r="L408" i="2"/>
  <c r="P408" i="2" s="1"/>
  <c r="N408" i="2"/>
  <c r="M407" i="2"/>
  <c r="J408" i="2"/>
  <c r="F409" i="2"/>
  <c r="O407" i="2"/>
  <c r="P407" i="2"/>
  <c r="G410" i="2"/>
  <c r="H410" i="2" s="1"/>
  <c r="K409" i="2" a="1"/>
  <c r="F410" i="2" a="1"/>
  <c r="D411" i="2" a="1"/>
  <c r="E411" i="2" a="1"/>
  <c r="I410" i="2" a="1"/>
  <c r="I410" i="2" l="1"/>
  <c r="E411" i="2"/>
  <c r="D411" i="2"/>
  <c r="K409" i="2"/>
  <c r="B413" i="2"/>
  <c r="C412" i="2"/>
  <c r="L410" i="2"/>
  <c r="L409" i="2"/>
  <c r="P409" i="2" s="1"/>
  <c r="N409" i="2"/>
  <c r="M408" i="2"/>
  <c r="O408" i="2" s="1"/>
  <c r="J409" i="2"/>
  <c r="F410" i="2"/>
  <c r="G411" i="2"/>
  <c r="H411" i="2" s="1"/>
  <c r="K410" i="2" a="1"/>
  <c r="E412" i="2" a="1"/>
  <c r="D412" i="2" a="1"/>
  <c r="F411" i="2" a="1"/>
  <c r="I411" i="2" a="1"/>
  <c r="I411" i="2" l="1"/>
  <c r="D412" i="2"/>
  <c r="E412" i="2"/>
  <c r="K410" i="2"/>
  <c r="L411" i="2"/>
  <c r="B414" i="2"/>
  <c r="C413" i="2"/>
  <c r="N410" i="2"/>
  <c r="M409" i="2"/>
  <c r="O409" i="2" s="1"/>
  <c r="P410" i="2"/>
  <c r="J410" i="2"/>
  <c r="F411" i="2"/>
  <c r="G412" i="2"/>
  <c r="H412" i="2" s="1"/>
  <c r="K411" i="2" a="1"/>
  <c r="I412" i="2" a="1"/>
  <c r="D413" i="2" a="1"/>
  <c r="E413" i="2" a="1"/>
  <c r="F412" i="2" a="1"/>
  <c r="E413" i="2" l="1"/>
  <c r="D413" i="2"/>
  <c r="I412" i="2"/>
  <c r="K411" i="2"/>
  <c r="B415" i="2"/>
  <c r="C414" i="2"/>
  <c r="N411" i="2"/>
  <c r="M410" i="2"/>
  <c r="O410" i="2" s="1"/>
  <c r="J411" i="2"/>
  <c r="F412" i="2"/>
  <c r="G413" i="2"/>
  <c r="H413" i="2" s="1"/>
  <c r="E414" i="2" a="1"/>
  <c r="D414" i="2" a="1"/>
  <c r="K412" i="2" a="1"/>
  <c r="I413" i="2" a="1"/>
  <c r="F413" i="2" a="1"/>
  <c r="I413" i="2" l="1"/>
  <c r="K412" i="2"/>
  <c r="D414" i="2"/>
  <c r="E414" i="2"/>
  <c r="B416" i="2"/>
  <c r="C415" i="2"/>
  <c r="L412" i="2"/>
  <c r="N412" i="2"/>
  <c r="L413" i="2"/>
  <c r="M411" i="2"/>
  <c r="F413" i="2"/>
  <c r="J412" i="2"/>
  <c r="G414" i="2"/>
  <c r="H414" i="2" s="1"/>
  <c r="P411" i="2"/>
  <c r="O411" i="2"/>
  <c r="K413" i="2" a="1"/>
  <c r="F414" i="2" a="1"/>
  <c r="E415" i="2" a="1"/>
  <c r="D415" i="2" a="1"/>
  <c r="I414" i="2" a="1"/>
  <c r="I414" i="2" l="1"/>
  <c r="D415" i="2"/>
  <c r="E415" i="2"/>
  <c r="K413" i="2"/>
  <c r="B417" i="2"/>
  <c r="C416" i="2"/>
  <c r="L414" i="2"/>
  <c r="N413" i="2"/>
  <c r="M412" i="2"/>
  <c r="O412" i="2" s="1"/>
  <c r="F414" i="2"/>
  <c r="P412" i="2"/>
  <c r="J413" i="2"/>
  <c r="G415" i="2"/>
  <c r="H415" i="2" s="1"/>
  <c r="K414" i="2" a="1"/>
  <c r="E416" i="2" a="1"/>
  <c r="D416" i="2" a="1"/>
  <c r="I415" i="2" a="1"/>
  <c r="F415" i="2" a="1"/>
  <c r="I415" i="2" l="1"/>
  <c r="D416" i="2"/>
  <c r="E416" i="2"/>
  <c r="K414" i="2"/>
  <c r="B418" i="2"/>
  <c r="C417" i="2"/>
  <c r="L415" i="2"/>
  <c r="N414" i="2"/>
  <c r="M413" i="2"/>
  <c r="J414" i="2"/>
  <c r="P414" i="2"/>
  <c r="F415" i="2"/>
  <c r="O413" i="2"/>
  <c r="P413" i="2"/>
  <c r="G416" i="2"/>
  <c r="H416" i="2" s="1"/>
  <c r="K415" i="2" a="1"/>
  <c r="F416" i="2" a="1"/>
  <c r="E417" i="2" a="1"/>
  <c r="D417" i="2" a="1"/>
  <c r="I416" i="2" a="1"/>
  <c r="I416" i="2" l="1"/>
  <c r="D417" i="2"/>
  <c r="E417" i="2"/>
  <c r="K415" i="2"/>
  <c r="B419" i="2"/>
  <c r="C418" i="2"/>
  <c r="N415" i="2"/>
  <c r="M414" i="2"/>
  <c r="O414" i="2" s="1"/>
  <c r="F416" i="2"/>
  <c r="J415" i="2"/>
  <c r="G417" i="2"/>
  <c r="H417" i="2" s="1"/>
  <c r="K416" i="2" a="1"/>
  <c r="F417" i="2" a="1"/>
  <c r="I417" i="2" a="1"/>
  <c r="D418" i="2" a="1"/>
  <c r="E418" i="2" a="1"/>
  <c r="E418" i="2" l="1"/>
  <c r="D418" i="2"/>
  <c r="I417" i="2"/>
  <c r="K416" i="2"/>
  <c r="B420" i="2"/>
  <c r="C419" i="2"/>
  <c r="L416" i="2"/>
  <c r="N416" i="2"/>
  <c r="M415" i="2"/>
  <c r="O415" i="2" s="1"/>
  <c r="F417" i="2"/>
  <c r="P415" i="2"/>
  <c r="J416" i="2"/>
  <c r="G418" i="2"/>
  <c r="H418" i="2" s="1"/>
  <c r="F418" i="2" a="1"/>
  <c r="K417" i="2" a="1"/>
  <c r="I418" i="2" a="1"/>
  <c r="D419" i="2" a="1"/>
  <c r="E419" i="2" a="1"/>
  <c r="E419" i="2" l="1"/>
  <c r="D419" i="2"/>
  <c r="I418" i="2"/>
  <c r="K417" i="2"/>
  <c r="B421" i="2"/>
  <c r="C420" i="2"/>
  <c r="N417" i="2"/>
  <c r="L417" i="2"/>
  <c r="M416" i="2"/>
  <c r="O416" i="2"/>
  <c r="F418" i="2"/>
  <c r="J417" i="2"/>
  <c r="P416" i="2"/>
  <c r="G419" i="2"/>
  <c r="H419" i="2" s="1"/>
  <c r="K418" i="2" a="1"/>
  <c r="E420" i="2" a="1"/>
  <c r="D420" i="2" a="1"/>
  <c r="I419" i="2" a="1"/>
  <c r="F419" i="2" a="1"/>
  <c r="I419" i="2" l="1"/>
  <c r="D420" i="2"/>
  <c r="E420" i="2"/>
  <c r="K418" i="2"/>
  <c r="B422" i="2"/>
  <c r="C421" i="2"/>
  <c r="L418" i="2"/>
  <c r="N418" i="2"/>
  <c r="M417" i="2"/>
  <c r="O417" i="2" s="1"/>
  <c r="F419" i="2"/>
  <c r="J418" i="2"/>
  <c r="G420" i="2"/>
  <c r="H420" i="2" s="1"/>
  <c r="P417" i="2"/>
  <c r="K419" i="2" a="1"/>
  <c r="I420" i="2" a="1"/>
  <c r="E421" i="2" a="1"/>
  <c r="D421" i="2" a="1"/>
  <c r="F420" i="2" a="1"/>
  <c r="D421" i="2" l="1"/>
  <c r="E421" i="2"/>
  <c r="I420" i="2"/>
  <c r="K419" i="2"/>
  <c r="B423" i="2"/>
  <c r="C422" i="2"/>
  <c r="L419" i="2"/>
  <c r="N419" i="2"/>
  <c r="M418" i="2"/>
  <c r="O418" i="2" s="1"/>
  <c r="F420" i="2"/>
  <c r="P418" i="2"/>
  <c r="J419" i="2"/>
  <c r="G421" i="2"/>
  <c r="H421" i="2" s="1"/>
  <c r="I421" i="2" a="1"/>
  <c r="D422" i="2" a="1"/>
  <c r="E422" i="2" a="1"/>
  <c r="F421" i="2" a="1"/>
  <c r="K420" i="2" a="1"/>
  <c r="K420" i="2" l="1"/>
  <c r="E422" i="2"/>
  <c r="D422" i="2"/>
  <c r="I421" i="2"/>
  <c r="L420" i="2"/>
  <c r="N420" i="2"/>
  <c r="B424" i="2"/>
  <c r="C423" i="2"/>
  <c r="M419" i="2"/>
  <c r="O419" i="2" s="1"/>
  <c r="J420" i="2"/>
  <c r="F421" i="2"/>
  <c r="P419" i="2"/>
  <c r="G422" i="2"/>
  <c r="H422" i="2" s="1"/>
  <c r="K421" i="2" a="1"/>
  <c r="I422" i="2" a="1"/>
  <c r="F422" i="2" a="1"/>
  <c r="E423" i="2" a="1"/>
  <c r="D423" i="2" a="1"/>
  <c r="D423" i="2" l="1"/>
  <c r="E423" i="2"/>
  <c r="I422" i="2"/>
  <c r="K421" i="2"/>
  <c r="B425" i="2"/>
  <c r="C424" i="2"/>
  <c r="N421" i="2"/>
  <c r="L421" i="2"/>
  <c r="M420" i="2"/>
  <c r="O420" i="2" s="1"/>
  <c r="F422" i="2"/>
  <c r="J421" i="2"/>
  <c r="P420" i="2"/>
  <c r="G423" i="2"/>
  <c r="H423" i="2" s="1"/>
  <c r="K422" i="2" a="1"/>
  <c r="E424" i="2" a="1"/>
  <c r="D424" i="2" a="1"/>
  <c r="I423" i="2" a="1"/>
  <c r="F423" i="2" a="1"/>
  <c r="I423" i="2" l="1"/>
  <c r="D424" i="2"/>
  <c r="E424" i="2"/>
  <c r="K422" i="2"/>
  <c r="B426" i="2"/>
  <c r="C425" i="2"/>
  <c r="L422" i="2"/>
  <c r="N422" i="2"/>
  <c r="M421" i="2"/>
  <c r="J422" i="2"/>
  <c r="F423" i="2"/>
  <c r="G424" i="2"/>
  <c r="H424" i="2" s="1"/>
  <c r="P421" i="2"/>
  <c r="O421" i="2"/>
  <c r="K423" i="2" a="1"/>
  <c r="D425" i="2" a="1"/>
  <c r="E425" i="2" a="1"/>
  <c r="F424" i="2" a="1"/>
  <c r="I424" i="2" a="1"/>
  <c r="I424" i="2" l="1"/>
  <c r="E425" i="2"/>
  <c r="D425" i="2"/>
  <c r="K423" i="2"/>
  <c r="B427" i="2"/>
  <c r="C426" i="2"/>
  <c r="N423" i="2"/>
  <c r="L423" i="2"/>
  <c r="M422" i="2"/>
  <c r="O422" i="2" s="1"/>
  <c r="F424" i="2"/>
  <c r="J423" i="2"/>
  <c r="G425" i="2"/>
  <c r="H425" i="2" s="1"/>
  <c r="P422" i="2"/>
  <c r="K424" i="2" a="1"/>
  <c r="I425" i="2" a="1"/>
  <c r="D426" i="2" a="1"/>
  <c r="E426" i="2" a="1"/>
  <c r="F425" i="2" a="1"/>
  <c r="E426" i="2" l="1"/>
  <c r="D426" i="2"/>
  <c r="I425" i="2"/>
  <c r="K424" i="2"/>
  <c r="B428" i="2"/>
  <c r="C427" i="2"/>
  <c r="L424" i="2"/>
  <c r="N424" i="2"/>
  <c r="M423" i="2"/>
  <c r="F425" i="2"/>
  <c r="J424" i="2"/>
  <c r="P423" i="2"/>
  <c r="O423" i="2"/>
  <c r="G426" i="2"/>
  <c r="H426" i="2" s="1"/>
  <c r="K425" i="2" a="1"/>
  <c r="D427" i="2" a="1"/>
  <c r="E427" i="2" a="1"/>
  <c r="I426" i="2" a="1"/>
  <c r="F426" i="2" a="1"/>
  <c r="I426" i="2" l="1"/>
  <c r="E427" i="2"/>
  <c r="D427" i="2"/>
  <c r="K425" i="2"/>
  <c r="B429" i="2"/>
  <c r="C428" i="2"/>
  <c r="N425" i="2"/>
  <c r="L425" i="2"/>
  <c r="P425" i="2" s="1"/>
  <c r="L426" i="2"/>
  <c r="M424" i="2"/>
  <c r="O424" i="2" s="1"/>
  <c r="J425" i="2"/>
  <c r="F426" i="2"/>
  <c r="P424" i="2"/>
  <c r="G427" i="2"/>
  <c r="H427" i="2" s="1"/>
  <c r="K426" i="2" a="1"/>
  <c r="F427" i="2" a="1"/>
  <c r="D428" i="2" a="1"/>
  <c r="E428" i="2" a="1"/>
  <c r="I427" i="2" a="1"/>
  <c r="I427" i="2" l="1"/>
  <c r="E428" i="2"/>
  <c r="D428" i="2"/>
  <c r="K426" i="2"/>
  <c r="B430" i="2"/>
  <c r="C429" i="2"/>
  <c r="N426" i="2"/>
  <c r="M425" i="2"/>
  <c r="O425" i="2" s="1"/>
  <c r="F427" i="2"/>
  <c r="J426" i="2"/>
  <c r="G428" i="2"/>
  <c r="H428" i="2" s="1"/>
  <c r="K427" i="2" a="1"/>
  <c r="F428" i="2" a="1"/>
  <c r="I428" i="2" a="1"/>
  <c r="D429" i="2" a="1"/>
  <c r="E429" i="2" a="1"/>
  <c r="E429" i="2" l="1"/>
  <c r="D429" i="2"/>
  <c r="I428" i="2"/>
  <c r="K427" i="2"/>
  <c r="B431" i="2"/>
  <c r="C430" i="2"/>
  <c r="L427" i="2"/>
  <c r="N427" i="2"/>
  <c r="M426" i="2"/>
  <c r="O426" i="2" s="1"/>
  <c r="F428" i="2"/>
  <c r="J427" i="2"/>
  <c r="P426" i="2"/>
  <c r="G429" i="2"/>
  <c r="H429" i="2" s="1"/>
  <c r="K428" i="2" a="1"/>
  <c r="E430" i="2" a="1"/>
  <c r="D430" i="2" a="1"/>
  <c r="I429" i="2" a="1"/>
  <c r="F429" i="2" a="1"/>
  <c r="I429" i="2" l="1"/>
  <c r="D430" i="2"/>
  <c r="E430" i="2"/>
  <c r="K428" i="2"/>
  <c r="B432" i="2"/>
  <c r="C431" i="2"/>
  <c r="L428" i="2"/>
  <c r="N428" i="2"/>
  <c r="M427" i="2"/>
  <c r="O427" i="2" s="1"/>
  <c r="F429" i="2"/>
  <c r="J428" i="2"/>
  <c r="P427" i="2"/>
  <c r="G430" i="2"/>
  <c r="H430" i="2" s="1"/>
  <c r="K429" i="2" a="1"/>
  <c r="I430" i="2" a="1"/>
  <c r="E431" i="2" a="1"/>
  <c r="D431" i="2" a="1"/>
  <c r="F430" i="2" a="1"/>
  <c r="D431" i="2" l="1"/>
  <c r="E431" i="2"/>
  <c r="I430" i="2"/>
  <c r="K429" i="2"/>
  <c r="B433" i="2"/>
  <c r="C432" i="2"/>
  <c r="L430" i="2"/>
  <c r="N429" i="2"/>
  <c r="L429" i="2"/>
  <c r="M428" i="2"/>
  <c r="O428" i="2" s="1"/>
  <c r="F430" i="2"/>
  <c r="J429" i="2"/>
  <c r="P428" i="2"/>
  <c r="G431" i="2"/>
  <c r="H431" i="2" s="1"/>
  <c r="K430" i="2" a="1"/>
  <c r="I431" i="2" a="1"/>
  <c r="D432" i="2" a="1"/>
  <c r="E432" i="2" a="1"/>
  <c r="F431" i="2" a="1"/>
  <c r="E432" i="2" l="1"/>
  <c r="D432" i="2"/>
  <c r="I431" i="2"/>
  <c r="K430" i="2"/>
  <c r="B434" i="2"/>
  <c r="C433" i="2"/>
  <c r="N430" i="2"/>
  <c r="M429" i="2"/>
  <c r="O429" i="2" s="1"/>
  <c r="J430" i="2"/>
  <c r="P430" i="2"/>
  <c r="F431" i="2"/>
  <c r="P429" i="2"/>
  <c r="G432" i="2"/>
  <c r="H432" i="2" s="1"/>
  <c r="I432" i="2" a="1"/>
  <c r="D433" i="2" a="1"/>
  <c r="E433" i="2" a="1"/>
  <c r="K431" i="2" a="1"/>
  <c r="F432" i="2" a="1"/>
  <c r="K431" i="2" l="1"/>
  <c r="E433" i="2"/>
  <c r="D433" i="2"/>
  <c r="I432" i="2"/>
  <c r="L431" i="2"/>
  <c r="N431" i="2"/>
  <c r="B435" i="2"/>
  <c r="C434" i="2"/>
  <c r="M430" i="2"/>
  <c r="O430" i="2" s="1"/>
  <c r="J431" i="2"/>
  <c r="F432" i="2"/>
  <c r="G433" i="2"/>
  <c r="H433" i="2" s="1"/>
  <c r="K432" i="2" a="1"/>
  <c r="I433" i="2" a="1"/>
  <c r="F433" i="2" a="1"/>
  <c r="D434" i="2" a="1"/>
  <c r="E434" i="2" a="1"/>
  <c r="P431" i="2" l="1"/>
  <c r="E434" i="2"/>
  <c r="D434" i="2"/>
  <c r="I433" i="2"/>
  <c r="K432" i="2"/>
  <c r="L432" i="2"/>
  <c r="N432" i="2"/>
  <c r="B436" i="2"/>
  <c r="C435" i="2"/>
  <c r="M431" i="2"/>
  <c r="O431" i="2" s="1"/>
  <c r="F433" i="2"/>
  <c r="J432" i="2"/>
  <c r="G434" i="2"/>
  <c r="H434" i="2" s="1"/>
  <c r="K433" i="2" a="1"/>
  <c r="E435" i="2" a="1"/>
  <c r="D435" i="2" a="1"/>
  <c r="I434" i="2" a="1"/>
  <c r="F434" i="2" a="1"/>
  <c r="I434" i="2" l="1"/>
  <c r="D435" i="2"/>
  <c r="E435" i="2"/>
  <c r="K433" i="2"/>
  <c r="B437" i="2"/>
  <c r="C436" i="2"/>
  <c r="N433" i="2"/>
  <c r="L433" i="2"/>
  <c r="M432" i="2"/>
  <c r="F434" i="2"/>
  <c r="J433" i="2"/>
  <c r="G435" i="2"/>
  <c r="H435" i="2" s="1"/>
  <c r="P432" i="2"/>
  <c r="O432" i="2"/>
  <c r="K434" i="2" a="1"/>
  <c r="I435" i="2" a="1"/>
  <c r="E436" i="2" a="1"/>
  <c r="D436" i="2" a="1"/>
  <c r="F435" i="2" a="1"/>
  <c r="D436" i="2" l="1"/>
  <c r="E436" i="2"/>
  <c r="I435" i="2"/>
  <c r="K434" i="2"/>
  <c r="B438" i="2"/>
  <c r="C437" i="2"/>
  <c r="N434" i="2"/>
  <c r="L434" i="2"/>
  <c r="M433" i="2"/>
  <c r="O433" i="2" s="1"/>
  <c r="J434" i="2"/>
  <c r="F435" i="2"/>
  <c r="P433" i="2"/>
  <c r="G436" i="2"/>
  <c r="H436" i="2" s="1"/>
  <c r="K435" i="2" a="1"/>
  <c r="D437" i="2" a="1"/>
  <c r="E437" i="2" a="1"/>
  <c r="I436" i="2" a="1"/>
  <c r="F436" i="2" a="1"/>
  <c r="I436" i="2" l="1"/>
  <c r="E437" i="2"/>
  <c r="D437" i="2"/>
  <c r="K435" i="2"/>
  <c r="B439" i="2"/>
  <c r="C438" i="2"/>
  <c r="L436" i="2"/>
  <c r="L435" i="2"/>
  <c r="P435" i="2" s="1"/>
  <c r="N435" i="2"/>
  <c r="M434" i="2"/>
  <c r="O434" i="2" s="1"/>
  <c r="J435" i="2"/>
  <c r="F436" i="2"/>
  <c r="P434" i="2"/>
  <c r="G437" i="2"/>
  <c r="H437" i="2" s="1"/>
  <c r="K436" i="2" a="1"/>
  <c r="I437" i="2" a="1"/>
  <c r="F437" i="2" a="1"/>
  <c r="E438" i="2" a="1"/>
  <c r="D438" i="2" a="1"/>
  <c r="D438" i="2" l="1"/>
  <c r="E438" i="2"/>
  <c r="I437" i="2"/>
  <c r="K436" i="2"/>
  <c r="B440" i="2"/>
  <c r="C439" i="2"/>
  <c r="N436" i="2"/>
  <c r="M435" i="2"/>
  <c r="O435" i="2" s="1"/>
  <c r="F437" i="2"/>
  <c r="J436" i="2"/>
  <c r="G438" i="2"/>
  <c r="H438" i="2" s="1"/>
  <c r="I438" i="2" a="1"/>
  <c r="F438" i="2" a="1"/>
  <c r="K437" i="2" a="1"/>
  <c r="E439" i="2" a="1"/>
  <c r="D439" i="2" a="1"/>
  <c r="D439" i="2" l="1"/>
  <c r="E439" i="2"/>
  <c r="K437" i="2"/>
  <c r="I438" i="2"/>
  <c r="B441" i="2"/>
  <c r="C440" i="2"/>
  <c r="N437" i="2"/>
  <c r="L437" i="2"/>
  <c r="P437" i="2" s="1"/>
  <c r="M436" i="2"/>
  <c r="O436" i="2" s="1"/>
  <c r="J437" i="2"/>
  <c r="F438" i="2"/>
  <c r="P436" i="2"/>
  <c r="G439" i="2"/>
  <c r="H439" i="2" s="1"/>
  <c r="K438" i="2" a="1"/>
  <c r="E440" i="2" a="1"/>
  <c r="D440" i="2" a="1"/>
  <c r="I439" i="2" a="1"/>
  <c r="F439" i="2" a="1"/>
  <c r="I439" i="2" l="1"/>
  <c r="D440" i="2"/>
  <c r="E440" i="2"/>
  <c r="K438" i="2"/>
  <c r="B442" i="2"/>
  <c r="C441" i="2"/>
  <c r="N438" i="2"/>
  <c r="L439" i="2"/>
  <c r="L438" i="2"/>
  <c r="M437" i="2"/>
  <c r="O437" i="2" s="1"/>
  <c r="J438" i="2"/>
  <c r="F439" i="2"/>
  <c r="G440" i="2"/>
  <c r="H440" i="2" s="1"/>
  <c r="K439" i="2" a="1"/>
  <c r="I440" i="2" a="1"/>
  <c r="D441" i="2" a="1"/>
  <c r="E441" i="2" a="1"/>
  <c r="F440" i="2" a="1"/>
  <c r="E441" i="2" l="1"/>
  <c r="D441" i="2"/>
  <c r="I440" i="2"/>
  <c r="K439" i="2"/>
  <c r="B443" i="2"/>
  <c r="C442" i="2"/>
  <c r="N439" i="2"/>
  <c r="M438" i="2"/>
  <c r="O438" i="2" s="1"/>
  <c r="J439" i="2"/>
  <c r="P439" i="2"/>
  <c r="F440" i="2"/>
  <c r="P438" i="2"/>
  <c r="G441" i="2"/>
  <c r="H441" i="2" s="1"/>
  <c r="K440" i="2" a="1"/>
  <c r="E442" i="2" a="1"/>
  <c r="D442" i="2" a="1"/>
  <c r="I441" i="2" a="1"/>
  <c r="F441" i="2" a="1"/>
  <c r="I441" i="2" l="1"/>
  <c r="D442" i="2"/>
  <c r="E442" i="2"/>
  <c r="K440" i="2"/>
  <c r="B444" i="2"/>
  <c r="C443" i="2"/>
  <c r="L440" i="2"/>
  <c r="N440" i="2"/>
  <c r="L441" i="2"/>
  <c r="M439" i="2"/>
  <c r="O439" i="2" s="1"/>
  <c r="J440" i="2"/>
  <c r="F441" i="2"/>
  <c r="G442" i="2"/>
  <c r="H442" i="2" s="1"/>
  <c r="K441" i="2" a="1"/>
  <c r="I442" i="2" a="1"/>
  <c r="D443" i="2" a="1"/>
  <c r="E443" i="2" a="1"/>
  <c r="F442" i="2" a="1"/>
  <c r="E443" i="2" l="1"/>
  <c r="D443" i="2"/>
  <c r="I442" i="2"/>
  <c r="K441" i="2"/>
  <c r="B445" i="2"/>
  <c r="C444" i="2"/>
  <c r="N441" i="2"/>
  <c r="M440" i="2"/>
  <c r="O440" i="2" s="1"/>
  <c r="F442" i="2"/>
  <c r="J441" i="2"/>
  <c r="G443" i="2"/>
  <c r="H443" i="2" s="1"/>
  <c r="P440" i="2"/>
  <c r="K442" i="2" a="1"/>
  <c r="I443" i="2" a="1"/>
  <c r="F443" i="2" a="1"/>
  <c r="D444" i="2" a="1"/>
  <c r="E444" i="2" a="1"/>
  <c r="E444" i="2" l="1"/>
  <c r="D444" i="2"/>
  <c r="I443" i="2"/>
  <c r="K442" i="2"/>
  <c r="B446" i="2"/>
  <c r="C445" i="2"/>
  <c r="L442" i="2"/>
  <c r="N442" i="2"/>
  <c r="M441" i="2"/>
  <c r="P441" i="2"/>
  <c r="F443" i="2"/>
  <c r="J442" i="2"/>
  <c r="O441" i="2"/>
  <c r="G444" i="2"/>
  <c r="H444" i="2" s="1"/>
  <c r="K443" i="2" a="1"/>
  <c r="D445" i="2" a="1"/>
  <c r="E445" i="2" a="1"/>
  <c r="I444" i="2" a="1"/>
  <c r="F444" i="2" a="1"/>
  <c r="I444" i="2" l="1"/>
  <c r="E445" i="2"/>
  <c r="D445" i="2"/>
  <c r="K443" i="2"/>
  <c r="B447" i="2"/>
  <c r="C446" i="2"/>
  <c r="L443" i="2"/>
  <c r="N443" i="2"/>
  <c r="M442" i="2"/>
  <c r="O442" i="2" s="1"/>
  <c r="J443" i="2"/>
  <c r="F444" i="2"/>
  <c r="P442" i="2"/>
  <c r="G445" i="2"/>
  <c r="H445" i="2" s="1"/>
  <c r="K444" i="2" a="1"/>
  <c r="I445" i="2" a="1"/>
  <c r="F445" i="2" a="1"/>
  <c r="E446" i="2" a="1"/>
  <c r="D446" i="2" a="1"/>
  <c r="D446" i="2" l="1"/>
  <c r="E446" i="2"/>
  <c r="I445" i="2"/>
  <c r="K444" i="2"/>
  <c r="B448" i="2"/>
  <c r="C447" i="2"/>
  <c r="L445" i="2"/>
  <c r="L444" i="2"/>
  <c r="P444" i="2" s="1"/>
  <c r="N444" i="2"/>
  <c r="M443" i="2"/>
  <c r="O443" i="2" s="1"/>
  <c r="J444" i="2"/>
  <c r="F445" i="2"/>
  <c r="P443" i="2"/>
  <c r="G446" i="2"/>
  <c r="H446" i="2" s="1"/>
  <c r="K445" i="2" a="1"/>
  <c r="I446" i="2" a="1"/>
  <c r="E447" i="2" a="1"/>
  <c r="D447" i="2" a="1"/>
  <c r="F446" i="2" a="1"/>
  <c r="D447" i="2" l="1"/>
  <c r="E447" i="2"/>
  <c r="I446" i="2"/>
  <c r="K445" i="2"/>
  <c r="B449" i="2"/>
  <c r="C448" i="2"/>
  <c r="N445" i="2"/>
  <c r="M444" i="2"/>
  <c r="O444" i="2" s="1"/>
  <c r="J445" i="2"/>
  <c r="F446" i="2"/>
  <c r="G447" i="2"/>
  <c r="H447" i="2" s="1"/>
  <c r="F447" i="2" a="1"/>
  <c r="K446" i="2" a="1"/>
  <c r="I447" i="2" a="1"/>
  <c r="E448" i="2" a="1"/>
  <c r="D448" i="2" a="1"/>
  <c r="D448" i="2" l="1"/>
  <c r="E448" i="2"/>
  <c r="I447" i="2"/>
  <c r="K446" i="2"/>
  <c r="B450" i="2"/>
  <c r="C449" i="2"/>
  <c r="N446" i="2"/>
  <c r="L446" i="2"/>
  <c r="P446" i="2" s="1"/>
  <c r="M445" i="2"/>
  <c r="J446" i="2"/>
  <c r="F447" i="2"/>
  <c r="G448" i="2"/>
  <c r="H448" i="2" s="1"/>
  <c r="P445" i="2"/>
  <c r="O445" i="2"/>
  <c r="D449" i="2" a="1"/>
  <c r="E449" i="2" a="1"/>
  <c r="I448" i="2" a="1"/>
  <c r="K447" i="2" a="1"/>
  <c r="F448" i="2" a="1"/>
  <c r="K447" i="2" l="1"/>
  <c r="I448" i="2"/>
  <c r="E449" i="2"/>
  <c r="D449" i="2"/>
  <c r="B451" i="2"/>
  <c r="C450" i="2"/>
  <c r="L447" i="2"/>
  <c r="N447" i="2"/>
  <c r="M446" i="2"/>
  <c r="O446" i="2" s="1"/>
  <c r="F448" i="2"/>
  <c r="J447" i="2"/>
  <c r="G449" i="2"/>
  <c r="H449" i="2" s="1"/>
  <c r="E450" i="2" a="1"/>
  <c r="D450" i="2" a="1"/>
  <c r="K448" i="2" a="1"/>
  <c r="I449" i="2" a="1"/>
  <c r="F449" i="2" a="1"/>
  <c r="I449" i="2" l="1"/>
  <c r="K448" i="2"/>
  <c r="D450" i="2"/>
  <c r="E450" i="2"/>
  <c r="B452" i="2"/>
  <c r="C451" i="2"/>
  <c r="L449" i="2"/>
  <c r="L448" i="2"/>
  <c r="N448" i="2"/>
  <c r="M447" i="2"/>
  <c r="O447" i="2" s="1"/>
  <c r="J448" i="2"/>
  <c r="F449" i="2"/>
  <c r="P447" i="2"/>
  <c r="G450" i="2"/>
  <c r="H450" i="2" s="1"/>
  <c r="K449" i="2" a="1"/>
  <c r="D451" i="2" a="1"/>
  <c r="E451" i="2" a="1"/>
  <c r="I450" i="2" a="1"/>
  <c r="F450" i="2" a="1"/>
  <c r="I450" i="2" l="1"/>
  <c r="E451" i="2"/>
  <c r="D451" i="2"/>
  <c r="K449" i="2"/>
  <c r="B453" i="2"/>
  <c r="C452" i="2"/>
  <c r="N449" i="2"/>
  <c r="M448" i="2"/>
  <c r="O448" i="2" s="1"/>
  <c r="J449" i="2"/>
  <c r="F450" i="2"/>
  <c r="G451" i="2"/>
  <c r="H451" i="2" s="1"/>
  <c r="P448" i="2"/>
  <c r="K450" i="2" a="1"/>
  <c r="I451" i="2" a="1"/>
  <c r="F451" i="2" a="1"/>
  <c r="D452" i="2" a="1"/>
  <c r="E452" i="2" a="1"/>
  <c r="E452" i="2" l="1"/>
  <c r="D452" i="2"/>
  <c r="I451" i="2"/>
  <c r="K450" i="2"/>
  <c r="L451" i="2"/>
  <c r="B454" i="2"/>
  <c r="C453" i="2"/>
  <c r="N450" i="2"/>
  <c r="L450" i="2"/>
  <c r="M449" i="2"/>
  <c r="O449" i="2" s="1"/>
  <c r="F451" i="2"/>
  <c r="J450" i="2"/>
  <c r="G452" i="2"/>
  <c r="H452" i="2" s="1"/>
  <c r="P449" i="2"/>
  <c r="I452" i="2" a="1"/>
  <c r="F452" i="2" a="1"/>
  <c r="K451" i="2" a="1"/>
  <c r="E453" i="2" a="1"/>
  <c r="D453" i="2" a="1"/>
  <c r="D453" i="2" l="1"/>
  <c r="E453" i="2"/>
  <c r="K451" i="2"/>
  <c r="I452" i="2"/>
  <c r="N451" i="2"/>
  <c r="B455" i="2"/>
  <c r="C454" i="2"/>
  <c r="L452" i="2"/>
  <c r="M450" i="2"/>
  <c r="O450" i="2" s="1"/>
  <c r="F452" i="2"/>
  <c r="J451" i="2"/>
  <c r="P450" i="2"/>
  <c r="G453" i="2"/>
  <c r="H453" i="2" s="1"/>
  <c r="E454" i="2" a="1"/>
  <c r="D454" i="2" a="1"/>
  <c r="K452" i="2" a="1"/>
  <c r="I453" i="2" a="1"/>
  <c r="F453" i="2" a="1"/>
  <c r="I453" i="2" l="1"/>
  <c r="K452" i="2"/>
  <c r="D454" i="2"/>
  <c r="E454" i="2"/>
  <c r="B456" i="2"/>
  <c r="C455" i="2"/>
  <c r="N452" i="2"/>
  <c r="M451" i="2"/>
  <c r="O451" i="2" s="1"/>
  <c r="P452" i="2"/>
  <c r="J452" i="2"/>
  <c r="F453" i="2"/>
  <c r="P451" i="2"/>
  <c r="G454" i="2"/>
  <c r="H454" i="2" s="1"/>
  <c r="K453" i="2" a="1"/>
  <c r="E455" i="2" a="1"/>
  <c r="D455" i="2" a="1"/>
  <c r="I454" i="2" a="1"/>
  <c r="F454" i="2" a="1"/>
  <c r="I454" i="2" l="1"/>
  <c r="D455" i="2"/>
  <c r="E455" i="2"/>
  <c r="K453" i="2"/>
  <c r="B457" i="2"/>
  <c r="C456" i="2"/>
  <c r="N453" i="2"/>
  <c r="L453" i="2"/>
  <c r="M452" i="2"/>
  <c r="O452" i="2" s="1"/>
  <c r="J453" i="2"/>
  <c r="F454" i="2"/>
  <c r="G455" i="2"/>
  <c r="H455" i="2" s="1"/>
  <c r="K454" i="2" a="1"/>
  <c r="I455" i="2" a="1"/>
  <c r="F455" i="2" a="1"/>
  <c r="E456" i="2" a="1"/>
  <c r="D456" i="2" a="1"/>
  <c r="D456" i="2" l="1"/>
  <c r="E456" i="2"/>
  <c r="I455" i="2"/>
  <c r="K454" i="2"/>
  <c r="B458" i="2"/>
  <c r="C457" i="2"/>
  <c r="L454" i="2"/>
  <c r="N454" i="2"/>
  <c r="M453" i="2"/>
  <c r="O453" i="2" s="1"/>
  <c r="J454" i="2"/>
  <c r="P453" i="2"/>
  <c r="F455" i="2"/>
  <c r="G456" i="2"/>
  <c r="H456" i="2" s="1"/>
  <c r="I456" i="2" a="1"/>
  <c r="D457" i="2" a="1"/>
  <c r="E457" i="2" a="1"/>
  <c r="K455" i="2" a="1"/>
  <c r="F456" i="2" a="1"/>
  <c r="K455" i="2" l="1"/>
  <c r="E457" i="2"/>
  <c r="D457" i="2"/>
  <c r="I456" i="2"/>
  <c r="L455" i="2"/>
  <c r="N455" i="2"/>
  <c r="B459" i="2"/>
  <c r="C458" i="2"/>
  <c r="M454" i="2"/>
  <c r="O454" i="2" s="1"/>
  <c r="F456" i="2"/>
  <c r="J455" i="2"/>
  <c r="P454" i="2"/>
  <c r="G457" i="2"/>
  <c r="H457" i="2" s="1"/>
  <c r="K456" i="2" a="1"/>
  <c r="I457" i="2" a="1"/>
  <c r="F457" i="2" a="1"/>
  <c r="D458" i="2" a="1"/>
  <c r="E458" i="2" a="1"/>
  <c r="E458" i="2" l="1"/>
  <c r="D458" i="2"/>
  <c r="I457" i="2"/>
  <c r="K456" i="2"/>
  <c r="B460" i="2"/>
  <c r="C459" i="2"/>
  <c r="L456" i="2"/>
  <c r="N456" i="2"/>
  <c r="M455" i="2"/>
  <c r="F457" i="2"/>
  <c r="P455" i="2"/>
  <c r="J456" i="2"/>
  <c r="O455" i="2"/>
  <c r="G458" i="2"/>
  <c r="H458" i="2" s="1"/>
  <c r="K457" i="2" a="1"/>
  <c r="D459" i="2" a="1"/>
  <c r="E459" i="2" a="1"/>
  <c r="I458" i="2" a="1"/>
  <c r="F458" i="2" a="1"/>
  <c r="I458" i="2" l="1"/>
  <c r="E459" i="2"/>
  <c r="D459" i="2"/>
  <c r="K457" i="2"/>
  <c r="B461" i="2"/>
  <c r="C460" i="2"/>
  <c r="L457" i="2"/>
  <c r="N457" i="2"/>
  <c r="M456" i="2"/>
  <c r="O456" i="2" s="1"/>
  <c r="F458" i="2"/>
  <c r="P456" i="2"/>
  <c r="J457" i="2"/>
  <c r="G459" i="2"/>
  <c r="H459" i="2" s="1"/>
  <c r="K458" i="2" a="1"/>
  <c r="I459" i="2" a="1"/>
  <c r="D460" i="2" a="1"/>
  <c r="E460" i="2" a="1"/>
  <c r="F459" i="2" a="1"/>
  <c r="E460" i="2" l="1"/>
  <c r="D460" i="2"/>
  <c r="I459" i="2"/>
  <c r="K458" i="2"/>
  <c r="B462" i="2"/>
  <c r="C461" i="2"/>
  <c r="L458" i="2"/>
  <c r="N458" i="2"/>
  <c r="M457" i="2"/>
  <c r="O457" i="2" s="1"/>
  <c r="F459" i="2"/>
  <c r="P457" i="2"/>
  <c r="J458" i="2"/>
  <c r="G460" i="2"/>
  <c r="H460" i="2" s="1"/>
  <c r="F460" i="2" a="1"/>
  <c r="E461" i="2" a="1"/>
  <c r="D461" i="2" a="1"/>
  <c r="K459" i="2" a="1"/>
  <c r="I460" i="2" a="1"/>
  <c r="I460" i="2" l="1"/>
  <c r="K459" i="2"/>
  <c r="D461" i="2"/>
  <c r="E461" i="2"/>
  <c r="L459" i="2"/>
  <c r="N459" i="2"/>
  <c r="B463" i="2"/>
  <c r="C462" i="2"/>
  <c r="M458" i="2"/>
  <c r="O458" i="2" s="1"/>
  <c r="J459" i="2"/>
  <c r="F460" i="2"/>
  <c r="G461" i="2"/>
  <c r="H461" i="2" s="1"/>
  <c r="P458" i="2"/>
  <c r="K460" i="2" a="1"/>
  <c r="F461" i="2" a="1"/>
  <c r="I461" i="2" a="1"/>
  <c r="D462" i="2" a="1"/>
  <c r="E462" i="2" a="1"/>
  <c r="E462" i="2" l="1"/>
  <c r="D462" i="2"/>
  <c r="I461" i="2"/>
  <c r="K460" i="2"/>
  <c r="B464" i="2"/>
  <c r="C463" i="2"/>
  <c r="L460" i="2"/>
  <c r="P460" i="2" s="1"/>
  <c r="N460" i="2"/>
  <c r="M459" i="2"/>
  <c r="J460" i="2"/>
  <c r="F461" i="2"/>
  <c r="G462" i="2"/>
  <c r="H462" i="2" s="1"/>
  <c r="O459" i="2"/>
  <c r="P459" i="2"/>
  <c r="K461" i="2" a="1"/>
  <c r="D463" i="2" a="1"/>
  <c r="E463" i="2" a="1"/>
  <c r="F462" i="2" a="1"/>
  <c r="I462" i="2" a="1"/>
  <c r="I462" i="2" l="1"/>
  <c r="E463" i="2"/>
  <c r="D463" i="2"/>
  <c r="K461" i="2"/>
  <c r="B465" i="2"/>
  <c r="C464" i="2"/>
  <c r="L461" i="2"/>
  <c r="N461" i="2"/>
  <c r="M460" i="2"/>
  <c r="O460" i="2" s="1"/>
  <c r="J461" i="2"/>
  <c r="F462" i="2"/>
  <c r="G463" i="2"/>
  <c r="H463" i="2" s="1"/>
  <c r="K462" i="2" a="1"/>
  <c r="D464" i="2" a="1"/>
  <c r="E464" i="2" a="1"/>
  <c r="I463" i="2" a="1"/>
  <c r="F463" i="2" a="1"/>
  <c r="I463" i="2" l="1"/>
  <c r="E464" i="2"/>
  <c r="D464" i="2"/>
  <c r="K462" i="2"/>
  <c r="B466" i="2"/>
  <c r="C465" i="2"/>
  <c r="L463" i="2"/>
  <c r="L462" i="2"/>
  <c r="N462" i="2"/>
  <c r="M461" i="2"/>
  <c r="O461" i="2" s="1"/>
  <c r="F463" i="2"/>
  <c r="J462" i="2"/>
  <c r="P461" i="2"/>
  <c r="G464" i="2"/>
  <c r="H464" i="2" s="1"/>
  <c r="K463" i="2" a="1"/>
  <c r="E465" i="2" a="1"/>
  <c r="D465" i="2" a="1"/>
  <c r="I464" i="2" a="1"/>
  <c r="F464" i="2" a="1"/>
  <c r="I464" i="2" l="1"/>
  <c r="D465" i="2"/>
  <c r="E465" i="2"/>
  <c r="K463" i="2"/>
  <c r="B467" i="2"/>
  <c r="C466" i="2"/>
  <c r="N463" i="2"/>
  <c r="M462" i="2"/>
  <c r="O462" i="2" s="1"/>
  <c r="J463" i="2"/>
  <c r="P463" i="2"/>
  <c r="F464" i="2"/>
  <c r="P462" i="2"/>
  <c r="G465" i="2"/>
  <c r="H465" i="2" s="1"/>
  <c r="K464" i="2" a="1"/>
  <c r="F465" i="2" a="1"/>
  <c r="I465" i="2" a="1"/>
  <c r="D466" i="2" a="1"/>
  <c r="E466" i="2" a="1"/>
  <c r="E466" i="2" l="1"/>
  <c r="D466" i="2"/>
  <c r="I465" i="2"/>
  <c r="K464" i="2"/>
  <c r="B468" i="2"/>
  <c r="C467" i="2"/>
  <c r="L464" i="2"/>
  <c r="N464" i="2"/>
  <c r="M463" i="2"/>
  <c r="O463" i="2" s="1"/>
  <c r="F465" i="2"/>
  <c r="J464" i="2"/>
  <c r="G466" i="2"/>
  <c r="H466" i="2" s="1"/>
  <c r="K465" i="2" a="1"/>
  <c r="I466" i="2" a="1"/>
  <c r="F466" i="2" a="1"/>
  <c r="D467" i="2" a="1"/>
  <c r="E467" i="2" a="1"/>
  <c r="E467" i="2" l="1"/>
  <c r="D467" i="2"/>
  <c r="I466" i="2"/>
  <c r="K465" i="2"/>
  <c r="B469" i="2"/>
  <c r="C468" i="2"/>
  <c r="L465" i="2"/>
  <c r="N465" i="2"/>
  <c r="M464" i="2"/>
  <c r="J465" i="2"/>
  <c r="F466" i="2"/>
  <c r="G467" i="2"/>
  <c r="H467" i="2" s="1"/>
  <c r="P464" i="2"/>
  <c r="O464" i="2"/>
  <c r="K466" i="2" a="1"/>
  <c r="F467" i="2" a="1"/>
  <c r="I467" i="2" a="1"/>
  <c r="D468" i="2" a="1"/>
  <c r="E468" i="2" a="1"/>
  <c r="E468" i="2" l="1"/>
  <c r="D468" i="2"/>
  <c r="I467" i="2"/>
  <c r="K466" i="2"/>
  <c r="B470" i="2"/>
  <c r="C469" i="2"/>
  <c r="L466" i="2"/>
  <c r="N466" i="2"/>
  <c r="M465" i="2"/>
  <c r="F467" i="2"/>
  <c r="J466" i="2"/>
  <c r="G468" i="2"/>
  <c r="H468" i="2" s="1"/>
  <c r="P465" i="2"/>
  <c r="O465" i="2"/>
  <c r="K467" i="2" a="1"/>
  <c r="I468" i="2" a="1"/>
  <c r="E469" i="2" a="1"/>
  <c r="D469" i="2" a="1"/>
  <c r="F468" i="2" a="1"/>
  <c r="D469" i="2" l="1"/>
  <c r="E469" i="2"/>
  <c r="I468" i="2"/>
  <c r="K467" i="2"/>
  <c r="L467" i="2"/>
  <c r="N467" i="2"/>
  <c r="B471" i="2"/>
  <c r="C470" i="2"/>
  <c r="M466" i="2"/>
  <c r="O466" i="2" s="1"/>
  <c r="J467" i="2"/>
  <c r="F468" i="2"/>
  <c r="P466" i="2"/>
  <c r="G469" i="2"/>
  <c r="H469" i="2" s="1"/>
  <c r="K468" i="2" a="1"/>
  <c r="I469" i="2" a="1"/>
  <c r="F469" i="2" a="1"/>
  <c r="E470" i="2" a="1"/>
  <c r="D470" i="2" a="1"/>
  <c r="D470" i="2" l="1"/>
  <c r="E470" i="2"/>
  <c r="I469" i="2"/>
  <c r="K468" i="2"/>
  <c r="B472" i="2"/>
  <c r="C471" i="2"/>
  <c r="L469" i="2"/>
  <c r="L468" i="2"/>
  <c r="N468" i="2"/>
  <c r="M467" i="2"/>
  <c r="O467" i="2" s="1"/>
  <c r="F469" i="2"/>
  <c r="J468" i="2"/>
  <c r="P467" i="2"/>
  <c r="G470" i="2"/>
  <c r="H470" i="2" s="1"/>
  <c r="I470" i="2" a="1"/>
  <c r="F470" i="2" a="1"/>
  <c r="K469" i="2" a="1"/>
  <c r="D471" i="2" a="1"/>
  <c r="E471" i="2" a="1"/>
  <c r="E471" i="2" l="1"/>
  <c r="D471" i="2"/>
  <c r="K469" i="2"/>
  <c r="I470" i="2"/>
  <c r="B473" i="2"/>
  <c r="C472" i="2"/>
  <c r="N469" i="2"/>
  <c r="L470" i="2"/>
  <c r="M468" i="2"/>
  <c r="O468" i="2" s="1"/>
  <c r="P468" i="2"/>
  <c r="F470" i="2"/>
  <c r="J469" i="2"/>
  <c r="G471" i="2"/>
  <c r="H471" i="2" s="1"/>
  <c r="D472" i="2" a="1"/>
  <c r="E472" i="2" a="1"/>
  <c r="F471" i="2" a="1"/>
  <c r="I471" i="2" a="1"/>
  <c r="K470" i="2" a="1"/>
  <c r="K470" i="2" l="1"/>
  <c r="I471" i="2"/>
  <c r="E472" i="2"/>
  <c r="D472" i="2"/>
  <c r="B474" i="2"/>
  <c r="C473" i="2"/>
  <c r="N470" i="2"/>
  <c r="M469" i="2"/>
  <c r="O469" i="2" s="1"/>
  <c r="J470" i="2"/>
  <c r="P470" i="2"/>
  <c r="F471" i="2"/>
  <c r="G472" i="2"/>
  <c r="H472" i="2" s="1"/>
  <c r="P469" i="2"/>
  <c r="K471" i="2" a="1"/>
  <c r="I472" i="2" a="1"/>
  <c r="F472" i="2" a="1"/>
  <c r="D473" i="2" a="1"/>
  <c r="E473" i="2" a="1"/>
  <c r="E473" i="2" l="1"/>
  <c r="D473" i="2"/>
  <c r="I472" i="2"/>
  <c r="K471" i="2"/>
  <c r="B475" i="2"/>
  <c r="C474" i="2"/>
  <c r="L472" i="2"/>
  <c r="L471" i="2"/>
  <c r="N471" i="2"/>
  <c r="M470" i="2"/>
  <c r="O470" i="2" s="1"/>
  <c r="F472" i="2"/>
  <c r="J471" i="2"/>
  <c r="G473" i="2"/>
  <c r="H473" i="2" s="1"/>
  <c r="I473" i="2" a="1"/>
  <c r="F473" i="2" a="1"/>
  <c r="K472" i="2" a="1"/>
  <c r="E474" i="2" a="1"/>
  <c r="D474" i="2" a="1"/>
  <c r="D474" i="2" l="1"/>
  <c r="E474" i="2"/>
  <c r="K472" i="2"/>
  <c r="I473" i="2"/>
  <c r="B476" i="2"/>
  <c r="C475" i="2"/>
  <c r="N472" i="2"/>
  <c r="L473" i="2"/>
  <c r="M471" i="2"/>
  <c r="O471" i="2" s="1"/>
  <c r="J472" i="2"/>
  <c r="F473" i="2"/>
  <c r="P471" i="2"/>
  <c r="G474" i="2"/>
  <c r="H474" i="2" s="1"/>
  <c r="F474" i="2" a="1"/>
  <c r="K473" i="2" a="1"/>
  <c r="I474" i="2" a="1"/>
  <c r="E475" i="2" a="1"/>
  <c r="D475" i="2" a="1"/>
  <c r="D475" i="2" l="1"/>
  <c r="E475" i="2"/>
  <c r="I474" i="2"/>
  <c r="K473" i="2"/>
  <c r="B477" i="2"/>
  <c r="C476" i="2"/>
  <c r="N473" i="2"/>
  <c r="M472" i="2"/>
  <c r="O472" i="2" s="1"/>
  <c r="J473" i="2"/>
  <c r="P473" i="2"/>
  <c r="F474" i="2"/>
  <c r="G475" i="2"/>
  <c r="H475" i="2" s="1"/>
  <c r="P472" i="2"/>
  <c r="D476" i="2" a="1"/>
  <c r="E476" i="2" a="1"/>
  <c r="K474" i="2" a="1"/>
  <c r="I475" i="2" a="1"/>
  <c r="F475" i="2" a="1"/>
  <c r="I475" i="2" l="1"/>
  <c r="K474" i="2"/>
  <c r="E476" i="2"/>
  <c r="D476" i="2"/>
  <c r="B478" i="2"/>
  <c r="C477" i="2"/>
  <c r="L474" i="2"/>
  <c r="N474" i="2"/>
  <c r="M473" i="2"/>
  <c r="O473" i="2" s="1"/>
  <c r="F475" i="2"/>
  <c r="J474" i="2"/>
  <c r="G476" i="2"/>
  <c r="H476" i="2" s="1"/>
  <c r="K475" i="2" a="1"/>
  <c r="F476" i="2" a="1"/>
  <c r="I476" i="2" a="1"/>
  <c r="E477" i="2" a="1"/>
  <c r="D477" i="2" a="1"/>
  <c r="D477" i="2" l="1"/>
  <c r="E477" i="2"/>
  <c r="I476" i="2"/>
  <c r="K475" i="2"/>
  <c r="B479" i="2"/>
  <c r="C478" i="2"/>
  <c r="L475" i="2"/>
  <c r="P475" i="2" s="1"/>
  <c r="N475" i="2"/>
  <c r="M474" i="2"/>
  <c r="J475" i="2"/>
  <c r="O474" i="2"/>
  <c r="F476" i="2"/>
  <c r="P474" i="2"/>
  <c r="G477" i="2"/>
  <c r="H477" i="2" s="1"/>
  <c r="K476" i="2" a="1"/>
  <c r="D478" i="2" a="1"/>
  <c r="E478" i="2" a="1"/>
  <c r="F477" i="2" a="1"/>
  <c r="I477" i="2" a="1"/>
  <c r="I477" i="2" l="1"/>
  <c r="E478" i="2"/>
  <c r="D478" i="2"/>
  <c r="K476" i="2"/>
  <c r="B480" i="2"/>
  <c r="C479" i="2"/>
  <c r="L476" i="2"/>
  <c r="N476" i="2"/>
  <c r="M475" i="2"/>
  <c r="O475" i="2" s="1"/>
  <c r="J476" i="2"/>
  <c r="F477" i="2"/>
  <c r="G478" i="2"/>
  <c r="H478" i="2" s="1"/>
  <c r="K477" i="2" a="1"/>
  <c r="D479" i="2" a="1"/>
  <c r="E479" i="2" a="1"/>
  <c r="I478" i="2" a="1"/>
  <c r="F478" i="2" a="1"/>
  <c r="I478" i="2" l="1"/>
  <c r="E479" i="2"/>
  <c r="D479" i="2"/>
  <c r="K477" i="2"/>
  <c r="B481" i="2"/>
  <c r="C480" i="2"/>
  <c r="L477" i="2"/>
  <c r="N477" i="2"/>
  <c r="M476" i="2"/>
  <c r="J477" i="2"/>
  <c r="F478" i="2"/>
  <c r="P476" i="2"/>
  <c r="O476" i="2"/>
  <c r="G479" i="2"/>
  <c r="H479" i="2" s="1"/>
  <c r="K478" i="2" a="1"/>
  <c r="F479" i="2" a="1"/>
  <c r="D480" i="2" a="1"/>
  <c r="E480" i="2" a="1"/>
  <c r="I479" i="2" a="1"/>
  <c r="I479" i="2" l="1"/>
  <c r="E480" i="2"/>
  <c r="D480" i="2"/>
  <c r="K478" i="2"/>
  <c r="B482" i="2"/>
  <c r="C481" i="2"/>
  <c r="L478" i="2"/>
  <c r="N478" i="2"/>
  <c r="M477" i="2"/>
  <c r="J478" i="2"/>
  <c r="F479" i="2"/>
  <c r="P477" i="2"/>
  <c r="O477" i="2"/>
  <c r="G480" i="2"/>
  <c r="H480" i="2" s="1"/>
  <c r="K479" i="2" a="1"/>
  <c r="E481" i="2" a="1"/>
  <c r="D481" i="2" a="1"/>
  <c r="I480" i="2" a="1"/>
  <c r="F480" i="2" a="1"/>
  <c r="I480" i="2" l="1"/>
  <c r="D481" i="2"/>
  <c r="E481" i="2"/>
  <c r="K479" i="2"/>
  <c r="B483" i="2"/>
  <c r="C482" i="2"/>
  <c r="N479" i="2"/>
  <c r="L479" i="2"/>
  <c r="P479" i="2" s="1"/>
  <c r="M478" i="2"/>
  <c r="J479" i="2"/>
  <c r="F480" i="2"/>
  <c r="P478" i="2"/>
  <c r="O478" i="2"/>
  <c r="G481" i="2"/>
  <c r="H481" i="2" s="1"/>
  <c r="K480" i="2" a="1"/>
  <c r="D482" i="2" a="1"/>
  <c r="E482" i="2" a="1"/>
  <c r="I481" i="2" a="1"/>
  <c r="F481" i="2" a="1"/>
  <c r="I481" i="2" l="1"/>
  <c r="E482" i="2"/>
  <c r="D482" i="2"/>
  <c r="K480" i="2"/>
  <c r="B484" i="2"/>
  <c r="C483" i="2"/>
  <c r="L481" i="2"/>
  <c r="N480" i="2"/>
  <c r="L480" i="2"/>
  <c r="M479" i="2"/>
  <c r="O479" i="2" s="1"/>
  <c r="F481" i="2"/>
  <c r="J480" i="2"/>
  <c r="G482" i="2"/>
  <c r="H482" i="2" s="1"/>
  <c r="K481" i="2" a="1"/>
  <c r="I482" i="2" a="1"/>
  <c r="E483" i="2" a="1"/>
  <c r="D483" i="2" a="1"/>
  <c r="F482" i="2" a="1"/>
  <c r="D483" i="2" l="1"/>
  <c r="E483" i="2"/>
  <c r="I482" i="2"/>
  <c r="K481" i="2"/>
  <c r="B485" i="2"/>
  <c r="C484" i="2"/>
  <c r="L482" i="2"/>
  <c r="N481" i="2"/>
  <c r="M480" i="2"/>
  <c r="F482" i="2"/>
  <c r="J481" i="2"/>
  <c r="G483" i="2"/>
  <c r="H483" i="2" s="1"/>
  <c r="O480" i="2"/>
  <c r="P480" i="2"/>
  <c r="K482" i="2" a="1"/>
  <c r="I483" i="2" a="1"/>
  <c r="D484" i="2" a="1"/>
  <c r="E484" i="2" a="1"/>
  <c r="F483" i="2" a="1"/>
  <c r="E484" i="2" l="1"/>
  <c r="D484" i="2"/>
  <c r="I483" i="2"/>
  <c r="K482" i="2"/>
  <c r="N482" i="2"/>
  <c r="B486" i="2"/>
  <c r="C485" i="2"/>
  <c r="M481" i="2"/>
  <c r="O481" i="2" s="1"/>
  <c r="J482" i="2"/>
  <c r="F483" i="2"/>
  <c r="P481" i="2"/>
  <c r="G484" i="2"/>
  <c r="H484" i="2" s="1"/>
  <c r="K483" i="2" a="1"/>
  <c r="I484" i="2" a="1"/>
  <c r="F484" i="2" a="1"/>
  <c r="E485" i="2" a="1"/>
  <c r="D485" i="2" a="1"/>
  <c r="D485" i="2" l="1"/>
  <c r="E485" i="2"/>
  <c r="I484" i="2"/>
  <c r="K483" i="2"/>
  <c r="B487" i="2"/>
  <c r="C486" i="2"/>
  <c r="L483" i="2"/>
  <c r="N483" i="2"/>
  <c r="M482" i="2"/>
  <c r="O482" i="2" s="1"/>
  <c r="F484" i="2"/>
  <c r="J483" i="2"/>
  <c r="G485" i="2"/>
  <c r="H485" i="2" s="1"/>
  <c r="P482" i="2"/>
  <c r="K484" i="2" a="1"/>
  <c r="I485" i="2" a="1"/>
  <c r="D486" i="2" a="1"/>
  <c r="E486" i="2" a="1"/>
  <c r="F485" i="2" a="1"/>
  <c r="E486" i="2" l="1"/>
  <c r="D486" i="2"/>
  <c r="I485" i="2"/>
  <c r="K484" i="2"/>
  <c r="B488" i="2"/>
  <c r="C487" i="2"/>
  <c r="L484" i="2"/>
  <c r="N484" i="2"/>
  <c r="M483" i="2"/>
  <c r="O483" i="2" s="1"/>
  <c r="F485" i="2"/>
  <c r="J484" i="2"/>
  <c r="G486" i="2"/>
  <c r="H486" i="2" s="1"/>
  <c r="P483" i="2"/>
  <c r="I486" i="2" a="1"/>
  <c r="F486" i="2" a="1"/>
  <c r="K485" i="2" a="1"/>
  <c r="E487" i="2" a="1"/>
  <c r="D487" i="2" a="1"/>
  <c r="D487" i="2" l="1"/>
  <c r="E487" i="2"/>
  <c r="K485" i="2"/>
  <c r="I486" i="2"/>
  <c r="B489" i="2"/>
  <c r="C488" i="2"/>
  <c r="N485" i="2"/>
  <c r="L485" i="2"/>
  <c r="M484" i="2"/>
  <c r="O484" i="2" s="1"/>
  <c r="J485" i="2"/>
  <c r="F486" i="2"/>
  <c r="P484" i="2"/>
  <c r="G487" i="2"/>
  <c r="H487" i="2" s="1"/>
  <c r="K486" i="2" a="1"/>
  <c r="D488" i="2" a="1"/>
  <c r="E488" i="2" a="1"/>
  <c r="I487" i="2" a="1"/>
  <c r="F487" i="2" a="1"/>
  <c r="I487" i="2" l="1"/>
  <c r="E488" i="2"/>
  <c r="D488" i="2"/>
  <c r="K486" i="2"/>
  <c r="B490" i="2"/>
  <c r="C489" i="2"/>
  <c r="N486" i="2"/>
  <c r="L486" i="2"/>
  <c r="P486" i="2" s="1"/>
  <c r="M485" i="2"/>
  <c r="J486" i="2"/>
  <c r="F487" i="2"/>
  <c r="G488" i="2"/>
  <c r="H488" i="2" s="1"/>
  <c r="O485" i="2"/>
  <c r="P485" i="2"/>
  <c r="K487" i="2" a="1"/>
  <c r="I488" i="2" a="1"/>
  <c r="F488" i="2" a="1"/>
  <c r="D489" i="2" a="1"/>
  <c r="E489" i="2" a="1"/>
  <c r="E489" i="2" l="1"/>
  <c r="D489" i="2"/>
  <c r="I488" i="2"/>
  <c r="K487" i="2"/>
  <c r="B491" i="2"/>
  <c r="C490" i="2"/>
  <c r="L487" i="2"/>
  <c r="N487" i="2"/>
  <c r="M486" i="2"/>
  <c r="O486" i="2" s="1"/>
  <c r="J487" i="2"/>
  <c r="F488" i="2"/>
  <c r="G489" i="2"/>
  <c r="H489" i="2" s="1"/>
  <c r="K488" i="2" a="1"/>
  <c r="I489" i="2" a="1"/>
  <c r="D490" i="2" a="1"/>
  <c r="E490" i="2" a="1"/>
  <c r="F489" i="2" a="1"/>
  <c r="E490" i="2" l="1"/>
  <c r="D490" i="2"/>
  <c r="I489" i="2"/>
  <c r="K488" i="2"/>
  <c r="B492" i="2"/>
  <c r="C491" i="2"/>
  <c r="L488" i="2"/>
  <c r="N488" i="2"/>
  <c r="M487" i="2"/>
  <c r="O487" i="2" s="1"/>
  <c r="F489" i="2"/>
  <c r="J488" i="2"/>
  <c r="G490" i="2"/>
  <c r="H490" i="2" s="1"/>
  <c r="P487" i="2"/>
  <c r="K489" i="2" a="1"/>
  <c r="I490" i="2" a="1"/>
  <c r="F490" i="2" a="1"/>
  <c r="D491" i="2" a="1"/>
  <c r="E491" i="2" a="1"/>
  <c r="E491" i="2" l="1"/>
  <c r="D491" i="2"/>
  <c r="I490" i="2"/>
  <c r="K489" i="2"/>
  <c r="B493" i="2"/>
  <c r="C492" i="2"/>
  <c r="L489" i="2"/>
  <c r="N489" i="2"/>
  <c r="M488" i="2"/>
  <c r="O488" i="2" s="1"/>
  <c r="F490" i="2"/>
  <c r="J489" i="2"/>
  <c r="G491" i="2"/>
  <c r="H491" i="2" s="1"/>
  <c r="P488" i="2"/>
  <c r="K490" i="2" a="1"/>
  <c r="I491" i="2" a="1"/>
  <c r="F491" i="2" a="1"/>
  <c r="D492" i="2" a="1"/>
  <c r="E492" i="2" a="1"/>
  <c r="E492" i="2" l="1"/>
  <c r="D492" i="2"/>
  <c r="I491" i="2"/>
  <c r="K490" i="2"/>
  <c r="B494" i="2"/>
  <c r="C493" i="2"/>
  <c r="L490" i="2"/>
  <c r="N490" i="2"/>
  <c r="M489" i="2"/>
  <c r="O489" i="2" s="1"/>
  <c r="J490" i="2"/>
  <c r="F491" i="2"/>
  <c r="G492" i="2"/>
  <c r="H492" i="2" s="1"/>
  <c r="P489" i="2"/>
  <c r="K491" i="2" a="1"/>
  <c r="I492" i="2" a="1"/>
  <c r="D493" i="2" a="1"/>
  <c r="E493" i="2" a="1"/>
  <c r="F492" i="2" a="1"/>
  <c r="E493" i="2" l="1"/>
  <c r="D493" i="2"/>
  <c r="I492" i="2"/>
  <c r="K491" i="2"/>
  <c r="B495" i="2"/>
  <c r="C494" i="2"/>
  <c r="N491" i="2"/>
  <c r="L491" i="2"/>
  <c r="M490" i="2"/>
  <c r="O490" i="2" s="1"/>
  <c r="J491" i="2"/>
  <c r="F492" i="2"/>
  <c r="G493" i="2"/>
  <c r="H493" i="2" s="1"/>
  <c r="P490" i="2"/>
  <c r="F493" i="2" a="1"/>
  <c r="K492" i="2" a="1"/>
  <c r="I493" i="2" a="1"/>
  <c r="E494" i="2" a="1"/>
  <c r="D494" i="2" a="1"/>
  <c r="D494" i="2" l="1"/>
  <c r="E494" i="2"/>
  <c r="I493" i="2"/>
  <c r="K492" i="2"/>
  <c r="B496" i="2"/>
  <c r="C495" i="2"/>
  <c r="L492" i="2"/>
  <c r="N492" i="2"/>
  <c r="M491" i="2"/>
  <c r="O491" i="2" s="1"/>
  <c r="F493" i="2"/>
  <c r="J492" i="2"/>
  <c r="G494" i="2"/>
  <c r="H494" i="2" s="1"/>
  <c r="P491" i="2"/>
  <c r="K493" i="2" a="1"/>
  <c r="I494" i="2" a="1"/>
  <c r="D495" i="2" a="1"/>
  <c r="E495" i="2" a="1"/>
  <c r="F494" i="2" a="1"/>
  <c r="E495" i="2" l="1"/>
  <c r="D495" i="2"/>
  <c r="I494" i="2"/>
  <c r="K493" i="2"/>
  <c r="L493" i="2"/>
  <c r="N493" i="2"/>
  <c r="B497" i="2"/>
  <c r="C496" i="2"/>
  <c r="M492" i="2"/>
  <c r="O492" i="2" s="1"/>
  <c r="F494" i="2"/>
  <c r="J493" i="2"/>
  <c r="P492" i="2"/>
  <c r="G495" i="2"/>
  <c r="H495" i="2" s="1"/>
  <c r="K494" i="2" a="1"/>
  <c r="F495" i="2" a="1"/>
  <c r="I495" i="2" a="1"/>
  <c r="D496" i="2" a="1"/>
  <c r="E496" i="2" a="1"/>
  <c r="E496" i="2" l="1"/>
  <c r="D496" i="2"/>
  <c r="I495" i="2"/>
  <c r="K494" i="2"/>
  <c r="B498" i="2"/>
  <c r="C497" i="2"/>
  <c r="L494" i="2"/>
  <c r="N494" i="2"/>
  <c r="M493" i="2"/>
  <c r="J494" i="2"/>
  <c r="F495" i="2"/>
  <c r="G496" i="2"/>
  <c r="H496" i="2" s="1"/>
  <c r="P493" i="2"/>
  <c r="O493" i="2"/>
  <c r="K495" i="2" a="1"/>
  <c r="D497" i="2" a="1"/>
  <c r="E497" i="2" a="1"/>
  <c r="I496" i="2" a="1"/>
  <c r="F496" i="2" a="1"/>
  <c r="I496" i="2" l="1"/>
  <c r="E497" i="2"/>
  <c r="D497" i="2"/>
  <c r="K495" i="2"/>
  <c r="B499" i="2"/>
  <c r="C498" i="2"/>
  <c r="N495" i="2"/>
  <c r="L495" i="2"/>
  <c r="P495" i="2" s="1"/>
  <c r="M494" i="2"/>
  <c r="J495" i="2"/>
  <c r="F496" i="2"/>
  <c r="G497" i="2"/>
  <c r="H497" i="2" s="1"/>
  <c r="P494" i="2"/>
  <c r="O494" i="2"/>
  <c r="K496" i="2" a="1"/>
  <c r="I497" i="2" a="1"/>
  <c r="E498" i="2" a="1"/>
  <c r="D498" i="2" a="1"/>
  <c r="F497" i="2" a="1"/>
  <c r="D498" i="2" l="1"/>
  <c r="E498" i="2"/>
  <c r="I497" i="2"/>
  <c r="K496" i="2"/>
  <c r="B500" i="2"/>
  <c r="C499" i="2"/>
  <c r="L496" i="2"/>
  <c r="P496" i="2" s="1"/>
  <c r="N496" i="2"/>
  <c r="M495" i="2"/>
  <c r="O495" i="2" s="1"/>
  <c r="J496" i="2"/>
  <c r="F497" i="2"/>
  <c r="G498" i="2"/>
  <c r="H498" i="2" s="1"/>
  <c r="F498" i="2" a="1"/>
  <c r="K497" i="2" a="1"/>
  <c r="I498" i="2" a="1"/>
  <c r="D499" i="2" a="1"/>
  <c r="E499" i="2" a="1"/>
  <c r="E499" i="2" l="1"/>
  <c r="D499" i="2"/>
  <c r="I498" i="2"/>
  <c r="K497" i="2"/>
  <c r="B501" i="2"/>
  <c r="C500" i="2"/>
  <c r="L497" i="2"/>
  <c r="P497" i="2" s="1"/>
  <c r="N497" i="2"/>
  <c r="M496" i="2"/>
  <c r="O496" i="2" s="1"/>
  <c r="J497" i="2"/>
  <c r="F498" i="2"/>
  <c r="G499" i="2"/>
  <c r="H499" i="2" s="1"/>
  <c r="I499" i="2" a="1"/>
  <c r="D500" i="2" a="1"/>
  <c r="E500" i="2" a="1"/>
  <c r="K498" i="2" a="1"/>
  <c r="F499" i="2" a="1"/>
  <c r="K498" i="2" l="1"/>
  <c r="E500" i="2"/>
  <c r="D500" i="2"/>
  <c r="I499" i="2"/>
  <c r="B502" i="2"/>
  <c r="C501" i="2"/>
  <c r="L498" i="2"/>
  <c r="N498" i="2"/>
  <c r="M497" i="2"/>
  <c r="O497" i="2" s="1"/>
  <c r="F499" i="2"/>
  <c r="J498" i="2"/>
  <c r="G500" i="2"/>
  <c r="H500" i="2" s="1"/>
  <c r="E501" i="2" a="1"/>
  <c r="D501" i="2" a="1"/>
  <c r="K499" i="2" a="1"/>
  <c r="I500" i="2" a="1"/>
  <c r="F500" i="2" a="1"/>
  <c r="I500" i="2" l="1"/>
  <c r="K499" i="2"/>
  <c r="D501" i="2"/>
  <c r="E501" i="2"/>
  <c r="N499" i="2"/>
  <c r="B503" i="2"/>
  <c r="C502" i="2"/>
  <c r="L500" i="2"/>
  <c r="L499" i="2"/>
  <c r="M498" i="2"/>
  <c r="O498" i="2" s="1"/>
  <c r="J499" i="2"/>
  <c r="F500" i="2"/>
  <c r="P498" i="2"/>
  <c r="G501" i="2"/>
  <c r="H501" i="2" s="1"/>
  <c r="K500" i="2" a="1"/>
  <c r="F501" i="2" a="1"/>
  <c r="I501" i="2" a="1"/>
  <c r="D502" i="2" a="1"/>
  <c r="E502" i="2" a="1"/>
  <c r="E502" i="2" l="1"/>
  <c r="D502" i="2"/>
  <c r="I501" i="2"/>
  <c r="K500" i="2"/>
  <c r="B504" i="2"/>
  <c r="C503" i="2"/>
  <c r="L501" i="2"/>
  <c r="N500" i="2"/>
  <c r="M499" i="2"/>
  <c r="P500" i="2"/>
  <c r="J500" i="2"/>
  <c r="F501" i="2"/>
  <c r="G502" i="2"/>
  <c r="H502" i="2" s="1"/>
  <c r="O499" i="2"/>
  <c r="P499" i="2"/>
  <c r="K501" i="2" a="1"/>
  <c r="I502" i="2" a="1"/>
  <c r="D503" i="2" a="1"/>
  <c r="E503" i="2" a="1"/>
  <c r="F502" i="2" a="1"/>
  <c r="E503" i="2" l="1"/>
  <c r="D503" i="2"/>
  <c r="I502" i="2"/>
  <c r="K501" i="2"/>
  <c r="B505" i="2"/>
  <c r="C504" i="2"/>
  <c r="N501" i="2"/>
  <c r="M500" i="2"/>
  <c r="O500" i="2" s="1"/>
  <c r="F502" i="2"/>
  <c r="J501" i="2"/>
  <c r="G503" i="2"/>
  <c r="H503" i="2" s="1"/>
  <c r="K502" i="2" a="1"/>
  <c r="I503" i="2" a="1"/>
  <c r="F503" i="2" a="1"/>
  <c r="E504" i="2" a="1"/>
  <c r="D504" i="2" a="1"/>
  <c r="D504" i="2" l="1"/>
  <c r="E504" i="2"/>
  <c r="I503" i="2"/>
  <c r="K502" i="2"/>
  <c r="B506" i="2"/>
  <c r="C505" i="2"/>
  <c r="N502" i="2"/>
  <c r="L502" i="2"/>
  <c r="P502" i="2" s="1"/>
  <c r="M501" i="2"/>
  <c r="O501" i="2" s="1"/>
  <c r="J502" i="2"/>
  <c r="F503" i="2"/>
  <c r="P501" i="2"/>
  <c r="G504" i="2"/>
  <c r="H504" i="2" s="1"/>
  <c r="I504" i="2" a="1"/>
  <c r="K503" i="2" a="1"/>
  <c r="D505" i="2" a="1"/>
  <c r="E505" i="2" a="1"/>
  <c r="F504" i="2" a="1"/>
  <c r="E505" i="2" l="1"/>
  <c r="D505" i="2"/>
  <c r="K503" i="2"/>
  <c r="I504" i="2"/>
  <c r="N503" i="2"/>
  <c r="B507" i="2"/>
  <c r="C506" i="2"/>
  <c r="L504" i="2"/>
  <c r="L503" i="2"/>
  <c r="M502" i="2"/>
  <c r="O502" i="2" s="1"/>
  <c r="J503" i="2"/>
  <c r="P503" i="2"/>
  <c r="F504" i="2"/>
  <c r="G505" i="2"/>
  <c r="H505" i="2" s="1"/>
  <c r="K504" i="2" a="1"/>
  <c r="F505" i="2" a="1"/>
  <c r="E506" i="2" a="1"/>
  <c r="D506" i="2" a="1"/>
  <c r="I505" i="2" a="1"/>
  <c r="I505" i="2" l="1"/>
  <c r="D506" i="2"/>
  <c r="E506" i="2"/>
  <c r="K504" i="2"/>
  <c r="B508" i="2"/>
  <c r="C507" i="2"/>
  <c r="N504" i="2"/>
  <c r="M503" i="2"/>
  <c r="O503" i="2" s="1"/>
  <c r="J504" i="2"/>
  <c r="F505" i="2"/>
  <c r="G506" i="2"/>
  <c r="H506" i="2" s="1"/>
  <c r="K505" i="2" a="1"/>
  <c r="I506" i="2" a="1"/>
  <c r="D507" i="2" a="1"/>
  <c r="E507" i="2" a="1"/>
  <c r="F506" i="2" a="1"/>
  <c r="E507" i="2" l="1"/>
  <c r="D507" i="2"/>
  <c r="I506" i="2"/>
  <c r="K505" i="2"/>
  <c r="B509" i="2"/>
  <c r="C508" i="2"/>
  <c r="L505" i="2"/>
  <c r="N505" i="2"/>
  <c r="M504" i="2"/>
  <c r="O504" i="2" s="1"/>
  <c r="P504" i="2"/>
  <c r="J505" i="2"/>
  <c r="F506" i="2"/>
  <c r="G507" i="2"/>
  <c r="H507" i="2" s="1"/>
  <c r="F507" i="2" a="1"/>
  <c r="E508" i="2" a="1"/>
  <c r="D508" i="2" a="1"/>
  <c r="K506" i="2" a="1"/>
  <c r="I507" i="2" a="1"/>
  <c r="I507" i="2" l="1"/>
  <c r="K506" i="2"/>
  <c r="D508" i="2"/>
  <c r="E508" i="2"/>
  <c r="L506" i="2"/>
  <c r="N506" i="2"/>
  <c r="B510" i="2"/>
  <c r="C509" i="2"/>
  <c r="M505" i="2"/>
  <c r="F507" i="2"/>
  <c r="J506" i="2"/>
  <c r="G508" i="2"/>
  <c r="H508" i="2" s="1"/>
  <c r="O505" i="2"/>
  <c r="P505" i="2"/>
  <c r="K507" i="2" a="1"/>
  <c r="I508" i="2" a="1"/>
  <c r="D509" i="2" a="1"/>
  <c r="E509" i="2" a="1"/>
  <c r="F508" i="2" a="1"/>
  <c r="E509" i="2" l="1"/>
  <c r="D509" i="2"/>
  <c r="I508" i="2"/>
  <c r="K507" i="2"/>
  <c r="B511" i="2"/>
  <c r="C510" i="2"/>
  <c r="L508" i="2"/>
  <c r="L507" i="2"/>
  <c r="P507" i="2" s="1"/>
  <c r="N507" i="2"/>
  <c r="M506" i="2"/>
  <c r="J507" i="2"/>
  <c r="F508" i="2"/>
  <c r="G509" i="2"/>
  <c r="H509" i="2" s="1"/>
  <c r="O506" i="2"/>
  <c r="P506" i="2"/>
  <c r="F509" i="2" a="1"/>
  <c r="I509" i="2" a="1"/>
  <c r="K508" i="2" a="1"/>
  <c r="D510" i="2" a="1"/>
  <c r="E510" i="2" a="1"/>
  <c r="E510" i="2" l="1"/>
  <c r="D510" i="2"/>
  <c r="K508" i="2"/>
  <c r="I509" i="2"/>
  <c r="B512" i="2"/>
  <c r="C511" i="2"/>
  <c r="N508" i="2"/>
  <c r="M507" i="2"/>
  <c r="O507" i="2" s="1"/>
  <c r="F509" i="2"/>
  <c r="J508" i="2"/>
  <c r="G510" i="2"/>
  <c r="H510" i="2" s="1"/>
  <c r="I510" i="2" a="1"/>
  <c r="K509" i="2" a="1"/>
  <c r="F510" i="2" a="1"/>
  <c r="D511" i="2" a="1"/>
  <c r="E511" i="2" a="1"/>
  <c r="E511" i="2" l="1"/>
  <c r="D511" i="2"/>
  <c r="K509" i="2"/>
  <c r="I510" i="2"/>
  <c r="B513" i="2"/>
  <c r="C512" i="2"/>
  <c r="L509" i="2"/>
  <c r="N509" i="2"/>
  <c r="M508" i="2"/>
  <c r="O508" i="2" s="1"/>
  <c r="F510" i="2"/>
  <c r="J509" i="2"/>
  <c r="P508" i="2"/>
  <c r="G511" i="2"/>
  <c r="H511" i="2" s="1"/>
  <c r="K510" i="2" a="1"/>
  <c r="D512" i="2" a="1"/>
  <c r="E512" i="2" a="1"/>
  <c r="I511" i="2" a="1"/>
  <c r="F511" i="2" a="1"/>
  <c r="I511" i="2" l="1"/>
  <c r="E512" i="2"/>
  <c r="D512" i="2"/>
  <c r="K510" i="2"/>
  <c r="B514" i="2"/>
  <c r="C513" i="2"/>
  <c r="N510" i="2"/>
  <c r="L510" i="2"/>
  <c r="M509" i="2"/>
  <c r="O509" i="2" s="1"/>
  <c r="J510" i="2"/>
  <c r="F511" i="2"/>
  <c r="P509" i="2"/>
  <c r="G512" i="2"/>
  <c r="H512" i="2" s="1"/>
  <c r="K511" i="2" a="1"/>
  <c r="I512" i="2" a="1"/>
  <c r="D513" i="2" a="1"/>
  <c r="E513" i="2" a="1"/>
  <c r="F512" i="2" a="1"/>
  <c r="E513" i="2" l="1"/>
  <c r="D513" i="2"/>
  <c r="I512" i="2"/>
  <c r="K511" i="2"/>
  <c r="L512" i="2"/>
  <c r="B515" i="2"/>
  <c r="C514" i="2"/>
  <c r="L511" i="2"/>
  <c r="N511" i="2"/>
  <c r="M510" i="2"/>
  <c r="O510" i="2" s="1"/>
  <c r="F512" i="2"/>
  <c r="J511" i="2"/>
  <c r="P510" i="2"/>
  <c r="G513" i="2"/>
  <c r="H513" i="2" s="1"/>
  <c r="F513" i="2" a="1"/>
  <c r="K512" i="2" a="1"/>
  <c r="I513" i="2" a="1"/>
  <c r="D514" i="2" a="1"/>
  <c r="E514" i="2" a="1"/>
  <c r="E514" i="2" l="1"/>
  <c r="D514" i="2"/>
  <c r="I513" i="2"/>
  <c r="K512" i="2"/>
  <c r="N512" i="2"/>
  <c r="B516" i="2"/>
  <c r="C515" i="2"/>
  <c r="M511" i="2"/>
  <c r="O511" i="2" s="1"/>
  <c r="F513" i="2"/>
  <c r="P511" i="2"/>
  <c r="J512" i="2"/>
  <c r="G514" i="2"/>
  <c r="H514" i="2" s="1"/>
  <c r="I514" i="2" a="1"/>
  <c r="F514" i="2" a="1"/>
  <c r="K513" i="2" a="1"/>
  <c r="D515" i="2" a="1"/>
  <c r="E515" i="2" a="1"/>
  <c r="E515" i="2" l="1"/>
  <c r="D515" i="2"/>
  <c r="K513" i="2"/>
  <c r="I514" i="2"/>
  <c r="B517" i="2"/>
  <c r="C516" i="2"/>
  <c r="L513" i="2"/>
  <c r="N513" i="2"/>
  <c r="M512" i="2"/>
  <c r="O512" i="2" s="1"/>
  <c r="F514" i="2"/>
  <c r="J513" i="2"/>
  <c r="P512" i="2"/>
  <c r="G515" i="2"/>
  <c r="H515" i="2" s="1"/>
  <c r="K514" i="2" a="1"/>
  <c r="I515" i="2" a="1"/>
  <c r="D516" i="2" a="1"/>
  <c r="E516" i="2" a="1"/>
  <c r="F515" i="2" a="1"/>
  <c r="E516" i="2" l="1"/>
  <c r="D516" i="2"/>
  <c r="I515" i="2"/>
  <c r="K514" i="2"/>
  <c r="B518" i="2"/>
  <c r="C517" i="2"/>
  <c r="L514" i="2"/>
  <c r="P514" i="2" s="1"/>
  <c r="N514" i="2"/>
  <c r="M513" i="2"/>
  <c r="J514" i="2"/>
  <c r="F515" i="2"/>
  <c r="P513" i="2"/>
  <c r="O513" i="2"/>
  <c r="G516" i="2"/>
  <c r="H516" i="2" s="1"/>
  <c r="D517" i="2" a="1"/>
  <c r="E517" i="2" a="1"/>
  <c r="K515" i="2" a="1"/>
  <c r="I516" i="2" a="1"/>
  <c r="F516" i="2" a="1"/>
  <c r="I516" i="2" l="1"/>
  <c r="K515" i="2"/>
  <c r="E517" i="2"/>
  <c r="D517" i="2"/>
  <c r="B519" i="2"/>
  <c r="C518" i="2"/>
  <c r="L515" i="2"/>
  <c r="N515" i="2"/>
  <c r="M514" i="2"/>
  <c r="O514" i="2" s="1"/>
  <c r="F516" i="2"/>
  <c r="J515" i="2"/>
  <c r="G517" i="2"/>
  <c r="H517" i="2" s="1"/>
  <c r="K516" i="2" a="1"/>
  <c r="D518" i="2" a="1"/>
  <c r="E518" i="2" a="1"/>
  <c r="I517" i="2" a="1"/>
  <c r="F517" i="2" a="1"/>
  <c r="I517" i="2" l="1"/>
  <c r="E518" i="2"/>
  <c r="D518" i="2"/>
  <c r="K516" i="2"/>
  <c r="B520" i="2"/>
  <c r="C519" i="2"/>
  <c r="L517" i="2"/>
  <c r="L516" i="2"/>
  <c r="P516" i="2" s="1"/>
  <c r="N516" i="2"/>
  <c r="M515" i="2"/>
  <c r="O515" i="2" s="1"/>
  <c r="J516" i="2"/>
  <c r="P515" i="2"/>
  <c r="F517" i="2"/>
  <c r="G518" i="2"/>
  <c r="H518" i="2" s="1"/>
  <c r="K517" i="2" a="1"/>
  <c r="F518" i="2" a="1"/>
  <c r="I518" i="2" a="1"/>
  <c r="D519" i="2" a="1"/>
  <c r="E519" i="2" a="1"/>
  <c r="E519" i="2" l="1"/>
  <c r="D519" i="2"/>
  <c r="I518" i="2"/>
  <c r="K517" i="2"/>
  <c r="B521" i="2"/>
  <c r="C520" i="2"/>
  <c r="L518" i="2"/>
  <c r="N517" i="2"/>
  <c r="M516" i="2"/>
  <c r="O516" i="2" s="1"/>
  <c r="J517" i="2"/>
  <c r="F518" i="2"/>
  <c r="G519" i="2"/>
  <c r="H519" i="2" s="1"/>
  <c r="K518" i="2" a="1"/>
  <c r="I519" i="2" a="1"/>
  <c r="F519" i="2" a="1"/>
  <c r="D520" i="2" a="1"/>
  <c r="E520" i="2" a="1"/>
  <c r="E520" i="2" l="1"/>
  <c r="D520" i="2"/>
  <c r="I519" i="2"/>
  <c r="K518" i="2"/>
  <c r="B522" i="2"/>
  <c r="C521" i="2"/>
  <c r="N518" i="2"/>
  <c r="M517" i="2"/>
  <c r="O517" i="2" s="1"/>
  <c r="J518" i="2"/>
  <c r="F519" i="2"/>
  <c r="G520" i="2"/>
  <c r="H520" i="2" s="1"/>
  <c r="P517" i="2"/>
  <c r="E521" i="2" a="1"/>
  <c r="D521" i="2" a="1"/>
  <c r="K519" i="2" a="1"/>
  <c r="I520" i="2" a="1"/>
  <c r="F520" i="2" a="1"/>
  <c r="I520" i="2" l="1"/>
  <c r="K519" i="2"/>
  <c r="D521" i="2"/>
  <c r="E521" i="2"/>
  <c r="B523" i="2"/>
  <c r="C522" i="2"/>
  <c r="L519" i="2"/>
  <c r="N519" i="2"/>
  <c r="L520" i="2"/>
  <c r="M518" i="2"/>
  <c r="O518" i="2" s="1"/>
  <c r="F520" i="2"/>
  <c r="J519" i="2"/>
  <c r="P518" i="2"/>
  <c r="G521" i="2"/>
  <c r="H521" i="2" s="1"/>
  <c r="K520" i="2" a="1"/>
  <c r="I521" i="2" a="1"/>
  <c r="E522" i="2" a="1"/>
  <c r="D522" i="2" a="1"/>
  <c r="F521" i="2" a="1"/>
  <c r="D522" i="2" l="1"/>
  <c r="E522" i="2"/>
  <c r="I521" i="2"/>
  <c r="K520" i="2"/>
  <c r="L521" i="2"/>
  <c r="B524" i="2"/>
  <c r="C523" i="2"/>
  <c r="N520" i="2"/>
  <c r="M519" i="2"/>
  <c r="O519" i="2" s="1"/>
  <c r="F521" i="2"/>
  <c r="P519" i="2"/>
  <c r="J520" i="2"/>
  <c r="G522" i="2"/>
  <c r="H522" i="2" s="1"/>
  <c r="D523" i="2" a="1"/>
  <c r="E523" i="2" a="1"/>
  <c r="K521" i="2" a="1"/>
  <c r="I522" i="2" a="1"/>
  <c r="F522" i="2" a="1"/>
  <c r="I522" i="2" l="1"/>
  <c r="K521" i="2"/>
  <c r="E523" i="2"/>
  <c r="D523" i="2"/>
  <c r="N521" i="2"/>
  <c r="B525" i="2"/>
  <c r="C524" i="2"/>
  <c r="M520" i="2"/>
  <c r="O520" i="2" s="1"/>
  <c r="J521" i="2"/>
  <c r="P521" i="2"/>
  <c r="F522" i="2"/>
  <c r="P520" i="2"/>
  <c r="G523" i="2"/>
  <c r="H523" i="2" s="1"/>
  <c r="K522" i="2" a="1"/>
  <c r="F523" i="2" a="1"/>
  <c r="D524" i="2" a="1"/>
  <c r="E524" i="2" a="1"/>
  <c r="I523" i="2" a="1"/>
  <c r="I523" i="2" l="1"/>
  <c r="E524" i="2"/>
  <c r="D524" i="2"/>
  <c r="K522" i="2"/>
  <c r="B526" i="2"/>
  <c r="C525" i="2"/>
  <c r="N522" i="2"/>
  <c r="L522" i="2"/>
  <c r="M521" i="2"/>
  <c r="O521" i="2" s="1"/>
  <c r="J522" i="2"/>
  <c r="F523" i="2"/>
  <c r="G524" i="2"/>
  <c r="H524" i="2" s="1"/>
  <c r="K523" i="2" a="1"/>
  <c r="F524" i="2" a="1"/>
  <c r="I524" i="2" a="1"/>
  <c r="E525" i="2" a="1"/>
  <c r="D525" i="2" a="1"/>
  <c r="D525" i="2" l="1"/>
  <c r="E525" i="2"/>
  <c r="I524" i="2"/>
  <c r="K523" i="2"/>
  <c r="B527" i="2"/>
  <c r="C526" i="2"/>
  <c r="L523" i="2"/>
  <c r="P523" i="2" s="1"/>
  <c r="N523" i="2"/>
  <c r="M522" i="2"/>
  <c r="O522" i="2" s="1"/>
  <c r="J523" i="2"/>
  <c r="F524" i="2"/>
  <c r="P522" i="2"/>
  <c r="G525" i="2"/>
  <c r="H525" i="2" s="1"/>
  <c r="I525" i="2" a="1"/>
  <c r="K524" i="2" a="1"/>
  <c r="D526" i="2" a="1"/>
  <c r="E526" i="2" a="1"/>
  <c r="F525" i="2" a="1"/>
  <c r="E526" i="2" l="1"/>
  <c r="D526" i="2"/>
  <c r="K524" i="2"/>
  <c r="I525" i="2"/>
  <c r="B528" i="2"/>
  <c r="C527" i="2"/>
  <c r="L524" i="2"/>
  <c r="P524" i="2" s="1"/>
  <c r="N524" i="2"/>
  <c r="M523" i="2"/>
  <c r="O523" i="2" s="1"/>
  <c r="J524" i="2"/>
  <c r="F525" i="2"/>
  <c r="G526" i="2"/>
  <c r="H526" i="2" s="1"/>
  <c r="D527" i="2" a="1"/>
  <c r="E527" i="2" a="1"/>
  <c r="F526" i="2" a="1"/>
  <c r="K525" i="2" a="1"/>
  <c r="I526" i="2" a="1"/>
  <c r="I526" i="2" l="1"/>
  <c r="K525" i="2"/>
  <c r="E527" i="2"/>
  <c r="D527" i="2"/>
  <c r="L525" i="2"/>
  <c r="N525" i="2"/>
  <c r="B529" i="2"/>
  <c r="C528" i="2"/>
  <c r="M524" i="2"/>
  <c r="O524" i="2" s="1"/>
  <c r="J525" i="2"/>
  <c r="F526" i="2"/>
  <c r="G527" i="2"/>
  <c r="H527" i="2" s="1"/>
  <c r="K526" i="2" a="1"/>
  <c r="E528" i="2" a="1"/>
  <c r="D528" i="2" a="1"/>
  <c r="I527" i="2" a="1"/>
  <c r="F527" i="2" a="1"/>
  <c r="I527" i="2" l="1"/>
  <c r="D528" i="2"/>
  <c r="E528" i="2"/>
  <c r="K526" i="2"/>
  <c r="B530" i="2"/>
  <c r="C529" i="2"/>
  <c r="L526" i="2"/>
  <c r="N526" i="2"/>
  <c r="M525" i="2"/>
  <c r="F527" i="2"/>
  <c r="J526" i="2"/>
  <c r="G528" i="2"/>
  <c r="H528" i="2" s="1"/>
  <c r="P525" i="2"/>
  <c r="O525" i="2"/>
  <c r="K527" i="2" a="1"/>
  <c r="E529" i="2" a="1"/>
  <c r="D529" i="2" a="1"/>
  <c r="F528" i="2" a="1"/>
  <c r="I528" i="2" a="1"/>
  <c r="I528" i="2" l="1"/>
  <c r="D529" i="2"/>
  <c r="E529" i="2"/>
  <c r="K527" i="2"/>
  <c r="B531" i="2"/>
  <c r="C530" i="2"/>
  <c r="L527" i="2"/>
  <c r="N527" i="2"/>
  <c r="M526" i="2"/>
  <c r="O526" i="2" s="1"/>
  <c r="F528" i="2"/>
  <c r="J527" i="2"/>
  <c r="G529" i="2"/>
  <c r="H529" i="2" s="1"/>
  <c r="P526" i="2"/>
  <c r="K528" i="2" a="1"/>
  <c r="I529" i="2" a="1"/>
  <c r="E530" i="2" a="1"/>
  <c r="D530" i="2" a="1"/>
  <c r="F529" i="2" a="1"/>
  <c r="D530" i="2" l="1"/>
  <c r="E530" i="2"/>
  <c r="I529" i="2"/>
  <c r="K528" i="2"/>
  <c r="B532" i="2"/>
  <c r="C531" i="2"/>
  <c r="L529" i="2"/>
  <c r="L528" i="2"/>
  <c r="N528" i="2"/>
  <c r="M527" i="2"/>
  <c r="O527" i="2" s="1"/>
  <c r="J528" i="2"/>
  <c r="F529" i="2"/>
  <c r="P527" i="2"/>
  <c r="G530" i="2"/>
  <c r="H530" i="2" s="1"/>
  <c r="K529" i="2" a="1"/>
  <c r="F530" i="2" a="1"/>
  <c r="E531" i="2" a="1"/>
  <c r="D531" i="2" a="1"/>
  <c r="I530" i="2" a="1"/>
  <c r="I530" i="2" l="1"/>
  <c r="D531" i="2"/>
  <c r="E531" i="2"/>
  <c r="K529" i="2"/>
  <c r="B533" i="2"/>
  <c r="C532" i="2"/>
  <c r="N529" i="2"/>
  <c r="M528" i="2"/>
  <c r="O528" i="2" s="1"/>
  <c r="J529" i="2"/>
  <c r="P529" i="2"/>
  <c r="F530" i="2"/>
  <c r="P528" i="2"/>
  <c r="G531" i="2"/>
  <c r="H531" i="2" s="1"/>
  <c r="K530" i="2" a="1"/>
  <c r="I531" i="2" a="1"/>
  <c r="D532" i="2" a="1"/>
  <c r="E532" i="2" a="1"/>
  <c r="F531" i="2" a="1"/>
  <c r="E532" i="2" l="1"/>
  <c r="D532" i="2"/>
  <c r="I531" i="2"/>
  <c r="K530" i="2"/>
  <c r="B534" i="2"/>
  <c r="C533" i="2"/>
  <c r="L530" i="2"/>
  <c r="P530" i="2" s="1"/>
  <c r="N530" i="2"/>
  <c r="M529" i="2"/>
  <c r="O529" i="2" s="1"/>
  <c r="J530" i="2"/>
  <c r="F531" i="2"/>
  <c r="G532" i="2"/>
  <c r="H532" i="2" s="1"/>
  <c r="K531" i="2" a="1"/>
  <c r="I532" i="2" a="1"/>
  <c r="E533" i="2" a="1"/>
  <c r="D533" i="2" a="1"/>
  <c r="F532" i="2" a="1"/>
  <c r="D533" i="2" l="1"/>
  <c r="E533" i="2"/>
  <c r="I532" i="2"/>
  <c r="K531" i="2"/>
  <c r="B535" i="2"/>
  <c r="C534" i="2"/>
  <c r="L531" i="2"/>
  <c r="N531" i="2"/>
  <c r="M530" i="2"/>
  <c r="O530" i="2" s="1"/>
  <c r="J531" i="2"/>
  <c r="F532" i="2"/>
  <c r="G533" i="2"/>
  <c r="H533" i="2" s="1"/>
  <c r="F533" i="2" a="1"/>
  <c r="K532" i="2" a="1"/>
  <c r="I533" i="2" a="1"/>
  <c r="E534" i="2" a="1"/>
  <c r="D534" i="2" a="1"/>
  <c r="D534" i="2" l="1"/>
  <c r="E534" i="2"/>
  <c r="I533" i="2"/>
  <c r="K532" i="2"/>
  <c r="L532" i="2"/>
  <c r="N532" i="2"/>
  <c r="B536" i="2"/>
  <c r="C535" i="2"/>
  <c r="M531" i="2"/>
  <c r="F533" i="2"/>
  <c r="J532" i="2"/>
  <c r="P531" i="2"/>
  <c r="O531" i="2"/>
  <c r="G534" i="2"/>
  <c r="H534" i="2" s="1"/>
  <c r="K533" i="2" a="1"/>
  <c r="I534" i="2" a="1"/>
  <c r="F534" i="2" a="1"/>
  <c r="E535" i="2" a="1"/>
  <c r="D535" i="2" a="1"/>
  <c r="D535" i="2" l="1"/>
  <c r="E535" i="2"/>
  <c r="I534" i="2"/>
  <c r="K533" i="2"/>
  <c r="B537" i="2"/>
  <c r="C536" i="2"/>
  <c r="N533" i="2"/>
  <c r="L533" i="2"/>
  <c r="M532" i="2"/>
  <c r="O532" i="2" s="1"/>
  <c r="J533" i="2"/>
  <c r="P532" i="2"/>
  <c r="F534" i="2"/>
  <c r="G535" i="2"/>
  <c r="H535" i="2" s="1"/>
  <c r="E536" i="2" a="1"/>
  <c r="D536" i="2" a="1"/>
  <c r="K534" i="2" a="1"/>
  <c r="F535" i="2" a="1"/>
  <c r="I535" i="2" a="1"/>
  <c r="I535" i="2" l="1"/>
  <c r="K534" i="2"/>
  <c r="D536" i="2"/>
  <c r="E536" i="2"/>
  <c r="B538" i="2"/>
  <c r="C537" i="2"/>
  <c r="L534" i="2"/>
  <c r="P534" i="2" s="1"/>
  <c r="N534" i="2"/>
  <c r="L535" i="2"/>
  <c r="M533" i="2"/>
  <c r="J534" i="2"/>
  <c r="F535" i="2"/>
  <c r="G536" i="2"/>
  <c r="H536" i="2" s="1"/>
  <c r="O533" i="2"/>
  <c r="P533" i="2"/>
  <c r="K535" i="2" a="1"/>
  <c r="F536" i="2" a="1"/>
  <c r="I536" i="2" a="1"/>
  <c r="E537" i="2" a="1"/>
  <c r="D537" i="2" a="1"/>
  <c r="D537" i="2" l="1"/>
  <c r="E537" i="2"/>
  <c r="I536" i="2"/>
  <c r="K535" i="2"/>
  <c r="B539" i="2"/>
  <c r="C538" i="2"/>
  <c r="N535" i="2"/>
  <c r="M534" i="2"/>
  <c r="O534" i="2" s="1"/>
  <c r="F536" i="2"/>
  <c r="J535" i="2"/>
  <c r="G537" i="2"/>
  <c r="H537" i="2" s="1"/>
  <c r="F537" i="2" a="1"/>
  <c r="K536" i="2" a="1"/>
  <c r="I537" i="2" a="1"/>
  <c r="D538" i="2" a="1"/>
  <c r="E538" i="2" a="1"/>
  <c r="E538" i="2" l="1"/>
  <c r="D538" i="2"/>
  <c r="I537" i="2"/>
  <c r="K536" i="2"/>
  <c r="B540" i="2"/>
  <c r="C539" i="2"/>
  <c r="L536" i="2"/>
  <c r="P536" i="2" s="1"/>
  <c r="N536" i="2"/>
  <c r="M535" i="2"/>
  <c r="J536" i="2"/>
  <c r="F537" i="2"/>
  <c r="P535" i="2"/>
  <c r="O535" i="2"/>
  <c r="G538" i="2"/>
  <c r="H538" i="2" s="1"/>
  <c r="K537" i="2" a="1"/>
  <c r="E539" i="2" a="1"/>
  <c r="D539" i="2" a="1"/>
  <c r="I538" i="2" a="1"/>
  <c r="F538" i="2" a="1"/>
  <c r="I538" i="2" l="1"/>
  <c r="D539" i="2"/>
  <c r="E539" i="2"/>
  <c r="K537" i="2"/>
  <c r="B541" i="2"/>
  <c r="C540" i="2"/>
  <c r="L537" i="2"/>
  <c r="N537" i="2"/>
  <c r="M536" i="2"/>
  <c r="O536" i="2" s="1"/>
  <c r="F538" i="2"/>
  <c r="J537" i="2"/>
  <c r="G539" i="2"/>
  <c r="H539" i="2" s="1"/>
  <c r="K538" i="2" a="1"/>
  <c r="D540" i="2" a="1"/>
  <c r="E540" i="2" a="1"/>
  <c r="F539" i="2" a="1"/>
  <c r="I539" i="2" a="1"/>
  <c r="I539" i="2" l="1"/>
  <c r="E540" i="2"/>
  <c r="D540" i="2"/>
  <c r="K538" i="2"/>
  <c r="B542" i="2"/>
  <c r="C541" i="2"/>
  <c r="N538" i="2"/>
  <c r="L538" i="2"/>
  <c r="M537" i="2"/>
  <c r="O537" i="2" s="1"/>
  <c r="J538" i="2"/>
  <c r="F539" i="2"/>
  <c r="P537" i="2"/>
  <c r="G540" i="2"/>
  <c r="H540" i="2" s="1"/>
  <c r="K539" i="2" a="1"/>
  <c r="F540" i="2" a="1"/>
  <c r="I540" i="2" a="1"/>
  <c r="D541" i="2" a="1"/>
  <c r="E541" i="2" a="1"/>
  <c r="E541" i="2" l="1"/>
  <c r="D541" i="2"/>
  <c r="I540" i="2"/>
  <c r="K539" i="2"/>
  <c r="B543" i="2"/>
  <c r="C542" i="2"/>
  <c r="L539" i="2"/>
  <c r="N539" i="2"/>
  <c r="M538" i="2"/>
  <c r="O538" i="2" s="1"/>
  <c r="F540" i="2"/>
  <c r="J539" i="2"/>
  <c r="G541" i="2"/>
  <c r="H541" i="2" s="1"/>
  <c r="P538" i="2"/>
  <c r="I541" i="2" a="1"/>
  <c r="K540" i="2" a="1"/>
  <c r="F541" i="2" a="1"/>
  <c r="D542" i="2" a="1"/>
  <c r="E542" i="2" a="1"/>
  <c r="E542" i="2" l="1"/>
  <c r="D542" i="2"/>
  <c r="K540" i="2"/>
  <c r="I541" i="2"/>
  <c r="B544" i="2"/>
  <c r="C543" i="2"/>
  <c r="L540" i="2"/>
  <c r="N540" i="2"/>
  <c r="M539" i="2"/>
  <c r="O539" i="2" s="1"/>
  <c r="F541" i="2"/>
  <c r="J540" i="2"/>
  <c r="P539" i="2"/>
  <c r="G542" i="2"/>
  <c r="H542" i="2" s="1"/>
  <c r="E543" i="2" a="1"/>
  <c r="D543" i="2" a="1"/>
  <c r="I542" i="2" a="1"/>
  <c r="K541" i="2" a="1"/>
  <c r="F542" i="2" a="1"/>
  <c r="K541" i="2" l="1"/>
  <c r="I542" i="2"/>
  <c r="D543" i="2"/>
  <c r="E543" i="2"/>
  <c r="B545" i="2"/>
  <c r="C544" i="2"/>
  <c r="L541" i="2"/>
  <c r="N541" i="2"/>
  <c r="M540" i="2"/>
  <c r="F542" i="2"/>
  <c r="J541" i="2"/>
  <c r="P540" i="2"/>
  <c r="O540" i="2"/>
  <c r="G543" i="2"/>
  <c r="H543" i="2" s="1"/>
  <c r="K542" i="2" a="1"/>
  <c r="F543" i="2" a="1"/>
  <c r="D544" i="2" a="1"/>
  <c r="E544" i="2" a="1"/>
  <c r="I543" i="2" a="1"/>
  <c r="I543" i="2" l="1"/>
  <c r="E544" i="2"/>
  <c r="D544" i="2"/>
  <c r="K542" i="2"/>
  <c r="B546" i="2"/>
  <c r="C545" i="2"/>
  <c r="N542" i="2"/>
  <c r="L542" i="2"/>
  <c r="M541" i="2"/>
  <c r="J542" i="2"/>
  <c r="F543" i="2"/>
  <c r="G544" i="2"/>
  <c r="H544" i="2" s="1"/>
  <c r="O541" i="2"/>
  <c r="P541" i="2"/>
  <c r="K543" i="2" a="1"/>
  <c r="I544" i="2" a="1"/>
  <c r="D545" i="2" a="1"/>
  <c r="E545" i="2" a="1"/>
  <c r="F544" i="2" a="1"/>
  <c r="E545" i="2" l="1"/>
  <c r="D545" i="2"/>
  <c r="I544" i="2"/>
  <c r="K543" i="2"/>
  <c r="B547" i="2"/>
  <c r="C546" i="2"/>
  <c r="L544" i="2"/>
  <c r="L543" i="2"/>
  <c r="N543" i="2"/>
  <c r="M542" i="2"/>
  <c r="O542" i="2" s="1"/>
  <c r="P542" i="2"/>
  <c r="F544" i="2"/>
  <c r="J543" i="2"/>
  <c r="G545" i="2"/>
  <c r="H545" i="2" s="1"/>
  <c r="I545" i="2" a="1"/>
  <c r="F545" i="2" a="1"/>
  <c r="K544" i="2" a="1"/>
  <c r="E546" i="2" a="1"/>
  <c r="D546" i="2" a="1"/>
  <c r="D546" i="2" l="1"/>
  <c r="E546" i="2"/>
  <c r="K544" i="2"/>
  <c r="I545" i="2"/>
  <c r="B548" i="2"/>
  <c r="C547" i="2"/>
  <c r="N544" i="2"/>
  <c r="L545" i="2"/>
  <c r="M543" i="2"/>
  <c r="F545" i="2"/>
  <c r="J544" i="2"/>
  <c r="G546" i="2"/>
  <c r="H546" i="2" s="1"/>
  <c r="P543" i="2"/>
  <c r="O543" i="2"/>
  <c r="I546" i="2" a="1"/>
  <c r="K545" i="2" a="1"/>
  <c r="E547" i="2" a="1"/>
  <c r="D547" i="2" a="1"/>
  <c r="F546" i="2" a="1"/>
  <c r="D547" i="2" l="1"/>
  <c r="E547" i="2"/>
  <c r="K545" i="2"/>
  <c r="I546" i="2"/>
  <c r="B549" i="2"/>
  <c r="C548" i="2"/>
  <c r="N545" i="2"/>
  <c r="M544" i="2"/>
  <c r="O544" i="2" s="1"/>
  <c r="F546" i="2"/>
  <c r="P544" i="2"/>
  <c r="J545" i="2"/>
  <c r="G547" i="2"/>
  <c r="H547" i="2" s="1"/>
  <c r="E548" i="2" a="1"/>
  <c r="D548" i="2" a="1"/>
  <c r="K546" i="2" a="1"/>
  <c r="I547" i="2" a="1"/>
  <c r="F547" i="2" a="1"/>
  <c r="I547" i="2" l="1"/>
  <c r="K546" i="2"/>
  <c r="D548" i="2"/>
  <c r="E548" i="2"/>
  <c r="B550" i="2"/>
  <c r="C549" i="2"/>
  <c r="L546" i="2"/>
  <c r="P546" i="2" s="1"/>
  <c r="N546" i="2"/>
  <c r="M545" i="2"/>
  <c r="J546" i="2"/>
  <c r="F547" i="2"/>
  <c r="O545" i="2"/>
  <c r="P545" i="2"/>
  <c r="G548" i="2"/>
  <c r="H548" i="2" s="1"/>
  <c r="K547" i="2" a="1"/>
  <c r="E549" i="2" a="1"/>
  <c r="D549" i="2" a="1"/>
  <c r="F548" i="2" a="1"/>
  <c r="I548" i="2" a="1"/>
  <c r="I548" i="2" l="1"/>
  <c r="D549" i="2"/>
  <c r="E549" i="2"/>
  <c r="K547" i="2"/>
  <c r="B551" i="2"/>
  <c r="C550" i="2"/>
  <c r="L547" i="2"/>
  <c r="P547" i="2" s="1"/>
  <c r="N547" i="2"/>
  <c r="M546" i="2"/>
  <c r="O546" i="2" s="1"/>
  <c r="J547" i="2"/>
  <c r="F548" i="2"/>
  <c r="G549" i="2"/>
  <c r="H549" i="2" s="1"/>
  <c r="K548" i="2" a="1"/>
  <c r="I549" i="2" a="1"/>
  <c r="D550" i="2" a="1"/>
  <c r="E550" i="2" a="1"/>
  <c r="F549" i="2" a="1"/>
  <c r="E550" i="2" l="1"/>
  <c r="D550" i="2"/>
  <c r="I549" i="2"/>
  <c r="K548" i="2"/>
  <c r="B552" i="2"/>
  <c r="C551" i="2"/>
  <c r="L548" i="2"/>
  <c r="N548" i="2"/>
  <c r="M547" i="2"/>
  <c r="O547" i="2" s="1"/>
  <c r="J548" i="2"/>
  <c r="F549" i="2"/>
  <c r="G550" i="2"/>
  <c r="H550" i="2" s="1"/>
  <c r="K549" i="2" a="1"/>
  <c r="I550" i="2" a="1"/>
  <c r="F550" i="2" a="1"/>
  <c r="E551" i="2" a="1"/>
  <c r="D551" i="2" a="1"/>
  <c r="D551" i="2" l="1"/>
  <c r="E551" i="2"/>
  <c r="I550" i="2"/>
  <c r="K549" i="2"/>
  <c r="N549" i="2"/>
  <c r="L549" i="2"/>
  <c r="P549" i="2" s="1"/>
  <c r="B553" i="2"/>
  <c r="C552" i="2"/>
  <c r="M548" i="2"/>
  <c r="J549" i="2"/>
  <c r="F550" i="2"/>
  <c r="G551" i="2"/>
  <c r="H551" i="2" s="1"/>
  <c r="O548" i="2"/>
  <c r="P548" i="2"/>
  <c r="K550" i="2" a="1"/>
  <c r="I551" i="2" a="1"/>
  <c r="E552" i="2" a="1"/>
  <c r="D552" i="2" a="1"/>
  <c r="F551" i="2" a="1"/>
  <c r="D552" i="2" l="1"/>
  <c r="E552" i="2"/>
  <c r="I551" i="2"/>
  <c r="K550" i="2"/>
  <c r="B554" i="2"/>
  <c r="C553" i="2"/>
  <c r="N550" i="2"/>
  <c r="L550" i="2"/>
  <c r="P550" i="2" s="1"/>
  <c r="M549" i="2"/>
  <c r="O549" i="2" s="1"/>
  <c r="J550" i="2"/>
  <c r="F551" i="2"/>
  <c r="G552" i="2"/>
  <c r="H552" i="2" s="1"/>
  <c r="F552" i="2" a="1"/>
  <c r="I552" i="2" a="1"/>
  <c r="K551" i="2" a="1"/>
  <c r="D553" i="2" a="1"/>
  <c r="E553" i="2" a="1"/>
  <c r="E553" i="2" l="1"/>
  <c r="D553" i="2"/>
  <c r="K551" i="2"/>
  <c r="I552" i="2"/>
  <c r="B555" i="2"/>
  <c r="C554" i="2"/>
  <c r="L551" i="2"/>
  <c r="P551" i="2" s="1"/>
  <c r="N551" i="2"/>
  <c r="M550" i="2"/>
  <c r="O550" i="2" s="1"/>
  <c r="J551" i="2"/>
  <c r="F552" i="2"/>
  <c r="G553" i="2"/>
  <c r="H553" i="2" s="1"/>
  <c r="K552" i="2" a="1"/>
  <c r="I553" i="2" a="1"/>
  <c r="D554" i="2" a="1"/>
  <c r="E554" i="2" a="1"/>
  <c r="F553" i="2" a="1"/>
  <c r="E554" i="2" l="1"/>
  <c r="D554" i="2"/>
  <c r="I553" i="2"/>
  <c r="K552" i="2"/>
  <c r="B556" i="2"/>
  <c r="C555" i="2"/>
  <c r="N552" i="2"/>
  <c r="L552" i="2"/>
  <c r="M551" i="2"/>
  <c r="O551" i="2" s="1"/>
  <c r="F553" i="2"/>
  <c r="J552" i="2"/>
  <c r="G554" i="2"/>
  <c r="H554" i="2" s="1"/>
  <c r="K553" i="2" a="1"/>
  <c r="I554" i="2" a="1"/>
  <c r="F554" i="2" a="1"/>
  <c r="E555" i="2" a="1"/>
  <c r="D555" i="2" a="1"/>
  <c r="D555" i="2" l="1"/>
  <c r="E555" i="2"/>
  <c r="I554" i="2"/>
  <c r="K553" i="2"/>
  <c r="B557" i="2"/>
  <c r="C556" i="2"/>
  <c r="L553" i="2"/>
  <c r="P553" i="2" s="1"/>
  <c r="N553" i="2"/>
  <c r="M552" i="2"/>
  <c r="J553" i="2"/>
  <c r="F554" i="2"/>
  <c r="P552" i="2"/>
  <c r="O552" i="2"/>
  <c r="G555" i="2"/>
  <c r="H555" i="2" s="1"/>
  <c r="K554" i="2" a="1"/>
  <c r="E556" i="2" a="1"/>
  <c r="D556" i="2" a="1"/>
  <c r="I555" i="2" a="1"/>
  <c r="F555" i="2" a="1"/>
  <c r="I555" i="2" l="1"/>
  <c r="D556" i="2"/>
  <c r="E556" i="2"/>
  <c r="K554" i="2"/>
  <c r="B558" i="2"/>
  <c r="C557" i="2"/>
  <c r="L555" i="2"/>
  <c r="L554" i="2"/>
  <c r="N554" i="2"/>
  <c r="M553" i="2"/>
  <c r="O553" i="2" s="1"/>
  <c r="J554" i="2"/>
  <c r="F555" i="2"/>
  <c r="G556" i="2"/>
  <c r="H556" i="2" s="1"/>
  <c r="K555" i="2" a="1"/>
  <c r="E557" i="2" a="1"/>
  <c r="D557" i="2" a="1"/>
  <c r="I556" i="2" a="1"/>
  <c r="F556" i="2" a="1"/>
  <c r="I556" i="2" l="1"/>
  <c r="D557" i="2"/>
  <c r="E557" i="2"/>
  <c r="K555" i="2"/>
  <c r="L556" i="2"/>
  <c r="B559" i="2"/>
  <c r="C558" i="2"/>
  <c r="N555" i="2"/>
  <c r="M554" i="2"/>
  <c r="O554" i="2" s="1"/>
  <c r="J555" i="2"/>
  <c r="P555" i="2"/>
  <c r="F556" i="2"/>
  <c r="P554" i="2"/>
  <c r="G557" i="2"/>
  <c r="H557" i="2" s="1"/>
  <c r="K556" i="2" a="1"/>
  <c r="D558" i="2" a="1"/>
  <c r="E558" i="2" a="1"/>
  <c r="F557" i="2" a="1"/>
  <c r="I557" i="2" a="1"/>
  <c r="I557" i="2" l="1"/>
  <c r="E558" i="2"/>
  <c r="D558" i="2"/>
  <c r="K556" i="2"/>
  <c r="L557" i="2"/>
  <c r="B560" i="2"/>
  <c r="C559" i="2"/>
  <c r="N556" i="2"/>
  <c r="M555" i="2"/>
  <c r="O555" i="2" s="1"/>
  <c r="J556" i="2"/>
  <c r="P556" i="2"/>
  <c r="F557" i="2"/>
  <c r="G558" i="2"/>
  <c r="H558" i="2" s="1"/>
  <c r="K557" i="2" a="1"/>
  <c r="I558" i="2" a="1"/>
  <c r="E559" i="2" a="1"/>
  <c r="D559" i="2" a="1"/>
  <c r="F558" i="2" a="1"/>
  <c r="D559" i="2" l="1"/>
  <c r="E559" i="2"/>
  <c r="I558" i="2"/>
  <c r="K557" i="2"/>
  <c r="B561" i="2"/>
  <c r="C560" i="2"/>
  <c r="N557" i="2"/>
  <c r="M556" i="2"/>
  <c r="O556" i="2" s="1"/>
  <c r="J557" i="2"/>
  <c r="F558" i="2"/>
  <c r="G559" i="2"/>
  <c r="H559" i="2" s="1"/>
  <c r="K558" i="2" a="1"/>
  <c r="I559" i="2" a="1"/>
  <c r="E560" i="2" a="1"/>
  <c r="D560" i="2" a="1"/>
  <c r="F559" i="2" a="1"/>
  <c r="D560" i="2" l="1"/>
  <c r="E560" i="2"/>
  <c r="I559" i="2"/>
  <c r="L559" i="2" s="1"/>
  <c r="K558" i="2"/>
  <c r="B562" i="2"/>
  <c r="C561" i="2"/>
  <c r="N558" i="2"/>
  <c r="L558" i="2"/>
  <c r="P558" i="2" s="1"/>
  <c r="M557" i="2"/>
  <c r="J558" i="2"/>
  <c r="F559" i="2"/>
  <c r="G560" i="2"/>
  <c r="H560" i="2" s="1"/>
  <c r="O557" i="2"/>
  <c r="P557" i="2"/>
  <c r="I560" i="2" a="1"/>
  <c r="K559" i="2" a="1"/>
  <c r="E561" i="2" a="1"/>
  <c r="D561" i="2" a="1"/>
  <c r="F560" i="2" a="1"/>
  <c r="D561" i="2" l="1"/>
  <c r="E561" i="2"/>
  <c r="K559" i="2"/>
  <c r="I560" i="2"/>
  <c r="N559" i="2"/>
  <c r="B563" i="2"/>
  <c r="C562" i="2"/>
  <c r="M558" i="2"/>
  <c r="O558" i="2" s="1"/>
  <c r="F560" i="2"/>
  <c r="J559" i="2"/>
  <c r="G561" i="2"/>
  <c r="H561" i="2" s="1"/>
  <c r="I561" i="2" a="1"/>
  <c r="E562" i="2" a="1"/>
  <c r="D562" i="2" a="1"/>
  <c r="F561" i="2" a="1"/>
  <c r="K560" i="2" a="1"/>
  <c r="K560" i="2" l="1"/>
  <c r="D562" i="2"/>
  <c r="E562" i="2"/>
  <c r="I561" i="2"/>
  <c r="B564" i="2"/>
  <c r="C563" i="2"/>
  <c r="L560" i="2"/>
  <c r="P560" i="2" s="1"/>
  <c r="N560" i="2"/>
  <c r="M559" i="2"/>
  <c r="J560" i="2"/>
  <c r="F561" i="2"/>
  <c r="G562" i="2"/>
  <c r="H562" i="2" s="1"/>
  <c r="O559" i="2"/>
  <c r="P559" i="2"/>
  <c r="F562" i="2" a="1"/>
  <c r="K561" i="2" a="1"/>
  <c r="I562" i="2" a="1"/>
  <c r="E563" i="2" a="1"/>
  <c r="D563" i="2" a="1"/>
  <c r="D563" i="2" l="1"/>
  <c r="E563" i="2"/>
  <c r="I562" i="2"/>
  <c r="K561" i="2"/>
  <c r="B565" i="2"/>
  <c r="C564" i="2"/>
  <c r="N561" i="2"/>
  <c r="L561" i="2"/>
  <c r="M560" i="2"/>
  <c r="F562" i="2"/>
  <c r="J561" i="2"/>
  <c r="O560" i="2"/>
  <c r="G563" i="2"/>
  <c r="H563" i="2" s="1"/>
  <c r="D564" i="2" a="1"/>
  <c r="E564" i="2" a="1"/>
  <c r="K562" i="2" a="1"/>
  <c r="I563" i="2" a="1"/>
  <c r="F563" i="2" a="1"/>
  <c r="I563" i="2" l="1"/>
  <c r="K562" i="2"/>
  <c r="E564" i="2"/>
  <c r="D564" i="2"/>
  <c r="B566" i="2"/>
  <c r="C565" i="2"/>
  <c r="L562" i="2"/>
  <c r="P562" i="2" s="1"/>
  <c r="N562" i="2"/>
  <c r="L563" i="2"/>
  <c r="M561" i="2"/>
  <c r="O561" i="2" s="1"/>
  <c r="J562" i="2"/>
  <c r="F563" i="2"/>
  <c r="P561" i="2"/>
  <c r="G564" i="2"/>
  <c r="H564" i="2" s="1"/>
  <c r="K563" i="2" a="1"/>
  <c r="I564" i="2" a="1"/>
  <c r="E565" i="2" a="1"/>
  <c r="D565" i="2" a="1"/>
  <c r="F564" i="2" a="1"/>
  <c r="D565" i="2" l="1"/>
  <c r="E565" i="2"/>
  <c r="I564" i="2"/>
  <c r="K563" i="2"/>
  <c r="B567" i="2"/>
  <c r="C566" i="2"/>
  <c r="N563" i="2"/>
  <c r="M562" i="2"/>
  <c r="O562" i="2" s="1"/>
  <c r="J563" i="2"/>
  <c r="F564" i="2"/>
  <c r="G565" i="2"/>
  <c r="H565" i="2" s="1"/>
  <c r="K564" i="2" a="1"/>
  <c r="F565" i="2" a="1"/>
  <c r="I565" i="2" a="1"/>
  <c r="D566" i="2" a="1"/>
  <c r="E566" i="2" a="1"/>
  <c r="E566" i="2" l="1"/>
  <c r="D566" i="2"/>
  <c r="I565" i="2"/>
  <c r="K564" i="2"/>
  <c r="B568" i="2"/>
  <c r="C567" i="2"/>
  <c r="L564" i="2"/>
  <c r="N564" i="2"/>
  <c r="M563" i="2"/>
  <c r="F565" i="2"/>
  <c r="J564" i="2"/>
  <c r="G566" i="2"/>
  <c r="H566" i="2" s="1"/>
  <c r="O563" i="2"/>
  <c r="P563" i="2"/>
  <c r="K565" i="2" a="1"/>
  <c r="I566" i="2" a="1"/>
  <c r="D567" i="2" a="1"/>
  <c r="E567" i="2" a="1"/>
  <c r="F566" i="2" a="1"/>
  <c r="E567" i="2" l="1"/>
  <c r="D567" i="2"/>
  <c r="I566" i="2"/>
  <c r="K565" i="2"/>
  <c r="B569" i="2"/>
  <c r="C568" i="2"/>
  <c r="N565" i="2"/>
  <c r="L565" i="2"/>
  <c r="M564" i="2"/>
  <c r="O564" i="2" s="1"/>
  <c r="J565" i="2"/>
  <c r="F566" i="2"/>
  <c r="P564" i="2"/>
  <c r="G567" i="2"/>
  <c r="H567" i="2" s="1"/>
  <c r="E568" i="2" a="1"/>
  <c r="D568" i="2" a="1"/>
  <c r="K566" i="2" a="1"/>
  <c r="I567" i="2" a="1"/>
  <c r="F567" i="2" a="1"/>
  <c r="I567" i="2" l="1"/>
  <c r="K566" i="2"/>
  <c r="D568" i="2"/>
  <c r="E568" i="2"/>
  <c r="B570" i="2"/>
  <c r="C569" i="2"/>
  <c r="L566" i="2"/>
  <c r="P566" i="2" s="1"/>
  <c r="N566" i="2"/>
  <c r="L567" i="2"/>
  <c r="M565" i="2"/>
  <c r="O565" i="2" s="1"/>
  <c r="P565" i="2"/>
  <c r="J566" i="2"/>
  <c r="F567" i="2"/>
  <c r="G568" i="2"/>
  <c r="H568" i="2" s="1"/>
  <c r="K567" i="2" a="1"/>
  <c r="I568" i="2" a="1"/>
  <c r="D569" i="2" a="1"/>
  <c r="E569" i="2" a="1"/>
  <c r="F568" i="2" a="1"/>
  <c r="E569" i="2" l="1"/>
  <c r="D569" i="2"/>
  <c r="I568" i="2"/>
  <c r="K567" i="2"/>
  <c r="B571" i="2"/>
  <c r="C570" i="2"/>
  <c r="N567" i="2"/>
  <c r="M566" i="2"/>
  <c r="O566" i="2" s="1"/>
  <c r="J567" i="2"/>
  <c r="F568" i="2"/>
  <c r="G569" i="2"/>
  <c r="H569" i="2" s="1"/>
  <c r="F569" i="2" a="1"/>
  <c r="K568" i="2" a="1"/>
  <c r="I569" i="2" a="1"/>
  <c r="E570" i="2" a="1"/>
  <c r="D570" i="2" a="1"/>
  <c r="D570" i="2" l="1"/>
  <c r="E570" i="2"/>
  <c r="I569" i="2"/>
  <c r="K568" i="2"/>
  <c r="B572" i="2"/>
  <c r="C571" i="2"/>
  <c r="L568" i="2"/>
  <c r="P568" i="2" s="1"/>
  <c r="N568" i="2"/>
  <c r="M567" i="2"/>
  <c r="O567" i="2" s="1"/>
  <c r="J568" i="2"/>
  <c r="F569" i="2"/>
  <c r="G570" i="2"/>
  <c r="H570" i="2" s="1"/>
  <c r="P567" i="2"/>
  <c r="F570" i="2" a="1"/>
  <c r="K569" i="2" a="1"/>
  <c r="I570" i="2" a="1"/>
  <c r="E571" i="2" a="1"/>
  <c r="D571" i="2" a="1"/>
  <c r="D571" i="2" l="1"/>
  <c r="E571" i="2"/>
  <c r="I570" i="2"/>
  <c r="K569" i="2"/>
  <c r="B573" i="2"/>
  <c r="C572" i="2"/>
  <c r="L569" i="2"/>
  <c r="N569" i="2"/>
  <c r="M568" i="2"/>
  <c r="O568" i="2" s="1"/>
  <c r="J569" i="2"/>
  <c r="F570" i="2"/>
  <c r="G571" i="2"/>
  <c r="H571" i="2" s="1"/>
  <c r="D572" i="2" a="1"/>
  <c r="E572" i="2" a="1"/>
  <c r="K570" i="2" a="1"/>
  <c r="I571" i="2" a="1"/>
  <c r="F571" i="2" a="1"/>
  <c r="I571" i="2" l="1"/>
  <c r="K570" i="2"/>
  <c r="E572" i="2"/>
  <c r="D572" i="2"/>
  <c r="N570" i="2"/>
  <c r="L570" i="2"/>
  <c r="P570" i="2" s="1"/>
  <c r="B574" i="2"/>
  <c r="C573" i="2"/>
  <c r="M569" i="2"/>
  <c r="J570" i="2"/>
  <c r="F571" i="2"/>
  <c r="G572" i="2"/>
  <c r="H572" i="2" s="1"/>
  <c r="O569" i="2"/>
  <c r="P569" i="2"/>
  <c r="K571" i="2" a="1"/>
  <c r="D573" i="2" a="1"/>
  <c r="E573" i="2" a="1"/>
  <c r="I572" i="2" a="1"/>
  <c r="F572" i="2" a="1"/>
  <c r="I572" i="2" l="1"/>
  <c r="E573" i="2"/>
  <c r="D573" i="2"/>
  <c r="K571" i="2"/>
  <c r="B575" i="2"/>
  <c r="C574" i="2"/>
  <c r="L571" i="2"/>
  <c r="N571" i="2"/>
  <c r="M570" i="2"/>
  <c r="O570" i="2" s="1"/>
  <c r="F572" i="2"/>
  <c r="J571" i="2"/>
  <c r="G573" i="2"/>
  <c r="H573" i="2" s="1"/>
  <c r="K572" i="2" a="1"/>
  <c r="D574" i="2" a="1"/>
  <c r="E574" i="2" a="1"/>
  <c r="I573" i="2" a="1"/>
  <c r="F573" i="2" a="1"/>
  <c r="I573" i="2" l="1"/>
  <c r="E574" i="2"/>
  <c r="D574" i="2"/>
  <c r="K572" i="2"/>
  <c r="B576" i="2"/>
  <c r="C575" i="2"/>
  <c r="L572" i="2"/>
  <c r="N572" i="2"/>
  <c r="M571" i="2"/>
  <c r="O571" i="2" s="1"/>
  <c r="J572" i="2"/>
  <c r="F573" i="2"/>
  <c r="P571" i="2"/>
  <c r="G574" i="2"/>
  <c r="H574" i="2" s="1"/>
  <c r="K573" i="2" a="1"/>
  <c r="D575" i="2" a="1"/>
  <c r="E575" i="2" a="1"/>
  <c r="I574" i="2" a="1"/>
  <c r="F574" i="2" a="1"/>
  <c r="I574" i="2" l="1"/>
  <c r="E575" i="2"/>
  <c r="D575" i="2"/>
  <c r="K573" i="2"/>
  <c r="B577" i="2"/>
  <c r="C576" i="2"/>
  <c r="L573" i="2"/>
  <c r="N573" i="2"/>
  <c r="M572" i="2"/>
  <c r="O572" i="2" s="1"/>
  <c r="F574" i="2"/>
  <c r="J573" i="2"/>
  <c r="G575" i="2"/>
  <c r="H575" i="2" s="1"/>
  <c r="P572" i="2"/>
  <c r="K574" i="2" a="1"/>
  <c r="I575" i="2" a="1"/>
  <c r="F575" i="2" a="1"/>
  <c r="D576" i="2" a="1"/>
  <c r="E576" i="2" a="1"/>
  <c r="E576" i="2" l="1"/>
  <c r="D576" i="2"/>
  <c r="I575" i="2"/>
  <c r="K574" i="2"/>
  <c r="B578" i="2"/>
  <c r="C577" i="2"/>
  <c r="L574" i="2"/>
  <c r="P574" i="2" s="1"/>
  <c r="N574" i="2"/>
  <c r="M573" i="2"/>
  <c r="O573" i="2" s="1"/>
  <c r="J574" i="2"/>
  <c r="F575" i="2"/>
  <c r="P573" i="2"/>
  <c r="G576" i="2"/>
  <c r="H576" i="2" s="1"/>
  <c r="K575" i="2" a="1"/>
  <c r="D577" i="2" a="1"/>
  <c r="E577" i="2" a="1"/>
  <c r="I576" i="2" a="1"/>
  <c r="F576" i="2" a="1"/>
  <c r="I576" i="2" l="1"/>
  <c r="E577" i="2"/>
  <c r="D577" i="2"/>
  <c r="K575" i="2"/>
  <c r="B579" i="2"/>
  <c r="C578" i="2"/>
  <c r="L575" i="2"/>
  <c r="N575" i="2"/>
  <c r="L576" i="2"/>
  <c r="M574" i="2"/>
  <c r="O574" i="2" s="1"/>
  <c r="J575" i="2"/>
  <c r="F576" i="2"/>
  <c r="G577" i="2"/>
  <c r="H577" i="2" s="1"/>
  <c r="K576" i="2" a="1"/>
  <c r="I577" i="2" a="1"/>
  <c r="D578" i="2" a="1"/>
  <c r="E578" i="2" a="1"/>
  <c r="F577" i="2" a="1"/>
  <c r="E578" i="2" l="1"/>
  <c r="D578" i="2"/>
  <c r="I577" i="2"/>
  <c r="K576" i="2"/>
  <c r="B580" i="2"/>
  <c r="C579" i="2"/>
  <c r="L577" i="2"/>
  <c r="N576" i="2"/>
  <c r="M575" i="2"/>
  <c r="J576" i="2"/>
  <c r="F577" i="2"/>
  <c r="O575" i="2"/>
  <c r="P575" i="2"/>
  <c r="G578" i="2"/>
  <c r="H578" i="2" s="1"/>
  <c r="K577" i="2" a="1"/>
  <c r="D579" i="2" a="1"/>
  <c r="E579" i="2" a="1"/>
  <c r="F578" i="2" a="1"/>
  <c r="I578" i="2" a="1"/>
  <c r="I578" i="2" l="1"/>
  <c r="E579" i="2"/>
  <c r="D579" i="2"/>
  <c r="K577" i="2"/>
  <c r="B581" i="2"/>
  <c r="C580" i="2"/>
  <c r="N577" i="2"/>
  <c r="L578" i="2"/>
  <c r="M576" i="2"/>
  <c r="O576" i="2" s="1"/>
  <c r="P576" i="2"/>
  <c r="F578" i="2"/>
  <c r="J577" i="2"/>
  <c r="G579" i="2"/>
  <c r="H579" i="2" s="1"/>
  <c r="K578" i="2" a="1"/>
  <c r="E580" i="2" a="1"/>
  <c r="D580" i="2" a="1"/>
  <c r="F579" i="2" a="1"/>
  <c r="I579" i="2" a="1"/>
  <c r="I579" i="2" l="1"/>
  <c r="D580" i="2"/>
  <c r="E580" i="2"/>
  <c r="K578" i="2"/>
  <c r="B582" i="2"/>
  <c r="C581" i="2"/>
  <c r="L579" i="2"/>
  <c r="N578" i="2"/>
  <c r="M577" i="2"/>
  <c r="O577" i="2" s="1"/>
  <c r="F579" i="2"/>
  <c r="P577" i="2"/>
  <c r="J578" i="2"/>
  <c r="G580" i="2"/>
  <c r="H580" i="2" s="1"/>
  <c r="K579" i="2" a="1"/>
  <c r="I580" i="2" a="1"/>
  <c r="D581" i="2" a="1"/>
  <c r="E581" i="2" a="1"/>
  <c r="F580" i="2" a="1"/>
  <c r="E581" i="2" l="1"/>
  <c r="D581" i="2"/>
  <c r="I580" i="2"/>
  <c r="K579" i="2"/>
  <c r="B583" i="2"/>
  <c r="C582" i="2"/>
  <c r="N579" i="2"/>
  <c r="M578" i="2"/>
  <c r="O578" i="2" s="1"/>
  <c r="F580" i="2"/>
  <c r="J579" i="2"/>
  <c r="P578" i="2"/>
  <c r="G581" i="2"/>
  <c r="H581" i="2" s="1"/>
  <c r="K580" i="2" a="1"/>
  <c r="D582" i="2" a="1"/>
  <c r="E582" i="2" a="1"/>
  <c r="I581" i="2" a="1"/>
  <c r="F581" i="2" a="1"/>
  <c r="I581" i="2" l="1"/>
  <c r="E582" i="2"/>
  <c r="D582" i="2"/>
  <c r="K580" i="2"/>
  <c r="B584" i="2"/>
  <c r="C583" i="2"/>
  <c r="L580" i="2"/>
  <c r="P580" i="2" s="1"/>
  <c r="N580" i="2"/>
  <c r="M579" i="2"/>
  <c r="J580" i="2"/>
  <c r="F581" i="2"/>
  <c r="G582" i="2"/>
  <c r="H582" i="2" s="1"/>
  <c r="O579" i="2"/>
  <c r="P579" i="2"/>
  <c r="K581" i="2" a="1"/>
  <c r="D583" i="2" a="1"/>
  <c r="E583" i="2" a="1"/>
  <c r="F582" i="2" a="1"/>
  <c r="I582" i="2" a="1"/>
  <c r="I582" i="2" l="1"/>
  <c r="E583" i="2"/>
  <c r="D583" i="2"/>
  <c r="K581" i="2"/>
  <c r="L582" i="2"/>
  <c r="B585" i="2"/>
  <c r="C584" i="2"/>
  <c r="N581" i="2"/>
  <c r="L581" i="2"/>
  <c r="M580" i="2"/>
  <c r="O580" i="2" s="1"/>
  <c r="J581" i="2"/>
  <c r="F582" i="2"/>
  <c r="P581" i="2"/>
  <c r="G583" i="2"/>
  <c r="H583" i="2" s="1"/>
  <c r="K582" i="2" a="1"/>
  <c r="D584" i="2" a="1"/>
  <c r="E584" i="2" a="1"/>
  <c r="I583" i="2" a="1"/>
  <c r="F583" i="2" a="1"/>
  <c r="I583" i="2" l="1"/>
  <c r="E584" i="2"/>
  <c r="D584" i="2"/>
  <c r="K582" i="2"/>
  <c r="B586" i="2"/>
  <c r="C585" i="2"/>
  <c r="N582" i="2"/>
  <c r="M581" i="2"/>
  <c r="O581" i="2" s="1"/>
  <c r="J582" i="2"/>
  <c r="F583" i="2"/>
  <c r="G584" i="2"/>
  <c r="H584" i="2" s="1"/>
  <c r="K583" i="2" a="1"/>
  <c r="I584" i="2" a="1"/>
  <c r="F584" i="2" a="1"/>
  <c r="D585" i="2" a="1"/>
  <c r="E585" i="2" a="1"/>
  <c r="E585" i="2" l="1"/>
  <c r="D585" i="2"/>
  <c r="I584" i="2"/>
  <c r="K583" i="2"/>
  <c r="B587" i="2"/>
  <c r="C586" i="2"/>
  <c r="L583" i="2"/>
  <c r="N583" i="2"/>
  <c r="M582" i="2"/>
  <c r="F584" i="2"/>
  <c r="J583" i="2"/>
  <c r="G585" i="2"/>
  <c r="H585" i="2" s="1"/>
  <c r="O582" i="2"/>
  <c r="P582" i="2"/>
  <c r="K584" i="2" a="1"/>
  <c r="I585" i="2" a="1"/>
  <c r="E586" i="2" a="1"/>
  <c r="D586" i="2" a="1"/>
  <c r="F585" i="2" a="1"/>
  <c r="D586" i="2" l="1"/>
  <c r="E586" i="2"/>
  <c r="I585" i="2"/>
  <c r="K584" i="2"/>
  <c r="B588" i="2"/>
  <c r="C587" i="2"/>
  <c r="L584" i="2"/>
  <c r="P584" i="2" s="1"/>
  <c r="N584" i="2"/>
  <c r="M583" i="2"/>
  <c r="O583" i="2" s="1"/>
  <c r="J584" i="2"/>
  <c r="F585" i="2"/>
  <c r="P583" i="2"/>
  <c r="G586" i="2"/>
  <c r="H586" i="2" s="1"/>
  <c r="K585" i="2" a="1"/>
  <c r="I586" i="2" a="1"/>
  <c r="D587" i="2" a="1"/>
  <c r="E587" i="2" a="1"/>
  <c r="F586" i="2" a="1"/>
  <c r="E587" i="2" l="1"/>
  <c r="D587" i="2"/>
  <c r="I586" i="2"/>
  <c r="K585" i="2"/>
  <c r="B589" i="2"/>
  <c r="C588" i="2"/>
  <c r="L585" i="2"/>
  <c r="N585" i="2"/>
  <c r="M584" i="2"/>
  <c r="O584" i="2" s="1"/>
  <c r="J585" i="2"/>
  <c r="F586" i="2"/>
  <c r="G587" i="2"/>
  <c r="H587" i="2" s="1"/>
  <c r="F587" i="2" a="1"/>
  <c r="K586" i="2" a="1"/>
  <c r="I587" i="2" a="1"/>
  <c r="D588" i="2" a="1"/>
  <c r="E588" i="2" a="1"/>
  <c r="E588" i="2" l="1"/>
  <c r="D588" i="2"/>
  <c r="I587" i="2"/>
  <c r="K586" i="2"/>
  <c r="B590" i="2"/>
  <c r="C589" i="2"/>
  <c r="L586" i="2"/>
  <c r="P586" i="2" s="1"/>
  <c r="N586" i="2"/>
  <c r="M585" i="2"/>
  <c r="J586" i="2"/>
  <c r="F587" i="2"/>
  <c r="G588" i="2"/>
  <c r="H588" i="2" s="1"/>
  <c r="P585" i="2"/>
  <c r="O585" i="2"/>
  <c r="F588" i="2" a="1"/>
  <c r="K587" i="2" a="1"/>
  <c r="D589" i="2" a="1"/>
  <c r="E589" i="2" a="1"/>
  <c r="I588" i="2" a="1"/>
  <c r="I588" i="2" l="1"/>
  <c r="E589" i="2"/>
  <c r="D589" i="2"/>
  <c r="K587" i="2"/>
  <c r="B591" i="2"/>
  <c r="C590" i="2"/>
  <c r="N587" i="2"/>
  <c r="L587" i="2"/>
  <c r="M586" i="2"/>
  <c r="O586" i="2" s="1"/>
  <c r="J587" i="2"/>
  <c r="F588" i="2"/>
  <c r="G589" i="2"/>
  <c r="H589" i="2" s="1"/>
  <c r="K588" i="2" a="1"/>
  <c r="F589" i="2" a="1"/>
  <c r="I589" i="2" a="1"/>
  <c r="E590" i="2" a="1"/>
  <c r="D590" i="2" a="1"/>
  <c r="D590" i="2" l="1"/>
  <c r="E590" i="2"/>
  <c r="I589" i="2"/>
  <c r="K588" i="2"/>
  <c r="B592" i="2"/>
  <c r="C591" i="2"/>
  <c r="L588" i="2"/>
  <c r="P588" i="2" s="1"/>
  <c r="N588" i="2"/>
  <c r="M587" i="2"/>
  <c r="J588" i="2"/>
  <c r="F589" i="2"/>
  <c r="P587" i="2"/>
  <c r="O587" i="2"/>
  <c r="G590" i="2"/>
  <c r="H590" i="2" s="1"/>
  <c r="K589" i="2" a="1"/>
  <c r="I590" i="2" a="1"/>
  <c r="E591" i="2" a="1"/>
  <c r="D591" i="2" a="1"/>
  <c r="F590" i="2" a="1"/>
  <c r="D591" i="2" l="1"/>
  <c r="E591" i="2"/>
  <c r="I590" i="2"/>
  <c r="K589" i="2"/>
  <c r="B593" i="2"/>
  <c r="C592" i="2"/>
  <c r="L590" i="2"/>
  <c r="L589" i="2"/>
  <c r="N589" i="2"/>
  <c r="M588" i="2"/>
  <c r="O588" i="2" s="1"/>
  <c r="F590" i="2"/>
  <c r="J589" i="2"/>
  <c r="G591" i="2"/>
  <c r="H591" i="2" s="1"/>
  <c r="K590" i="2" a="1"/>
  <c r="I591" i="2" a="1"/>
  <c r="E592" i="2" a="1"/>
  <c r="D592" i="2" a="1"/>
  <c r="F591" i="2" a="1"/>
  <c r="D592" i="2" l="1"/>
  <c r="E592" i="2"/>
  <c r="I591" i="2"/>
  <c r="K590" i="2"/>
  <c r="B594" i="2"/>
  <c r="C593" i="2"/>
  <c r="N590" i="2"/>
  <c r="M589" i="2"/>
  <c r="O589" i="2" s="1"/>
  <c r="F591" i="2"/>
  <c r="J590" i="2"/>
  <c r="P589" i="2"/>
  <c r="G592" i="2"/>
  <c r="H592" i="2" s="1"/>
  <c r="K591" i="2" a="1"/>
  <c r="D593" i="2" a="1"/>
  <c r="E593" i="2" a="1"/>
  <c r="F592" i="2" a="1"/>
  <c r="I592" i="2" a="1"/>
  <c r="I592" i="2" l="1"/>
  <c r="E593" i="2"/>
  <c r="D593" i="2"/>
  <c r="K591" i="2"/>
  <c r="B595" i="2"/>
  <c r="C594" i="2"/>
  <c r="L591" i="2"/>
  <c r="P591" i="2" s="1"/>
  <c r="N591" i="2"/>
  <c r="L592" i="2"/>
  <c r="M590" i="2"/>
  <c r="O590" i="2" s="1"/>
  <c r="J591" i="2"/>
  <c r="F592" i="2"/>
  <c r="P590" i="2"/>
  <c r="G593" i="2"/>
  <c r="H593" i="2" s="1"/>
  <c r="K592" i="2" a="1"/>
  <c r="F593" i="2" a="1"/>
  <c r="I593" i="2" a="1"/>
  <c r="D594" i="2" a="1"/>
  <c r="E594" i="2" a="1"/>
  <c r="E594" i="2" l="1"/>
  <c r="D594" i="2"/>
  <c r="I593" i="2"/>
  <c r="K592" i="2"/>
  <c r="B596" i="2"/>
  <c r="C595" i="2"/>
  <c r="N592" i="2"/>
  <c r="M591" i="2"/>
  <c r="O591" i="2" s="1"/>
  <c r="F593" i="2"/>
  <c r="J592" i="2"/>
  <c r="G594" i="2"/>
  <c r="H594" i="2" s="1"/>
  <c r="F594" i="2" a="1"/>
  <c r="K593" i="2" a="1"/>
  <c r="I594" i="2" a="1"/>
  <c r="D595" i="2" a="1"/>
  <c r="E595" i="2" a="1"/>
  <c r="E595" i="2" l="1"/>
  <c r="D595" i="2"/>
  <c r="I594" i="2"/>
  <c r="K593" i="2"/>
  <c r="B597" i="2"/>
  <c r="C596" i="2"/>
  <c r="L593" i="2"/>
  <c r="N593" i="2"/>
  <c r="M592" i="2"/>
  <c r="F594" i="2"/>
  <c r="J593" i="2"/>
  <c r="O592" i="2"/>
  <c r="P592" i="2"/>
  <c r="G595" i="2"/>
  <c r="H595" i="2" s="1"/>
  <c r="K594" i="2" a="1"/>
  <c r="I595" i="2" a="1"/>
  <c r="E596" i="2" a="1"/>
  <c r="D596" i="2" a="1"/>
  <c r="F595" i="2" a="1"/>
  <c r="D596" i="2" l="1"/>
  <c r="E596" i="2"/>
  <c r="I595" i="2"/>
  <c r="K594" i="2"/>
  <c r="B598" i="2"/>
  <c r="C597" i="2"/>
  <c r="L594" i="2"/>
  <c r="N594" i="2"/>
  <c r="M593" i="2"/>
  <c r="O593" i="2" s="1"/>
  <c r="F595" i="2"/>
  <c r="P593" i="2"/>
  <c r="J594" i="2"/>
  <c r="G596" i="2"/>
  <c r="H596" i="2" s="1"/>
  <c r="K595" i="2" a="1"/>
  <c r="I596" i="2" a="1"/>
  <c r="E597" i="2" a="1"/>
  <c r="D597" i="2" a="1"/>
  <c r="F596" i="2" a="1"/>
  <c r="D597" i="2" l="1"/>
  <c r="E597" i="2"/>
  <c r="I596" i="2"/>
  <c r="K595" i="2"/>
  <c r="B599" i="2"/>
  <c r="C598" i="2"/>
  <c r="N595" i="2"/>
  <c r="L595" i="2"/>
  <c r="M594" i="2"/>
  <c r="O594" i="2" s="1"/>
  <c r="J595" i="2"/>
  <c r="F596" i="2"/>
  <c r="P594" i="2"/>
  <c r="G597" i="2"/>
  <c r="H597" i="2" s="1"/>
  <c r="K596" i="2" a="1"/>
  <c r="E598" i="2" a="1"/>
  <c r="D598" i="2" a="1"/>
  <c r="I597" i="2" a="1"/>
  <c r="F597" i="2" a="1"/>
  <c r="I597" i="2" l="1"/>
  <c r="D598" i="2"/>
  <c r="E598" i="2"/>
  <c r="K596" i="2"/>
  <c r="B600" i="2"/>
  <c r="C599" i="2"/>
  <c r="N596" i="2"/>
  <c r="L596" i="2"/>
  <c r="M595" i="2"/>
  <c r="F597" i="2"/>
  <c r="J596" i="2"/>
  <c r="P595" i="2"/>
  <c r="O595" i="2"/>
  <c r="G598" i="2"/>
  <c r="H598" i="2" s="1"/>
  <c r="K597" i="2" a="1"/>
  <c r="I598" i="2" a="1"/>
  <c r="D599" i="2" a="1"/>
  <c r="E599" i="2" a="1"/>
  <c r="F598" i="2" a="1"/>
  <c r="E599" i="2" l="1"/>
  <c r="D599" i="2"/>
  <c r="I598" i="2"/>
  <c r="K597" i="2"/>
  <c r="B601" i="2"/>
  <c r="C600" i="2"/>
  <c r="L597" i="2"/>
  <c r="N597" i="2"/>
  <c r="M596" i="2"/>
  <c r="O596" i="2" s="1"/>
  <c r="F598" i="2"/>
  <c r="J597" i="2"/>
  <c r="P596" i="2"/>
  <c r="G599" i="2"/>
  <c r="H599" i="2" s="1"/>
  <c r="K598" i="2" a="1"/>
  <c r="E600" i="2" a="1"/>
  <c r="D600" i="2" a="1"/>
  <c r="F599" i="2" a="1"/>
  <c r="I599" i="2" a="1"/>
  <c r="I599" i="2" l="1"/>
  <c r="D600" i="2"/>
  <c r="E600" i="2"/>
  <c r="K598" i="2"/>
  <c r="B602" i="2"/>
  <c r="C601" i="2"/>
  <c r="L598" i="2"/>
  <c r="P598" i="2" s="1"/>
  <c r="N598" i="2"/>
  <c r="L599" i="2"/>
  <c r="M597" i="2"/>
  <c r="O597" i="2" s="1"/>
  <c r="J598" i="2"/>
  <c r="F599" i="2"/>
  <c r="P597" i="2"/>
  <c r="G600" i="2"/>
  <c r="H600" i="2" s="1"/>
  <c r="K599" i="2" a="1"/>
  <c r="E601" i="2" a="1"/>
  <c r="D601" i="2" a="1"/>
  <c r="I600" i="2" a="1"/>
  <c r="F600" i="2" a="1"/>
  <c r="I600" i="2" l="1"/>
  <c r="D601" i="2"/>
  <c r="E601" i="2"/>
  <c r="K599" i="2"/>
  <c r="B603" i="2"/>
  <c r="C602" i="2"/>
  <c r="N599" i="2"/>
  <c r="M598" i="2"/>
  <c r="O598" i="2" s="1"/>
  <c r="J599" i="2"/>
  <c r="P599" i="2"/>
  <c r="F600" i="2"/>
  <c r="G601" i="2"/>
  <c r="H601" i="2" s="1"/>
  <c r="K600" i="2" a="1"/>
  <c r="I601" i="2" a="1"/>
  <c r="F601" i="2" a="1"/>
  <c r="D602" i="2" a="1"/>
  <c r="E602" i="2" a="1"/>
  <c r="E602" i="2" l="1"/>
  <c r="D602" i="2"/>
  <c r="I601" i="2"/>
  <c r="K600" i="2"/>
  <c r="B604" i="2"/>
  <c r="C603" i="2"/>
  <c r="N600" i="2"/>
  <c r="L600" i="2"/>
  <c r="M599" i="2"/>
  <c r="O599" i="2" s="1"/>
  <c r="F601" i="2"/>
  <c r="J600" i="2"/>
  <c r="G602" i="2"/>
  <c r="H602" i="2" s="1"/>
  <c r="I602" i="2" a="1"/>
  <c r="E603" i="2" a="1"/>
  <c r="D603" i="2" a="1"/>
  <c r="K601" i="2" a="1"/>
  <c r="F602" i="2" a="1"/>
  <c r="K601" i="2" l="1"/>
  <c r="D603" i="2"/>
  <c r="E603" i="2"/>
  <c r="I602" i="2"/>
  <c r="L601" i="2"/>
  <c r="N601" i="2"/>
  <c r="B605" i="2"/>
  <c r="C604" i="2"/>
  <c r="M600" i="2"/>
  <c r="O600" i="2" s="1"/>
  <c r="F602" i="2"/>
  <c r="J601" i="2"/>
  <c r="P600" i="2"/>
  <c r="G603" i="2"/>
  <c r="H603" i="2" s="1"/>
  <c r="D604" i="2" a="1"/>
  <c r="E604" i="2" a="1"/>
  <c r="K602" i="2" a="1"/>
  <c r="I603" i="2" a="1"/>
  <c r="F603" i="2" a="1"/>
  <c r="I603" i="2" l="1"/>
  <c r="K602" i="2"/>
  <c r="E604" i="2"/>
  <c r="D604" i="2"/>
  <c r="B606" i="2"/>
  <c r="C605" i="2"/>
  <c r="L602" i="2"/>
  <c r="P602" i="2" s="1"/>
  <c r="N602" i="2"/>
  <c r="M601" i="2"/>
  <c r="O601" i="2" s="1"/>
  <c r="J602" i="2"/>
  <c r="F603" i="2"/>
  <c r="P601" i="2"/>
  <c r="G604" i="2"/>
  <c r="H604" i="2" s="1"/>
  <c r="K603" i="2" a="1"/>
  <c r="D605" i="2" a="1"/>
  <c r="E605" i="2" a="1"/>
  <c r="I604" i="2" a="1"/>
  <c r="F604" i="2" a="1"/>
  <c r="I604" i="2" l="1"/>
  <c r="E605" i="2"/>
  <c r="D605" i="2"/>
  <c r="K603" i="2"/>
  <c r="B607" i="2"/>
  <c r="C606" i="2"/>
  <c r="L603" i="2"/>
  <c r="N603" i="2"/>
  <c r="M602" i="2"/>
  <c r="O602" i="2" s="1"/>
  <c r="J603" i="2"/>
  <c r="F604" i="2"/>
  <c r="G605" i="2"/>
  <c r="H605" i="2" s="1"/>
  <c r="K604" i="2" a="1"/>
  <c r="I605" i="2" a="1"/>
  <c r="F605" i="2" a="1"/>
  <c r="D606" i="2" a="1"/>
  <c r="E606" i="2" a="1"/>
  <c r="E606" i="2" l="1"/>
  <c r="D606" i="2"/>
  <c r="I605" i="2"/>
  <c r="K604" i="2"/>
  <c r="B608" i="2"/>
  <c r="C607" i="2"/>
  <c r="L604" i="2"/>
  <c r="N604" i="2"/>
  <c r="M603" i="2"/>
  <c r="J604" i="2"/>
  <c r="F605" i="2"/>
  <c r="G606" i="2"/>
  <c r="H606" i="2" s="1"/>
  <c r="O603" i="2"/>
  <c r="P603" i="2"/>
  <c r="K605" i="2" a="1"/>
  <c r="I606" i="2" a="1"/>
  <c r="D607" i="2" a="1"/>
  <c r="E607" i="2" a="1"/>
  <c r="F606" i="2" a="1"/>
  <c r="E607" i="2" l="1"/>
  <c r="D607" i="2"/>
  <c r="I606" i="2"/>
  <c r="K605" i="2"/>
  <c r="B609" i="2"/>
  <c r="C608" i="2"/>
  <c r="L605" i="2"/>
  <c r="N605" i="2"/>
  <c r="M604" i="2"/>
  <c r="J605" i="2"/>
  <c r="F606" i="2"/>
  <c r="G607" i="2"/>
  <c r="H607" i="2" s="1"/>
  <c r="P604" i="2"/>
  <c r="O604" i="2"/>
  <c r="K606" i="2" a="1"/>
  <c r="E608" i="2" a="1"/>
  <c r="D608" i="2" a="1"/>
  <c r="F607" i="2" a="1"/>
  <c r="I607" i="2" a="1"/>
  <c r="I607" i="2" l="1"/>
  <c r="D608" i="2"/>
  <c r="E608" i="2"/>
  <c r="K606" i="2"/>
  <c r="B610" i="2"/>
  <c r="C609" i="2"/>
  <c r="N606" i="2"/>
  <c r="L606" i="2"/>
  <c r="M605" i="2"/>
  <c r="F607" i="2"/>
  <c r="J606" i="2"/>
  <c r="P605" i="2"/>
  <c r="O605" i="2"/>
  <c r="G608" i="2"/>
  <c r="H608" i="2" s="1"/>
  <c r="K607" i="2" a="1"/>
  <c r="E609" i="2" a="1"/>
  <c r="D609" i="2" a="1"/>
  <c r="I608" i="2" a="1"/>
  <c r="F608" i="2" a="1"/>
  <c r="I608" i="2" l="1"/>
  <c r="D609" i="2"/>
  <c r="E609" i="2"/>
  <c r="K607" i="2"/>
  <c r="B611" i="2"/>
  <c r="C610" i="2"/>
  <c r="L607" i="2"/>
  <c r="N607" i="2"/>
  <c r="M606" i="2"/>
  <c r="O606" i="2" s="1"/>
  <c r="F608" i="2"/>
  <c r="P606" i="2"/>
  <c r="J607" i="2"/>
  <c r="G609" i="2"/>
  <c r="H609" i="2" s="1"/>
  <c r="K608" i="2" a="1"/>
  <c r="F609" i="2" a="1"/>
  <c r="I609" i="2" a="1"/>
  <c r="E610" i="2" a="1"/>
  <c r="D610" i="2" a="1"/>
  <c r="D610" i="2" l="1"/>
  <c r="E610" i="2"/>
  <c r="I609" i="2"/>
  <c r="K608" i="2"/>
  <c r="B612" i="2"/>
  <c r="C611" i="2"/>
  <c r="L609" i="2"/>
  <c r="L608" i="2"/>
  <c r="N608" i="2"/>
  <c r="M607" i="2"/>
  <c r="O607" i="2" s="1"/>
  <c r="J608" i="2"/>
  <c r="F609" i="2"/>
  <c r="P607" i="2"/>
  <c r="G610" i="2"/>
  <c r="H610" i="2" s="1"/>
  <c r="K609" i="2" a="1"/>
  <c r="D611" i="2" a="1"/>
  <c r="E611" i="2" a="1"/>
  <c r="I610" i="2" a="1"/>
  <c r="F610" i="2" a="1"/>
  <c r="I610" i="2" l="1"/>
  <c r="E611" i="2"/>
  <c r="D611" i="2"/>
  <c r="K609" i="2"/>
  <c r="B613" i="2"/>
  <c r="C612" i="2"/>
  <c r="N609" i="2"/>
  <c r="M608" i="2"/>
  <c r="O608" i="2" s="1"/>
  <c r="F610" i="2"/>
  <c r="J609" i="2"/>
  <c r="G611" i="2"/>
  <c r="H611" i="2" s="1"/>
  <c r="P608" i="2"/>
  <c r="K610" i="2" a="1"/>
  <c r="I611" i="2" a="1"/>
  <c r="F611" i="2" a="1"/>
  <c r="D612" i="2" a="1"/>
  <c r="E612" i="2" a="1"/>
  <c r="E612" i="2" l="1"/>
  <c r="D612" i="2"/>
  <c r="I611" i="2"/>
  <c r="K610" i="2"/>
  <c r="B614" i="2"/>
  <c r="C613" i="2"/>
  <c r="L611" i="2"/>
  <c r="L610" i="2"/>
  <c r="P610" i="2" s="1"/>
  <c r="N610" i="2"/>
  <c r="M609" i="2"/>
  <c r="J610" i="2"/>
  <c r="F611" i="2"/>
  <c r="O609" i="2"/>
  <c r="P609" i="2"/>
  <c r="G612" i="2"/>
  <c r="H612" i="2" s="1"/>
  <c r="F612" i="2" a="1"/>
  <c r="K611" i="2" a="1"/>
  <c r="D613" i="2" a="1"/>
  <c r="E613" i="2" a="1"/>
  <c r="I612" i="2" a="1"/>
  <c r="I612" i="2" l="1"/>
  <c r="E613" i="2"/>
  <c r="D613" i="2"/>
  <c r="K611" i="2"/>
  <c r="B615" i="2"/>
  <c r="C614" i="2"/>
  <c r="N611" i="2"/>
  <c r="L612" i="2"/>
  <c r="M610" i="2"/>
  <c r="O610" i="2" s="1"/>
  <c r="J611" i="2"/>
  <c r="F612" i="2"/>
  <c r="G613" i="2"/>
  <c r="H613" i="2" s="1"/>
  <c r="K612" i="2" a="1"/>
  <c r="I613" i="2" a="1"/>
  <c r="F613" i="2" a="1"/>
  <c r="D614" i="2" a="1"/>
  <c r="E614" i="2" a="1"/>
  <c r="E614" i="2" l="1"/>
  <c r="D614" i="2"/>
  <c r="I613" i="2"/>
  <c r="K612" i="2"/>
  <c r="B616" i="2"/>
  <c r="C615" i="2"/>
  <c r="N612" i="2"/>
  <c r="M611" i="2"/>
  <c r="O611" i="2" s="1"/>
  <c r="J612" i="2"/>
  <c r="F613" i="2"/>
  <c r="P611" i="2"/>
  <c r="G614" i="2"/>
  <c r="H614" i="2" s="1"/>
  <c r="K613" i="2" a="1"/>
  <c r="F614" i="2" a="1"/>
  <c r="I614" i="2" a="1"/>
  <c r="D615" i="2" a="1"/>
  <c r="E615" i="2" a="1"/>
  <c r="E615" i="2" l="1"/>
  <c r="D615" i="2"/>
  <c r="I614" i="2"/>
  <c r="K613" i="2"/>
  <c r="B617" i="2"/>
  <c r="C616" i="2"/>
  <c r="N613" i="2"/>
  <c r="L613" i="2"/>
  <c r="M612" i="2"/>
  <c r="F614" i="2"/>
  <c r="J613" i="2"/>
  <c r="G615" i="2"/>
  <c r="H615" i="2" s="1"/>
  <c r="P612" i="2"/>
  <c r="O612" i="2"/>
  <c r="F615" i="2" a="1"/>
  <c r="K614" i="2" a="1"/>
  <c r="I615" i="2" a="1"/>
  <c r="D616" i="2" a="1"/>
  <c r="E616" i="2" a="1"/>
  <c r="E616" i="2" l="1"/>
  <c r="D616" i="2"/>
  <c r="I615" i="2"/>
  <c r="K614" i="2"/>
  <c r="B618" i="2"/>
  <c r="C617" i="2"/>
  <c r="L614" i="2"/>
  <c r="N614" i="2"/>
  <c r="M613" i="2"/>
  <c r="J614" i="2"/>
  <c r="F615" i="2"/>
  <c r="P613" i="2"/>
  <c r="O613" i="2"/>
  <c r="G616" i="2"/>
  <c r="H616" i="2" s="1"/>
  <c r="K615" i="2" a="1"/>
  <c r="F616" i="2" a="1"/>
  <c r="D617" i="2" a="1"/>
  <c r="E617" i="2" a="1"/>
  <c r="I616" i="2" a="1"/>
  <c r="I616" i="2" l="1"/>
  <c r="E617" i="2"/>
  <c r="D617" i="2"/>
  <c r="K615" i="2"/>
  <c r="B619" i="2"/>
  <c r="C618" i="2"/>
  <c r="N615" i="2"/>
  <c r="L615" i="2"/>
  <c r="L616" i="2"/>
  <c r="M614" i="2"/>
  <c r="F616" i="2"/>
  <c r="J615" i="2"/>
  <c r="G617" i="2"/>
  <c r="H617" i="2" s="1"/>
  <c r="P614" i="2"/>
  <c r="O614" i="2"/>
  <c r="K616" i="2" a="1"/>
  <c r="F617" i="2" a="1"/>
  <c r="I617" i="2" a="1"/>
  <c r="D618" i="2" a="1"/>
  <c r="E618" i="2" a="1"/>
  <c r="E618" i="2" l="1"/>
  <c r="D618" i="2"/>
  <c r="I617" i="2"/>
  <c r="K616" i="2"/>
  <c r="B620" i="2"/>
  <c r="C619" i="2"/>
  <c r="N616" i="2"/>
  <c r="M615" i="2"/>
  <c r="O615" i="2" s="1"/>
  <c r="F617" i="2"/>
  <c r="J616" i="2"/>
  <c r="P615" i="2"/>
  <c r="G618" i="2"/>
  <c r="H618" i="2" s="1"/>
  <c r="I618" i="2" a="1"/>
  <c r="K617" i="2" a="1"/>
  <c r="F618" i="2" a="1"/>
  <c r="E619" i="2" a="1"/>
  <c r="D619" i="2" a="1"/>
  <c r="D619" i="2" l="1"/>
  <c r="E619" i="2"/>
  <c r="K617" i="2"/>
  <c r="I618" i="2"/>
  <c r="L617" i="2"/>
  <c r="P617" i="2" s="1"/>
  <c r="N617" i="2"/>
  <c r="B621" i="2"/>
  <c r="C620" i="2"/>
  <c r="M616" i="2"/>
  <c r="J617" i="2"/>
  <c r="F618" i="2"/>
  <c r="G619" i="2"/>
  <c r="H619" i="2" s="1"/>
  <c r="P616" i="2"/>
  <c r="O616" i="2"/>
  <c r="F619" i="2" a="1"/>
  <c r="K618" i="2" a="1"/>
  <c r="I619" i="2" a="1"/>
  <c r="D620" i="2" a="1"/>
  <c r="E620" i="2" a="1"/>
  <c r="E620" i="2" l="1"/>
  <c r="D620" i="2"/>
  <c r="I619" i="2"/>
  <c r="K618" i="2"/>
  <c r="L618" i="2"/>
  <c r="N618" i="2"/>
  <c r="B622" i="2"/>
  <c r="C621" i="2"/>
  <c r="M617" i="2"/>
  <c r="O617" i="2" s="1"/>
  <c r="F619" i="2"/>
  <c r="J618" i="2"/>
  <c r="G620" i="2"/>
  <c r="H620" i="2" s="1"/>
  <c r="K619" i="2" a="1"/>
  <c r="D621" i="2" a="1"/>
  <c r="E621" i="2" a="1"/>
  <c r="I620" i="2" a="1"/>
  <c r="F620" i="2" a="1"/>
  <c r="I620" i="2" l="1"/>
  <c r="E621" i="2"/>
  <c r="D621" i="2"/>
  <c r="K619" i="2"/>
  <c r="B623" i="2"/>
  <c r="C622" i="2"/>
  <c r="L619" i="2"/>
  <c r="N619" i="2"/>
  <c r="L620" i="2"/>
  <c r="M618" i="2"/>
  <c r="O618" i="2" s="1"/>
  <c r="F620" i="2"/>
  <c r="J619" i="2"/>
  <c r="P618" i="2"/>
  <c r="G621" i="2"/>
  <c r="H621" i="2" s="1"/>
  <c r="K620" i="2" a="1"/>
  <c r="F621" i="2" a="1"/>
  <c r="E622" i="2" a="1"/>
  <c r="D622" i="2" a="1"/>
  <c r="I621" i="2" a="1"/>
  <c r="I621" i="2" l="1"/>
  <c r="D622" i="2"/>
  <c r="E622" i="2"/>
  <c r="K620" i="2"/>
  <c r="B624" i="2"/>
  <c r="C623" i="2"/>
  <c r="N620" i="2"/>
  <c r="M619" i="2"/>
  <c r="O619" i="2" s="1"/>
  <c r="F621" i="2"/>
  <c r="J620" i="2"/>
  <c r="P619" i="2"/>
  <c r="G622" i="2"/>
  <c r="H622" i="2" s="1"/>
  <c r="K621" i="2" a="1"/>
  <c r="I622" i="2" a="1"/>
  <c r="F622" i="2" a="1"/>
  <c r="D623" i="2" a="1"/>
  <c r="E623" i="2" a="1"/>
  <c r="E623" i="2" l="1"/>
  <c r="D623" i="2"/>
  <c r="I622" i="2"/>
  <c r="K621" i="2"/>
  <c r="B625" i="2"/>
  <c r="C624" i="2"/>
  <c r="L621" i="2"/>
  <c r="P621" i="2" s="1"/>
  <c r="N621" i="2"/>
  <c r="M620" i="2"/>
  <c r="O620" i="2" s="1"/>
  <c r="J621" i="2"/>
  <c r="F622" i="2"/>
  <c r="P620" i="2"/>
  <c r="G623" i="2"/>
  <c r="H623" i="2" s="1"/>
  <c r="E624" i="2" a="1"/>
  <c r="D624" i="2" a="1"/>
  <c r="K622" i="2" a="1"/>
  <c r="F623" i="2" a="1"/>
  <c r="I623" i="2" a="1"/>
  <c r="I623" i="2" l="1"/>
  <c r="K622" i="2"/>
  <c r="D624" i="2"/>
  <c r="E624" i="2"/>
  <c r="B626" i="2"/>
  <c r="C625" i="2"/>
  <c r="L622" i="2"/>
  <c r="P622" i="2" s="1"/>
  <c r="N622" i="2"/>
  <c r="M621" i="2"/>
  <c r="O621" i="2" s="1"/>
  <c r="J622" i="2"/>
  <c r="F623" i="2"/>
  <c r="G624" i="2"/>
  <c r="H624" i="2" s="1"/>
  <c r="K623" i="2" a="1"/>
  <c r="I624" i="2" a="1"/>
  <c r="D625" i="2" a="1"/>
  <c r="E625" i="2" a="1"/>
  <c r="F624" i="2" a="1"/>
  <c r="E625" i="2" l="1"/>
  <c r="D625" i="2"/>
  <c r="I624" i="2"/>
  <c r="K623" i="2"/>
  <c r="B627" i="2"/>
  <c r="C626" i="2"/>
  <c r="L623" i="2"/>
  <c r="N623" i="2"/>
  <c r="M622" i="2"/>
  <c r="O622" i="2" s="1"/>
  <c r="F624" i="2"/>
  <c r="J623" i="2"/>
  <c r="G625" i="2"/>
  <c r="H625" i="2" s="1"/>
  <c r="K624" i="2" a="1"/>
  <c r="I625" i="2" a="1"/>
  <c r="D626" i="2" a="1"/>
  <c r="E626" i="2" a="1"/>
  <c r="F625" i="2" a="1"/>
  <c r="E626" i="2" l="1"/>
  <c r="D626" i="2"/>
  <c r="I625" i="2"/>
  <c r="K624" i="2"/>
  <c r="B628" i="2"/>
  <c r="C627" i="2"/>
  <c r="L624" i="2"/>
  <c r="P624" i="2" s="1"/>
  <c r="N624" i="2"/>
  <c r="M623" i="2"/>
  <c r="O623" i="2" s="1"/>
  <c r="J624" i="2"/>
  <c r="F625" i="2"/>
  <c r="P623" i="2"/>
  <c r="G626" i="2"/>
  <c r="H626" i="2" s="1"/>
  <c r="K625" i="2" a="1"/>
  <c r="E627" i="2" a="1"/>
  <c r="D627" i="2" a="1"/>
  <c r="I626" i="2" a="1"/>
  <c r="F626" i="2" a="1"/>
  <c r="I626" i="2" l="1"/>
  <c r="D627" i="2"/>
  <c r="E627" i="2"/>
  <c r="K625" i="2"/>
  <c r="B629" i="2"/>
  <c r="C628" i="2"/>
  <c r="L625" i="2"/>
  <c r="N625" i="2"/>
  <c r="L626" i="2"/>
  <c r="M624" i="2"/>
  <c r="O624" i="2" s="1"/>
  <c r="J625" i="2"/>
  <c r="F626" i="2"/>
  <c r="G627" i="2"/>
  <c r="H627" i="2" s="1"/>
  <c r="K626" i="2" a="1"/>
  <c r="D628" i="2" a="1"/>
  <c r="E628" i="2" a="1"/>
  <c r="I627" i="2" a="1"/>
  <c r="F627" i="2" a="1"/>
  <c r="I627" i="2" l="1"/>
  <c r="E628" i="2"/>
  <c r="D628" i="2"/>
  <c r="K626" i="2"/>
  <c r="B630" i="2"/>
  <c r="C629" i="2"/>
  <c r="L627" i="2"/>
  <c r="N626" i="2"/>
  <c r="M625" i="2"/>
  <c r="F627" i="2"/>
  <c r="J626" i="2"/>
  <c r="G628" i="2"/>
  <c r="H628" i="2" s="1"/>
  <c r="P625" i="2"/>
  <c r="O625" i="2"/>
  <c r="K627" i="2" a="1"/>
  <c r="I628" i="2" a="1"/>
  <c r="E629" i="2" a="1"/>
  <c r="D629" i="2" a="1"/>
  <c r="F628" i="2" a="1"/>
  <c r="D629" i="2" l="1"/>
  <c r="E629" i="2"/>
  <c r="I628" i="2"/>
  <c r="K627" i="2"/>
  <c r="B631" i="2"/>
  <c r="C630" i="2"/>
  <c r="N627" i="2"/>
  <c r="M626" i="2"/>
  <c r="O626" i="2" s="1"/>
  <c r="F628" i="2"/>
  <c r="J627" i="2"/>
  <c r="G629" i="2"/>
  <c r="H629" i="2" s="1"/>
  <c r="P626" i="2"/>
  <c r="K628" i="2" a="1"/>
  <c r="I629" i="2" a="1"/>
  <c r="D630" i="2" a="1"/>
  <c r="E630" i="2" a="1"/>
  <c r="F629" i="2" a="1"/>
  <c r="E630" i="2" l="1"/>
  <c r="D630" i="2"/>
  <c r="I629" i="2"/>
  <c r="K628" i="2"/>
  <c r="B632" i="2"/>
  <c r="C631" i="2"/>
  <c r="N628" i="2"/>
  <c r="L628" i="2"/>
  <c r="M627" i="2"/>
  <c r="O627" i="2" s="1"/>
  <c r="P627" i="2"/>
  <c r="J628" i="2"/>
  <c r="F629" i="2"/>
  <c r="G630" i="2"/>
  <c r="H630" i="2" s="1"/>
  <c r="K629" i="2" a="1"/>
  <c r="I630" i="2" a="1"/>
  <c r="F630" i="2" a="1"/>
  <c r="E631" i="2" a="1"/>
  <c r="D631" i="2" a="1"/>
  <c r="D631" i="2" l="1"/>
  <c r="E631" i="2"/>
  <c r="I630" i="2"/>
  <c r="K629" i="2"/>
  <c r="N629" i="2"/>
  <c r="L629" i="2"/>
  <c r="B633" i="2"/>
  <c r="C632" i="2"/>
  <c r="M628" i="2"/>
  <c r="F630" i="2"/>
  <c r="J629" i="2"/>
  <c r="G631" i="2"/>
  <c r="H631" i="2" s="1"/>
  <c r="O628" i="2"/>
  <c r="P628" i="2"/>
  <c r="K630" i="2" a="1"/>
  <c r="I631" i="2" a="1"/>
  <c r="F631" i="2" a="1"/>
  <c r="E632" i="2" a="1"/>
  <c r="D632" i="2" a="1"/>
  <c r="D632" i="2" l="1"/>
  <c r="E632" i="2"/>
  <c r="I631" i="2"/>
  <c r="K630" i="2"/>
  <c r="B634" i="2"/>
  <c r="C633" i="2"/>
  <c r="L631" i="2"/>
  <c r="N630" i="2"/>
  <c r="L630" i="2"/>
  <c r="M629" i="2"/>
  <c r="O629" i="2"/>
  <c r="J630" i="2"/>
  <c r="F631" i="2"/>
  <c r="P629" i="2"/>
  <c r="G632" i="2"/>
  <c r="H632" i="2" s="1"/>
  <c r="K631" i="2" a="1"/>
  <c r="F632" i="2" a="1"/>
  <c r="D633" i="2" a="1"/>
  <c r="E633" i="2" a="1"/>
  <c r="I632" i="2" a="1"/>
  <c r="I632" i="2" l="1"/>
  <c r="E633" i="2"/>
  <c r="D633" i="2"/>
  <c r="K631" i="2"/>
  <c r="B635" i="2"/>
  <c r="C634" i="2"/>
  <c r="L632" i="2"/>
  <c r="N631" i="2"/>
  <c r="M630" i="2"/>
  <c r="O630" i="2" s="1"/>
  <c r="J631" i="2"/>
  <c r="P631" i="2"/>
  <c r="P630" i="2"/>
  <c r="F632" i="2"/>
  <c r="G633" i="2"/>
  <c r="H633" i="2" s="1"/>
  <c r="K632" i="2" a="1"/>
  <c r="D634" i="2" a="1"/>
  <c r="E634" i="2" a="1"/>
  <c r="F633" i="2" a="1"/>
  <c r="I633" i="2" a="1"/>
  <c r="I633" i="2" l="1"/>
  <c r="E634" i="2"/>
  <c r="D634" i="2"/>
  <c r="K632" i="2"/>
  <c r="M632" i="2" s="1"/>
  <c r="B636" i="2"/>
  <c r="C636" i="2" s="1"/>
  <c r="C635" i="2"/>
  <c r="N632" i="2"/>
  <c r="M631" i="2"/>
  <c r="O631" i="2" s="1"/>
  <c r="F633" i="2"/>
  <c r="J632" i="2"/>
  <c r="G634" i="2"/>
  <c r="H634" i="2" s="1"/>
  <c r="K633" i="2" a="1"/>
  <c r="E636" i="2" a="1"/>
  <c r="D636" i="2" a="1"/>
  <c r="I634" i="2" a="1"/>
  <c r="F634" i="2" a="1"/>
  <c r="D635" i="2" a="1"/>
  <c r="E635" i="2" a="1"/>
  <c r="E635" i="2" l="1"/>
  <c r="D635" i="2"/>
  <c r="I634" i="2"/>
  <c r="D636" i="2"/>
  <c r="E636" i="2"/>
  <c r="K633" i="2"/>
  <c r="M633" i="2" s="1"/>
  <c r="L634" i="2"/>
  <c r="L633" i="2"/>
  <c r="N633" i="2"/>
  <c r="F634" i="2"/>
  <c r="J633" i="2"/>
  <c r="G635" i="2"/>
  <c r="H635" i="2" s="1"/>
  <c r="P632" i="2"/>
  <c r="O632" i="2"/>
  <c r="I635" i="2" a="1"/>
  <c r="K634" i="2" a="1"/>
  <c r="F635" i="2" a="1"/>
  <c r="K634" i="2" l="1"/>
  <c r="M634" i="2" s="1"/>
  <c r="O634" i="2" s="1"/>
  <c r="I635" i="2"/>
  <c r="N634" i="2"/>
  <c r="J634" i="2"/>
  <c r="P634" i="2"/>
  <c r="F635" i="2"/>
  <c r="G636" i="2"/>
  <c r="H636" i="2" s="1"/>
  <c r="O633" i="2"/>
  <c r="P633" i="2"/>
  <c r="K635" i="2" a="1"/>
  <c r="F636" i="2" a="1"/>
  <c r="I636" i="2" a="1"/>
  <c r="I636" i="2" l="1"/>
  <c r="K635" i="2"/>
  <c r="L635" i="2"/>
  <c r="N635" i="2"/>
  <c r="M635" i="2"/>
  <c r="F636" i="2"/>
  <c r="J635" i="2"/>
  <c r="K636" i="2" a="1"/>
  <c r="K636" i="2" l="1"/>
  <c r="L636" i="2"/>
  <c r="N636" i="2"/>
  <c r="O635" i="2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C58FDF5-E4DD-4E5A-B61E-7D91B7D44CA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F76C203E-5DFD-4A03-826C-1BEFBFDEB43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3A272100-3743-43D8-8C3C-0B1F253D9917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<sst xmlns="http://schemas.openxmlformats.org/spreadsheetml/2006/main" count="459" uniqueCount="161">
  <si>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</si>
  <si>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</si>
  <si>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</si>
  <si>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</si>
  <si>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</si>
  <si>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</si>
  <si>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</si>
  <si>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</si>
  <si>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</si>
  <si>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</si>
  <si>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</si>
  <si>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</si>
  <si>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</si>
  <si>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</si>
  <si>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</si>
  <si>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</si>
  <si>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</si>
  <si>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</si>
  <si>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</si>
  <si>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</si>
  <si>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</si>
  <si>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</si>
  <si>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</si>
  <si>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</si>
  <si>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</si>
  <si>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</si>
  <si>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</si>
  <si>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</si>
  <si>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</si>
  <si>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</si>
  <si>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</si>
  <si>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</si>
  <si>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</si>
  <si>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</si>
  <si>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</si>
  <si>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</si>
  <si>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</si>
  <si>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</si>
  <si>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</si>
  <si>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</si>
  <si>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</si>
  <si>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</si>
  <si>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</si>
  <si>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</si>
  <si>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</si>
  <si>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</si>
  <si>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</si>
  <si>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</si>
  <si>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</si>
  <si>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</si>
  <si>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</si>
  <si>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</si>
  <si>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</si>
  <si>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</si>
  <si>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</si>
  <si>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</si>
  <si>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</si>
  <si>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</si>
  <si>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</si>
  <si>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</si>
  <si>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</si>
  <si>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</si>
  <si>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</si>
  <si>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</si>
  <si>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</si>
  <si>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</si>
  <si>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</si>
  <si>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</si>
  <si>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</si>
  <si>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</si>
  <si>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</si>
  <si>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</si>
  <si>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</si>
  <si>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</si>
  <si>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</si>
  <si>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</si>
  <si>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</si>
  <si>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</si>
  <si>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</si>
  <si>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</si>
  <si>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</si>
  <si>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</si>
  <si>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</si>
  <si>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</si>
  <si>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</si>
  <si>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</si>
  <si>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</si>
  <si>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</si>
  <si>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</si>
  <si>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</si>
  <si>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</si>
  <si>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</si>
  <si>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</si>
  <si>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</si>
  <si>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</si>
  <si>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</si>
  <si>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</si>
  <si>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</si>
  <si>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</si>
  <si>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</si>
  <si>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</si>
  <si>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</si>
  <si>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</si>
  <si>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</si>
  <si>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</si>
  <si>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</si>
  <si>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</si>
  <si>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</si>
  <si>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</si>
  <si>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</si>
  <si>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</si>
  <si>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</si>
  <si>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</si>
  <si>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</si>
  <si>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</si>
  <si>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</si>
  <si>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</si>
  <si>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</si>
  <si>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</si>
  <si>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</si>
  <si>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</si>
  <si>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</si>
  <si>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</si>
  <si>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</si>
  <si>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</si>
  <si>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</si>
  <si>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</si>
  <si>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</si>
  <si>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</si>
  <si>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depth at 25% 2200Ah</t>
  </si>
  <si>
    <t>depth at 25% 6600Ah</t>
  </si>
  <si>
    <t>depth at 25% 11000Ah</t>
  </si>
  <si>
    <t>depth at 25% 88000 Ah</t>
  </si>
  <si>
    <t>Model 1</t>
  </si>
  <si>
    <t>Model 2</t>
  </si>
  <si>
    <t>Model 3</t>
  </si>
  <si>
    <t>Battery</t>
  </si>
  <si>
    <t>Capacity (mAh)</t>
  </si>
  <si>
    <t>Energy (kJ)</t>
  </si>
  <si>
    <t>Drilling duration (s)</t>
  </si>
  <si>
    <t>Battery 1</t>
  </si>
  <si>
    <t>Battery 2</t>
  </si>
  <si>
    <t>Battery 3</t>
  </si>
  <si>
    <t>Battery 4</t>
  </si>
  <si>
    <t>Battery 5</t>
  </si>
  <si>
    <t>Battery 6</t>
  </si>
  <si>
    <t>Constant power draw (W)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</si>
  <si>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</si>
  <si>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</si>
  <si>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</si>
  <si>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</si>
  <si>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</si>
  <si>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</si>
  <si>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</si>
  <si>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</si>
  <si>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</si>
  <si>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</si>
  <si>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Max</t>
  </si>
  <si>
    <t>Ice Sheet Thickness</t>
  </si>
  <si>
    <t>Trips to Bottom</t>
  </si>
  <si>
    <t>Trips per 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</si>
</sst>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3" xfId="0" applyNumberFormat="1" applyBorder="1"/>
    <xf numFmtId="2" fontId="0" fillId="0" borderId="3" xfId="1" applyNumberFormat="1" applyFont="1" applyBorder="1"/>
    <xf numFmtId="0" fontId="0" fillId="5" borderId="0" xfId="0" applyFill="1"/>
    <xf numFmtId="1" fontId="0" fillId="0" borderId="3" xfId="1" applyNumberFormat="1" applyFont="1" applyBorder="1"/>
    <xf numFmtId="0" fontId="0" fillId="0" borderId="9" xfId="0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Border="1" applyAlignment="1">
      <alignment wrapText="1"/>
    </xf>
    <xf numFmtId="10" fontId="0" fillId="0" borderId="19" xfId="1" applyNumberFormat="1" applyFont="1" applyBorder="1"/>
    <xf numFmtId="0" fontId="0" fillId="5" borderId="20" xfId="0" applyFill="1" applyBorder="1"/>
    <xf numFmtId="1" fontId="0" fillId="5" borderId="20" xfId="0" applyNumberFormat="1" applyFill="1" applyBorder="1"/>
    <xf numFmtId="1" fontId="0" fillId="5" borderId="1" xfId="0" applyNumberFormat="1" applyFill="1" applyBorder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17/10/relationships/person" Target="persons/perso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eetMetadata" Target="metadata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ysClr val="windowText" lastClr="000000"/>
                </a:solidFill>
              </a:rPr>
              <a:t>108 mm Borebot - Maximum Depth Vs. Battery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5997745060266"/>
          <c:y val="9.4890467978253817E-2"/>
          <c:w val="0.81906722205894622"/>
          <c:h val="0.758872672117372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Pluto'!$T$17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Pluto'!$S$18:$S$56</c:f>
              <c:numCache>
                <c:formatCode>0</c:formatCode>
                <c:ptCount val="39"/>
                <c:pt idx="0">
                  <c:v>6600</c:v>
                </c:pt>
                <c:pt idx="1">
                  <c:v>13200</c:v>
                </c:pt>
                <c:pt idx="2">
                  <c:v>19800</c:v>
                </c:pt>
                <c:pt idx="3">
                  <c:v>26400</c:v>
                </c:pt>
                <c:pt idx="4">
                  <c:v>33000</c:v>
                </c:pt>
                <c:pt idx="5">
                  <c:v>39600</c:v>
                </c:pt>
                <c:pt idx="6">
                  <c:v>46200</c:v>
                </c:pt>
                <c:pt idx="7">
                  <c:v>52800</c:v>
                </c:pt>
                <c:pt idx="8">
                  <c:v>59400</c:v>
                </c:pt>
                <c:pt idx="9">
                  <c:v>66000</c:v>
                </c:pt>
                <c:pt idx="10">
                  <c:v>72600</c:v>
                </c:pt>
                <c:pt idx="11">
                  <c:v>79200</c:v>
                </c:pt>
                <c:pt idx="12">
                  <c:v>85800</c:v>
                </c:pt>
                <c:pt idx="13">
                  <c:v>92400</c:v>
                </c:pt>
                <c:pt idx="14">
                  <c:v>99000</c:v>
                </c:pt>
                <c:pt idx="15">
                  <c:v>105600</c:v>
                </c:pt>
                <c:pt idx="16">
                  <c:v>112200</c:v>
                </c:pt>
                <c:pt idx="17">
                  <c:v>118800</c:v>
                </c:pt>
                <c:pt idx="18">
                  <c:v>125400</c:v>
                </c:pt>
                <c:pt idx="19">
                  <c:v>132000</c:v>
                </c:pt>
                <c:pt idx="20">
                  <c:v>138600</c:v>
                </c:pt>
                <c:pt idx="21">
                  <c:v>145200</c:v>
                </c:pt>
                <c:pt idx="22">
                  <c:v>151800</c:v>
                </c:pt>
                <c:pt idx="23">
                  <c:v>158400</c:v>
                </c:pt>
                <c:pt idx="24">
                  <c:v>165000</c:v>
                </c:pt>
                <c:pt idx="25">
                  <c:v>171600</c:v>
                </c:pt>
                <c:pt idx="26">
                  <c:v>178200</c:v>
                </c:pt>
                <c:pt idx="27">
                  <c:v>184800</c:v>
                </c:pt>
                <c:pt idx="28">
                  <c:v>191400</c:v>
                </c:pt>
                <c:pt idx="29">
                  <c:v>198000</c:v>
                </c:pt>
                <c:pt idx="30">
                  <c:v>204600</c:v>
                </c:pt>
                <c:pt idx="31">
                  <c:v>211200</c:v>
                </c:pt>
                <c:pt idx="32">
                  <c:v>217800</c:v>
                </c:pt>
                <c:pt idx="33">
                  <c:v>224400</c:v>
                </c:pt>
                <c:pt idx="34">
                  <c:v>231000</c:v>
                </c:pt>
                <c:pt idx="35">
                  <c:v>237600</c:v>
                </c:pt>
                <c:pt idx="36">
                  <c:v>244200</c:v>
                </c:pt>
                <c:pt idx="37">
                  <c:v>250800</c:v>
                </c:pt>
                <c:pt idx="38">
                  <c:v>257400</c:v>
                </c:pt>
              </c:numCache>
            </c:numRef>
          </c:xVal>
          <c:yVal>
            <c:numRef>
              <c:f>'Depth vs Battery Pluto'!$T$18:$T$56</c:f>
              <c:numCache>
                <c:formatCode>0.00</c:formatCode>
                <c:ptCount val="39"/>
                <c:pt idx="0">
                  <c:v>2009.25</c:v>
                </c:pt>
                <c:pt idx="1">
                  <c:v>5129</c:v>
                </c:pt>
                <c:pt idx="2">
                  <c:v>7880.75</c:v>
                </c:pt>
                <c:pt idx="3">
                  <c:v>10341.75</c:v>
                </c:pt>
                <c:pt idx="4">
                  <c:v>12551</c:v>
                </c:pt>
                <c:pt idx="5">
                  <c:v>14545.25</c:v>
                </c:pt>
                <c:pt idx="6">
                  <c:v>16354.5</c:v>
                </c:pt>
                <c:pt idx="7">
                  <c:v>18003.25</c:v>
                </c:pt>
                <c:pt idx="8">
                  <c:v>19512</c:v>
                </c:pt>
                <c:pt idx="9">
                  <c:v>20897.75</c:v>
                </c:pt>
                <c:pt idx="10">
                  <c:v>22175</c:v>
                </c:pt>
                <c:pt idx="11">
                  <c:v>23356.25</c:v>
                </c:pt>
                <c:pt idx="12">
                  <c:v>24451.5</c:v>
                </c:pt>
                <c:pt idx="13">
                  <c:v>25470.25</c:v>
                </c:pt>
                <c:pt idx="14">
                  <c:v>26420</c:v>
                </c:pt>
                <c:pt idx="15">
                  <c:v>27307.5</c:v>
                </c:pt>
                <c:pt idx="16">
                  <c:v>28138.75</c:v>
                </c:pt>
                <c:pt idx="17">
                  <c:v>28919</c:v>
                </c:pt>
                <c:pt idx="18">
                  <c:v>29652.75</c:v>
                </c:pt>
                <c:pt idx="19">
                  <c:v>30344</c:v>
                </c:pt>
                <c:pt idx="20">
                  <c:v>30996.25</c:v>
                </c:pt>
                <c:pt idx="21">
                  <c:v>31613</c:v>
                </c:pt>
                <c:pt idx="22">
                  <c:v>32196.75</c:v>
                </c:pt>
                <c:pt idx="23">
                  <c:v>32750.25</c:v>
                </c:pt>
                <c:pt idx="24">
                  <c:v>33275.75</c:v>
                </c:pt>
                <c:pt idx="25">
                  <c:v>33775.5</c:v>
                </c:pt>
                <c:pt idx="26">
                  <c:v>34251</c:v>
                </c:pt>
                <c:pt idx="27">
                  <c:v>34704.25</c:v>
                </c:pt>
                <c:pt idx="28">
                  <c:v>35136.5</c:v>
                </c:pt>
                <c:pt idx="29">
                  <c:v>35549.5</c:v>
                </c:pt>
                <c:pt idx="30">
                  <c:v>35944.5</c:v>
                </c:pt>
                <c:pt idx="31">
                  <c:v>36322.25</c:v>
                </c:pt>
                <c:pt idx="32">
                  <c:v>36684.25</c:v>
                </c:pt>
                <c:pt idx="33">
                  <c:v>37031.5</c:v>
                </c:pt>
                <c:pt idx="34">
                  <c:v>37364.5</c:v>
                </c:pt>
                <c:pt idx="35">
                  <c:v>37684.5</c:v>
                </c:pt>
                <c:pt idx="36">
                  <c:v>37992</c:v>
                </c:pt>
                <c:pt idx="37">
                  <c:v>38287.75</c:v>
                </c:pt>
                <c:pt idx="38">
                  <c:v>38572.5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BD-4AB9-9E60-E77CD6B7EC54}"/>
            </c:ext>
          </c:extLst>
        </c:ser>
        <c:ser>
          <c:idx val="1"/>
          <c:order val="1"/>
          <c:tx>
            <c:strRef>
              <c:f>'Depth vs Battery Pluto'!$U$17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Pluto'!$S$18:$S$56</c:f>
              <c:numCache>
                <c:formatCode>0</c:formatCode>
                <c:ptCount val="39"/>
                <c:pt idx="0">
                  <c:v>6600</c:v>
                </c:pt>
                <c:pt idx="1">
                  <c:v>13200</c:v>
                </c:pt>
                <c:pt idx="2">
                  <c:v>19800</c:v>
                </c:pt>
                <c:pt idx="3">
                  <c:v>26400</c:v>
                </c:pt>
                <c:pt idx="4">
                  <c:v>33000</c:v>
                </c:pt>
                <c:pt idx="5">
                  <c:v>39600</c:v>
                </c:pt>
                <c:pt idx="6">
                  <c:v>46200</c:v>
                </c:pt>
                <c:pt idx="7">
                  <c:v>52800</c:v>
                </c:pt>
                <c:pt idx="8">
                  <c:v>59400</c:v>
                </c:pt>
                <c:pt idx="9">
                  <c:v>66000</c:v>
                </c:pt>
                <c:pt idx="10">
                  <c:v>72600</c:v>
                </c:pt>
                <c:pt idx="11">
                  <c:v>79200</c:v>
                </c:pt>
                <c:pt idx="12">
                  <c:v>85800</c:v>
                </c:pt>
                <c:pt idx="13">
                  <c:v>92400</c:v>
                </c:pt>
                <c:pt idx="14">
                  <c:v>99000</c:v>
                </c:pt>
                <c:pt idx="15">
                  <c:v>105600</c:v>
                </c:pt>
                <c:pt idx="16">
                  <c:v>112200</c:v>
                </c:pt>
                <c:pt idx="17">
                  <c:v>118800</c:v>
                </c:pt>
                <c:pt idx="18">
                  <c:v>125400</c:v>
                </c:pt>
                <c:pt idx="19">
                  <c:v>132000</c:v>
                </c:pt>
                <c:pt idx="20">
                  <c:v>138600</c:v>
                </c:pt>
                <c:pt idx="21">
                  <c:v>145200</c:v>
                </c:pt>
                <c:pt idx="22">
                  <c:v>151800</c:v>
                </c:pt>
                <c:pt idx="23">
                  <c:v>158400</c:v>
                </c:pt>
                <c:pt idx="24">
                  <c:v>165000</c:v>
                </c:pt>
                <c:pt idx="25">
                  <c:v>171600</c:v>
                </c:pt>
                <c:pt idx="26">
                  <c:v>178200</c:v>
                </c:pt>
                <c:pt idx="27">
                  <c:v>184800</c:v>
                </c:pt>
                <c:pt idx="28">
                  <c:v>191400</c:v>
                </c:pt>
                <c:pt idx="29">
                  <c:v>198000</c:v>
                </c:pt>
                <c:pt idx="30">
                  <c:v>204600</c:v>
                </c:pt>
                <c:pt idx="31">
                  <c:v>211200</c:v>
                </c:pt>
                <c:pt idx="32">
                  <c:v>217800</c:v>
                </c:pt>
                <c:pt idx="33">
                  <c:v>224400</c:v>
                </c:pt>
                <c:pt idx="34">
                  <c:v>231000</c:v>
                </c:pt>
                <c:pt idx="35">
                  <c:v>237600</c:v>
                </c:pt>
                <c:pt idx="36">
                  <c:v>244200</c:v>
                </c:pt>
                <c:pt idx="37">
                  <c:v>250800</c:v>
                </c:pt>
                <c:pt idx="38">
                  <c:v>257400</c:v>
                </c:pt>
              </c:numCache>
            </c:numRef>
          </c:xVal>
          <c:yVal>
            <c:numRef>
              <c:f>'Depth vs Battery Pluto'!$U$18:$U$56</c:f>
              <c:numCache>
                <c:formatCode>0.00</c:formatCode>
                <c:ptCount val="39"/>
                <c:pt idx="0">
                  <c:v>1443</c:v>
                </c:pt>
                <c:pt idx="1">
                  <c:v>3627.75</c:v>
                </c:pt>
                <c:pt idx="2">
                  <c:v>5291</c:v>
                </c:pt>
                <c:pt idx="3">
                  <c:v>6606.75</c:v>
                </c:pt>
                <c:pt idx="4">
                  <c:v>7672</c:v>
                </c:pt>
                <c:pt idx="5">
                  <c:v>8551.75</c:v>
                </c:pt>
                <c:pt idx="6">
                  <c:v>9290.5</c:v>
                </c:pt>
                <c:pt idx="7">
                  <c:v>9919.75</c:v>
                </c:pt>
                <c:pt idx="8">
                  <c:v>10462.5</c:v>
                </c:pt>
                <c:pt idx="9">
                  <c:v>10934.75</c:v>
                </c:pt>
                <c:pt idx="10">
                  <c:v>11350</c:v>
                </c:pt>
                <c:pt idx="11">
                  <c:v>11717.75</c:v>
                </c:pt>
                <c:pt idx="12">
                  <c:v>12045.75</c:v>
                </c:pt>
                <c:pt idx="13">
                  <c:v>12340</c:v>
                </c:pt>
                <c:pt idx="14">
                  <c:v>12605.5</c:v>
                </c:pt>
                <c:pt idx="15">
                  <c:v>12846.5</c:v>
                </c:pt>
                <c:pt idx="16">
                  <c:v>13065.75</c:v>
                </c:pt>
                <c:pt idx="17">
                  <c:v>13266.5</c:v>
                </c:pt>
                <c:pt idx="18">
                  <c:v>13451</c:v>
                </c:pt>
                <c:pt idx="19">
                  <c:v>13620.75</c:v>
                </c:pt>
                <c:pt idx="20">
                  <c:v>13778</c:v>
                </c:pt>
                <c:pt idx="21">
                  <c:v>13923.5</c:v>
                </c:pt>
                <c:pt idx="22">
                  <c:v>14059</c:v>
                </c:pt>
                <c:pt idx="23">
                  <c:v>14185.25</c:v>
                </c:pt>
                <c:pt idx="24">
                  <c:v>14303.25</c:v>
                </c:pt>
                <c:pt idx="25">
                  <c:v>14413.75</c:v>
                </c:pt>
                <c:pt idx="26">
                  <c:v>14517.25</c:v>
                </c:pt>
                <c:pt idx="27">
                  <c:v>14614.75</c:v>
                </c:pt>
                <c:pt idx="28">
                  <c:v>14706.75</c:v>
                </c:pt>
                <c:pt idx="29">
                  <c:v>14793.25</c:v>
                </c:pt>
                <c:pt idx="30">
                  <c:v>14875.25</c:v>
                </c:pt>
                <c:pt idx="31">
                  <c:v>14952.75</c:v>
                </c:pt>
                <c:pt idx="32">
                  <c:v>15026.25</c:v>
                </c:pt>
                <c:pt idx="33">
                  <c:v>15096</c:v>
                </c:pt>
                <c:pt idx="34">
                  <c:v>15162.25</c:v>
                </c:pt>
                <c:pt idx="35">
                  <c:v>15225.5</c:v>
                </c:pt>
                <c:pt idx="36">
                  <c:v>15285.75</c:v>
                </c:pt>
                <c:pt idx="37">
                  <c:v>15343</c:v>
                </c:pt>
                <c:pt idx="38">
                  <c:v>15398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BD-4AB9-9E60-E77CD6B7EC54}"/>
            </c:ext>
          </c:extLst>
        </c:ser>
        <c:ser>
          <c:idx val="2"/>
          <c:order val="2"/>
          <c:tx>
            <c:strRef>
              <c:f>'Depth vs Battery Pluto'!$V$17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Pluto'!$S$18:$S$56</c:f>
              <c:numCache>
                <c:formatCode>0</c:formatCode>
                <c:ptCount val="39"/>
                <c:pt idx="0">
                  <c:v>6600</c:v>
                </c:pt>
                <c:pt idx="1">
                  <c:v>13200</c:v>
                </c:pt>
                <c:pt idx="2">
                  <c:v>19800</c:v>
                </c:pt>
                <c:pt idx="3">
                  <c:v>26400</c:v>
                </c:pt>
                <c:pt idx="4">
                  <c:v>33000</c:v>
                </c:pt>
                <c:pt idx="5">
                  <c:v>39600</c:v>
                </c:pt>
                <c:pt idx="6">
                  <c:v>46200</c:v>
                </c:pt>
                <c:pt idx="7">
                  <c:v>52800</c:v>
                </c:pt>
                <c:pt idx="8">
                  <c:v>59400</c:v>
                </c:pt>
                <c:pt idx="9">
                  <c:v>66000</c:v>
                </c:pt>
                <c:pt idx="10">
                  <c:v>72600</c:v>
                </c:pt>
                <c:pt idx="11">
                  <c:v>79200</c:v>
                </c:pt>
                <c:pt idx="12">
                  <c:v>85800</c:v>
                </c:pt>
                <c:pt idx="13">
                  <c:v>92400</c:v>
                </c:pt>
                <c:pt idx="14">
                  <c:v>99000</c:v>
                </c:pt>
                <c:pt idx="15">
                  <c:v>105600</c:v>
                </c:pt>
                <c:pt idx="16">
                  <c:v>112200</c:v>
                </c:pt>
                <c:pt idx="17">
                  <c:v>118800</c:v>
                </c:pt>
                <c:pt idx="18">
                  <c:v>125400</c:v>
                </c:pt>
                <c:pt idx="19">
                  <c:v>132000</c:v>
                </c:pt>
                <c:pt idx="20">
                  <c:v>138600</c:v>
                </c:pt>
                <c:pt idx="21">
                  <c:v>145200</c:v>
                </c:pt>
                <c:pt idx="22">
                  <c:v>151800</c:v>
                </c:pt>
                <c:pt idx="23">
                  <c:v>158400</c:v>
                </c:pt>
                <c:pt idx="24">
                  <c:v>165000</c:v>
                </c:pt>
                <c:pt idx="25">
                  <c:v>171600</c:v>
                </c:pt>
                <c:pt idx="26">
                  <c:v>178200</c:v>
                </c:pt>
                <c:pt idx="27">
                  <c:v>184800</c:v>
                </c:pt>
                <c:pt idx="28">
                  <c:v>191400</c:v>
                </c:pt>
                <c:pt idx="29">
                  <c:v>198000</c:v>
                </c:pt>
                <c:pt idx="30">
                  <c:v>204600</c:v>
                </c:pt>
                <c:pt idx="31">
                  <c:v>211200</c:v>
                </c:pt>
                <c:pt idx="32">
                  <c:v>217800</c:v>
                </c:pt>
                <c:pt idx="33">
                  <c:v>224400</c:v>
                </c:pt>
                <c:pt idx="34">
                  <c:v>231000</c:v>
                </c:pt>
                <c:pt idx="35">
                  <c:v>237600</c:v>
                </c:pt>
                <c:pt idx="36">
                  <c:v>244200</c:v>
                </c:pt>
                <c:pt idx="37">
                  <c:v>250800</c:v>
                </c:pt>
                <c:pt idx="38">
                  <c:v>257400</c:v>
                </c:pt>
              </c:numCache>
            </c:numRef>
          </c:xVal>
          <c:yVal>
            <c:numRef>
              <c:f>'Depth vs Battery Pluto'!$V$18:$V$56</c:f>
              <c:numCache>
                <c:formatCode>0.0</c:formatCode>
                <c:ptCount val="39"/>
                <c:pt idx="0">
                  <c:v>1504.75</c:v>
                </c:pt>
                <c:pt idx="1">
                  <c:v>4220.5</c:v>
                </c:pt>
                <c:pt idx="2">
                  <c:v>6648.5</c:v>
                </c:pt>
                <c:pt idx="3">
                  <c:v>8846</c:v>
                </c:pt>
                <c:pt idx="4">
                  <c:v>10840</c:v>
                </c:pt>
                <c:pt idx="5">
                  <c:v>12657.5</c:v>
                </c:pt>
                <c:pt idx="6">
                  <c:v>14321</c:v>
                </c:pt>
                <c:pt idx="7">
                  <c:v>15849.5</c:v>
                </c:pt>
                <c:pt idx="8">
                  <c:v>17258.5</c:v>
                </c:pt>
                <c:pt idx="9">
                  <c:v>18561.5</c:v>
                </c:pt>
                <c:pt idx="10">
                  <c:v>19770.25</c:v>
                </c:pt>
                <c:pt idx="11">
                  <c:v>20894.25</c:v>
                </c:pt>
                <c:pt idx="12">
                  <c:v>21942.5</c:v>
                </c:pt>
                <c:pt idx="13">
                  <c:v>22922.25</c:v>
                </c:pt>
                <c:pt idx="14">
                  <c:v>23840</c:v>
                </c:pt>
                <c:pt idx="15">
                  <c:v>24701.25</c:v>
                </c:pt>
                <c:pt idx="16">
                  <c:v>25511.5</c:v>
                </c:pt>
                <c:pt idx="17">
                  <c:v>26274.75</c:v>
                </c:pt>
                <c:pt idx="18">
                  <c:v>26995.25</c:v>
                </c:pt>
                <c:pt idx="19">
                  <c:v>27676.5</c:v>
                </c:pt>
                <c:pt idx="20">
                  <c:v>28321.25</c:v>
                </c:pt>
                <c:pt idx="21">
                  <c:v>28932.75</c:v>
                </c:pt>
                <c:pt idx="22">
                  <c:v>29513.25</c:v>
                </c:pt>
                <c:pt idx="23">
                  <c:v>30065.25</c:v>
                </c:pt>
                <c:pt idx="24">
                  <c:v>30590.75</c:v>
                </c:pt>
                <c:pt idx="25">
                  <c:v>31091.5</c:v>
                </c:pt>
                <c:pt idx="26">
                  <c:v>31569.5</c:v>
                </c:pt>
                <c:pt idx="27">
                  <c:v>32025.75</c:v>
                </c:pt>
                <c:pt idx="28">
                  <c:v>32462.25</c:v>
                </c:pt>
                <c:pt idx="29">
                  <c:v>32880</c:v>
                </c:pt>
                <c:pt idx="30">
                  <c:v>33280</c:v>
                </c:pt>
                <c:pt idx="31">
                  <c:v>33663.75</c:v>
                </c:pt>
                <c:pt idx="32">
                  <c:v>34031.75</c:v>
                </c:pt>
                <c:pt idx="33">
                  <c:v>34385.5</c:v>
                </c:pt>
                <c:pt idx="34">
                  <c:v>34725.25</c:v>
                </c:pt>
                <c:pt idx="35">
                  <c:v>35052.25</c:v>
                </c:pt>
                <c:pt idx="36">
                  <c:v>35367.25</c:v>
                </c:pt>
                <c:pt idx="37">
                  <c:v>35670.5</c:v>
                </c:pt>
                <c:pt idx="38">
                  <c:v>35962.75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BD-4AB9-9E60-E77CD6B7E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Nominal Battery Capacity (mAh at 18 V)</a:t>
                </a:r>
              </a:p>
            </c:rich>
          </c:tx>
          <c:layout>
            <c:manualLayout>
              <c:xMode val="edge"/>
              <c:yMode val="edge"/>
              <c:x val="0.32378462936981117"/>
              <c:y val="0.923428856731132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Depth achievable with 25% depth of discharge (m)</a:t>
                </a:r>
              </a:p>
            </c:rich>
          </c:tx>
          <c:layout>
            <c:manualLayout>
              <c:xMode val="edge"/>
              <c:yMode val="edge"/>
              <c:x val="1.0258118019590121E-2"/>
              <c:y val="9.660882948237382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09400924753762"/>
          <c:y val="0.12732470047606567"/>
          <c:w val="0.52583851460604847"/>
          <c:h val="5.2284967343971582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variable drive efficiency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xx!$D$18:$D$35</c:f>
              <c:numCache>
                <c:formatCode>0.00</c:formatCode>
                <c:ptCount val="18"/>
                <c:pt idx="0">
                  <c:v>313.20001244544983</c:v>
                </c:pt>
                <c:pt idx="1">
                  <c:v>340.20001351833344</c:v>
                </c:pt>
                <c:pt idx="2">
                  <c:v>365.40001451969147</c:v>
                </c:pt>
                <c:pt idx="3">
                  <c:v>388.65001544356346</c:v>
                </c:pt>
                <c:pt idx="4">
                  <c:v>410.40001630783081</c:v>
                </c:pt>
                <c:pt idx="5">
                  <c:v>430.80001711845398</c:v>
                </c:pt>
                <c:pt idx="6">
                  <c:v>449.85001787543297</c:v>
                </c:pt>
                <c:pt idx="7">
                  <c:v>467.70001858472824</c:v>
                </c:pt>
                <c:pt idx="8">
                  <c:v>484.65001925826073</c:v>
                </c:pt>
                <c:pt idx="9">
                  <c:v>500.4000198841095</c:v>
                </c:pt>
                <c:pt idx="10">
                  <c:v>515.40002048015594</c:v>
                </c:pt>
                <c:pt idx="11">
                  <c:v>529.50002104043961</c:v>
                </c:pt>
                <c:pt idx="12">
                  <c:v>543.00002157688141</c:v>
                </c:pt>
                <c:pt idx="13">
                  <c:v>555.60002207756042</c:v>
                </c:pt>
                <c:pt idx="14">
                  <c:v>567.75002256035805</c:v>
                </c:pt>
                <c:pt idx="15">
                  <c:v>579.15002301335335</c:v>
                </c:pt>
                <c:pt idx="16">
                  <c:v>590.10002344846725</c:v>
                </c:pt>
                <c:pt idx="17">
                  <c:v>600.4500238597393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xx!$E$18:$E$35</c:f>
              <c:numCache>
                <c:formatCode>0.00</c:formatCode>
                <c:ptCount val="18"/>
                <c:pt idx="0">
                  <c:v>212.4000084400177</c:v>
                </c:pt>
                <c:pt idx="1">
                  <c:v>231.15000918507576</c:v>
                </c:pt>
                <c:pt idx="2">
                  <c:v>248.55000987648964</c:v>
                </c:pt>
                <c:pt idx="3">
                  <c:v>264.7500105202198</c:v>
                </c:pt>
                <c:pt idx="4">
                  <c:v>279.90001112222672</c:v>
                </c:pt>
                <c:pt idx="5">
                  <c:v>294.00001168251038</c:v>
                </c:pt>
                <c:pt idx="6">
                  <c:v>307.20001220703125</c:v>
                </c:pt>
                <c:pt idx="7">
                  <c:v>319.6500127017498</c:v>
                </c:pt>
                <c:pt idx="8">
                  <c:v>331.35001316666603</c:v>
                </c:pt>
                <c:pt idx="9">
                  <c:v>342.4500136077404</c:v>
                </c:pt>
                <c:pt idx="10">
                  <c:v>352.80001401901245</c:v>
                </c:pt>
                <c:pt idx="11">
                  <c:v>362.55001440644264</c:v>
                </c:pt>
                <c:pt idx="12">
                  <c:v>372.0000147819519</c:v>
                </c:pt>
                <c:pt idx="13">
                  <c:v>380.70001512765884</c:v>
                </c:pt>
                <c:pt idx="14">
                  <c:v>389.10001546144485</c:v>
                </c:pt>
                <c:pt idx="15">
                  <c:v>397.20001578330994</c:v>
                </c:pt>
                <c:pt idx="16">
                  <c:v>404.70001608133316</c:v>
                </c:pt>
                <c:pt idx="17">
                  <c:v>412.05001637339592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xx!$J$18:$J$31</c:f>
              <c:numCache>
                <c:formatCode>0.00</c:formatCode>
                <c:ptCount val="14"/>
                <c:pt idx="0">
                  <c:v>260.1000103354454</c:v>
                </c:pt>
                <c:pt idx="1">
                  <c:v>316.20001256465912</c:v>
                </c:pt>
                <c:pt idx="2">
                  <c:v>363.1500144302845</c:v>
                </c:pt>
                <c:pt idx="3">
                  <c:v>403.05001601576805</c:v>
                </c:pt>
                <c:pt idx="4">
                  <c:v>436.95001736283302</c:v>
                </c:pt>
                <c:pt idx="5">
                  <c:v>466.50001853704453</c:v>
                </c:pt>
                <c:pt idx="6">
                  <c:v>492.00001955032349</c:v>
                </c:pt>
                <c:pt idx="7">
                  <c:v>514.50002044439316</c:v>
                </c:pt>
                <c:pt idx="8">
                  <c:v>534.30002123117447</c:v>
                </c:pt>
                <c:pt idx="9">
                  <c:v>551.85002192854881</c:v>
                </c:pt>
                <c:pt idx="10">
                  <c:v>567.60002255439758</c:v>
                </c:pt>
                <c:pt idx="11">
                  <c:v>581.55002310872078</c:v>
                </c:pt>
                <c:pt idx="12">
                  <c:v>594.1500236093998</c:v>
                </c:pt>
                <c:pt idx="13">
                  <c:v>605.5500240623951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tx>
            <c:v>2200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xx!$K$18:$K$31</c:f>
              <c:numCache>
                <c:formatCode>0.00</c:formatCode>
                <c:ptCount val="14"/>
                <c:pt idx="0">
                  <c:v>81.150003224611282</c:v>
                </c:pt>
                <c:pt idx="1">
                  <c:v>98.400003910064697</c:v>
                </c:pt>
                <c:pt idx="2">
                  <c:v>112.50000447034836</c:v>
                </c:pt>
                <c:pt idx="3">
                  <c:v>124.35000494122505</c:v>
                </c:pt>
                <c:pt idx="4">
                  <c:v>134.25000533461571</c:v>
                </c:pt>
                <c:pt idx="5">
                  <c:v>142.65000566840172</c:v>
                </c:pt>
                <c:pt idx="6">
                  <c:v>149.70000594854355</c:v>
                </c:pt>
                <c:pt idx="7">
                  <c:v>155.85000619292259</c:v>
                </c:pt>
                <c:pt idx="8">
                  <c:v>160.95000639557838</c:v>
                </c:pt>
                <c:pt idx="9">
                  <c:v>165.45000657439232</c:v>
                </c:pt>
                <c:pt idx="10">
                  <c:v>169.20000672340393</c:v>
                </c:pt>
                <c:pt idx="11">
                  <c:v>172.50000685453415</c:v>
                </c:pt>
                <c:pt idx="12">
                  <c:v>175.35000696778297</c:v>
                </c:pt>
                <c:pt idx="13">
                  <c:v>177.60000705718994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xx!$L$18:$L$31</c:f>
              <c:numCache>
                <c:formatCode>0.00</c:formatCode>
                <c:ptCount val="14"/>
                <c:pt idx="0">
                  <c:v>782.10003107786179</c:v>
                </c:pt>
                <c:pt idx="1">
                  <c:v>948.30003768205643</c:v>
                </c:pt>
                <c:pt idx="2">
                  <c:v>1086.7500431835651</c:v>
                </c:pt>
                <c:pt idx="3">
                  <c:v>1203.7500478327274</c:v>
                </c:pt>
                <c:pt idx="4">
                  <c:v>1303.9500518143177</c:v>
                </c:pt>
                <c:pt idx="5">
                  <c:v>1390.5000552535057</c:v>
                </c:pt>
                <c:pt idx="6">
                  <c:v>1466.1000582575798</c:v>
                </c:pt>
                <c:pt idx="7">
                  <c:v>1532.700060904026</c:v>
                </c:pt>
                <c:pt idx="8">
                  <c:v>1591.6500632464886</c:v>
                </c:pt>
                <c:pt idx="9">
                  <c:v>1644.3000653386116</c:v>
                </c:pt>
                <c:pt idx="10">
                  <c:v>1691.4000672101974</c:v>
                </c:pt>
                <c:pt idx="11">
                  <c:v>1733.8500688970089</c:v>
                </c:pt>
                <c:pt idx="12">
                  <c:v>1772.4000704288483</c:v>
                </c:pt>
                <c:pt idx="13">
                  <c:v>1807.3500718176365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xx!$M$18:$M$31</c:f>
              <c:numCache>
                <c:formatCode>0.00</c:formatCode>
                <c:ptCount val="14"/>
                <c:pt idx="0">
                  <c:v>436.50001734495163</c:v>
                </c:pt>
                <c:pt idx="1">
                  <c:v>530.55002108216286</c:v>
                </c:pt>
                <c:pt idx="2">
                  <c:v>609.00002419948578</c:v>
                </c:pt>
                <c:pt idx="3">
                  <c:v>675.60002684593201</c:v>
                </c:pt>
                <c:pt idx="4">
                  <c:v>732.75002911686897</c:v>
                </c:pt>
                <c:pt idx="5">
                  <c:v>782.10003107786179</c:v>
                </c:pt>
                <c:pt idx="6">
                  <c:v>825.30003279447556</c:v>
                </c:pt>
                <c:pt idx="7">
                  <c:v>863.25003430247307</c:v>
                </c:pt>
                <c:pt idx="8">
                  <c:v>896.85003563761711</c:v>
                </c:pt>
                <c:pt idx="9">
                  <c:v>926.85003682971001</c:v>
                </c:pt>
                <c:pt idx="10">
                  <c:v>953.70003789663315</c:v>
                </c:pt>
                <c:pt idx="11">
                  <c:v>977.70003885030746</c:v>
                </c:pt>
                <c:pt idx="12">
                  <c:v>999.60003972053528</c:v>
                </c:pt>
                <c:pt idx="13">
                  <c:v>1019.2500405013561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xx!$N$18:$N$31</c:f>
              <c:numCache>
                <c:formatCode>0.00</c:formatCode>
                <c:ptCount val="14"/>
                <c:pt idx="0">
                  <c:v>610.50002425909042</c:v>
                </c:pt>
                <c:pt idx="1">
                  <c:v>741.15002945065498</c:v>
                </c:pt>
                <c:pt idx="2">
                  <c:v>850.20003378391266</c:v>
                </c:pt>
                <c:pt idx="3">
                  <c:v>942.45003744959831</c:v>
                </c:pt>
                <c:pt idx="4">
                  <c:v>1021.6500405967236</c:v>
                </c:pt>
                <c:pt idx="5">
                  <c:v>1090.0500433146954</c:v>
                </c:pt>
                <c:pt idx="6">
                  <c:v>1149.9000456929207</c:v>
                </c:pt>
                <c:pt idx="7">
                  <c:v>1202.5500477850437</c:v>
                </c:pt>
                <c:pt idx="8">
                  <c:v>1249.2000496387482</c:v>
                </c:pt>
                <c:pt idx="9">
                  <c:v>1290.7500512897968</c:v>
                </c:pt>
                <c:pt idx="10">
                  <c:v>1328.1000527739525</c:v>
                </c:pt>
                <c:pt idx="11">
                  <c:v>1361.7000541090965</c:v>
                </c:pt>
                <c:pt idx="12">
                  <c:v>1392.0000553131104</c:v>
                </c:pt>
                <c:pt idx="13">
                  <c:v>1419.6000564098358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xx!$U$18:$U$26</c:f>
              <c:numCache>
                <c:formatCode>0.00</c:formatCode>
                <c:ptCount val="9"/>
                <c:pt idx="0">
                  <c:v>223.05000886321068</c:v>
                </c:pt>
                <c:pt idx="1">
                  <c:v>600.4500238597393</c:v>
                </c:pt>
                <c:pt idx="2">
                  <c:v>968.2500384747982</c:v>
                </c:pt>
                <c:pt idx="3">
                  <c:v>1326.4500527083874</c:v>
                </c:pt>
                <c:pt idx="4">
                  <c:v>1675.6500665843487</c:v>
                </c:pt>
                <c:pt idx="5">
                  <c:v>2016.3000801205635</c:v>
                </c:pt>
                <c:pt idx="6">
                  <c:v>2348.4000933170319</c:v>
                </c:pt>
                <c:pt idx="7">
                  <c:v>2672.5501061975956</c:v>
                </c:pt>
                <c:pt idx="8">
                  <c:v>2988.9001187682152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xx!$V$18:$V$26</c:f>
              <c:numCache>
                <c:formatCode>0.00</c:formatCode>
                <c:ptCount val="9"/>
                <c:pt idx="0">
                  <c:v>127.05000504851341</c:v>
                </c:pt>
                <c:pt idx="1">
                  <c:v>412.05001637339592</c:v>
                </c:pt>
                <c:pt idx="2">
                  <c:v>690.75002744793892</c:v>
                </c:pt>
                <c:pt idx="3">
                  <c:v>963.45003828406334</c:v>
                </c:pt>
                <c:pt idx="4">
                  <c:v>1230.1500488817692</c:v>
                </c:pt>
                <c:pt idx="5">
                  <c:v>1491.3000592589378</c:v>
                </c:pt>
                <c:pt idx="6">
                  <c:v>1747.0500694215298</c:v>
                </c:pt>
                <c:pt idx="7">
                  <c:v>1997.2500793635845</c:v>
                </c:pt>
                <c:pt idx="8">
                  <c:v>2242.5000891089439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0.25m/s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xxx!$L$18:$L$31</c:f>
              <c:numCache>
                <c:formatCode>0.00</c:formatCode>
                <c:ptCount val="14"/>
                <c:pt idx="0">
                  <c:v>83.250003308057785</c:v>
                </c:pt>
                <c:pt idx="1">
                  <c:v>65.700002610683441</c:v>
                </c:pt>
                <c:pt idx="2">
                  <c:v>49.950001984834671</c:v>
                </c:pt>
                <c:pt idx="3">
                  <c:v>35.400001406669617</c:v>
                </c:pt>
                <c:pt idx="4">
                  <c:v>22.200000882148743</c:v>
                </c:pt>
                <c:pt idx="5">
                  <c:v>9.9000003933906555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338.40001344680786</c:v>
                </c:pt>
                <c:pt idx="1">
                  <c:v>309.00001227855682</c:v>
                </c:pt>
                <c:pt idx="2">
                  <c:v>282.30001121759415</c:v>
                </c:pt>
                <c:pt idx="3">
                  <c:v>257.85001024603844</c:v>
                </c:pt>
                <c:pt idx="4">
                  <c:v>235.35000935196877</c:v>
                </c:pt>
                <c:pt idx="5">
                  <c:v>214.80000853538513</c:v>
                </c:pt>
                <c:pt idx="6">
                  <c:v>195.75000777840614</c:v>
                </c:pt>
                <c:pt idx="7">
                  <c:v>178.2000070810318</c:v>
                </c:pt>
                <c:pt idx="8">
                  <c:v>161.70000642538071</c:v>
                </c:pt>
                <c:pt idx="9">
                  <c:v>146.55000582337379</c:v>
                </c:pt>
                <c:pt idx="10">
                  <c:v>132.30000525712967</c:v>
                </c:pt>
                <c:pt idx="11">
                  <c:v>118.95000472664833</c:v>
                </c:pt>
                <c:pt idx="12">
                  <c:v>106.50000423192978</c:v>
                </c:pt>
                <c:pt idx="13">
                  <c:v>94.80000376701355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xxx!$N$18:$N$31</c:f>
              <c:numCache>
                <c:formatCode>0.00</c:formatCode>
                <c:ptCount val="14"/>
                <c:pt idx="0">
                  <c:v>588.60002338886261</c:v>
                </c:pt>
                <c:pt idx="1">
                  <c:v>547.65002176165581</c:v>
                </c:pt>
                <c:pt idx="2">
                  <c:v>510.45002028346062</c:v>
                </c:pt>
                <c:pt idx="3">
                  <c:v>476.40001893043518</c:v>
                </c:pt>
                <c:pt idx="4">
                  <c:v>445.20001769065857</c:v>
                </c:pt>
                <c:pt idx="5">
                  <c:v>416.40001654624939</c:v>
                </c:pt>
                <c:pt idx="6">
                  <c:v>389.85001549124718</c:v>
                </c:pt>
                <c:pt idx="7">
                  <c:v>365.250014513731</c:v>
                </c:pt>
                <c:pt idx="8">
                  <c:v>342.30001360177994</c:v>
                </c:pt>
                <c:pt idx="9">
                  <c:v>321.00001275539398</c:v>
                </c:pt>
                <c:pt idx="10">
                  <c:v>301.20001196861267</c:v>
                </c:pt>
                <c:pt idx="11">
                  <c:v>282.45001122355461</c:v>
                </c:pt>
                <c:pt idx="12">
                  <c:v>265.05001053214073</c:v>
                </c:pt>
                <c:pt idx="13">
                  <c:v>248.55000987648964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xxx!$O$18:$O$31</c:f>
              <c:numCache>
                <c:formatCode>0.00</c:formatCode>
                <c:ptCount val="14"/>
                <c:pt idx="0">
                  <c:v>833.85003313422203</c:v>
                </c:pt>
                <c:pt idx="1">
                  <c:v>781.95003107190132</c:v>
                </c:pt>
                <c:pt idx="2">
                  <c:v>734.55002918839455</c:v>
                </c:pt>
                <c:pt idx="3">
                  <c:v>691.35002747178078</c:v>
                </c:pt>
                <c:pt idx="4">
                  <c:v>651.60002589225769</c:v>
                </c:pt>
                <c:pt idx="5">
                  <c:v>614.85002443194389</c:v>
                </c:pt>
                <c:pt idx="6">
                  <c:v>581.10002309083939</c:v>
                </c:pt>
                <c:pt idx="7">
                  <c:v>549.60002183914185</c:v>
                </c:pt>
                <c:pt idx="8">
                  <c:v>520.50002068281174</c:v>
                </c:pt>
                <c:pt idx="9">
                  <c:v>493.2000195980072</c:v>
                </c:pt>
                <c:pt idx="10">
                  <c:v>467.85001859068871</c:v>
                </c:pt>
                <c:pt idx="11">
                  <c:v>444.00001764297485</c:v>
                </c:pt>
                <c:pt idx="12">
                  <c:v>421.65001675486565</c:v>
                </c:pt>
                <c:pt idx="13">
                  <c:v>400.65001592040062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xxx!$M$18:$M$31</c:f>
              <c:numCache>
                <c:formatCode>0.00</c:formatCode>
                <c:ptCount val="14"/>
                <c:pt idx="0">
                  <c:v>1074.4500426948071</c:v>
                </c:pt>
                <c:pt idx="1">
                  <c:v>1011.9000402092934</c:v>
                </c:pt>
                <c:pt idx="2">
                  <c:v>954.90003794431686</c:v>
                </c:pt>
                <c:pt idx="3">
                  <c:v>902.55003586411476</c:v>
                </c:pt>
                <c:pt idx="4">
                  <c:v>854.55003395676613</c:v>
                </c:pt>
                <c:pt idx="5">
                  <c:v>810.30003219842911</c:v>
                </c:pt>
                <c:pt idx="6">
                  <c:v>769.35003057122231</c:v>
                </c:pt>
                <c:pt idx="7">
                  <c:v>731.40002906322479</c:v>
                </c:pt>
                <c:pt idx="8">
                  <c:v>696.00002765655518</c:v>
                </c:pt>
                <c:pt idx="9">
                  <c:v>663.15002635121346</c:v>
                </c:pt>
                <c:pt idx="10">
                  <c:v>632.25002512335777</c:v>
                </c:pt>
                <c:pt idx="11">
                  <c:v>603.45002397894859</c:v>
                </c:pt>
                <c:pt idx="12">
                  <c:v>576.30002290010452</c:v>
                </c:pt>
                <c:pt idx="13">
                  <c:v>550.80002188682556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.25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338.40001344680786</c:v>
                </c:pt>
                <c:pt idx="1">
                  <c:v>309.00001227855682</c:v>
                </c:pt>
                <c:pt idx="2">
                  <c:v>282.30001121759415</c:v>
                </c:pt>
                <c:pt idx="3">
                  <c:v>257.85001024603844</c:v>
                </c:pt>
                <c:pt idx="4">
                  <c:v>235.35000935196877</c:v>
                </c:pt>
                <c:pt idx="5">
                  <c:v>214.80000853538513</c:v>
                </c:pt>
                <c:pt idx="6">
                  <c:v>195.75000777840614</c:v>
                </c:pt>
                <c:pt idx="7">
                  <c:v>178.2000070810318</c:v>
                </c:pt>
                <c:pt idx="8">
                  <c:v>161.70000642538071</c:v>
                </c:pt>
                <c:pt idx="9">
                  <c:v>146.55000582337379</c:v>
                </c:pt>
                <c:pt idx="10">
                  <c:v>132.30000525712967</c:v>
                </c:pt>
                <c:pt idx="11">
                  <c:v>118.95000472664833</c:v>
                </c:pt>
                <c:pt idx="12">
                  <c:v>106.50000423192978</c:v>
                </c:pt>
                <c:pt idx="13">
                  <c:v>94.80000376701355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.35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xxx!$U$36:$U$49</c:f>
              <c:numCache>
                <c:formatCode>0.00</c:formatCode>
                <c:ptCount val="14"/>
                <c:pt idx="0">
                  <c:v>49.945319999999995</c:v>
                </c:pt>
                <c:pt idx="1">
                  <c:v>52.445319999999995</c:v>
                </c:pt>
                <c:pt idx="2">
                  <c:v>54.945319999999995</c:v>
                </c:pt>
                <c:pt idx="3">
                  <c:v>57.445319999999995</c:v>
                </c:pt>
                <c:pt idx="4">
                  <c:v>59.945319999999995</c:v>
                </c:pt>
                <c:pt idx="5">
                  <c:v>62.445319999999995</c:v>
                </c:pt>
                <c:pt idx="6">
                  <c:v>64.945319999999995</c:v>
                </c:pt>
                <c:pt idx="7">
                  <c:v>67.445319999999995</c:v>
                </c:pt>
                <c:pt idx="8">
                  <c:v>69.945319999999995</c:v>
                </c:pt>
                <c:pt idx="9">
                  <c:v>72.445319999999995</c:v>
                </c:pt>
                <c:pt idx="10">
                  <c:v>74.945319999999995</c:v>
                </c:pt>
                <c:pt idx="11">
                  <c:v>77.445319999999995</c:v>
                </c:pt>
                <c:pt idx="12">
                  <c:v>79.945319999999995</c:v>
                </c:pt>
                <c:pt idx="13">
                  <c:v>82.445319999999995</c:v>
                </c:pt>
              </c:numCache>
            </c:numRef>
          </c:xVal>
          <c:yVal>
            <c:numRef>
              <c:f>xxx!$V$36:$V$49</c:f>
              <c:numCache>
                <c:formatCode>0.00</c:formatCode>
                <c:ptCount val="14"/>
                <c:pt idx="0">
                  <c:v>523.80002081394196</c:v>
                </c:pt>
                <c:pt idx="1">
                  <c:v>480.60001909732819</c:v>
                </c:pt>
                <c:pt idx="2">
                  <c:v>441.45001754164696</c:v>
                </c:pt>
                <c:pt idx="3">
                  <c:v>405.60001611709595</c:v>
                </c:pt>
                <c:pt idx="4">
                  <c:v>372.60001480579376</c:v>
                </c:pt>
                <c:pt idx="5">
                  <c:v>342.30001360177994</c:v>
                </c:pt>
                <c:pt idx="6">
                  <c:v>314.25001248717308</c:v>
                </c:pt>
                <c:pt idx="7">
                  <c:v>288.30001145601273</c:v>
                </c:pt>
                <c:pt idx="8">
                  <c:v>264.30001050233841</c:v>
                </c:pt>
                <c:pt idx="9">
                  <c:v>241.80000960826874</c:v>
                </c:pt>
                <c:pt idx="10">
                  <c:v>220.80000877380371</c:v>
                </c:pt>
                <c:pt idx="11">
                  <c:v>201.15000799298286</c:v>
                </c:pt>
                <c:pt idx="12">
                  <c:v>182.70000725984573</c:v>
                </c:pt>
                <c:pt idx="13">
                  <c:v>165.45000657439232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.50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xxx!$U$56:$U$69</c:f>
              <c:numCache>
                <c:formatCode>0.00</c:formatCode>
                <c:ptCount val="14"/>
                <c:pt idx="0">
                  <c:v>49.207599999999999</c:v>
                </c:pt>
                <c:pt idx="1">
                  <c:v>51.707599999999999</c:v>
                </c:pt>
                <c:pt idx="2">
                  <c:v>54.207599999999999</c:v>
                </c:pt>
                <c:pt idx="3">
                  <c:v>56.707599999999999</c:v>
                </c:pt>
                <c:pt idx="4">
                  <c:v>59.207599999999999</c:v>
                </c:pt>
                <c:pt idx="5">
                  <c:v>61.707599999999999</c:v>
                </c:pt>
                <c:pt idx="6">
                  <c:v>64.207599999999999</c:v>
                </c:pt>
                <c:pt idx="7">
                  <c:v>66.707599999999999</c:v>
                </c:pt>
                <c:pt idx="8">
                  <c:v>69.207599999999999</c:v>
                </c:pt>
                <c:pt idx="9">
                  <c:v>71.707599999999999</c:v>
                </c:pt>
                <c:pt idx="10">
                  <c:v>74.207599999999999</c:v>
                </c:pt>
                <c:pt idx="11">
                  <c:v>76.707599999999999</c:v>
                </c:pt>
                <c:pt idx="12">
                  <c:v>79.207599999999999</c:v>
                </c:pt>
                <c:pt idx="13">
                  <c:v>81.707599999999999</c:v>
                </c:pt>
              </c:numCache>
            </c:numRef>
          </c:xVal>
          <c:yVal>
            <c:numRef>
              <c:f>xxx!$V$56:$V$69</c:f>
              <c:numCache>
                <c:formatCode>0.00</c:formatCode>
                <c:ptCount val="14"/>
                <c:pt idx="0">
                  <c:v>887.55003526806831</c:v>
                </c:pt>
                <c:pt idx="1">
                  <c:v>818.85003253817558</c:v>
                </c:pt>
                <c:pt idx="2">
                  <c:v>756.45003005862236</c:v>
                </c:pt>
                <c:pt idx="3">
                  <c:v>699.30002778768539</c:v>
                </c:pt>
                <c:pt idx="4">
                  <c:v>647.10002571344376</c:v>
                </c:pt>
                <c:pt idx="5">
                  <c:v>598.95002380013466</c:v>
                </c:pt>
                <c:pt idx="6">
                  <c:v>554.40002202987671</c:v>
                </c:pt>
                <c:pt idx="7">
                  <c:v>513.30002039670944</c:v>
                </c:pt>
                <c:pt idx="8">
                  <c:v>475.050018876791</c:v>
                </c:pt>
                <c:pt idx="9">
                  <c:v>439.35001745820045</c:v>
                </c:pt>
                <c:pt idx="10">
                  <c:v>406.05001613497734</c:v>
                </c:pt>
                <c:pt idx="11">
                  <c:v>375.00001490116119</c:v>
                </c:pt>
                <c:pt idx="12">
                  <c:v>345.75001373887062</c:v>
                </c:pt>
                <c:pt idx="13">
                  <c:v>318.45001265406609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xx!$J$18:$J$31</c:f>
              <c:numCache>
                <c:formatCode>0.00</c:formatCode>
                <c:ptCount val="14"/>
                <c:pt idx="0">
                  <c:v>260.1000103354454</c:v>
                </c:pt>
                <c:pt idx="1">
                  <c:v>316.20001256465912</c:v>
                </c:pt>
                <c:pt idx="2">
                  <c:v>363.1500144302845</c:v>
                </c:pt>
                <c:pt idx="3">
                  <c:v>403.05001601576805</c:v>
                </c:pt>
                <c:pt idx="4">
                  <c:v>436.95001736283302</c:v>
                </c:pt>
                <c:pt idx="5">
                  <c:v>466.50001853704453</c:v>
                </c:pt>
                <c:pt idx="6">
                  <c:v>492.00001955032349</c:v>
                </c:pt>
                <c:pt idx="7">
                  <c:v>514.50002044439316</c:v>
                </c:pt>
                <c:pt idx="8">
                  <c:v>534.30002123117447</c:v>
                </c:pt>
                <c:pt idx="9">
                  <c:v>551.85002192854881</c:v>
                </c:pt>
                <c:pt idx="10">
                  <c:v>567.60002255439758</c:v>
                </c:pt>
                <c:pt idx="11">
                  <c:v>581.55002310872078</c:v>
                </c:pt>
                <c:pt idx="12">
                  <c:v>594.1500236093998</c:v>
                </c:pt>
                <c:pt idx="13">
                  <c:v>605.5500240623951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1 0.25m/s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18097222222222226"/>
          <c:w val="0.83955796150481188"/>
          <c:h val="0.54380322251385238"/>
        </c:manualLayout>
      </c:layout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xxxx!$D$14:$D$22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xxxx!$E$14:$E$22</c:f>
              <c:numCache>
                <c:formatCode>0.0</c:formatCode>
                <c:ptCount val="9"/>
                <c:pt idx="0">
                  <c:v>451.35</c:v>
                </c:pt>
                <c:pt idx="1">
                  <c:v>384.75</c:v>
                </c:pt>
                <c:pt idx="2">
                  <c:v>329.25</c:v>
                </c:pt>
                <c:pt idx="3">
                  <c:v>282.28846153846155</c:v>
                </c:pt>
                <c:pt idx="4">
                  <c:v>242.03571428571433</c:v>
                </c:pt>
                <c:pt idx="5">
                  <c:v>176.62500000000006</c:v>
                </c:pt>
                <c:pt idx="6">
                  <c:v>125.75</c:v>
                </c:pt>
                <c:pt idx="7">
                  <c:v>85.050000000000011</c:v>
                </c:pt>
                <c:pt idx="8">
                  <c:v>51.75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445-BB5A-CBDCEA0B30CB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xxxx!$D$14:$D$22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xxxx!$F$14:$F$22</c:f>
              <c:numCache>
                <c:formatCode>0.0</c:formatCode>
                <c:ptCount val="9"/>
                <c:pt idx="0">
                  <c:v>817.65000000000009</c:v>
                </c:pt>
                <c:pt idx="1">
                  <c:v>717.75</c:v>
                </c:pt>
                <c:pt idx="2">
                  <c:v>634.5</c:v>
                </c:pt>
                <c:pt idx="3">
                  <c:v>564.05769230769226</c:v>
                </c:pt>
                <c:pt idx="4">
                  <c:v>503.67857142857144</c:v>
                </c:pt>
                <c:pt idx="5">
                  <c:v>405.5625</c:v>
                </c:pt>
                <c:pt idx="6">
                  <c:v>329.25</c:v>
                </c:pt>
                <c:pt idx="7">
                  <c:v>268.20000000000005</c:v>
                </c:pt>
                <c:pt idx="8">
                  <c:v>218.25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445-BB5A-CBDCEA0B30CB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xxxx!$D$14:$D$22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xxxx!$G$14:$G$22</c:f>
              <c:numCache>
                <c:formatCode>0.0</c:formatCode>
                <c:ptCount val="9"/>
                <c:pt idx="0">
                  <c:v>1183.95</c:v>
                </c:pt>
                <c:pt idx="1">
                  <c:v>1050.75</c:v>
                </c:pt>
                <c:pt idx="2">
                  <c:v>939.75</c:v>
                </c:pt>
                <c:pt idx="3">
                  <c:v>845.82692307692309</c:v>
                </c:pt>
                <c:pt idx="4">
                  <c:v>765.32142857142867</c:v>
                </c:pt>
                <c:pt idx="5">
                  <c:v>634.50000000000011</c:v>
                </c:pt>
                <c:pt idx="6">
                  <c:v>532.75</c:v>
                </c:pt>
                <c:pt idx="7">
                  <c:v>451.35</c:v>
                </c:pt>
                <c:pt idx="8">
                  <c:v>384.75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E7-4445-BB5A-CBDCEA0B30CB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xxxx!$D$14:$D$22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xxxx!$H$14:$H$22</c:f>
              <c:numCache>
                <c:formatCode>0.0</c:formatCode>
                <c:ptCount val="9"/>
                <c:pt idx="0">
                  <c:v>1550.2500000000002</c:v>
                </c:pt>
                <c:pt idx="1">
                  <c:v>1383.75</c:v>
                </c:pt>
                <c:pt idx="2">
                  <c:v>1245</c:v>
                </c:pt>
                <c:pt idx="3">
                  <c:v>1127.5961538461538</c:v>
                </c:pt>
                <c:pt idx="4">
                  <c:v>1026.9642857142858</c:v>
                </c:pt>
                <c:pt idx="5">
                  <c:v>863.4375</c:v>
                </c:pt>
                <c:pt idx="6">
                  <c:v>736.25000000000011</c:v>
                </c:pt>
                <c:pt idx="7">
                  <c:v>634.50000000000011</c:v>
                </c:pt>
                <c:pt idx="8">
                  <c:v>551.25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E7-4445-BB5A-CBDCEA0B30CB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xxxx!$D$14:$D$22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xxxx!$I$14:$I$22</c:f>
              <c:numCache>
                <c:formatCode>0.0</c:formatCode>
                <c:ptCount val="9"/>
                <c:pt idx="0">
                  <c:v>1916.5500000000002</c:v>
                </c:pt>
                <c:pt idx="1">
                  <c:v>1716.75</c:v>
                </c:pt>
                <c:pt idx="2">
                  <c:v>1550.25</c:v>
                </c:pt>
                <c:pt idx="3">
                  <c:v>1409.3653846153845</c:v>
                </c:pt>
                <c:pt idx="4">
                  <c:v>1288.6071428571429</c:v>
                </c:pt>
                <c:pt idx="5">
                  <c:v>1092.375</c:v>
                </c:pt>
                <c:pt idx="6">
                  <c:v>939.75</c:v>
                </c:pt>
                <c:pt idx="7">
                  <c:v>817.65000000000009</c:v>
                </c:pt>
                <c:pt idx="8">
                  <c:v>717.75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E7-4445-BB5A-CBDCEA0B30CB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xxxx!$D$14:$D$22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xxxx!$J$14:$J$22</c:f>
              <c:numCache>
                <c:formatCode>0.0</c:formatCode>
                <c:ptCount val="9"/>
                <c:pt idx="0">
                  <c:v>2282.8500000000004</c:v>
                </c:pt>
                <c:pt idx="1">
                  <c:v>2049.7500000000005</c:v>
                </c:pt>
                <c:pt idx="2">
                  <c:v>1855.5</c:v>
                </c:pt>
                <c:pt idx="3">
                  <c:v>1691.1346153846157</c:v>
                </c:pt>
                <c:pt idx="4">
                  <c:v>1550.2500000000002</c:v>
                </c:pt>
                <c:pt idx="5">
                  <c:v>1321.3125</c:v>
                </c:pt>
                <c:pt idx="6">
                  <c:v>1143.25</c:v>
                </c:pt>
                <c:pt idx="7">
                  <c:v>1000.8000000000002</c:v>
                </c:pt>
                <c:pt idx="8">
                  <c:v>884.25000000000023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E7-4445-BB5A-CBDCEA0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3557391696683623"/>
              <c:y val="0.79866048823369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Battery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xxxxx!$T$17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xxxxx!$S$18:$S$56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xxxxx!$T$18:$T$56</c:f>
              <c:numCache>
                <c:formatCode>0.00</c:formatCode>
                <c:ptCount val="39"/>
                <c:pt idx="0">
                  <c:v>127.05000504851341</c:v>
                </c:pt>
                <c:pt idx="1">
                  <c:v>412.05001637339592</c:v>
                </c:pt>
                <c:pt idx="2">
                  <c:v>690.30002743005753</c:v>
                </c:pt>
                <c:pt idx="3">
                  <c:v>962.40003824234009</c:v>
                </c:pt>
                <c:pt idx="4">
                  <c:v>1228.3500488102436</c:v>
                </c:pt>
                <c:pt idx="5">
                  <c:v>1488.450059145689</c:v>
                </c:pt>
                <c:pt idx="6">
                  <c:v>1742.8500692546368</c:v>
                </c:pt>
                <c:pt idx="7">
                  <c:v>1991.7000791430473</c:v>
                </c:pt>
                <c:pt idx="8">
                  <c:v>2235.1500888168812</c:v>
                </c:pt>
                <c:pt idx="9">
                  <c:v>2473.5000982880592</c:v>
                </c:pt>
                <c:pt idx="10">
                  <c:v>2706.900107562542</c:v>
                </c:pt>
                <c:pt idx="11">
                  <c:v>3159.1501255333424</c:v>
                </c:pt>
                <c:pt idx="12">
                  <c:v>4009.9501593410969</c:v>
                </c:pt>
                <c:pt idx="13">
                  <c:v>4796.1001905798912</c:v>
                </c:pt>
                <c:pt idx="14">
                  <c:v>5524.5002195239067</c:v>
                </c:pt>
                <c:pt idx="15">
                  <c:v>6201.6002464294434</c:v>
                </c:pt>
                <c:pt idx="16">
                  <c:v>6832.3502714931965</c:v>
                </c:pt>
                <c:pt idx="17">
                  <c:v>7421.4002948999405</c:v>
                </c:pt>
                <c:pt idx="18">
                  <c:v>7972.9503168165684</c:v>
                </c:pt>
                <c:pt idx="19">
                  <c:v>8490.3003373742104</c:v>
                </c:pt>
                <c:pt idx="20">
                  <c:v>8976.4503566920757</c:v>
                </c:pt>
                <c:pt idx="21">
                  <c:v>9866.250392049551</c:v>
                </c:pt>
                <c:pt idx="22">
                  <c:v>10660.650423616171</c:v>
                </c:pt>
                <c:pt idx="23">
                  <c:v>11374.2004519701</c:v>
                </c:pt>
                <c:pt idx="24">
                  <c:v>12018.600477576256</c:v>
                </c:pt>
                <c:pt idx="25">
                  <c:v>12603.450500816107</c:v>
                </c:pt>
                <c:pt idx="26">
                  <c:v>13136.700522005558</c:v>
                </c:pt>
                <c:pt idx="27">
                  <c:v>13624.800541400909</c:v>
                </c:pt>
                <c:pt idx="28">
                  <c:v>14073.300559222698</c:v>
                </c:pt>
                <c:pt idx="29">
                  <c:v>14759.250586479902</c:v>
                </c:pt>
                <c:pt idx="30">
                  <c:v>15361.950610429049</c:v>
                </c:pt>
                <c:pt idx="31">
                  <c:v>15895.500631630421</c:v>
                </c:pt>
                <c:pt idx="32">
                  <c:v>16371.300650537014</c:v>
                </c:pt>
                <c:pt idx="33">
                  <c:v>16798.200667500496</c:v>
                </c:pt>
                <c:pt idx="34">
                  <c:v>17183.400682806969</c:v>
                </c:pt>
                <c:pt idx="35">
                  <c:v>17532.60069668293</c:v>
                </c:pt>
                <c:pt idx="36">
                  <c:v>18047.550717145205</c:v>
                </c:pt>
                <c:pt idx="37">
                  <c:v>18493.350734859705</c:v>
                </c:pt>
                <c:pt idx="38">
                  <c:v>18882.900750339031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0-4B69-BB94-BA1497AF397C}"/>
            </c:ext>
          </c:extLst>
        </c:ser>
        <c:ser>
          <c:idx val="1"/>
          <c:order val="1"/>
          <c:tx>
            <c:strRef>
              <c:f>xxxxx!$U$17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xxxxx!$S$18:$S$56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xxxxx!$U$18:$U$56</c:f>
              <c:numCache>
                <c:formatCode>0.00</c:formatCode>
                <c:ptCount val="39"/>
                <c:pt idx="0">
                  <c:v>91.200003623962402</c:v>
                </c:pt>
                <c:pt idx="1">
                  <c:v>334.95001330971718</c:v>
                </c:pt>
                <c:pt idx="2">
                  <c:v>567.75002256035805</c:v>
                </c:pt>
                <c:pt idx="3">
                  <c:v>790.20003139972687</c:v>
                </c:pt>
                <c:pt idx="4">
                  <c:v>1002.9000398516655</c:v>
                </c:pt>
                <c:pt idx="5">
                  <c:v>1206.6000479459763</c:v>
                </c:pt>
                <c:pt idx="6">
                  <c:v>1401.7500557005405</c:v>
                </c:pt>
                <c:pt idx="7">
                  <c:v>1588.9500631392002</c:v>
                </c:pt>
                <c:pt idx="8">
                  <c:v>1768.6500702798367</c:v>
                </c:pt>
                <c:pt idx="9">
                  <c:v>1941.3000771403313</c:v>
                </c:pt>
                <c:pt idx="10">
                  <c:v>2107.200083732605</c:v>
                </c:pt>
                <c:pt idx="11">
                  <c:v>2420.7000961899757</c:v>
                </c:pt>
                <c:pt idx="12">
                  <c:v>2982.9001185297966</c:v>
                </c:pt>
                <c:pt idx="13">
                  <c:v>3472.3501379787922</c:v>
                </c:pt>
                <c:pt idx="14">
                  <c:v>3902.4001550674438</c:v>
                </c:pt>
                <c:pt idx="15">
                  <c:v>4283.4001702070236</c:v>
                </c:pt>
                <c:pt idx="16">
                  <c:v>4623.0001837015152</c:v>
                </c:pt>
                <c:pt idx="17">
                  <c:v>4927.800195813179</c:v>
                </c:pt>
                <c:pt idx="18">
                  <c:v>5202.9002067446709</c:v>
                </c:pt>
                <c:pt idx="19">
                  <c:v>5452.3502166569233</c:v>
                </c:pt>
                <c:pt idx="20">
                  <c:v>5679.600225687027</c:v>
                </c:pt>
                <c:pt idx="21">
                  <c:v>6078.450241535902</c:v>
                </c:pt>
                <c:pt idx="22">
                  <c:v>6417.0002549886703</c:v>
                </c:pt>
                <c:pt idx="23">
                  <c:v>6708.1502665579319</c:v>
                </c:pt>
                <c:pt idx="24">
                  <c:v>6960.9002766013145</c:v>
                </c:pt>
                <c:pt idx="25">
                  <c:v>7182.600285410881</c:v>
                </c:pt>
                <c:pt idx="26">
                  <c:v>7378.6502932012081</c:v>
                </c:pt>
                <c:pt idx="27">
                  <c:v>7553.1003001332283</c:v>
                </c:pt>
                <c:pt idx="28">
                  <c:v>7709.5503063499928</c:v>
                </c:pt>
                <c:pt idx="29">
                  <c:v>7941.7503155767918</c:v>
                </c:pt>
                <c:pt idx="30">
                  <c:v>8138.8503234088421</c:v>
                </c:pt>
                <c:pt idx="31">
                  <c:v>8308.5003301501274</c:v>
                </c:pt>
                <c:pt idx="32">
                  <c:v>8455.8003360033035</c:v>
                </c:pt>
                <c:pt idx="33">
                  <c:v>8585.2503411471844</c:v>
                </c:pt>
                <c:pt idx="34">
                  <c:v>8699.5503456890583</c:v>
                </c:pt>
                <c:pt idx="35">
                  <c:v>8801.4003497362137</c:v>
                </c:pt>
                <c:pt idx="36">
                  <c:v>8948.4003555774689</c:v>
                </c:pt>
                <c:pt idx="37">
                  <c:v>9072.7503605186939</c:v>
                </c:pt>
                <c:pt idx="38">
                  <c:v>9179.4003647565842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40-4B69-BB94-BA1497AF397C}"/>
            </c:ext>
          </c:extLst>
        </c:ser>
        <c:ser>
          <c:idx val="2"/>
          <c:order val="2"/>
          <c:tx>
            <c:strRef>
              <c:f>xxxxx!$V$17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xxxxx!$S$18:$S$56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xxxxx!$V$18:$V$56</c:f>
              <c:numCache>
                <c:formatCode>0.0</c:formatCode>
                <c:ptCount val="39"/>
                <c:pt idx="0">
                  <c:v>83.700003325939178</c:v>
                </c:pt>
                <c:pt idx="1">
                  <c:v>326.70001298189163</c:v>
                </c:pt>
                <c:pt idx="2">
                  <c:v>564.45002242922783</c:v>
                </c:pt>
                <c:pt idx="3">
                  <c:v>797.2500316798687</c:v>
                </c:pt>
                <c:pt idx="4">
                  <c:v>1025.4000407457352</c:v>
                </c:pt>
                <c:pt idx="5">
                  <c:v>1248.6000496149063</c:v>
                </c:pt>
                <c:pt idx="6">
                  <c:v>1467.450058311224</c:v>
                </c:pt>
                <c:pt idx="7">
                  <c:v>1681.8000668287277</c:v>
                </c:pt>
                <c:pt idx="8">
                  <c:v>1891.9500751793385</c:v>
                </c:pt>
                <c:pt idx="9">
                  <c:v>2097.9000833630562</c:v>
                </c:pt>
                <c:pt idx="10">
                  <c:v>2299.9500913918018</c:v>
                </c:pt>
                <c:pt idx="11">
                  <c:v>2692.2001069784164</c:v>
                </c:pt>
                <c:pt idx="12">
                  <c:v>3433.3501364290714</c:v>
                </c:pt>
                <c:pt idx="13">
                  <c:v>4121.8501637876034</c:v>
                </c:pt>
                <c:pt idx="14">
                  <c:v>4762.9501892626286</c:v>
                </c:pt>
                <c:pt idx="15">
                  <c:v>5361.4502130448818</c:v>
                </c:pt>
                <c:pt idx="16">
                  <c:v>5921.5502353012562</c:v>
                </c:pt>
                <c:pt idx="17">
                  <c:v>6446.7002561688423</c:v>
                </c:pt>
                <c:pt idx="18">
                  <c:v>6940.05027577281</c:v>
                </c:pt>
                <c:pt idx="19">
                  <c:v>7404.6002942323685</c:v>
                </c:pt>
                <c:pt idx="20">
                  <c:v>7842.6003116369247</c:v>
                </c:pt>
                <c:pt idx="21">
                  <c:v>8647.8003436326981</c:v>
                </c:pt>
                <c:pt idx="22">
                  <c:v>9370.6503723561764</c:v>
                </c:pt>
                <c:pt idx="23">
                  <c:v>10023.150398284197</c:v>
                </c:pt>
                <c:pt idx="24">
                  <c:v>10615.05042180419</c:v>
                </c:pt>
                <c:pt idx="25">
                  <c:v>11154.45044323802</c:v>
                </c:pt>
                <c:pt idx="26">
                  <c:v>11648.100462853909</c:v>
                </c:pt>
                <c:pt idx="27">
                  <c:v>12101.550480872393</c:v>
                </c:pt>
                <c:pt idx="28">
                  <c:v>12519.450497478247</c:v>
                </c:pt>
                <c:pt idx="29">
                  <c:v>13161.150522977114</c:v>
                </c:pt>
                <c:pt idx="30">
                  <c:v>13727.250545471907</c:v>
                </c:pt>
                <c:pt idx="31">
                  <c:v>14230.500565469265</c:v>
                </c:pt>
                <c:pt idx="32">
                  <c:v>14680.650583356619</c:v>
                </c:pt>
                <c:pt idx="33">
                  <c:v>15085.800599455833</c:v>
                </c:pt>
                <c:pt idx="34">
                  <c:v>15452.400614023209</c:v>
                </c:pt>
                <c:pt idx="35">
                  <c:v>15785.5506272614</c:v>
                </c:pt>
                <c:pt idx="36">
                  <c:v>16278.300646841526</c:v>
                </c:pt>
                <c:pt idx="37">
                  <c:v>16706.250663846731</c:v>
                </c:pt>
                <c:pt idx="38">
                  <c:v>17081.250678747892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40-4B69-BB94-BA1497AF3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Nominal 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achievable with 25% depth of discharge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F5923B-84B5-4DCE-83DD-0C0E390B14FC}">
  <sheetPr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307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066353-6A5A-80B9-FFC0-22B788C5FF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180974</xdr:rowOff>
    </xdr:from>
    <xdr:to>
      <xdr:col>5</xdr:col>
      <xdr:colOff>242889</xdr:colOff>
      <xdr:row>31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538162</xdr:colOff>
      <xdr:row>15</xdr:row>
      <xdr:rowOff>123825</xdr:rowOff>
    </xdr:from>
    <xdr:to>
      <xdr:col>11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242887</xdr:colOff>
      <xdr:row>14</xdr:row>
      <xdr:rowOff>22223</xdr:rowOff>
    </xdr:from>
    <xdr:to>
      <xdr:col>19</xdr:col>
      <xdr:colOff>4762</xdr:colOff>
      <xdr:row>30</xdr:row>
      <xdr:rowOff>146049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</xdr:colOff>
      <xdr:row>12</xdr:row>
      <xdr:rowOff>133350</xdr:rowOff>
    </xdr:from>
    <xdr:to>
      <xdr:col>5</xdr:col>
      <xdr:colOff>1095375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152398</xdr:colOff>
      <xdr:row>16</xdr:row>
      <xdr:rowOff>104775</xdr:rowOff>
    </xdr:from>
    <xdr:to>
      <xdr:col>13</xdr:col>
      <xdr:colOff>500743</xdr:colOff>
      <xdr:row>31</xdr:row>
      <xdr:rowOff>111577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290512</xdr:colOff>
      <xdr:row>10</xdr:row>
      <xdr:rowOff>28575</xdr:rowOff>
    </xdr:from>
    <xdr:to>
      <xdr:col>18</xdr:col>
      <xdr:colOff>438150</xdr:colOff>
      <xdr:row>24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386B1A-18B4-498A-A0C0-3A2CA9FDB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14</xdr:row>
      <xdr:rowOff>128587</xdr:rowOff>
    </xdr:from>
    <xdr:to>
      <xdr:col>7</xdr:col>
      <xdr:colOff>781049</xdr:colOff>
      <xdr:row>29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B12FD6-FFD1-43A8-92E7-BD982101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32324-DE7D-4DF6-8B31-4BD987BE33E5}">
  <sheetPr codeName="Sheet8"/>
  <dimension ref="B2:V56"/>
  <sheetViews>
    <sheetView tabSelected="1" zoomScaleNormal="100" workbookViewId="0">
      <selection activeCell="F41" sqref="F41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91" t="s">
        <v>80</v>
      </c>
      <c r="C2" s="91"/>
      <c r="D2" s="91"/>
      <c r="E2" s="91"/>
      <c r="F2" s="91"/>
    </row>
    <row r="4" spans="2:22" x14ac:dyDescent="0.35">
      <c r="B4" s="51" t="s">
        <v>66</v>
      </c>
      <c r="C4" s="3">
        <v>0.62</v>
      </c>
      <c r="D4" s="3" t="s">
        <v>8</v>
      </c>
      <c r="E4" s="3"/>
      <c r="F4" s="51" t="s">
        <v>71</v>
      </c>
      <c r="G4" s="3">
        <v>10</v>
      </c>
      <c r="H4" s="3" t="s">
        <v>4</v>
      </c>
      <c r="K4" s="51" t="s">
        <v>13</v>
      </c>
      <c r="L4" s="11">
        <v>18</v>
      </c>
      <c r="M4" s="3" t="s">
        <v>15</v>
      </c>
    </row>
    <row r="5" spans="2:22" x14ac:dyDescent="0.35">
      <c r="B5" s="51" t="s">
        <v>93</v>
      </c>
      <c r="C5" s="3">
        <v>10</v>
      </c>
      <c r="D5" s="3" t="s">
        <v>94</v>
      </c>
      <c r="F5" s="51" t="s">
        <v>111</v>
      </c>
      <c r="G5" s="3">
        <f>G7*G6</f>
        <v>67500</v>
      </c>
      <c r="H5" s="3" t="s">
        <v>22</v>
      </c>
      <c r="K5" s="51" t="s">
        <v>14</v>
      </c>
      <c r="L5" s="3">
        <v>66000</v>
      </c>
      <c r="M5" s="3" t="s">
        <v>0</v>
      </c>
    </row>
    <row r="6" spans="2:22" x14ac:dyDescent="0.35">
      <c r="B6" s="52" t="s">
        <v>106</v>
      </c>
      <c r="C6" s="52">
        <f>C4*C5</f>
        <v>6.2</v>
      </c>
      <c r="D6" s="52" t="s">
        <v>105</v>
      </c>
      <c r="F6" s="51" t="s">
        <v>112</v>
      </c>
      <c r="G6" s="3">
        <v>2250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x14ac:dyDescent="0.35">
      <c r="B7" s="52" t="s">
        <v>115</v>
      </c>
      <c r="C7" s="71">
        <f>xxxxxx!C32+G9</f>
        <v>24.679160599999999</v>
      </c>
      <c r="D7" s="52" t="s">
        <v>7</v>
      </c>
      <c r="F7" s="52" t="s">
        <v>110</v>
      </c>
      <c r="G7" s="70">
        <v>30</v>
      </c>
      <c r="H7" s="52" t="s">
        <v>59</v>
      </c>
      <c r="I7" s="75"/>
      <c r="K7" s="51" t="s">
        <v>2</v>
      </c>
      <c r="L7" s="10">
        <v>0.93500000000000005</v>
      </c>
      <c r="M7" s="3" t="s">
        <v>3</v>
      </c>
    </row>
    <row r="8" spans="2:22" x14ac:dyDescent="0.35">
      <c r="B8" s="51" t="s">
        <v>10</v>
      </c>
      <c r="C8" s="3">
        <v>0.25</v>
      </c>
      <c r="D8" s="3" t="s">
        <v>5</v>
      </c>
      <c r="K8" s="51" t="s">
        <v>17</v>
      </c>
      <c r="L8" s="12">
        <v>1</v>
      </c>
      <c r="M8" s="3"/>
    </row>
    <row r="9" spans="2:22" x14ac:dyDescent="0.35">
      <c r="B9" s="51" t="s">
        <v>103</v>
      </c>
      <c r="C9" s="3">
        <v>1</v>
      </c>
      <c r="D9" s="3" t="s">
        <v>6</v>
      </c>
      <c r="F9" s="51" t="s">
        <v>118</v>
      </c>
      <c r="G9" s="3">
        <v>20</v>
      </c>
      <c r="H9" s="3" t="s">
        <v>59</v>
      </c>
      <c r="K9" s="51" t="s">
        <v>18</v>
      </c>
      <c r="L9" s="12">
        <v>0.25</v>
      </c>
      <c r="M9" s="3"/>
    </row>
    <row r="10" spans="2:22" x14ac:dyDescent="0.35">
      <c r="B10" s="51" t="s">
        <v>104</v>
      </c>
      <c r="C10" s="3">
        <v>4</v>
      </c>
      <c r="D10" s="3" t="s">
        <v>105</v>
      </c>
      <c r="K10" s="52" t="s">
        <v>114</v>
      </c>
      <c r="L10" s="52">
        <f>L5*3.6/1000*L4</f>
        <v>4276.8</v>
      </c>
      <c r="M10" s="52" t="s">
        <v>16</v>
      </c>
    </row>
    <row r="11" spans="2:22" x14ac:dyDescent="0.35">
      <c r="B11" s="51" t="s">
        <v>64</v>
      </c>
      <c r="C11" s="12">
        <v>0.5</v>
      </c>
      <c r="D11" s="3"/>
      <c r="F11" s="52" t="s">
        <v>120</v>
      </c>
      <c r="G11" s="71">
        <f>C7+G7+C12</f>
        <v>71.079160599999994</v>
      </c>
      <c r="H11" s="52" t="s">
        <v>59</v>
      </c>
      <c r="I11" s="75"/>
      <c r="K11" s="52" t="s">
        <v>113</v>
      </c>
      <c r="L11" s="71" cm="1">
        <f t="array" ref="L11">UseableCapacity(L10,L8,L9)</f>
        <v>3207.6000000000004</v>
      </c>
      <c r="M11" s="52" t="s">
        <v>16</v>
      </c>
    </row>
    <row r="12" spans="2:22" x14ac:dyDescent="0.35">
      <c r="B12" s="52" t="s">
        <v>19</v>
      </c>
      <c r="C12" s="52" cm="1">
        <f t="array" ref="C12">drivePower(C4,C5,C9,C10,C11)</f>
        <v>16.399999999999999</v>
      </c>
      <c r="D12" s="52" t="s">
        <v>7</v>
      </c>
      <c r="F12" s="52" t="s">
        <v>119</v>
      </c>
      <c r="G12" s="71">
        <f>C12+C7</f>
        <v>41.079160599999994</v>
      </c>
      <c r="H12" s="52" t="s">
        <v>59</v>
      </c>
      <c r="I12" s="75"/>
      <c r="K12" s="52" t="s">
        <v>109</v>
      </c>
      <c r="L12" s="52">
        <f>L5*0.5</f>
        <v>33000</v>
      </c>
      <c r="M12" s="52" t="s">
        <v>107</v>
      </c>
    </row>
    <row r="13" spans="2:22" x14ac:dyDescent="0.35">
      <c r="K13" s="52" t="s">
        <v>108</v>
      </c>
      <c r="L13" s="52">
        <f>L12*L4/1000</f>
        <v>594</v>
      </c>
      <c r="M13" s="52" t="s">
        <v>59</v>
      </c>
      <c r="S13" t="s">
        <v>157</v>
      </c>
    </row>
    <row r="14" spans="2:22" x14ac:dyDescent="0.35">
      <c r="S14" s="7">
        <f>MAX(T18:V56)</f>
        <v>38572.5</v>
      </c>
      <c r="T14" t="s">
        <v>5</v>
      </c>
    </row>
    <row r="15" spans="2:22" ht="15" thickBot="1" x14ac:dyDescent="0.4"/>
    <row r="16" spans="2:22" ht="45" customHeight="1" x14ac:dyDescent="0.35">
      <c r="G16" s="65" t="s">
        <v>147</v>
      </c>
      <c r="H16" s="66"/>
      <c r="I16" s="66"/>
      <c r="J16" s="66"/>
      <c r="P16" s="92" t="s">
        <v>154</v>
      </c>
      <c r="Q16" s="93"/>
      <c r="R16" s="83" t="s">
        <v>155</v>
      </c>
      <c r="S16" s="94" t="s">
        <v>151</v>
      </c>
      <c r="T16" s="95"/>
      <c r="U16" s="95"/>
      <c r="V16" s="96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7" t="s">
        <v>152</v>
      </c>
      <c r="Q17" s="54" t="s">
        <v>153</v>
      </c>
      <c r="R17" s="84" t="s">
        <v>156</v>
      </c>
      <c r="S17" s="77" t="s">
        <v>88</v>
      </c>
      <c r="T17" s="77" t="s">
        <v>149</v>
      </c>
      <c r="U17" s="25" t="s">
        <v>148</v>
      </c>
      <c r="V17" s="54" t="s">
        <v>150</v>
      </c>
    </row>
    <row r="18" spans="7:22" x14ac:dyDescent="0.35">
      <c r="G18" s="55">
        <f>$C$9</f>
        <v>1</v>
      </c>
      <c r="H18" s="57" cm="1">
        <f t="array" ref="H18">drivePower($C$4,$C$5,G18,$C$10,$C$11)</f>
        <v>16.399999999999999</v>
      </c>
      <c r="I18" s="74">
        <f>C7</f>
        <v>24.679160599999999</v>
      </c>
      <c r="J18" s="74">
        <f>H18+I18</f>
        <v>41.079160599999994</v>
      </c>
      <c r="K18" s="56">
        <v>6600</v>
      </c>
      <c r="L18" s="55">
        <f>(K18-4400)*(5*0.048)/4400</f>
        <v>0.12</v>
      </c>
      <c r="M18" s="57">
        <f>$C$5+L18*1.1</f>
        <v>10.132</v>
      </c>
      <c r="N18" s="57" cm="1">
        <f t="array" ref="N18">drivePower($C$4,M18,$C$9,$C$10,$C$11)</f>
        <v>16.563679999999998</v>
      </c>
      <c r="O18" s="76">
        <f t="shared" ref="O18:O56" si="0">K18*3.6/1000*$L$4</f>
        <v>427.68</v>
      </c>
      <c r="P18" s="78">
        <f>$L$6*3</f>
        <v>-1.08E-4</v>
      </c>
      <c r="Q18" s="79">
        <f>$L$7*0.88</f>
        <v>0.82280000000000009</v>
      </c>
      <c r="R18" s="85">
        <v>0.15</v>
      </c>
      <c r="S18" s="82">
        <f>K18</f>
        <v>6600</v>
      </c>
      <c r="T18" s="80" cm="1">
        <f t="array" ref="T18">maxDepthToMinSOC($L$8,$L$9,$L$6,$L$7,$O18,$G$5,$G$6,drivePower($C$4,$M18,$G18,$C$10,$C$11),$I18,$G18,$G$4,$C$8)</f>
        <v>2009.25</v>
      </c>
      <c r="U18" s="11" cm="1">
        <f t="array" ref="U18">maxDepthToMinSOC($L$8,$L$9,P18,Q18,$O18,$G$5,$G$6,drivePower($C$4,$M18,$G18,$C$10,$C$11),$I18,$G18,$G$4,$C$8)</f>
        <v>1443</v>
      </c>
      <c r="V18" s="81" cm="1">
        <f t="array" ref="V18">maxDepthToMinSOC($L$8,$L$9,$L$6,$L$7,$O18*(1-R18),$G$5,$G$6,drivePower($C$4,$M18,$G18,$C$10,$C$11),$I18,$G18,$G$4,$C$8)</f>
        <v>1504.75</v>
      </c>
    </row>
    <row r="19" spans="7:22" x14ac:dyDescent="0.35">
      <c r="G19" s="55">
        <f t="shared" ref="G19:G56" si="1">$C$9</f>
        <v>1</v>
      </c>
      <c r="H19" s="57" cm="1">
        <f t="array" ref="H19">drivePower($C$4,$C$5,G19,$C$10,$C$11)</f>
        <v>16.399999999999999</v>
      </c>
      <c r="I19" s="74">
        <f>I18</f>
        <v>24.679160599999999</v>
      </c>
      <c r="J19" s="74">
        <f t="shared" ref="J19:J56" si="2">H19+I19</f>
        <v>41.079160599999994</v>
      </c>
      <c r="K19" s="56">
        <f>K18+6600</f>
        <v>13200</v>
      </c>
      <c r="L19" s="55">
        <f t="shared" ref="L19:L56" si="3">(K19-4400)*(5*0.048)/4400</f>
        <v>0.48</v>
      </c>
      <c r="M19" s="57">
        <f t="shared" ref="M19" si="4">$C$5+L19</f>
        <v>10.48</v>
      </c>
      <c r="N19" s="57" cm="1">
        <f t="array" ref="N19">drivePower($C$4,M19,$C$9,$C$10,$C$11)</f>
        <v>16.995200000000001</v>
      </c>
      <c r="O19" s="76">
        <f t="shared" si="0"/>
        <v>855.36</v>
      </c>
      <c r="P19" s="78">
        <f t="shared" ref="P19:P56" si="5">$L$6*3</f>
        <v>-1.08E-4</v>
      </c>
      <c r="Q19" s="79">
        <f t="shared" ref="Q19:Q56" si="6">$L$7*0.88</f>
        <v>0.82280000000000009</v>
      </c>
      <c r="R19" s="85">
        <v>0.15</v>
      </c>
      <c r="S19" s="82">
        <f t="shared" ref="S19:S56" si="7">K19</f>
        <v>13200</v>
      </c>
      <c r="T19" s="80" cm="1">
        <f t="array" ref="T19">maxDepthToMinSOC($L$8,$L$9,$L$6,$L$7,$O19,$G$5,$G$6,drivePower($C$4,$M19,$G19,$C$10,$C$11),$I19,$G19,$G$4,$C$8)</f>
        <v>5129</v>
      </c>
      <c r="U19" s="11" cm="1">
        <f t="array" ref="U19">maxDepthToMinSOC($L$8,$L$9,P19,Q19,$O19,$G$5,$G$6,drivePower($C$4,$M19,$G19,$C$10,$C$11),$I19,$G19,$G$4,$C$8)</f>
        <v>3627.75</v>
      </c>
      <c r="V19" s="81" cm="1">
        <f t="array" ref="V19">maxDepthToMinSOC($L$8,$L$9,$L$6,$L$7,$O19*(1-R19),$G$5,$G$6,drivePower($C$4,$M19,$G19,$C$10,$C$11),$I19,$G19,$G$4,$C$8)</f>
        <v>4220.5</v>
      </c>
    </row>
    <row r="20" spans="7:22" x14ac:dyDescent="0.35">
      <c r="G20" s="55">
        <f t="shared" si="1"/>
        <v>1</v>
      </c>
      <c r="H20" s="57" cm="1">
        <f t="array" ref="H20">drivePower($C$4,$C$5,G20,$C$10,$C$11)</f>
        <v>16.399999999999999</v>
      </c>
      <c r="I20" s="74">
        <f t="shared" ref="I20:I56" si="8">I19</f>
        <v>24.679160599999999</v>
      </c>
      <c r="J20" s="74">
        <f t="shared" si="2"/>
        <v>41.079160599999994</v>
      </c>
      <c r="K20" s="56">
        <f t="shared" ref="K20:K56" si="9">K19+6600</f>
        <v>19800</v>
      </c>
      <c r="L20" s="55">
        <f t="shared" si="3"/>
        <v>0.84</v>
      </c>
      <c r="M20" s="57">
        <f>$C$5+L20*1.1</f>
        <v>10.923999999999999</v>
      </c>
      <c r="N20" s="57" cm="1">
        <f t="array" ref="N20">drivePower($C$4,M20,$C$9,$C$10,$C$11)</f>
        <v>17.545760000000001</v>
      </c>
      <c r="O20" s="76">
        <f t="shared" si="0"/>
        <v>1283.04</v>
      </c>
      <c r="P20" s="78">
        <f t="shared" si="5"/>
        <v>-1.08E-4</v>
      </c>
      <c r="Q20" s="79">
        <f t="shared" si="6"/>
        <v>0.82280000000000009</v>
      </c>
      <c r="R20" s="85">
        <v>0.15</v>
      </c>
      <c r="S20" s="82">
        <f t="shared" si="7"/>
        <v>19800</v>
      </c>
      <c r="T20" s="80" cm="1">
        <f t="array" ref="T20">maxDepthToMinSOC($L$8,$L$9,$L$6,$L$7,$O20,$G$5,$G$6,drivePower($C$4,$M20,$G20,$C$10,$C$11),$I20,$G20,$G$4,$C$8)</f>
        <v>7880.75</v>
      </c>
      <c r="U20" s="11" cm="1">
        <f t="array" ref="U20">maxDepthToMinSOC($L$8,$L$9,P20,Q20,$O20,$G$5,$G$6,drivePower($C$4,$M20,$G20,$C$10,$C$11),$I20,$G20,$G$4,$C$8)</f>
        <v>5291</v>
      </c>
      <c r="V20" s="81" cm="1">
        <f t="array" ref="V20">maxDepthToMinSOC($L$8,$L$9,$L$6,$L$7,$O20*(1-R20),$G$5,$G$6,drivePower($C$4,$M20,$G20,$C$10,$C$11),$I20,$G20,$G$4,$C$8)</f>
        <v>6648.5</v>
      </c>
    </row>
    <row r="21" spans="7:22" x14ac:dyDescent="0.35">
      <c r="G21" s="55">
        <f t="shared" si="1"/>
        <v>1</v>
      </c>
      <c r="H21" s="57" cm="1">
        <f t="array" ref="H21">drivePower($C$4,$C$5,G21,$C$10,$C$11)</f>
        <v>16.399999999999999</v>
      </c>
      <c r="I21" s="74">
        <f t="shared" si="8"/>
        <v>24.679160599999999</v>
      </c>
      <c r="J21" s="74">
        <f t="shared" si="2"/>
        <v>41.079160599999994</v>
      </c>
      <c r="K21" s="56">
        <f t="shared" si="9"/>
        <v>26400</v>
      </c>
      <c r="L21" s="55">
        <f t="shared" si="3"/>
        <v>1.2</v>
      </c>
      <c r="M21" s="57">
        <f t="shared" ref="M21:M56" si="10">$C$5+L21*1.1</f>
        <v>11.32</v>
      </c>
      <c r="N21" s="57" cm="1">
        <f t="array" ref="N21">drivePower($C$4,M21,$C$9,$C$10,$C$11)</f>
        <v>18.036799999999999</v>
      </c>
      <c r="O21" s="76">
        <f t="shared" si="0"/>
        <v>1710.72</v>
      </c>
      <c r="P21" s="78">
        <f t="shared" si="5"/>
        <v>-1.08E-4</v>
      </c>
      <c r="Q21" s="79">
        <f t="shared" si="6"/>
        <v>0.82280000000000009</v>
      </c>
      <c r="R21" s="85">
        <v>0.15</v>
      </c>
      <c r="S21" s="82">
        <f t="shared" si="7"/>
        <v>26400</v>
      </c>
      <c r="T21" s="80" cm="1">
        <f t="array" ref="T21">maxDepthToMinSOC($L$8,$L$9,$L$6,$L$7,$O21,$G$5,$G$6,drivePower($C$4,$M21,$G21,$C$10,$C$11),$I21,$G21,$G$4,$C$8)</f>
        <v>10341.75</v>
      </c>
      <c r="U21" s="11" cm="1">
        <f t="array" ref="U21">maxDepthToMinSOC($L$8,$L$9,P21,Q21,$O21,$G$5,$G$6,drivePower($C$4,$M21,$G21,$C$10,$C$11),$I21,$G21,$G$4,$C$8)</f>
        <v>6606.75</v>
      </c>
      <c r="V21" s="81" cm="1">
        <f t="array" ref="V21">maxDepthToMinSOC($L$8,$L$9,$L$6,$L$7,$O21*(1-R21),$G$5,$G$6,drivePower($C$4,$M21,$G21,$C$10,$C$11),$I21,$G21,$G$4,$C$8)</f>
        <v>8846</v>
      </c>
    </row>
    <row r="22" spans="7:22" x14ac:dyDescent="0.35">
      <c r="G22" s="55">
        <f t="shared" si="1"/>
        <v>1</v>
      </c>
      <c r="H22" s="57" cm="1">
        <f t="array" ref="H22">drivePower($C$4,$C$5,G22,$C$10,$C$11)</f>
        <v>16.399999999999999</v>
      </c>
      <c r="I22" s="74">
        <f t="shared" si="8"/>
        <v>24.679160599999999</v>
      </c>
      <c r="J22" s="74">
        <f t="shared" si="2"/>
        <v>41.079160599999994</v>
      </c>
      <c r="K22" s="56">
        <f t="shared" si="9"/>
        <v>33000</v>
      </c>
      <c r="L22" s="55">
        <f t="shared" si="3"/>
        <v>1.56</v>
      </c>
      <c r="M22" s="57">
        <f t="shared" si="10"/>
        <v>11.716000000000001</v>
      </c>
      <c r="N22" s="57" cm="1">
        <f t="array" ref="N22">drivePower($C$4,M22,$C$9,$C$10,$C$11)</f>
        <v>18.527840000000001</v>
      </c>
      <c r="O22" s="76">
        <f t="shared" si="0"/>
        <v>2138.4</v>
      </c>
      <c r="P22" s="78">
        <f t="shared" si="5"/>
        <v>-1.08E-4</v>
      </c>
      <c r="Q22" s="79">
        <f t="shared" si="6"/>
        <v>0.82280000000000009</v>
      </c>
      <c r="R22" s="85">
        <v>0.15</v>
      </c>
      <c r="S22" s="82">
        <f t="shared" si="7"/>
        <v>33000</v>
      </c>
      <c r="T22" s="80" cm="1">
        <f t="array" ref="T22">maxDepthToMinSOC($L$8,$L$9,$L$6,$L$7,$O22,$G$5,$G$6,drivePower($C$4,$M22,$G22,$C$10,$C$11),$I22,$G22,$G$4,$C$8)</f>
        <v>12551</v>
      </c>
      <c r="U22" s="11" cm="1">
        <f t="array" ref="U22">maxDepthToMinSOC($L$8,$L$9,P22,Q22,$O22,$G$5,$G$6,drivePower($C$4,$M22,$G22,$C$10,$C$11),$I22,$G22,$G$4,$C$8)</f>
        <v>7672</v>
      </c>
      <c r="V22" s="81" cm="1">
        <f t="array" ref="V22">maxDepthToMinSOC($L$8,$L$9,$L$6,$L$7,$O22*(1-R22),$G$5,$G$6,drivePower($C$4,$M22,$G22,$C$10,$C$11),$I22,$G22,$G$4,$C$8)</f>
        <v>10840</v>
      </c>
    </row>
    <row r="23" spans="7:22" x14ac:dyDescent="0.35">
      <c r="G23" s="55">
        <f t="shared" si="1"/>
        <v>1</v>
      </c>
      <c r="H23" s="57" cm="1">
        <f t="array" ref="H23">drivePower($C$4,$C$5,G23,$C$10,$C$11)</f>
        <v>16.399999999999999</v>
      </c>
      <c r="I23" s="74">
        <f t="shared" si="8"/>
        <v>24.679160599999999</v>
      </c>
      <c r="J23" s="74">
        <f t="shared" si="2"/>
        <v>41.079160599999994</v>
      </c>
      <c r="K23" s="56">
        <f t="shared" si="9"/>
        <v>39600</v>
      </c>
      <c r="L23" s="55">
        <f t="shared" si="3"/>
        <v>1.92</v>
      </c>
      <c r="M23" s="57">
        <f t="shared" si="10"/>
        <v>12.112</v>
      </c>
      <c r="N23" s="57" cm="1">
        <f t="array" ref="N23">drivePower($C$4,M23,$C$9,$C$10,$C$11)</f>
        <v>19.018879999999999</v>
      </c>
      <c r="O23" s="76">
        <f t="shared" si="0"/>
        <v>2566.08</v>
      </c>
      <c r="P23" s="78">
        <f t="shared" si="5"/>
        <v>-1.08E-4</v>
      </c>
      <c r="Q23" s="79">
        <f t="shared" si="6"/>
        <v>0.82280000000000009</v>
      </c>
      <c r="R23" s="85">
        <v>0.15</v>
      </c>
      <c r="S23" s="82">
        <f t="shared" si="7"/>
        <v>39600</v>
      </c>
      <c r="T23" s="80" cm="1">
        <f t="array" ref="T23">maxDepthToMinSOC($L$8,$L$9,$L$6,$L$7,$O23,$G$5,$G$6,drivePower($C$4,$M23,$G23,$C$10,$C$11),$I23,$G23,$G$4,$C$8)</f>
        <v>14545.25</v>
      </c>
      <c r="U23" s="11" cm="1">
        <f t="array" ref="U23">maxDepthToMinSOC($L$8,$L$9,P23,Q23,$O23,$G$5,$G$6,drivePower($C$4,$M23,$G23,$C$10,$C$11),$I23,$G23,$G$4,$C$8)</f>
        <v>8551.75</v>
      </c>
      <c r="V23" s="81" cm="1">
        <f t="array" ref="V23">maxDepthToMinSOC($L$8,$L$9,$L$6,$L$7,$O23*(1-R23),$G$5,$G$6,drivePower($C$4,$M23,$G23,$C$10,$C$11),$I23,$G23,$G$4,$C$8)</f>
        <v>12657.5</v>
      </c>
    </row>
    <row r="24" spans="7:22" x14ac:dyDescent="0.35">
      <c r="G24" s="55">
        <f t="shared" si="1"/>
        <v>1</v>
      </c>
      <c r="H24" s="57" cm="1">
        <f t="array" ref="H24">drivePower($C$4,$C$5,G24,$C$10,$C$11)</f>
        <v>16.399999999999999</v>
      </c>
      <c r="I24" s="74">
        <f t="shared" si="8"/>
        <v>24.679160599999999</v>
      </c>
      <c r="J24" s="74">
        <f t="shared" si="2"/>
        <v>41.079160599999994</v>
      </c>
      <c r="K24" s="56">
        <f t="shared" si="9"/>
        <v>46200</v>
      </c>
      <c r="L24" s="55">
        <f t="shared" si="3"/>
        <v>2.2799999999999998</v>
      </c>
      <c r="M24" s="57">
        <f t="shared" si="10"/>
        <v>12.507999999999999</v>
      </c>
      <c r="N24" s="57" cm="1">
        <f t="array" ref="N24">drivePower($C$4,M24,$C$9,$C$10,$C$11)</f>
        <v>19.509920000000001</v>
      </c>
      <c r="O24" s="76">
        <f t="shared" si="0"/>
        <v>2993.7599999999998</v>
      </c>
      <c r="P24" s="78">
        <f t="shared" si="5"/>
        <v>-1.08E-4</v>
      </c>
      <c r="Q24" s="79">
        <f t="shared" si="6"/>
        <v>0.82280000000000009</v>
      </c>
      <c r="R24" s="85">
        <v>0.15</v>
      </c>
      <c r="S24" s="82">
        <f t="shared" si="7"/>
        <v>46200</v>
      </c>
      <c r="T24" s="80" cm="1">
        <f t="array" ref="T24">maxDepthToMinSOC($L$8,$L$9,$L$6,$L$7,$O24,$G$5,$G$6,drivePower($C$4,$M24,$G24,$C$10,$C$11),$I24,$G24,$G$4,$C$8)</f>
        <v>16354.5</v>
      </c>
      <c r="U24" s="11" cm="1">
        <f t="array" ref="U24">maxDepthToMinSOC($L$8,$L$9,P24,Q24,$O24,$G$5,$G$6,drivePower($C$4,$M24,$G24,$C$10,$C$11),$I24,$G24,$G$4,$C$8)</f>
        <v>9290.5</v>
      </c>
      <c r="V24" s="81" cm="1">
        <f t="array" ref="V24">maxDepthToMinSOC($L$8,$L$9,$L$6,$L$7,$O24*(1-R24),$G$5,$G$6,drivePower($C$4,$M24,$G24,$C$10,$C$11),$I24,$G24,$G$4,$C$8)</f>
        <v>14321</v>
      </c>
    </row>
    <row r="25" spans="7:22" x14ac:dyDescent="0.35">
      <c r="G25" s="55">
        <f t="shared" si="1"/>
        <v>1</v>
      </c>
      <c r="H25" s="57" cm="1">
        <f t="array" ref="H25">drivePower($C$4,$C$5,G25,$C$10,$C$11)</f>
        <v>16.399999999999999</v>
      </c>
      <c r="I25" s="74">
        <f t="shared" si="8"/>
        <v>24.679160599999999</v>
      </c>
      <c r="J25" s="74">
        <f t="shared" si="2"/>
        <v>41.079160599999994</v>
      </c>
      <c r="K25" s="56">
        <f t="shared" si="9"/>
        <v>52800</v>
      </c>
      <c r="L25" s="55">
        <f t="shared" si="3"/>
        <v>2.64</v>
      </c>
      <c r="M25" s="57">
        <f t="shared" si="10"/>
        <v>12.904</v>
      </c>
      <c r="N25" s="57" cm="1">
        <f t="array" ref="N25">drivePower($C$4,M25,$C$9,$C$10,$C$11)</f>
        <v>20.000959999999999</v>
      </c>
      <c r="O25" s="76">
        <f t="shared" si="0"/>
        <v>3421.44</v>
      </c>
      <c r="P25" s="78">
        <f t="shared" si="5"/>
        <v>-1.08E-4</v>
      </c>
      <c r="Q25" s="79">
        <f t="shared" si="6"/>
        <v>0.82280000000000009</v>
      </c>
      <c r="R25" s="85">
        <v>0.15</v>
      </c>
      <c r="S25" s="82">
        <f t="shared" si="7"/>
        <v>52800</v>
      </c>
      <c r="T25" s="80" cm="1">
        <f t="array" ref="T25">maxDepthToMinSOC($L$8,$L$9,$L$6,$L$7,$O25,$G$5,$G$6,drivePower($C$4,$M25,$G25,$C$10,$C$11),$I25,$G25,$G$4,$C$8)</f>
        <v>18003.25</v>
      </c>
      <c r="U25" s="11" cm="1">
        <f t="array" ref="U25">maxDepthToMinSOC($L$8,$L$9,P25,Q25,$O25,$G$5,$G$6,drivePower($C$4,$M25,$G25,$C$10,$C$11),$I25,$G25,$G$4,$C$8)</f>
        <v>9919.75</v>
      </c>
      <c r="V25" s="81" cm="1">
        <f t="array" ref="V25">maxDepthToMinSOC($L$8,$L$9,$L$6,$L$7,$O25*(1-R25),$G$5,$G$6,drivePower($C$4,$M25,$G25,$C$10,$C$11),$I25,$G25,$G$4,$C$8)</f>
        <v>15849.5</v>
      </c>
    </row>
    <row r="26" spans="7:22" x14ac:dyDescent="0.35">
      <c r="G26" s="55">
        <f t="shared" si="1"/>
        <v>1</v>
      </c>
      <c r="H26" s="57" cm="1">
        <f t="array" ref="H26">drivePower($C$4,$C$5,G26,$C$10,$C$11)</f>
        <v>16.399999999999999</v>
      </c>
      <c r="I26" s="74">
        <f t="shared" si="8"/>
        <v>24.679160599999999</v>
      </c>
      <c r="J26" s="74">
        <f t="shared" si="2"/>
        <v>41.079160599999994</v>
      </c>
      <c r="K26" s="56">
        <f t="shared" si="9"/>
        <v>59400</v>
      </c>
      <c r="L26" s="55">
        <f t="shared" si="3"/>
        <v>3</v>
      </c>
      <c r="M26" s="57">
        <f t="shared" si="10"/>
        <v>13.3</v>
      </c>
      <c r="N26" s="57" cm="1">
        <f t="array" ref="N26">drivePower($C$4,M26,$C$9,$C$10,$C$11)</f>
        <v>20.492000000000001</v>
      </c>
      <c r="O26" s="76">
        <f t="shared" si="0"/>
        <v>3849.12</v>
      </c>
      <c r="P26" s="78">
        <f t="shared" si="5"/>
        <v>-1.08E-4</v>
      </c>
      <c r="Q26" s="79">
        <f t="shared" si="6"/>
        <v>0.82280000000000009</v>
      </c>
      <c r="R26" s="85">
        <v>0.15</v>
      </c>
      <c r="S26" s="82">
        <f t="shared" si="7"/>
        <v>59400</v>
      </c>
      <c r="T26" s="80" cm="1">
        <f t="array" ref="T26">maxDepthToMinSOC($L$8,$L$9,$L$6,$L$7,$O26,$G$5,$G$6,drivePower($C$4,$M26,$G26,$C$10,$C$11),$I26,$G26,$G$4,$C$8)</f>
        <v>19512</v>
      </c>
      <c r="U26" s="11" cm="1">
        <f t="array" ref="U26">maxDepthToMinSOC($L$8,$L$9,P26,Q26,$O26,$G$5,$G$6,drivePower($C$4,$M26,$G26,$C$10,$C$11),$I26,$G26,$G$4,$C$8)</f>
        <v>10462.5</v>
      </c>
      <c r="V26" s="81" cm="1">
        <f t="array" ref="V26">maxDepthToMinSOC($L$8,$L$9,$L$6,$L$7,$O26*(1-R26),$G$5,$G$6,drivePower($C$4,$M26,$G26,$C$10,$C$11),$I26,$G26,$G$4,$C$8)</f>
        <v>17258.5</v>
      </c>
    </row>
    <row r="27" spans="7:22" x14ac:dyDescent="0.35">
      <c r="G27" s="55">
        <f t="shared" si="1"/>
        <v>1</v>
      </c>
      <c r="H27" s="57" cm="1">
        <f t="array" ref="H27">drivePower($C$4,$C$5,G27,$C$10,$C$11)</f>
        <v>16.399999999999999</v>
      </c>
      <c r="I27" s="74">
        <f t="shared" si="8"/>
        <v>24.679160599999999</v>
      </c>
      <c r="J27" s="74">
        <f t="shared" si="2"/>
        <v>41.079160599999994</v>
      </c>
      <c r="K27" s="56">
        <f t="shared" si="9"/>
        <v>66000</v>
      </c>
      <c r="L27" s="55">
        <f t="shared" si="3"/>
        <v>3.36</v>
      </c>
      <c r="M27" s="57">
        <f t="shared" si="10"/>
        <v>13.696</v>
      </c>
      <c r="N27" s="57" cm="1">
        <f t="array" ref="N27">drivePower($C$4,M27,$C$9,$C$10,$C$11)</f>
        <v>20.983039999999999</v>
      </c>
      <c r="O27" s="76">
        <f t="shared" si="0"/>
        <v>4276.8</v>
      </c>
      <c r="P27" s="78">
        <f t="shared" si="5"/>
        <v>-1.08E-4</v>
      </c>
      <c r="Q27" s="79">
        <f t="shared" si="6"/>
        <v>0.82280000000000009</v>
      </c>
      <c r="R27" s="85">
        <v>0.15</v>
      </c>
      <c r="S27" s="82">
        <f t="shared" si="7"/>
        <v>66000</v>
      </c>
      <c r="T27" s="80" cm="1">
        <f t="array" ref="T27">maxDepthToMinSOC($L$8,$L$9,$L$6,$L$7,$O27,$G$5,$G$6,drivePower($C$4,$M27,$G27,$C$10,$C$11),$I27,$G27,$G$4,$C$8)</f>
        <v>20897.75</v>
      </c>
      <c r="U27" s="11" cm="1">
        <f t="array" ref="U27">maxDepthToMinSOC($L$8,$L$9,P27,Q27,$O27,$G$5,$G$6,drivePower($C$4,$M27,$G27,$C$10,$C$11),$I27,$G27,$G$4,$C$8)</f>
        <v>10934.75</v>
      </c>
      <c r="V27" s="81" cm="1">
        <f t="array" ref="V27">maxDepthToMinSOC($L$8,$L$9,$L$6,$L$7,$O27*(1-R27),$G$5,$G$6,drivePower($C$4,$M27,$G27,$C$10,$C$11),$I27,$G27,$G$4,$C$8)</f>
        <v>18561.5</v>
      </c>
    </row>
    <row r="28" spans="7:22" x14ac:dyDescent="0.35">
      <c r="G28" s="55">
        <f t="shared" si="1"/>
        <v>1</v>
      </c>
      <c r="H28" s="57" cm="1">
        <f t="array" ref="H28">drivePower($C$4,$C$5,G28,$C$10,$C$11)</f>
        <v>16.399999999999999</v>
      </c>
      <c r="I28" s="74">
        <f t="shared" si="8"/>
        <v>24.679160599999999</v>
      </c>
      <c r="J28" s="74">
        <f t="shared" si="2"/>
        <v>41.079160599999994</v>
      </c>
      <c r="K28" s="56">
        <f t="shared" si="9"/>
        <v>72600</v>
      </c>
      <c r="L28" s="55">
        <f t="shared" si="3"/>
        <v>3.72</v>
      </c>
      <c r="M28" s="57">
        <f t="shared" si="10"/>
        <v>14.092000000000001</v>
      </c>
      <c r="N28" s="57" cm="1">
        <f t="array" ref="N28">drivePower($C$4,M28,$C$9,$C$10,$C$11)</f>
        <v>21.474080000000001</v>
      </c>
      <c r="O28" s="76">
        <f t="shared" si="0"/>
        <v>4704.4800000000005</v>
      </c>
      <c r="P28" s="78">
        <f t="shared" si="5"/>
        <v>-1.08E-4</v>
      </c>
      <c r="Q28" s="79">
        <f t="shared" si="6"/>
        <v>0.82280000000000009</v>
      </c>
      <c r="R28" s="85">
        <v>0.15</v>
      </c>
      <c r="S28" s="82">
        <f t="shared" si="7"/>
        <v>72600</v>
      </c>
      <c r="T28" s="80" cm="1">
        <f t="array" ref="T28">maxDepthToMinSOC($L$8,$L$9,$L$6,$L$7,$O28,$G$5,$G$6,drivePower($C$4,$M28,$G28,$C$10,$C$11),$I28,$G28,$G$4,$C$8)</f>
        <v>22175</v>
      </c>
      <c r="U28" s="11" cm="1">
        <f t="array" ref="U28">maxDepthToMinSOC($L$8,$L$9,P28,Q28,$O28,$G$5,$G$6,drivePower($C$4,$M28,$G28,$C$10,$C$11),$I28,$G28,$G$4,$C$8)</f>
        <v>11350</v>
      </c>
      <c r="V28" s="81" cm="1">
        <f t="array" ref="V28">maxDepthToMinSOC($L$8,$L$9,$L$6,$L$7,$O28*(1-R28),$G$5,$G$6,drivePower($C$4,$M28,$G28,$C$10,$C$11),$I28,$G28,$G$4,$C$8)</f>
        <v>19770.25</v>
      </c>
    </row>
    <row r="29" spans="7:22" x14ac:dyDescent="0.35">
      <c r="G29" s="55">
        <f t="shared" si="1"/>
        <v>1</v>
      </c>
      <c r="H29" s="57" cm="1">
        <f t="array" ref="H29">drivePower($C$4,$C$5,G29,$C$10,$C$11)</f>
        <v>16.399999999999999</v>
      </c>
      <c r="I29" s="74">
        <f t="shared" si="8"/>
        <v>24.679160599999999</v>
      </c>
      <c r="J29" s="74">
        <f t="shared" si="2"/>
        <v>41.079160599999994</v>
      </c>
      <c r="K29" s="56">
        <f t="shared" si="9"/>
        <v>79200</v>
      </c>
      <c r="L29" s="55">
        <f t="shared" si="3"/>
        <v>4.08</v>
      </c>
      <c r="M29" s="57">
        <f t="shared" si="10"/>
        <v>14.488</v>
      </c>
      <c r="N29" s="57" cm="1">
        <f t="array" ref="N29">drivePower($C$4,M29,$C$9,$C$10,$C$11)</f>
        <v>21.965119999999999</v>
      </c>
      <c r="O29" s="76">
        <f t="shared" si="0"/>
        <v>5132.16</v>
      </c>
      <c r="P29" s="78">
        <f t="shared" si="5"/>
        <v>-1.08E-4</v>
      </c>
      <c r="Q29" s="79">
        <f t="shared" si="6"/>
        <v>0.82280000000000009</v>
      </c>
      <c r="R29" s="85">
        <v>0.15</v>
      </c>
      <c r="S29" s="82">
        <f t="shared" si="7"/>
        <v>79200</v>
      </c>
      <c r="T29" s="80" cm="1">
        <f t="array" ref="T29">maxDepthToMinSOC($L$8,$L$9,$L$6,$L$7,$O29,$G$5,$G$6,drivePower($C$4,$M29,$G29,$C$10,$C$11),$I29,$G29,$G$4,$C$8)</f>
        <v>23356.25</v>
      </c>
      <c r="U29" s="11" cm="1">
        <f t="array" ref="U29">maxDepthToMinSOC($L$8,$L$9,P29,Q29,$O29,$G$5,$G$6,drivePower($C$4,$M29,$G29,$C$10,$C$11),$I29,$G29,$G$4,$C$8)</f>
        <v>11717.75</v>
      </c>
      <c r="V29" s="81" cm="1">
        <f t="array" ref="V29">maxDepthToMinSOC($L$8,$L$9,$L$6,$L$7,$O29*(1-R29),$G$5,$G$6,drivePower($C$4,$M29,$G29,$C$10,$C$11),$I29,$G29,$G$4,$C$8)</f>
        <v>20894.25</v>
      </c>
    </row>
    <row r="30" spans="7:22" x14ac:dyDescent="0.35">
      <c r="G30" s="55">
        <f t="shared" si="1"/>
        <v>1</v>
      </c>
      <c r="H30" s="57" cm="1">
        <f t="array" ref="H30">drivePower($C$4,$C$5,G30,$C$10,$C$11)</f>
        <v>16.399999999999999</v>
      </c>
      <c r="I30" s="74">
        <f t="shared" si="8"/>
        <v>24.679160599999999</v>
      </c>
      <c r="J30" s="74">
        <f t="shared" si="2"/>
        <v>41.079160599999994</v>
      </c>
      <c r="K30" s="56">
        <f t="shared" si="9"/>
        <v>85800</v>
      </c>
      <c r="L30" s="55">
        <f t="shared" si="3"/>
        <v>4.4400000000000004</v>
      </c>
      <c r="M30" s="57">
        <f t="shared" si="10"/>
        <v>14.884</v>
      </c>
      <c r="N30" s="57" cm="1">
        <f t="array" ref="N30">drivePower($C$4,M30,$C$9,$C$10,$C$11)</f>
        <v>22.456160000000001</v>
      </c>
      <c r="O30" s="76">
        <f t="shared" si="0"/>
        <v>5559.84</v>
      </c>
      <c r="P30" s="78">
        <f t="shared" si="5"/>
        <v>-1.08E-4</v>
      </c>
      <c r="Q30" s="79">
        <f t="shared" si="6"/>
        <v>0.82280000000000009</v>
      </c>
      <c r="R30" s="85">
        <v>0.15</v>
      </c>
      <c r="S30" s="82">
        <f t="shared" si="7"/>
        <v>85800</v>
      </c>
      <c r="T30" s="80" cm="1">
        <f t="array" ref="T30">maxDepthToMinSOC($L$8,$L$9,$L$6,$L$7,$O30,$G$5,$G$6,drivePower($C$4,$M30,$G30,$C$10,$C$11),$I30,$G30,$G$4,$C$8)</f>
        <v>24451.5</v>
      </c>
      <c r="U30" s="11" cm="1">
        <f t="array" ref="U30">maxDepthToMinSOC($L$8,$L$9,P30,Q30,$O30,$G$5,$G$6,drivePower($C$4,$M30,$G30,$C$10,$C$11),$I30,$G30,$G$4,$C$8)</f>
        <v>12045.75</v>
      </c>
      <c r="V30" s="81" cm="1">
        <f t="array" ref="V30">maxDepthToMinSOC($L$8,$L$9,$L$6,$L$7,$O30*(1-R30),$G$5,$G$6,drivePower($C$4,$M30,$G30,$C$10,$C$11),$I30,$G30,$G$4,$C$8)</f>
        <v>21942.5</v>
      </c>
    </row>
    <row r="31" spans="7:22" x14ac:dyDescent="0.35">
      <c r="G31" s="55">
        <f t="shared" si="1"/>
        <v>1</v>
      </c>
      <c r="H31" s="57" cm="1">
        <f t="array" ref="H31">drivePower($C$4,$C$5,G31,$C$10,$C$11)</f>
        <v>16.399999999999999</v>
      </c>
      <c r="I31" s="74">
        <f t="shared" si="8"/>
        <v>24.679160599999999</v>
      </c>
      <c r="J31" s="74">
        <f t="shared" si="2"/>
        <v>41.079160599999994</v>
      </c>
      <c r="K31" s="56">
        <f t="shared" si="9"/>
        <v>92400</v>
      </c>
      <c r="L31" s="55">
        <f t="shared" si="3"/>
        <v>4.8</v>
      </c>
      <c r="M31" s="57">
        <f t="shared" si="10"/>
        <v>15.280000000000001</v>
      </c>
      <c r="N31" s="57" cm="1">
        <f t="array" ref="N31">drivePower($C$4,M31,$C$9,$C$10,$C$11)</f>
        <v>22.947200000000002</v>
      </c>
      <c r="O31" s="76">
        <f t="shared" si="0"/>
        <v>5987.5199999999995</v>
      </c>
      <c r="P31" s="78">
        <f t="shared" si="5"/>
        <v>-1.08E-4</v>
      </c>
      <c r="Q31" s="79">
        <f t="shared" si="6"/>
        <v>0.82280000000000009</v>
      </c>
      <c r="R31" s="85">
        <v>0.15</v>
      </c>
      <c r="S31" s="82">
        <f t="shared" si="7"/>
        <v>92400</v>
      </c>
      <c r="T31" s="80" cm="1">
        <f t="array" ref="T31">maxDepthToMinSOC($L$8,$L$9,$L$6,$L$7,$O31,$G$5,$G$6,drivePower($C$4,$M31,$G31,$C$10,$C$11),$I31,$G31,$G$4,$C$8)</f>
        <v>25470.25</v>
      </c>
      <c r="U31" s="11" cm="1">
        <f t="array" ref="U31">maxDepthToMinSOC($L$8,$L$9,P31,Q31,$O31,$G$5,$G$6,drivePower($C$4,$M31,$G31,$C$10,$C$11),$I31,$G31,$G$4,$C$8)</f>
        <v>12340</v>
      </c>
      <c r="V31" s="81" cm="1">
        <f t="array" ref="V31">maxDepthToMinSOC($L$8,$L$9,$L$6,$L$7,$O31*(1-R31),$G$5,$G$6,drivePower($C$4,$M31,$G31,$C$10,$C$11),$I31,$G31,$G$4,$C$8)</f>
        <v>22922.25</v>
      </c>
    </row>
    <row r="32" spans="7:22" x14ac:dyDescent="0.35">
      <c r="G32" s="55">
        <f t="shared" si="1"/>
        <v>1</v>
      </c>
      <c r="H32" s="57" cm="1">
        <f t="array" ref="H32">drivePower($C$4,$C$5,G32,$C$10,$C$11)</f>
        <v>16.399999999999999</v>
      </c>
      <c r="I32" s="74">
        <f t="shared" si="8"/>
        <v>24.679160599999999</v>
      </c>
      <c r="J32" s="74">
        <f t="shared" si="2"/>
        <v>41.079160599999994</v>
      </c>
      <c r="K32" s="56">
        <f t="shared" si="9"/>
        <v>99000</v>
      </c>
      <c r="L32" s="55">
        <f t="shared" si="3"/>
        <v>5.16</v>
      </c>
      <c r="M32" s="57">
        <f t="shared" si="10"/>
        <v>15.676000000000002</v>
      </c>
      <c r="N32" s="57" cm="1">
        <f t="array" ref="N32">drivePower($C$4,M32,$C$9,$C$10,$C$11)</f>
        <v>23.438240000000004</v>
      </c>
      <c r="O32" s="76">
        <f t="shared" si="0"/>
        <v>6415.2</v>
      </c>
      <c r="P32" s="78">
        <f t="shared" si="5"/>
        <v>-1.08E-4</v>
      </c>
      <c r="Q32" s="79">
        <f t="shared" si="6"/>
        <v>0.82280000000000009</v>
      </c>
      <c r="R32" s="85">
        <v>0.15</v>
      </c>
      <c r="S32" s="82">
        <f t="shared" si="7"/>
        <v>99000</v>
      </c>
      <c r="T32" s="80" cm="1">
        <f t="array" ref="T32">maxDepthToMinSOC($L$8,$L$9,$L$6,$L$7,$O32,$G$5,$G$6,drivePower($C$4,$M32,$G32,$C$10,$C$11),$I32,$G32,$G$4,$C$8)</f>
        <v>26420</v>
      </c>
      <c r="U32" s="11" cm="1">
        <f t="array" ref="U32">maxDepthToMinSOC($L$8,$L$9,P32,Q32,$O32,$G$5,$G$6,drivePower($C$4,$M32,$G32,$C$10,$C$11),$I32,$G32,$G$4,$C$8)</f>
        <v>12605.5</v>
      </c>
      <c r="V32" s="81" cm="1">
        <f t="array" ref="V32">maxDepthToMinSOC($L$8,$L$9,$L$6,$L$7,$O32*(1-R32),$G$5,$G$6,drivePower($C$4,$M32,$G32,$C$10,$C$11),$I32,$G32,$G$4,$C$8)</f>
        <v>23840</v>
      </c>
    </row>
    <row r="33" spans="7:22" x14ac:dyDescent="0.35">
      <c r="G33" s="55">
        <f t="shared" si="1"/>
        <v>1</v>
      </c>
      <c r="H33" s="57" cm="1">
        <f t="array" ref="H33">drivePower($C$4,$C$5,G33,$C$10,$C$11)</f>
        <v>16.399999999999999</v>
      </c>
      <c r="I33" s="74">
        <f t="shared" si="8"/>
        <v>24.679160599999999</v>
      </c>
      <c r="J33" s="74">
        <f t="shared" si="2"/>
        <v>41.079160599999994</v>
      </c>
      <c r="K33" s="56">
        <f t="shared" si="9"/>
        <v>105600</v>
      </c>
      <c r="L33" s="55">
        <f t="shared" si="3"/>
        <v>5.52</v>
      </c>
      <c r="M33" s="57">
        <f t="shared" si="10"/>
        <v>16.071999999999999</v>
      </c>
      <c r="N33" s="57" cm="1">
        <f t="array" ref="N33">drivePower($C$4,M33,$C$9,$C$10,$C$11)</f>
        <v>23.929279999999999</v>
      </c>
      <c r="O33" s="76">
        <f t="shared" si="0"/>
        <v>6842.88</v>
      </c>
      <c r="P33" s="78">
        <f t="shared" si="5"/>
        <v>-1.08E-4</v>
      </c>
      <c r="Q33" s="79">
        <f t="shared" si="6"/>
        <v>0.82280000000000009</v>
      </c>
      <c r="R33" s="85">
        <v>0.15</v>
      </c>
      <c r="S33" s="82">
        <f t="shared" si="7"/>
        <v>105600</v>
      </c>
      <c r="T33" s="80" cm="1">
        <f t="array" ref="T33">maxDepthToMinSOC($L$8,$L$9,$L$6,$L$7,$O33,$G$5,$G$6,drivePower($C$4,$M33,$G33,$C$10,$C$11),$I33,$G33,$G$4,$C$8)</f>
        <v>27307.5</v>
      </c>
      <c r="U33" s="11" cm="1">
        <f t="array" ref="U33">maxDepthToMinSOC($L$8,$L$9,P33,Q33,$O33,$G$5,$G$6,drivePower($C$4,$M33,$G33,$C$10,$C$11),$I33,$G33,$G$4,$C$8)</f>
        <v>12846.5</v>
      </c>
      <c r="V33" s="81" cm="1">
        <f t="array" ref="V33">maxDepthToMinSOC($L$8,$L$9,$L$6,$L$7,$O33*(1-R33),$G$5,$G$6,drivePower($C$4,$M33,$G33,$C$10,$C$11),$I33,$G33,$G$4,$C$8)</f>
        <v>24701.25</v>
      </c>
    </row>
    <row r="34" spans="7:22" x14ac:dyDescent="0.35">
      <c r="G34" s="55">
        <f t="shared" si="1"/>
        <v>1</v>
      </c>
      <c r="H34" s="57" cm="1">
        <f t="array" ref="H34">drivePower($C$4,$C$5,G34,$C$10,$C$11)</f>
        <v>16.399999999999999</v>
      </c>
      <c r="I34" s="74">
        <f t="shared" si="8"/>
        <v>24.679160599999999</v>
      </c>
      <c r="J34" s="74">
        <f t="shared" si="2"/>
        <v>41.079160599999994</v>
      </c>
      <c r="K34" s="56">
        <f t="shared" si="9"/>
        <v>112200</v>
      </c>
      <c r="L34" s="55">
        <f t="shared" si="3"/>
        <v>5.88</v>
      </c>
      <c r="M34" s="57">
        <f t="shared" si="10"/>
        <v>16.468</v>
      </c>
      <c r="N34" s="57" cm="1">
        <f t="array" ref="N34">drivePower($C$4,M34,$C$9,$C$10,$C$11)</f>
        <v>24.42032</v>
      </c>
      <c r="O34" s="76">
        <f t="shared" si="0"/>
        <v>7270.56</v>
      </c>
      <c r="P34" s="78">
        <f t="shared" si="5"/>
        <v>-1.08E-4</v>
      </c>
      <c r="Q34" s="79">
        <f t="shared" si="6"/>
        <v>0.82280000000000009</v>
      </c>
      <c r="R34" s="85">
        <v>0.15</v>
      </c>
      <c r="S34" s="82">
        <f t="shared" si="7"/>
        <v>112200</v>
      </c>
      <c r="T34" s="80" cm="1">
        <f t="array" ref="T34">maxDepthToMinSOC($L$8,$L$9,$L$6,$L$7,$O34,$G$5,$G$6,drivePower($C$4,$M34,$G34,$C$10,$C$11),$I34,$G34,$G$4,$C$8)</f>
        <v>28138.75</v>
      </c>
      <c r="U34" s="11" cm="1">
        <f t="array" ref="U34">maxDepthToMinSOC($L$8,$L$9,P34,Q34,$O34,$G$5,$G$6,drivePower($C$4,$M34,$G34,$C$10,$C$11),$I34,$G34,$G$4,$C$8)</f>
        <v>13065.75</v>
      </c>
      <c r="V34" s="81" cm="1">
        <f t="array" ref="V34">maxDepthToMinSOC($L$8,$L$9,$L$6,$L$7,$O34*(1-R34),$G$5,$G$6,drivePower($C$4,$M34,$G34,$C$10,$C$11),$I34,$G34,$G$4,$C$8)</f>
        <v>25511.5</v>
      </c>
    </row>
    <row r="35" spans="7:22" x14ac:dyDescent="0.35">
      <c r="G35" s="55">
        <f t="shared" si="1"/>
        <v>1</v>
      </c>
      <c r="H35" s="57" cm="1">
        <f t="array" ref="H35">drivePower($C$4,$C$5,G35,$C$10,$C$11)</f>
        <v>16.399999999999999</v>
      </c>
      <c r="I35" s="74">
        <f t="shared" si="8"/>
        <v>24.679160599999999</v>
      </c>
      <c r="J35" s="74">
        <f t="shared" si="2"/>
        <v>41.079160599999994</v>
      </c>
      <c r="K35" s="56">
        <f t="shared" si="9"/>
        <v>118800</v>
      </c>
      <c r="L35" s="55">
        <f t="shared" si="3"/>
        <v>6.24</v>
      </c>
      <c r="M35" s="57">
        <f t="shared" si="10"/>
        <v>16.864000000000001</v>
      </c>
      <c r="N35" s="57" cm="1">
        <f t="array" ref="N35">drivePower($C$4,M35,$C$9,$C$10,$C$11)</f>
        <v>24.911360000000002</v>
      </c>
      <c r="O35" s="76">
        <f t="shared" si="0"/>
        <v>7698.24</v>
      </c>
      <c r="P35" s="78">
        <f t="shared" si="5"/>
        <v>-1.08E-4</v>
      </c>
      <c r="Q35" s="79">
        <f t="shared" si="6"/>
        <v>0.82280000000000009</v>
      </c>
      <c r="R35" s="85">
        <v>0.15</v>
      </c>
      <c r="S35" s="82">
        <f t="shared" si="7"/>
        <v>118800</v>
      </c>
      <c r="T35" s="80" cm="1">
        <f t="array" ref="T35">maxDepthToMinSOC($L$8,$L$9,$L$6,$L$7,$O35,$G$5,$G$6,drivePower($C$4,$M35,$G35,$C$10,$C$11),$I35,$G35,$G$4,$C$8)</f>
        <v>28919</v>
      </c>
      <c r="U35" s="11" cm="1">
        <f t="array" ref="U35">maxDepthToMinSOC($L$8,$L$9,P35,Q35,$O35,$G$5,$G$6,drivePower($C$4,$M35,$G35,$C$10,$C$11),$I35,$G35,$G$4,$C$8)</f>
        <v>13266.5</v>
      </c>
      <c r="V35" s="81" cm="1">
        <f t="array" ref="V35">maxDepthToMinSOC($L$8,$L$9,$L$6,$L$7,$O35*(1-R35),$G$5,$G$6,drivePower($C$4,$M35,$G35,$C$10,$C$11),$I35,$G35,$G$4,$C$8)</f>
        <v>26274.75</v>
      </c>
    </row>
    <row r="36" spans="7:22" x14ac:dyDescent="0.35">
      <c r="G36" s="55">
        <f t="shared" si="1"/>
        <v>1</v>
      </c>
      <c r="H36" s="57" cm="1">
        <f t="array" ref="H36">drivePower($C$4,$C$5,G36,$C$10,$C$11)</f>
        <v>16.399999999999999</v>
      </c>
      <c r="I36" s="74">
        <f t="shared" si="8"/>
        <v>24.679160599999999</v>
      </c>
      <c r="J36" s="74">
        <f t="shared" si="2"/>
        <v>41.079160599999994</v>
      </c>
      <c r="K36" s="56">
        <f t="shared" si="9"/>
        <v>125400</v>
      </c>
      <c r="L36" s="55">
        <f t="shared" si="3"/>
        <v>6.6</v>
      </c>
      <c r="M36" s="57">
        <f t="shared" si="10"/>
        <v>17.259999999999998</v>
      </c>
      <c r="N36" s="57" cm="1">
        <f t="array" ref="N36">drivePower($C$4,M36,$C$9,$C$10,$C$11)</f>
        <v>25.402399999999997</v>
      </c>
      <c r="O36" s="76">
        <f t="shared" si="0"/>
        <v>8125.92</v>
      </c>
      <c r="P36" s="78">
        <f t="shared" si="5"/>
        <v>-1.08E-4</v>
      </c>
      <c r="Q36" s="79">
        <f t="shared" si="6"/>
        <v>0.82280000000000009</v>
      </c>
      <c r="R36" s="85">
        <v>0.15</v>
      </c>
      <c r="S36" s="82">
        <f t="shared" si="7"/>
        <v>125400</v>
      </c>
      <c r="T36" s="80" cm="1">
        <f t="array" ref="T36">maxDepthToMinSOC($L$8,$L$9,$L$6,$L$7,$O36,$G$5,$G$6,drivePower($C$4,$M36,$G36,$C$10,$C$11),$I36,$G36,$G$4,$C$8)</f>
        <v>29652.75</v>
      </c>
      <c r="U36" s="11" cm="1">
        <f t="array" ref="U36">maxDepthToMinSOC($L$8,$L$9,P36,Q36,$O36,$G$5,$G$6,drivePower($C$4,$M36,$G36,$C$10,$C$11),$I36,$G36,$G$4,$C$8)</f>
        <v>13451</v>
      </c>
      <c r="V36" s="81" cm="1">
        <f t="array" ref="V36">maxDepthToMinSOC($L$8,$L$9,$L$6,$L$7,$O36*(1-R36),$G$5,$G$6,drivePower($C$4,$M36,$G36,$C$10,$C$11),$I36,$G36,$G$4,$C$8)</f>
        <v>26995.25</v>
      </c>
    </row>
    <row r="37" spans="7:22" x14ac:dyDescent="0.35">
      <c r="G37" s="55">
        <f t="shared" si="1"/>
        <v>1</v>
      </c>
      <c r="H37" s="57" cm="1">
        <f t="array" ref="H37">drivePower($C$4,$C$5,G37,$C$10,$C$11)</f>
        <v>16.399999999999999</v>
      </c>
      <c r="I37" s="74">
        <f t="shared" si="8"/>
        <v>24.679160599999999</v>
      </c>
      <c r="J37" s="74">
        <f t="shared" si="2"/>
        <v>41.079160599999994</v>
      </c>
      <c r="K37" s="56">
        <f t="shared" si="9"/>
        <v>132000</v>
      </c>
      <c r="L37" s="55">
        <f t="shared" si="3"/>
        <v>6.96</v>
      </c>
      <c r="M37" s="57">
        <f t="shared" si="10"/>
        <v>17.655999999999999</v>
      </c>
      <c r="N37" s="57" cm="1">
        <f t="array" ref="N37">drivePower($C$4,M37,$C$9,$C$10,$C$11)</f>
        <v>25.893439999999998</v>
      </c>
      <c r="O37" s="76">
        <f t="shared" si="0"/>
        <v>8553.6</v>
      </c>
      <c r="P37" s="78">
        <f t="shared" si="5"/>
        <v>-1.08E-4</v>
      </c>
      <c r="Q37" s="79">
        <f t="shared" si="6"/>
        <v>0.82280000000000009</v>
      </c>
      <c r="R37" s="85">
        <v>0.15</v>
      </c>
      <c r="S37" s="82">
        <f t="shared" si="7"/>
        <v>132000</v>
      </c>
      <c r="T37" s="80" cm="1">
        <f t="array" ref="T37">maxDepthToMinSOC($L$8,$L$9,$L$6,$L$7,$O37,$G$5,$G$6,drivePower($C$4,$M37,$G37,$C$10,$C$11),$I37,$G37,$G$4,$C$8)</f>
        <v>30344</v>
      </c>
      <c r="U37" s="11" cm="1">
        <f t="array" ref="U37">maxDepthToMinSOC($L$8,$L$9,P37,Q37,$O37,$G$5,$G$6,drivePower($C$4,$M37,$G37,$C$10,$C$11),$I37,$G37,$G$4,$C$8)</f>
        <v>13620.75</v>
      </c>
      <c r="V37" s="81" cm="1">
        <f t="array" ref="V37">maxDepthToMinSOC($L$8,$L$9,$L$6,$L$7,$O37*(1-R37),$G$5,$G$6,drivePower($C$4,$M37,$G37,$C$10,$C$11),$I37,$G37,$G$4,$C$8)</f>
        <v>27676.5</v>
      </c>
    </row>
    <row r="38" spans="7:22" x14ac:dyDescent="0.35">
      <c r="G38" s="55">
        <f t="shared" si="1"/>
        <v>1</v>
      </c>
      <c r="H38" s="57" cm="1">
        <f t="array" ref="H38">drivePower($C$4,$C$5,G38,$C$10,$C$11)</f>
        <v>16.399999999999999</v>
      </c>
      <c r="I38" s="74">
        <f t="shared" si="8"/>
        <v>24.679160599999999</v>
      </c>
      <c r="J38" s="74">
        <f t="shared" si="2"/>
        <v>41.079160599999994</v>
      </c>
      <c r="K38" s="56">
        <f t="shared" si="9"/>
        <v>138600</v>
      </c>
      <c r="L38" s="55">
        <f t="shared" si="3"/>
        <v>7.32</v>
      </c>
      <c r="M38" s="57">
        <f t="shared" si="10"/>
        <v>18.052</v>
      </c>
      <c r="N38" s="57" cm="1">
        <f t="array" ref="N38">drivePower($C$4,M38,$C$9,$C$10,$C$11)</f>
        <v>26.38448</v>
      </c>
      <c r="O38" s="76">
        <f t="shared" si="0"/>
        <v>8981.2799999999988</v>
      </c>
      <c r="P38" s="78">
        <f t="shared" si="5"/>
        <v>-1.08E-4</v>
      </c>
      <c r="Q38" s="79">
        <f t="shared" si="6"/>
        <v>0.82280000000000009</v>
      </c>
      <c r="R38" s="85">
        <v>0.15</v>
      </c>
      <c r="S38" s="82">
        <f t="shared" si="7"/>
        <v>138600</v>
      </c>
      <c r="T38" s="80" cm="1">
        <f t="array" ref="T38">maxDepthToMinSOC($L$8,$L$9,$L$6,$L$7,$O38,$G$5,$G$6,drivePower($C$4,$M38,$G38,$C$10,$C$11),$I38,$G38,$G$4,$C$8)</f>
        <v>30996.25</v>
      </c>
      <c r="U38" s="11" cm="1">
        <f t="array" ref="U38">maxDepthToMinSOC($L$8,$L$9,P38,Q38,$O38,$G$5,$G$6,drivePower($C$4,$M38,$G38,$C$10,$C$11),$I38,$G38,$G$4,$C$8)</f>
        <v>13778</v>
      </c>
      <c r="V38" s="81" cm="1">
        <f t="array" ref="V38">maxDepthToMinSOC($L$8,$L$9,$L$6,$L$7,$O38*(1-R38),$G$5,$G$6,drivePower($C$4,$M38,$G38,$C$10,$C$11),$I38,$G38,$G$4,$C$8)</f>
        <v>28321.25</v>
      </c>
    </row>
    <row r="39" spans="7:22" x14ac:dyDescent="0.35">
      <c r="G39" s="55">
        <f t="shared" si="1"/>
        <v>1</v>
      </c>
      <c r="H39" s="57" cm="1">
        <f t="array" ref="H39">drivePower($C$4,$C$5,G39,$C$10,$C$11)</f>
        <v>16.399999999999999</v>
      </c>
      <c r="I39" s="74">
        <f t="shared" si="8"/>
        <v>24.679160599999999</v>
      </c>
      <c r="J39" s="74">
        <f t="shared" si="2"/>
        <v>41.079160599999994</v>
      </c>
      <c r="K39" s="56">
        <f t="shared" si="9"/>
        <v>145200</v>
      </c>
      <c r="L39" s="55">
        <f t="shared" si="3"/>
        <v>7.68</v>
      </c>
      <c r="M39" s="57">
        <f t="shared" si="10"/>
        <v>18.448</v>
      </c>
      <c r="N39" s="57" cm="1">
        <f t="array" ref="N39">drivePower($C$4,M39,$C$9,$C$10,$C$11)</f>
        <v>26.875520000000002</v>
      </c>
      <c r="O39" s="76">
        <f t="shared" si="0"/>
        <v>9408.9600000000009</v>
      </c>
      <c r="P39" s="78">
        <f t="shared" si="5"/>
        <v>-1.08E-4</v>
      </c>
      <c r="Q39" s="79">
        <f t="shared" si="6"/>
        <v>0.82280000000000009</v>
      </c>
      <c r="R39" s="85">
        <v>0.15</v>
      </c>
      <c r="S39" s="82">
        <f t="shared" si="7"/>
        <v>145200</v>
      </c>
      <c r="T39" s="80" cm="1">
        <f t="array" ref="T39">maxDepthToMinSOC($L$8,$L$9,$L$6,$L$7,$O39,$G$5,$G$6,drivePower($C$4,$M39,$G39,$C$10,$C$11),$I39,$G39,$G$4,$C$8)</f>
        <v>31613</v>
      </c>
      <c r="U39" s="11" cm="1">
        <f t="array" ref="U39">maxDepthToMinSOC($L$8,$L$9,P39,Q39,$O39,$G$5,$G$6,drivePower($C$4,$M39,$G39,$C$10,$C$11),$I39,$G39,$G$4,$C$8)</f>
        <v>13923.5</v>
      </c>
      <c r="V39" s="81" cm="1">
        <f t="array" ref="V39">maxDepthToMinSOC($L$8,$L$9,$L$6,$L$7,$O39*(1-R39),$G$5,$G$6,drivePower($C$4,$M39,$G39,$C$10,$C$11),$I39,$G39,$G$4,$C$8)</f>
        <v>28932.75</v>
      </c>
    </row>
    <row r="40" spans="7:22" x14ac:dyDescent="0.35">
      <c r="G40" s="55">
        <f t="shared" si="1"/>
        <v>1</v>
      </c>
      <c r="H40" s="57" cm="1">
        <f t="array" ref="H40">drivePower($C$4,$C$5,G40,$C$10,$C$11)</f>
        <v>16.399999999999999</v>
      </c>
      <c r="I40" s="74">
        <f t="shared" si="8"/>
        <v>24.679160599999999</v>
      </c>
      <c r="J40" s="74">
        <f t="shared" si="2"/>
        <v>41.079160599999994</v>
      </c>
      <c r="K40" s="56">
        <f t="shared" si="9"/>
        <v>151800</v>
      </c>
      <c r="L40" s="55">
        <f t="shared" si="3"/>
        <v>8.0399999999999991</v>
      </c>
      <c r="M40" s="57">
        <f t="shared" si="10"/>
        <v>18.844000000000001</v>
      </c>
      <c r="N40" s="57" cm="1">
        <f t="array" ref="N40">drivePower($C$4,M40,$C$9,$C$10,$C$11)</f>
        <v>27.36656</v>
      </c>
      <c r="O40" s="76">
        <f t="shared" si="0"/>
        <v>9836.64</v>
      </c>
      <c r="P40" s="78">
        <f t="shared" si="5"/>
        <v>-1.08E-4</v>
      </c>
      <c r="Q40" s="79">
        <f t="shared" si="6"/>
        <v>0.82280000000000009</v>
      </c>
      <c r="R40" s="85">
        <v>0.15</v>
      </c>
      <c r="S40" s="82">
        <f t="shared" si="7"/>
        <v>151800</v>
      </c>
      <c r="T40" s="80" cm="1">
        <f t="array" ref="T40">maxDepthToMinSOC($L$8,$L$9,$L$6,$L$7,$O40,$G$5,$G$6,drivePower($C$4,$M40,$G40,$C$10,$C$11),$I40,$G40,$G$4,$C$8)</f>
        <v>32196.75</v>
      </c>
      <c r="U40" s="11" cm="1">
        <f t="array" ref="U40">maxDepthToMinSOC($L$8,$L$9,P40,Q40,$O40,$G$5,$G$6,drivePower($C$4,$M40,$G40,$C$10,$C$11),$I40,$G40,$G$4,$C$8)</f>
        <v>14059</v>
      </c>
      <c r="V40" s="81" cm="1">
        <f t="array" ref="V40">maxDepthToMinSOC($L$8,$L$9,$L$6,$L$7,$O40*(1-R40),$G$5,$G$6,drivePower($C$4,$M40,$G40,$C$10,$C$11),$I40,$G40,$G$4,$C$8)</f>
        <v>29513.25</v>
      </c>
    </row>
    <row r="41" spans="7:22" x14ac:dyDescent="0.35">
      <c r="G41" s="55">
        <f t="shared" si="1"/>
        <v>1</v>
      </c>
      <c r="H41" s="57" cm="1">
        <f t="array" ref="H41">drivePower($C$4,$C$5,G41,$C$10,$C$11)</f>
        <v>16.399999999999999</v>
      </c>
      <c r="I41" s="74">
        <f t="shared" si="8"/>
        <v>24.679160599999999</v>
      </c>
      <c r="J41" s="74">
        <f t="shared" si="2"/>
        <v>41.079160599999994</v>
      </c>
      <c r="K41" s="56">
        <f t="shared" si="9"/>
        <v>158400</v>
      </c>
      <c r="L41" s="55">
        <f t="shared" si="3"/>
        <v>8.4</v>
      </c>
      <c r="M41" s="57">
        <f t="shared" si="10"/>
        <v>19.240000000000002</v>
      </c>
      <c r="N41" s="57" cm="1">
        <f t="array" ref="N41">drivePower($C$4,M41,$C$9,$C$10,$C$11)</f>
        <v>27.857600000000001</v>
      </c>
      <c r="O41" s="76">
        <f t="shared" si="0"/>
        <v>10264.32</v>
      </c>
      <c r="P41" s="78">
        <f t="shared" si="5"/>
        <v>-1.08E-4</v>
      </c>
      <c r="Q41" s="79">
        <f t="shared" si="6"/>
        <v>0.82280000000000009</v>
      </c>
      <c r="R41" s="85">
        <v>0.15</v>
      </c>
      <c r="S41" s="82">
        <f t="shared" si="7"/>
        <v>158400</v>
      </c>
      <c r="T41" s="80" cm="1">
        <f t="array" ref="T41">maxDepthToMinSOC($L$8,$L$9,$L$6,$L$7,$O41,$G$5,$G$6,drivePower($C$4,$M41,$G41,$C$10,$C$11),$I41,$G41,$G$4,$C$8)</f>
        <v>32750.25</v>
      </c>
      <c r="U41" s="11" cm="1">
        <f t="array" ref="U41">maxDepthToMinSOC($L$8,$L$9,P41,Q41,$O41,$G$5,$G$6,drivePower($C$4,$M41,$G41,$C$10,$C$11),$I41,$G41,$G$4,$C$8)</f>
        <v>14185.25</v>
      </c>
      <c r="V41" s="81" cm="1">
        <f t="array" ref="V41">maxDepthToMinSOC($L$8,$L$9,$L$6,$L$7,$O41*(1-R41),$G$5,$G$6,drivePower($C$4,$M41,$G41,$C$10,$C$11),$I41,$G41,$G$4,$C$8)</f>
        <v>30065.25</v>
      </c>
    </row>
    <row r="42" spans="7:22" x14ac:dyDescent="0.35">
      <c r="G42" s="55">
        <f t="shared" si="1"/>
        <v>1</v>
      </c>
      <c r="H42" s="57" cm="1">
        <f t="array" ref="H42">drivePower($C$4,$C$5,G42,$C$10,$C$11)</f>
        <v>16.399999999999999</v>
      </c>
      <c r="I42" s="74">
        <f t="shared" si="8"/>
        <v>24.679160599999999</v>
      </c>
      <c r="J42" s="74">
        <f t="shared" si="2"/>
        <v>41.079160599999994</v>
      </c>
      <c r="K42" s="56">
        <f t="shared" si="9"/>
        <v>165000</v>
      </c>
      <c r="L42" s="55">
        <f t="shared" si="3"/>
        <v>8.76</v>
      </c>
      <c r="M42" s="57">
        <f t="shared" si="10"/>
        <v>19.636000000000003</v>
      </c>
      <c r="N42" s="57" cm="1">
        <f t="array" ref="N42">drivePower($C$4,M42,$C$9,$C$10,$C$11)</f>
        <v>28.348640000000003</v>
      </c>
      <c r="O42" s="76">
        <f t="shared" si="0"/>
        <v>10692</v>
      </c>
      <c r="P42" s="78">
        <f t="shared" si="5"/>
        <v>-1.08E-4</v>
      </c>
      <c r="Q42" s="79">
        <f t="shared" si="6"/>
        <v>0.82280000000000009</v>
      </c>
      <c r="R42" s="85">
        <v>0.15</v>
      </c>
      <c r="S42" s="82">
        <f t="shared" si="7"/>
        <v>165000</v>
      </c>
      <c r="T42" s="80" cm="1">
        <f t="array" ref="T42">maxDepthToMinSOC($L$8,$L$9,$L$6,$L$7,$O42,$G$5,$G$6,drivePower($C$4,$M42,$G42,$C$10,$C$11),$I42,$G42,$G$4,$C$8)</f>
        <v>33275.75</v>
      </c>
      <c r="U42" s="11" cm="1">
        <f t="array" ref="U42">maxDepthToMinSOC($L$8,$L$9,P42,Q42,$O42,$G$5,$G$6,drivePower($C$4,$M42,$G42,$C$10,$C$11),$I42,$G42,$G$4,$C$8)</f>
        <v>14303.25</v>
      </c>
      <c r="V42" s="81" cm="1">
        <f t="array" ref="V42">maxDepthToMinSOC($L$8,$L$9,$L$6,$L$7,$O42*(1-R42),$G$5,$G$6,drivePower($C$4,$M42,$G42,$C$10,$C$11),$I42,$G42,$G$4,$C$8)</f>
        <v>30590.75</v>
      </c>
    </row>
    <row r="43" spans="7:22" x14ac:dyDescent="0.35">
      <c r="G43" s="55">
        <f t="shared" si="1"/>
        <v>1</v>
      </c>
      <c r="H43" s="57" cm="1">
        <f t="array" ref="H43">drivePower($C$4,$C$5,G43,$C$10,$C$11)</f>
        <v>16.399999999999999</v>
      </c>
      <c r="I43" s="74">
        <f t="shared" si="8"/>
        <v>24.679160599999999</v>
      </c>
      <c r="J43" s="74">
        <f t="shared" si="2"/>
        <v>41.079160599999994</v>
      </c>
      <c r="K43" s="56">
        <f t="shared" si="9"/>
        <v>171600</v>
      </c>
      <c r="L43" s="55">
        <f t="shared" si="3"/>
        <v>9.1199999999999992</v>
      </c>
      <c r="M43" s="57">
        <f t="shared" si="10"/>
        <v>20.032</v>
      </c>
      <c r="N43" s="57" cm="1">
        <f t="array" ref="N43">drivePower($C$4,M43,$C$9,$C$10,$C$11)</f>
        <v>28.839680000000001</v>
      </c>
      <c r="O43" s="76">
        <f t="shared" si="0"/>
        <v>11119.68</v>
      </c>
      <c r="P43" s="78">
        <f t="shared" si="5"/>
        <v>-1.08E-4</v>
      </c>
      <c r="Q43" s="79">
        <f t="shared" si="6"/>
        <v>0.82280000000000009</v>
      </c>
      <c r="R43" s="85">
        <v>0.15</v>
      </c>
      <c r="S43" s="82">
        <f t="shared" si="7"/>
        <v>171600</v>
      </c>
      <c r="T43" s="80" cm="1">
        <f t="array" ref="T43">maxDepthToMinSOC($L$8,$L$9,$L$6,$L$7,$O43,$G$5,$G$6,drivePower($C$4,$M43,$G43,$C$10,$C$11),$I43,$G43,$G$4,$C$8)</f>
        <v>33775.5</v>
      </c>
      <c r="U43" s="11" cm="1">
        <f t="array" ref="U43">maxDepthToMinSOC($L$8,$L$9,P43,Q43,$O43,$G$5,$G$6,drivePower($C$4,$M43,$G43,$C$10,$C$11),$I43,$G43,$G$4,$C$8)</f>
        <v>14413.75</v>
      </c>
      <c r="V43" s="81" cm="1">
        <f t="array" ref="V43">maxDepthToMinSOC($L$8,$L$9,$L$6,$L$7,$O43*(1-R43),$G$5,$G$6,drivePower($C$4,$M43,$G43,$C$10,$C$11),$I43,$G43,$G$4,$C$8)</f>
        <v>31091.5</v>
      </c>
    </row>
    <row r="44" spans="7:22" x14ac:dyDescent="0.35">
      <c r="G44" s="55">
        <f t="shared" si="1"/>
        <v>1</v>
      </c>
      <c r="H44" s="57" cm="1">
        <f t="array" ref="H44">drivePower($C$4,$C$5,G44,$C$10,$C$11)</f>
        <v>16.399999999999999</v>
      </c>
      <c r="I44" s="74">
        <f t="shared" si="8"/>
        <v>24.679160599999999</v>
      </c>
      <c r="J44" s="74">
        <f t="shared" si="2"/>
        <v>41.079160599999994</v>
      </c>
      <c r="K44" s="56">
        <f t="shared" si="9"/>
        <v>178200</v>
      </c>
      <c r="L44" s="55">
        <f t="shared" si="3"/>
        <v>9.48</v>
      </c>
      <c r="M44" s="57">
        <f t="shared" si="10"/>
        <v>20.428000000000001</v>
      </c>
      <c r="N44" s="57" cm="1">
        <f t="array" ref="N44">drivePower($C$4,M44,$C$9,$C$10,$C$11)</f>
        <v>29.330719999999999</v>
      </c>
      <c r="O44" s="76">
        <f t="shared" si="0"/>
        <v>11547.36</v>
      </c>
      <c r="P44" s="78">
        <f t="shared" si="5"/>
        <v>-1.08E-4</v>
      </c>
      <c r="Q44" s="79">
        <f t="shared" si="6"/>
        <v>0.82280000000000009</v>
      </c>
      <c r="R44" s="85">
        <v>0.15</v>
      </c>
      <c r="S44" s="82">
        <f t="shared" si="7"/>
        <v>178200</v>
      </c>
      <c r="T44" s="80" cm="1">
        <f t="array" ref="T44">maxDepthToMinSOC($L$8,$L$9,$L$6,$L$7,$O44,$G$5,$G$6,drivePower($C$4,$M44,$G44,$C$10,$C$11),$I44,$G44,$G$4,$C$8)</f>
        <v>34251</v>
      </c>
      <c r="U44" s="11" cm="1">
        <f t="array" ref="U44">maxDepthToMinSOC($L$8,$L$9,P44,Q44,$O44,$G$5,$G$6,drivePower($C$4,$M44,$G44,$C$10,$C$11),$I44,$G44,$G$4,$C$8)</f>
        <v>14517.25</v>
      </c>
      <c r="V44" s="81" cm="1">
        <f t="array" ref="V44">maxDepthToMinSOC($L$8,$L$9,$L$6,$L$7,$O44*(1-R44),$G$5,$G$6,drivePower($C$4,$M44,$G44,$C$10,$C$11),$I44,$G44,$G$4,$C$8)</f>
        <v>31569.5</v>
      </c>
    </row>
    <row r="45" spans="7:22" x14ac:dyDescent="0.35">
      <c r="G45" s="55">
        <f t="shared" si="1"/>
        <v>1</v>
      </c>
      <c r="H45" s="57" cm="1">
        <f t="array" ref="H45">drivePower($C$4,$C$5,G45,$C$10,$C$11)</f>
        <v>16.399999999999999</v>
      </c>
      <c r="I45" s="74">
        <f t="shared" si="8"/>
        <v>24.679160599999999</v>
      </c>
      <c r="J45" s="74">
        <f t="shared" si="2"/>
        <v>41.079160599999994</v>
      </c>
      <c r="K45" s="56">
        <f t="shared" si="9"/>
        <v>184800</v>
      </c>
      <c r="L45" s="55">
        <f t="shared" si="3"/>
        <v>9.84</v>
      </c>
      <c r="M45" s="57">
        <f t="shared" si="10"/>
        <v>20.823999999999998</v>
      </c>
      <c r="N45" s="57" cm="1">
        <f t="array" ref="N45">drivePower($C$4,M45,$C$9,$C$10,$C$11)</f>
        <v>29.821759999999998</v>
      </c>
      <c r="O45" s="76">
        <f t="shared" si="0"/>
        <v>11975.039999999999</v>
      </c>
      <c r="P45" s="78">
        <f t="shared" si="5"/>
        <v>-1.08E-4</v>
      </c>
      <c r="Q45" s="79">
        <f t="shared" si="6"/>
        <v>0.82280000000000009</v>
      </c>
      <c r="R45" s="85">
        <v>0.15</v>
      </c>
      <c r="S45" s="82">
        <f t="shared" si="7"/>
        <v>184800</v>
      </c>
      <c r="T45" s="80" cm="1">
        <f t="array" ref="T45">maxDepthToMinSOC($L$8,$L$9,$L$6,$L$7,$O45,$G$5,$G$6,drivePower($C$4,$M45,$G45,$C$10,$C$11),$I45,$G45,$G$4,$C$8)</f>
        <v>34704.25</v>
      </c>
      <c r="U45" s="11" cm="1">
        <f t="array" ref="U45">maxDepthToMinSOC($L$8,$L$9,P45,Q45,$O45,$G$5,$G$6,drivePower($C$4,$M45,$G45,$C$10,$C$11),$I45,$G45,$G$4,$C$8)</f>
        <v>14614.75</v>
      </c>
      <c r="V45" s="81" cm="1">
        <f t="array" ref="V45">maxDepthToMinSOC($L$8,$L$9,$L$6,$L$7,$O45*(1-R45),$G$5,$G$6,drivePower($C$4,$M45,$G45,$C$10,$C$11),$I45,$G45,$G$4,$C$8)</f>
        <v>32025.75</v>
      </c>
    </row>
    <row r="46" spans="7:22" x14ac:dyDescent="0.35">
      <c r="G46" s="55">
        <f t="shared" si="1"/>
        <v>1</v>
      </c>
      <c r="H46" s="57" cm="1">
        <f t="array" ref="H46">drivePower($C$4,$C$5,G46,$C$10,$C$11)</f>
        <v>16.399999999999999</v>
      </c>
      <c r="I46" s="74">
        <f t="shared" si="8"/>
        <v>24.679160599999999</v>
      </c>
      <c r="J46" s="74">
        <f t="shared" si="2"/>
        <v>41.079160599999994</v>
      </c>
      <c r="K46" s="56">
        <f t="shared" si="9"/>
        <v>191400</v>
      </c>
      <c r="L46" s="55">
        <f t="shared" si="3"/>
        <v>10.199999999999999</v>
      </c>
      <c r="M46" s="57">
        <f t="shared" si="10"/>
        <v>21.22</v>
      </c>
      <c r="N46" s="57" cm="1">
        <f t="array" ref="N46">drivePower($C$4,M46,$C$9,$C$10,$C$11)</f>
        <v>30.312799999999999</v>
      </c>
      <c r="O46" s="76">
        <f t="shared" si="0"/>
        <v>12402.72</v>
      </c>
      <c r="P46" s="78">
        <f t="shared" si="5"/>
        <v>-1.08E-4</v>
      </c>
      <c r="Q46" s="79">
        <f t="shared" si="6"/>
        <v>0.82280000000000009</v>
      </c>
      <c r="R46" s="85">
        <v>0.15</v>
      </c>
      <c r="S46" s="82">
        <f t="shared" si="7"/>
        <v>191400</v>
      </c>
      <c r="T46" s="80" cm="1">
        <f t="array" ref="T46">maxDepthToMinSOC($L$8,$L$9,$L$6,$L$7,$O46,$G$5,$G$6,drivePower($C$4,$M46,$G46,$C$10,$C$11),$I46,$G46,$G$4,$C$8)</f>
        <v>35136.5</v>
      </c>
      <c r="U46" s="11" cm="1">
        <f t="array" ref="U46">maxDepthToMinSOC($L$8,$L$9,P46,Q46,$O46,$G$5,$G$6,drivePower($C$4,$M46,$G46,$C$10,$C$11),$I46,$G46,$G$4,$C$8)</f>
        <v>14706.75</v>
      </c>
      <c r="V46" s="81" cm="1">
        <f t="array" ref="V46">maxDepthToMinSOC($L$8,$L$9,$L$6,$L$7,$O46*(1-R46),$G$5,$G$6,drivePower($C$4,$M46,$G46,$C$10,$C$11),$I46,$G46,$G$4,$C$8)</f>
        <v>32462.25</v>
      </c>
    </row>
    <row r="47" spans="7:22" x14ac:dyDescent="0.35">
      <c r="G47" s="55">
        <f t="shared" si="1"/>
        <v>1</v>
      </c>
      <c r="H47" s="57" cm="1">
        <f t="array" ref="H47">drivePower($C$4,$C$5,G47,$C$10,$C$11)</f>
        <v>16.399999999999999</v>
      </c>
      <c r="I47" s="74">
        <f t="shared" si="8"/>
        <v>24.679160599999999</v>
      </c>
      <c r="J47" s="74">
        <f t="shared" si="2"/>
        <v>41.079160599999994</v>
      </c>
      <c r="K47" s="56">
        <f t="shared" si="9"/>
        <v>198000</v>
      </c>
      <c r="L47" s="55">
        <f t="shared" si="3"/>
        <v>10.56</v>
      </c>
      <c r="M47" s="57">
        <f t="shared" si="10"/>
        <v>21.616</v>
      </c>
      <c r="N47" s="57" cm="1">
        <f t="array" ref="N47">drivePower($C$4,M47,$C$9,$C$10,$C$11)</f>
        <v>30.803840000000001</v>
      </c>
      <c r="O47" s="76">
        <f t="shared" si="0"/>
        <v>12830.4</v>
      </c>
      <c r="P47" s="78">
        <f t="shared" si="5"/>
        <v>-1.08E-4</v>
      </c>
      <c r="Q47" s="79">
        <f t="shared" si="6"/>
        <v>0.82280000000000009</v>
      </c>
      <c r="R47" s="85">
        <v>0.15</v>
      </c>
      <c r="S47" s="82">
        <f t="shared" si="7"/>
        <v>198000</v>
      </c>
      <c r="T47" s="80" cm="1">
        <f t="array" ref="T47">maxDepthToMinSOC($L$8,$L$9,$L$6,$L$7,$O47,$G$5,$G$6,drivePower($C$4,$M47,$G47,$C$10,$C$11),$I47,$G47,$G$4,$C$8)</f>
        <v>35549.5</v>
      </c>
      <c r="U47" s="11" cm="1">
        <f t="array" ref="U47">maxDepthToMinSOC($L$8,$L$9,P47,Q47,$O47,$G$5,$G$6,drivePower($C$4,$M47,$G47,$C$10,$C$11),$I47,$G47,$G$4,$C$8)</f>
        <v>14793.25</v>
      </c>
      <c r="V47" s="81" cm="1">
        <f t="array" ref="V47">maxDepthToMinSOC($L$8,$L$9,$L$6,$L$7,$O47*(1-R47),$G$5,$G$6,drivePower($C$4,$M47,$G47,$C$10,$C$11),$I47,$G47,$G$4,$C$8)</f>
        <v>32880</v>
      </c>
    </row>
    <row r="48" spans="7:22" x14ac:dyDescent="0.35">
      <c r="G48" s="55">
        <f t="shared" si="1"/>
        <v>1</v>
      </c>
      <c r="H48" s="57" cm="1">
        <f t="array" ref="H48">drivePower($C$4,$C$5,G48,$C$10,$C$11)</f>
        <v>16.399999999999999</v>
      </c>
      <c r="I48" s="74">
        <f t="shared" si="8"/>
        <v>24.679160599999999</v>
      </c>
      <c r="J48" s="74">
        <f t="shared" si="2"/>
        <v>41.079160599999994</v>
      </c>
      <c r="K48" s="56">
        <f t="shared" si="9"/>
        <v>204600</v>
      </c>
      <c r="L48" s="55">
        <f t="shared" si="3"/>
        <v>10.92</v>
      </c>
      <c r="M48" s="57">
        <f t="shared" si="10"/>
        <v>22.012</v>
      </c>
      <c r="N48" s="57" cm="1">
        <f t="array" ref="N48">drivePower($C$4,M48,$C$9,$C$10,$C$11)</f>
        <v>31.294879999999999</v>
      </c>
      <c r="O48" s="76">
        <f t="shared" si="0"/>
        <v>13258.079999999998</v>
      </c>
      <c r="P48" s="78">
        <f t="shared" si="5"/>
        <v>-1.08E-4</v>
      </c>
      <c r="Q48" s="79">
        <f t="shared" si="6"/>
        <v>0.82280000000000009</v>
      </c>
      <c r="R48" s="85">
        <v>0.15</v>
      </c>
      <c r="S48" s="82">
        <f t="shared" si="7"/>
        <v>204600</v>
      </c>
      <c r="T48" s="80" cm="1">
        <f t="array" ref="T48">maxDepthToMinSOC($L$8,$L$9,$L$6,$L$7,$O48,$G$5,$G$6,drivePower($C$4,$M48,$G48,$C$10,$C$11),$I48,$G48,$G$4,$C$8)</f>
        <v>35944.5</v>
      </c>
      <c r="U48" s="11" cm="1">
        <f t="array" ref="U48">maxDepthToMinSOC($L$8,$L$9,P48,Q48,$O48,$G$5,$G$6,drivePower($C$4,$M48,$G48,$C$10,$C$11),$I48,$G48,$G$4,$C$8)</f>
        <v>14875.25</v>
      </c>
      <c r="V48" s="81" cm="1">
        <f t="array" ref="V48">maxDepthToMinSOC($L$8,$L$9,$L$6,$L$7,$O48*(1-R48),$G$5,$G$6,drivePower($C$4,$M48,$G48,$C$10,$C$11),$I48,$G48,$G$4,$C$8)</f>
        <v>33280</v>
      </c>
    </row>
    <row r="49" spans="7:22" x14ac:dyDescent="0.35">
      <c r="G49" s="55">
        <f t="shared" si="1"/>
        <v>1</v>
      </c>
      <c r="H49" s="57" cm="1">
        <f t="array" ref="H49">drivePower($C$4,$C$5,G49,$C$10,$C$11)</f>
        <v>16.399999999999999</v>
      </c>
      <c r="I49" s="74">
        <f t="shared" si="8"/>
        <v>24.679160599999999</v>
      </c>
      <c r="J49" s="74">
        <f t="shared" si="2"/>
        <v>41.079160599999994</v>
      </c>
      <c r="K49" s="56">
        <f t="shared" si="9"/>
        <v>211200</v>
      </c>
      <c r="L49" s="55">
        <f t="shared" si="3"/>
        <v>11.28</v>
      </c>
      <c r="M49" s="57">
        <f t="shared" si="10"/>
        <v>22.408000000000001</v>
      </c>
      <c r="N49" s="57" cm="1">
        <f t="array" ref="N49">drivePower($C$4,M49,$C$9,$C$10,$C$11)</f>
        <v>31.785920000000001</v>
      </c>
      <c r="O49" s="76">
        <f t="shared" si="0"/>
        <v>13685.76</v>
      </c>
      <c r="P49" s="78">
        <f t="shared" si="5"/>
        <v>-1.08E-4</v>
      </c>
      <c r="Q49" s="79">
        <f t="shared" si="6"/>
        <v>0.82280000000000009</v>
      </c>
      <c r="R49" s="85">
        <v>0.15</v>
      </c>
      <c r="S49" s="82">
        <f t="shared" si="7"/>
        <v>211200</v>
      </c>
      <c r="T49" s="80" cm="1">
        <f t="array" ref="T49">maxDepthToMinSOC($L$8,$L$9,$L$6,$L$7,$O49,$G$5,$G$6,drivePower($C$4,$M49,$G49,$C$10,$C$11),$I49,$G49,$G$4,$C$8)</f>
        <v>36322.25</v>
      </c>
      <c r="U49" s="11" cm="1">
        <f t="array" ref="U49">maxDepthToMinSOC($L$8,$L$9,P49,Q49,$O49,$G$5,$G$6,drivePower($C$4,$M49,$G49,$C$10,$C$11),$I49,$G49,$G$4,$C$8)</f>
        <v>14952.75</v>
      </c>
      <c r="V49" s="81" cm="1">
        <f t="array" ref="V49">maxDepthToMinSOC($L$8,$L$9,$L$6,$L$7,$O49*(1-R49),$G$5,$G$6,drivePower($C$4,$M49,$G49,$C$10,$C$11),$I49,$G49,$G$4,$C$8)</f>
        <v>33663.75</v>
      </c>
    </row>
    <row r="50" spans="7:22" x14ac:dyDescent="0.35">
      <c r="G50" s="55">
        <f t="shared" si="1"/>
        <v>1</v>
      </c>
      <c r="H50" s="57" cm="1">
        <f t="array" ref="H50">drivePower($C$4,$C$5,G50,$C$10,$C$11)</f>
        <v>16.399999999999999</v>
      </c>
      <c r="I50" s="74">
        <f t="shared" si="8"/>
        <v>24.679160599999999</v>
      </c>
      <c r="J50" s="74">
        <f t="shared" si="2"/>
        <v>41.079160599999994</v>
      </c>
      <c r="K50" s="56">
        <f t="shared" si="9"/>
        <v>217800</v>
      </c>
      <c r="L50" s="55">
        <f t="shared" si="3"/>
        <v>11.64</v>
      </c>
      <c r="M50" s="57">
        <f t="shared" si="10"/>
        <v>22.804000000000002</v>
      </c>
      <c r="N50" s="57" cm="1">
        <f t="array" ref="N50">drivePower($C$4,M50,$C$9,$C$10,$C$11)</f>
        <v>32.276960000000003</v>
      </c>
      <c r="O50" s="76">
        <f t="shared" si="0"/>
        <v>14113.44</v>
      </c>
      <c r="P50" s="78">
        <f t="shared" si="5"/>
        <v>-1.08E-4</v>
      </c>
      <c r="Q50" s="79">
        <f t="shared" si="6"/>
        <v>0.82280000000000009</v>
      </c>
      <c r="R50" s="85">
        <v>0.15</v>
      </c>
      <c r="S50" s="82">
        <f t="shared" si="7"/>
        <v>217800</v>
      </c>
      <c r="T50" s="80" cm="1">
        <f t="array" ref="T50">maxDepthToMinSOC($L$8,$L$9,$L$6,$L$7,$O50,$G$5,$G$6,drivePower($C$4,$M50,$G50,$C$10,$C$11),$I50,$G50,$G$4,$C$8)</f>
        <v>36684.25</v>
      </c>
      <c r="U50" s="11" cm="1">
        <f t="array" ref="U50">maxDepthToMinSOC($L$8,$L$9,P50,Q50,$O50,$G$5,$G$6,drivePower($C$4,$M50,$G50,$C$10,$C$11),$I50,$G50,$G$4,$C$8)</f>
        <v>15026.25</v>
      </c>
      <c r="V50" s="81" cm="1">
        <f t="array" ref="V50">maxDepthToMinSOC($L$8,$L$9,$L$6,$L$7,$O50*(1-R50),$G$5,$G$6,drivePower($C$4,$M50,$G50,$C$10,$C$11),$I50,$G50,$G$4,$C$8)</f>
        <v>34031.75</v>
      </c>
    </row>
    <row r="51" spans="7:22" x14ac:dyDescent="0.35">
      <c r="G51" s="55">
        <f t="shared" si="1"/>
        <v>1</v>
      </c>
      <c r="H51" s="57" cm="1">
        <f t="array" ref="H51">drivePower($C$4,$C$5,G51,$C$10,$C$11)</f>
        <v>16.399999999999999</v>
      </c>
      <c r="I51" s="74">
        <f t="shared" si="8"/>
        <v>24.679160599999999</v>
      </c>
      <c r="J51" s="74">
        <f t="shared" si="2"/>
        <v>41.079160599999994</v>
      </c>
      <c r="K51" s="56">
        <f t="shared" si="9"/>
        <v>224400</v>
      </c>
      <c r="L51" s="55">
        <f t="shared" si="3"/>
        <v>12</v>
      </c>
      <c r="M51" s="57">
        <f t="shared" si="10"/>
        <v>23.200000000000003</v>
      </c>
      <c r="N51" s="57" cm="1">
        <f t="array" ref="N51">drivePower($C$4,M51,$C$9,$C$10,$C$11)</f>
        <v>32.768000000000001</v>
      </c>
      <c r="O51" s="76">
        <f t="shared" si="0"/>
        <v>14541.12</v>
      </c>
      <c r="P51" s="78">
        <f t="shared" si="5"/>
        <v>-1.08E-4</v>
      </c>
      <c r="Q51" s="79">
        <f t="shared" si="6"/>
        <v>0.82280000000000009</v>
      </c>
      <c r="R51" s="85">
        <v>0.15</v>
      </c>
      <c r="S51" s="82">
        <f t="shared" si="7"/>
        <v>224400</v>
      </c>
      <c r="T51" s="80" cm="1">
        <f t="array" ref="T51">maxDepthToMinSOC($L$8,$L$9,$L$6,$L$7,$O51,$G$5,$G$6,drivePower($C$4,$M51,$G51,$C$10,$C$11),$I51,$G51,$G$4,$C$8)</f>
        <v>37031.5</v>
      </c>
      <c r="U51" s="11" cm="1">
        <f t="array" ref="U51">maxDepthToMinSOC($L$8,$L$9,P51,Q51,$O51,$G$5,$G$6,drivePower($C$4,$M51,$G51,$C$10,$C$11),$I51,$G51,$G$4,$C$8)</f>
        <v>15096</v>
      </c>
      <c r="V51" s="81" cm="1">
        <f t="array" ref="V51">maxDepthToMinSOC($L$8,$L$9,$L$6,$L$7,$O51*(1-R51),$G$5,$G$6,drivePower($C$4,$M51,$G51,$C$10,$C$11),$I51,$G51,$G$4,$C$8)</f>
        <v>34385.5</v>
      </c>
    </row>
    <row r="52" spans="7:22" x14ac:dyDescent="0.35">
      <c r="G52" s="55">
        <f t="shared" si="1"/>
        <v>1</v>
      </c>
      <c r="H52" s="57" cm="1">
        <f t="array" ref="H52">drivePower($C$4,$C$5,G52,$C$10,$C$11)</f>
        <v>16.399999999999999</v>
      </c>
      <c r="I52" s="74">
        <f t="shared" si="8"/>
        <v>24.679160599999999</v>
      </c>
      <c r="J52" s="74">
        <f t="shared" si="2"/>
        <v>41.079160599999994</v>
      </c>
      <c r="K52" s="56">
        <f t="shared" si="9"/>
        <v>231000</v>
      </c>
      <c r="L52" s="55">
        <f t="shared" si="3"/>
        <v>12.36</v>
      </c>
      <c r="M52" s="57">
        <f t="shared" si="10"/>
        <v>23.596</v>
      </c>
      <c r="N52" s="57" cm="1">
        <f t="array" ref="N52">drivePower($C$4,M52,$C$9,$C$10,$C$11)</f>
        <v>33.259039999999999</v>
      </c>
      <c r="O52" s="76">
        <f t="shared" si="0"/>
        <v>14968.800000000001</v>
      </c>
      <c r="P52" s="78">
        <f t="shared" si="5"/>
        <v>-1.08E-4</v>
      </c>
      <c r="Q52" s="79">
        <f t="shared" si="6"/>
        <v>0.82280000000000009</v>
      </c>
      <c r="R52" s="85">
        <v>0.15</v>
      </c>
      <c r="S52" s="82">
        <f t="shared" si="7"/>
        <v>231000</v>
      </c>
      <c r="T52" s="80" cm="1">
        <f t="array" ref="T52">maxDepthToMinSOC($L$8,$L$9,$L$6,$L$7,$O52,$G$5,$G$6,drivePower($C$4,$M52,$G52,$C$10,$C$11),$I52,$G52,$G$4,$C$8)</f>
        <v>37364.5</v>
      </c>
      <c r="U52" s="11" cm="1">
        <f t="array" ref="U52">maxDepthToMinSOC($L$8,$L$9,P52,Q52,$O52,$G$5,$G$6,drivePower($C$4,$M52,$G52,$C$10,$C$11),$I52,$G52,$G$4,$C$8)</f>
        <v>15162.25</v>
      </c>
      <c r="V52" s="81" cm="1">
        <f t="array" ref="V52">maxDepthToMinSOC($L$8,$L$9,$L$6,$L$7,$O52*(1-R52),$G$5,$G$6,drivePower($C$4,$M52,$G52,$C$10,$C$11),$I52,$G52,$G$4,$C$8)</f>
        <v>34725.25</v>
      </c>
    </row>
    <row r="53" spans="7:22" x14ac:dyDescent="0.35">
      <c r="G53" s="55">
        <f t="shared" si="1"/>
        <v>1</v>
      </c>
      <c r="H53" s="57" cm="1">
        <f t="array" ref="H53">drivePower($C$4,$C$5,G53,$C$10,$C$11)</f>
        <v>16.399999999999999</v>
      </c>
      <c r="I53" s="74">
        <f t="shared" si="8"/>
        <v>24.679160599999999</v>
      </c>
      <c r="J53" s="74">
        <f t="shared" si="2"/>
        <v>41.079160599999994</v>
      </c>
      <c r="K53" s="56">
        <f t="shared" si="9"/>
        <v>237600</v>
      </c>
      <c r="L53" s="55">
        <f t="shared" si="3"/>
        <v>12.72</v>
      </c>
      <c r="M53" s="57">
        <f t="shared" si="10"/>
        <v>23.992000000000004</v>
      </c>
      <c r="N53" s="57" cm="1">
        <f t="array" ref="N53">drivePower($C$4,M53,$C$9,$C$10,$C$11)</f>
        <v>33.750080000000004</v>
      </c>
      <c r="O53" s="76">
        <f t="shared" si="0"/>
        <v>15396.48</v>
      </c>
      <c r="P53" s="78">
        <f t="shared" si="5"/>
        <v>-1.08E-4</v>
      </c>
      <c r="Q53" s="79">
        <f t="shared" si="6"/>
        <v>0.82280000000000009</v>
      </c>
      <c r="R53" s="85">
        <v>0.15</v>
      </c>
      <c r="S53" s="82">
        <f t="shared" si="7"/>
        <v>237600</v>
      </c>
      <c r="T53" s="80" cm="1">
        <f t="array" ref="T53">maxDepthToMinSOC($L$8,$L$9,$L$6,$L$7,$O53,$G$5,$G$6,drivePower($C$4,$M53,$G53,$C$10,$C$11),$I53,$G53,$G$4,$C$8)</f>
        <v>37684.5</v>
      </c>
      <c r="U53" s="11" cm="1">
        <f t="array" ref="U53">maxDepthToMinSOC($L$8,$L$9,P53,Q53,$O53,$G$5,$G$6,drivePower($C$4,$M53,$G53,$C$10,$C$11),$I53,$G53,$G$4,$C$8)</f>
        <v>15225.5</v>
      </c>
      <c r="V53" s="81" cm="1">
        <f t="array" ref="V53">maxDepthToMinSOC($L$8,$L$9,$L$6,$L$7,$O53*(1-R53),$G$5,$G$6,drivePower($C$4,$M53,$G53,$C$10,$C$11),$I53,$G53,$G$4,$C$8)</f>
        <v>35052.25</v>
      </c>
    </row>
    <row r="54" spans="7:22" x14ac:dyDescent="0.35">
      <c r="G54" s="55">
        <f t="shared" si="1"/>
        <v>1</v>
      </c>
      <c r="H54" s="57" cm="1">
        <f t="array" ref="H54">drivePower($C$4,$C$5,G54,$C$10,$C$11)</f>
        <v>16.399999999999999</v>
      </c>
      <c r="I54" s="74">
        <f t="shared" si="8"/>
        <v>24.679160599999999</v>
      </c>
      <c r="J54" s="74">
        <f t="shared" si="2"/>
        <v>41.079160599999994</v>
      </c>
      <c r="K54" s="56">
        <f t="shared" si="9"/>
        <v>244200</v>
      </c>
      <c r="L54" s="55">
        <f t="shared" si="3"/>
        <v>13.08</v>
      </c>
      <c r="M54" s="57">
        <f t="shared" si="10"/>
        <v>24.388000000000002</v>
      </c>
      <c r="N54" s="57" cm="1">
        <f t="array" ref="N54">drivePower($C$4,M54,$C$9,$C$10,$C$11)</f>
        <v>34.241120000000002</v>
      </c>
      <c r="O54" s="76">
        <f t="shared" si="0"/>
        <v>15824.16</v>
      </c>
      <c r="P54" s="78">
        <f t="shared" si="5"/>
        <v>-1.08E-4</v>
      </c>
      <c r="Q54" s="79">
        <f t="shared" si="6"/>
        <v>0.82280000000000009</v>
      </c>
      <c r="R54" s="85">
        <v>0.15</v>
      </c>
      <c r="S54" s="82">
        <f t="shared" si="7"/>
        <v>244200</v>
      </c>
      <c r="T54" s="80" cm="1">
        <f t="array" ref="T54">maxDepthToMinSOC($L$8,$L$9,$L$6,$L$7,$O54,$G$5,$G$6,drivePower($C$4,$M54,$G54,$C$10,$C$11),$I54,$G54,$G$4,$C$8)</f>
        <v>37992</v>
      </c>
      <c r="U54" s="11" cm="1">
        <f t="array" ref="U54">maxDepthToMinSOC($L$8,$L$9,P54,Q54,$O54,$G$5,$G$6,drivePower($C$4,$M54,$G54,$C$10,$C$11),$I54,$G54,$G$4,$C$8)</f>
        <v>15285.75</v>
      </c>
      <c r="V54" s="81" cm="1">
        <f t="array" ref="V54">maxDepthToMinSOC($L$8,$L$9,$L$6,$L$7,$O54*(1-R54),$G$5,$G$6,drivePower($C$4,$M54,$G54,$C$10,$C$11),$I54,$G54,$G$4,$C$8)</f>
        <v>35367.25</v>
      </c>
    </row>
    <row r="55" spans="7:22" x14ac:dyDescent="0.35">
      <c r="G55" s="55">
        <f t="shared" si="1"/>
        <v>1</v>
      </c>
      <c r="H55" s="57" cm="1">
        <f t="array" ref="H55">drivePower($C$4,$C$5,G55,$C$10,$C$11)</f>
        <v>16.399999999999999</v>
      </c>
      <c r="I55" s="74">
        <f t="shared" si="8"/>
        <v>24.679160599999999</v>
      </c>
      <c r="J55" s="74">
        <f t="shared" si="2"/>
        <v>41.079160599999994</v>
      </c>
      <c r="K55" s="56">
        <f t="shared" si="9"/>
        <v>250800</v>
      </c>
      <c r="L55" s="55">
        <f t="shared" si="3"/>
        <v>13.44</v>
      </c>
      <c r="M55" s="57">
        <f t="shared" si="10"/>
        <v>24.783999999999999</v>
      </c>
      <c r="N55" s="57" cm="1">
        <f t="array" ref="N55">drivePower($C$4,M55,$C$9,$C$10,$C$11)</f>
        <v>34.732159999999993</v>
      </c>
      <c r="O55" s="76">
        <f t="shared" si="0"/>
        <v>16251.84</v>
      </c>
      <c r="P55" s="78">
        <f t="shared" si="5"/>
        <v>-1.08E-4</v>
      </c>
      <c r="Q55" s="79">
        <f t="shared" si="6"/>
        <v>0.82280000000000009</v>
      </c>
      <c r="R55" s="85">
        <v>0.15</v>
      </c>
      <c r="S55" s="82">
        <f t="shared" si="7"/>
        <v>250800</v>
      </c>
      <c r="T55" s="80" cm="1">
        <f t="array" ref="T55">maxDepthToMinSOC($L$8,$L$9,$L$6,$L$7,$O55,$G$5,$G$6,drivePower($C$4,$M55,$G55,$C$10,$C$11),$I55,$G55,$G$4,$C$8)</f>
        <v>38287.75</v>
      </c>
      <c r="U55" s="11" cm="1">
        <f t="array" ref="U55">maxDepthToMinSOC($L$8,$L$9,P55,Q55,$O55,$G$5,$G$6,drivePower($C$4,$M55,$G55,$C$10,$C$11),$I55,$G55,$G$4,$C$8)</f>
        <v>15343</v>
      </c>
      <c r="V55" s="81" cm="1">
        <f t="array" ref="V55">maxDepthToMinSOC($L$8,$L$9,$L$6,$L$7,$O55*(1-R55),$G$5,$G$6,drivePower($C$4,$M55,$G55,$C$10,$C$11),$I55,$G55,$G$4,$C$8)</f>
        <v>35670.5</v>
      </c>
    </row>
    <row r="56" spans="7:22" x14ac:dyDescent="0.35">
      <c r="G56" s="55">
        <f t="shared" si="1"/>
        <v>1</v>
      </c>
      <c r="H56" s="57" cm="1">
        <f t="array" ref="H56">drivePower($C$4,$C$5,G56,$C$10,$C$11)</f>
        <v>16.399999999999999</v>
      </c>
      <c r="I56" s="74">
        <f t="shared" si="8"/>
        <v>24.679160599999999</v>
      </c>
      <c r="J56" s="74">
        <f t="shared" si="2"/>
        <v>41.079160599999994</v>
      </c>
      <c r="K56" s="56">
        <f t="shared" si="9"/>
        <v>257400</v>
      </c>
      <c r="L56" s="55">
        <f t="shared" si="3"/>
        <v>13.8</v>
      </c>
      <c r="M56" s="57">
        <f t="shared" si="10"/>
        <v>25.18</v>
      </c>
      <c r="N56" s="57" cm="1">
        <f t="array" ref="N56">drivePower($C$4,M56,$C$9,$C$10,$C$11)</f>
        <v>35.223199999999999</v>
      </c>
      <c r="O56" s="76">
        <f t="shared" si="0"/>
        <v>16679.52</v>
      </c>
      <c r="P56" s="78">
        <f t="shared" si="5"/>
        <v>-1.08E-4</v>
      </c>
      <c r="Q56" s="79">
        <f t="shared" si="6"/>
        <v>0.82280000000000009</v>
      </c>
      <c r="R56" s="85">
        <v>0.15</v>
      </c>
      <c r="S56" s="82">
        <f t="shared" si="7"/>
        <v>257400</v>
      </c>
      <c r="T56" s="80" cm="1">
        <f t="array" ref="T56">maxDepthToMinSOC($L$8,$L$9,$L$6,$L$7,$O56,$G$5,$G$6,drivePower($C$4,$M56,$G56,$C$10,$C$11),$I56,$G56,$G$4,$C$8)</f>
        <v>38572.5</v>
      </c>
      <c r="U56" s="11" cm="1">
        <f t="array" ref="U56">maxDepthToMinSOC($L$8,$L$9,P56,Q56,$O56,$G$5,$G$6,drivePower($C$4,$M56,$G56,$C$10,$C$11),$I56,$G56,$G$4,$C$8)</f>
        <v>15398</v>
      </c>
      <c r="V56" s="81" cm="1">
        <f t="array" ref="V56">maxDepthToMinSOC($L$8,$L$9,$L$6,$L$7,$O56*(1-R56),$G$5,$G$6,drivePower($C$4,$M56,$G56,$C$10,$C$11),$I56,$G56,$G$4,$C$8)</f>
        <v>35962.75</v>
      </c>
    </row>
  </sheetData>
  <mergeCells count="3">
    <mergeCell ref="B2:F2"/>
    <mergeCell ref="P16:Q16"/>
    <mergeCell ref="S16:V16"/>
  </mergeCells>
  <conditionalFormatting sqref="C12">
    <cfRule type="cellIs" dxfId="0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zoomScaleNormal="100" workbookViewId="0">
      <selection activeCell="E13" sqref="E13"/>
    </sheetView>
  </sheetViews>
  <sheetFormatPr defaultRowHeight="14.5" x14ac:dyDescent="0.35"/>
  <cols>
    <col min="1" max="1" width="11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1" spans="2:19" ht="21.75" customHeight="1" x14ac:dyDescent="0.55000000000000004">
      <c r="B1" s="91" t="s">
        <v>80</v>
      </c>
      <c r="C1" s="91"/>
      <c r="D1" s="91"/>
      <c r="E1" s="91"/>
      <c r="F1" s="91"/>
    </row>
    <row r="3" spans="2:19" x14ac:dyDescent="0.35">
      <c r="B3" s="51" t="s">
        <v>66</v>
      </c>
      <c r="C3" s="3">
        <v>3.7207599999999998</v>
      </c>
      <c r="D3" s="3" t="s">
        <v>8</v>
      </c>
      <c r="E3" s="3"/>
      <c r="F3" s="51" t="s">
        <v>71</v>
      </c>
      <c r="G3" s="3">
        <v>12</v>
      </c>
      <c r="H3" s="3" t="s">
        <v>4</v>
      </c>
      <c r="J3" s="51" t="s">
        <v>13</v>
      </c>
      <c r="K3" s="11">
        <f>3.7*5</f>
        <v>18.5</v>
      </c>
      <c r="L3" s="3" t="s">
        <v>15</v>
      </c>
    </row>
    <row r="4" spans="2:19" x14ac:dyDescent="0.35">
      <c r="B4" s="51" t="s">
        <v>93</v>
      </c>
      <c r="C4" s="3">
        <v>10</v>
      </c>
      <c r="D4" s="3" t="s">
        <v>94</v>
      </c>
      <c r="F4" s="51" t="s">
        <v>111</v>
      </c>
      <c r="G4" s="3">
        <v>80000</v>
      </c>
      <c r="H4" s="3" t="s">
        <v>22</v>
      </c>
      <c r="J4" s="51" t="s">
        <v>14</v>
      </c>
      <c r="K4" s="3">
        <v>4400</v>
      </c>
      <c r="L4" s="3" t="s">
        <v>0</v>
      </c>
      <c r="M4" s="89" t="s">
        <v>77</v>
      </c>
      <c r="N4" s="90"/>
      <c r="O4" s="90"/>
      <c r="P4" s="90"/>
      <c r="Q4" s="11" t="e" cm="1">
        <f t="array" aca="1" ref="Q4" ca="1">CELL("contents",INDEX(C13:C636,MATCH("yes",P13:P636,0)))</f>
        <v>#N/A</v>
      </c>
      <c r="R4" s="53" t="s">
        <v>5</v>
      </c>
      <c r="S4" t="s">
        <v>99</v>
      </c>
    </row>
    <row r="5" spans="2:19" x14ac:dyDescent="0.35">
      <c r="B5" s="52" t="s">
        <v>106</v>
      </c>
      <c r="C5" s="52">
        <f>C3*C4</f>
        <v>37.207599999999999</v>
      </c>
      <c r="D5" s="52" t="s">
        <v>105</v>
      </c>
      <c r="F5" s="51" t="s">
        <v>112</v>
      </c>
      <c r="G5" s="3">
        <v>2250</v>
      </c>
      <c r="H5" s="3" t="s">
        <v>20</v>
      </c>
      <c r="J5" s="51" t="s">
        <v>1</v>
      </c>
      <c r="K5" s="9">
        <v>-3.6000000000000001E-5</v>
      </c>
      <c r="L5" s="3" t="s">
        <v>3</v>
      </c>
      <c r="M5" s="89" t="s">
        <v>78</v>
      </c>
      <c r="N5" s="90"/>
      <c r="O5" s="90"/>
      <c r="P5" s="90"/>
      <c r="Q5" s="11" t="e" cm="1">
        <f t="array" aca="1" ref="Q5" ca="1">CELL("contents",INDEX(C14:C636,MATCH("yes",O14:O636,0)))</f>
        <v>#N/A</v>
      </c>
      <c r="R5" s="53" t="s">
        <v>5</v>
      </c>
      <c r="S5" s="7" t="e" cm="1">
        <f t="array" ref="S5">maxDepthToMinSOC(H5,H6,C10,C11,C8,$H$4,$C$6,$H$10,$C$5,$C$7,$C$4)</f>
        <v>#VALUE!</v>
      </c>
    </row>
    <row r="6" spans="2:19" x14ac:dyDescent="0.35">
      <c r="B6" s="52" t="s">
        <v>115</v>
      </c>
      <c r="C6" s="71">
        <f>xxxxxx!C31</f>
        <v>6.6000000000000005</v>
      </c>
      <c r="D6" s="52" t="s">
        <v>7</v>
      </c>
      <c r="F6" s="52" t="s">
        <v>110</v>
      </c>
      <c r="G6" s="70">
        <f>G4/G5</f>
        <v>35.555555555555557</v>
      </c>
      <c r="H6" s="52" t="s">
        <v>59</v>
      </c>
      <c r="J6" s="51" t="s">
        <v>2</v>
      </c>
      <c r="K6" s="10">
        <v>0.93500000000000005</v>
      </c>
      <c r="L6" s="3" t="s">
        <v>3</v>
      </c>
    </row>
    <row r="7" spans="2:19" x14ac:dyDescent="0.35">
      <c r="B7" s="51" t="s">
        <v>10</v>
      </c>
      <c r="C7" s="3">
        <v>0.15</v>
      </c>
      <c r="D7" s="3" t="s">
        <v>5</v>
      </c>
      <c r="J7" s="51" t="s">
        <v>17</v>
      </c>
      <c r="K7" s="12">
        <v>1</v>
      </c>
      <c r="L7" s="3"/>
    </row>
    <row r="8" spans="2:19" x14ac:dyDescent="0.35">
      <c r="B8" s="51" t="s">
        <v>103</v>
      </c>
      <c r="C8" s="3">
        <v>0.25</v>
      </c>
      <c r="D8" s="3" t="s">
        <v>6</v>
      </c>
      <c r="F8" s="51" t="s">
        <v>158</v>
      </c>
      <c r="G8" s="3">
        <v>1500</v>
      </c>
      <c r="H8" s="3" t="s">
        <v>5</v>
      </c>
      <c r="J8" s="51" t="s">
        <v>18</v>
      </c>
      <c r="K8" s="12">
        <v>0.25</v>
      </c>
      <c r="L8" s="3"/>
    </row>
    <row r="9" spans="2:19" ht="19.5" customHeight="1" x14ac:dyDescent="0.35">
      <c r="B9" s="51" t="s">
        <v>104</v>
      </c>
      <c r="C9" s="3">
        <v>4</v>
      </c>
      <c r="D9" s="3" t="s">
        <v>105</v>
      </c>
      <c r="F9" s="86" t="s">
        <v>159</v>
      </c>
      <c r="G9" s="87">
        <f>1/C7*G8</f>
        <v>10000</v>
      </c>
      <c r="J9" s="52" t="s">
        <v>114</v>
      </c>
      <c r="K9" s="52">
        <f>K4*3.6/1000*K3</f>
        <v>293.04000000000002</v>
      </c>
      <c r="L9" s="52" t="s">
        <v>16</v>
      </c>
    </row>
    <row r="10" spans="2:19" x14ac:dyDescent="0.35">
      <c r="B10" s="51" t="s">
        <v>64</v>
      </c>
      <c r="C10" s="12">
        <v>0.25</v>
      </c>
      <c r="D10" s="3"/>
      <c r="F10" s="52" t="s">
        <v>160</v>
      </c>
      <c r="G10" s="88">
        <f>G9/G3</f>
        <v>833.33333333333337</v>
      </c>
      <c r="J10" s="52" t="s">
        <v>113</v>
      </c>
      <c r="K10" s="71" cm="1">
        <f t="array" ref="K10">UseableCapacity(K9,K7,K8)</f>
        <v>219.78000000000003</v>
      </c>
      <c r="L10" s="52" t="s">
        <v>16</v>
      </c>
    </row>
    <row r="11" spans="2:19" x14ac:dyDescent="0.35">
      <c r="B11" s="52" t="s">
        <v>19</v>
      </c>
      <c r="C11" s="52" cm="1">
        <f t="array" ref="C11">drivePower(C3,C4,C8,C9,C10)</f>
        <v>38.207599999999999</v>
      </c>
      <c r="D11" s="52" t="s">
        <v>7</v>
      </c>
      <c r="J11" s="52" t="s">
        <v>109</v>
      </c>
      <c r="K11" s="52">
        <f>K4*0.5</f>
        <v>2200</v>
      </c>
      <c r="L11" s="52" t="s">
        <v>107</v>
      </c>
    </row>
    <row r="12" spans="2:19" x14ac:dyDescent="0.35">
      <c r="F12" s="51" t="s">
        <v>74</v>
      </c>
      <c r="G12" s="3">
        <v>1</v>
      </c>
      <c r="J12" s="52" t="s">
        <v>108</v>
      </c>
      <c r="K12" s="52">
        <f>K11*K3/1000</f>
        <v>40.700000000000003</v>
      </c>
      <c r="L12" s="52" t="s">
        <v>59</v>
      </c>
    </row>
    <row r="13" spans="2:19" ht="72.5" x14ac:dyDescent="0.35">
      <c r="B13" s="49" t="s">
        <v>9</v>
      </c>
      <c r="C13" s="49" t="s">
        <v>11</v>
      </c>
      <c r="D13" s="49" t="s">
        <v>12</v>
      </c>
      <c r="E13" s="49" t="s">
        <v>21</v>
      </c>
      <c r="F13" s="49" t="s">
        <v>98</v>
      </c>
      <c r="G13" s="49" t="s">
        <v>65</v>
      </c>
      <c r="H13" s="49" t="s">
        <v>72</v>
      </c>
      <c r="I13" s="49" t="s">
        <v>69</v>
      </c>
      <c r="J13" s="49" t="s">
        <v>67</v>
      </c>
      <c r="K13" s="49" t="s">
        <v>70</v>
      </c>
      <c r="L13" s="49" t="s">
        <v>100</v>
      </c>
      <c r="M13" s="49" t="s">
        <v>68</v>
      </c>
      <c r="N13" s="49" t="s">
        <v>73</v>
      </c>
      <c r="O13" s="49" t="s">
        <v>75</v>
      </c>
      <c r="P13" s="49" t="s">
        <v>76</v>
      </c>
    </row>
    <row r="14" spans="2:19" x14ac:dyDescent="0.3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59" cm="1">
        <f t="array" ref="F14">estimatedTripDuration(C14,$C$7,$C$6)/60</f>
        <v>0.12666666732894052</v>
      </c>
      <c r="G14">
        <f>B14</f>
        <v>0</v>
      </c>
      <c r="H14" s="50">
        <f>G14/$G$3</f>
        <v>0</v>
      </c>
      <c r="I14" s="7" cm="1">
        <f t="array" ref="I14">CurrentCapacity(K$9,K$5,K$6,H14)</f>
        <v>273.99240000000003</v>
      </c>
      <c r="J14" s="48">
        <f>E14/I14</f>
        <v>0.3619634689176352</v>
      </c>
      <c r="K14" s="5" cm="1">
        <f t="array" ref="K14">UseableCapacity(I14,$K$7,$K$8)</f>
        <v>205.49430000000001</v>
      </c>
      <c r="L14" s="59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35">
      <c r="B15">
        <f t="shared" ref="B15:B78" si="0">B14+$G$12</f>
        <v>1</v>
      </c>
      <c r="C15" s="7">
        <f t="shared" ref="C15:C78" si="1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59" cm="1">
        <f t="array" ref="F15">estimatedTripDuration(C15,$C$7,$C$6)/60</f>
        <v>0.16000000066227385</v>
      </c>
      <c r="G15">
        <f t="shared" ref="G15:G78" si="2">B15</f>
        <v>1</v>
      </c>
      <c r="H15" s="50">
        <f t="shared" ref="H15:H78" si="3">G15/$G$3</f>
        <v>8.3333333333333329E-2</v>
      </c>
      <c r="I15" s="7" cm="1">
        <f t="array" ref="I15">CurrentCapacity(K$9,K$5,K$6,H15)</f>
        <v>273.99152088000005</v>
      </c>
      <c r="J15" s="48">
        <f t="shared" ref="J15:J78" si="4">E15/I15</f>
        <v>0.36216087403860781</v>
      </c>
      <c r="K15" s="5" cm="1">
        <f t="array" ref="K15">UseableCapacity(I15,$K$7,$K$8)</f>
        <v>205.49364066000004</v>
      </c>
      <c r="L15" s="59">
        <f t="shared" ref="L15:L78" si="5">(K$7*I15)-E15</f>
        <v>174.76251219893177</v>
      </c>
      <c r="M15" s="7">
        <f t="shared" ref="M15:M78" si="6">K15-E15</f>
        <v>106.26463197893176</v>
      </c>
      <c r="N15" s="7">
        <f t="shared" ref="N15:N78" si="7">$K$9-I15</f>
        <v>19.048479119999968</v>
      </c>
      <c r="O15" t="str">
        <f t="shared" ref="O15:O78" si="8">IF(M15&lt;0,"yes","no")</f>
        <v>no</v>
      </c>
      <c r="P15" t="str">
        <f t="shared" ref="P15:P78" si="9">IF(L15&lt;0,"yes","no")</f>
        <v>no</v>
      </c>
    </row>
    <row r="16" spans="2:19" x14ac:dyDescent="0.35">
      <c r="B16">
        <f t="shared" si="0"/>
        <v>2</v>
      </c>
      <c r="C16" s="7">
        <f t="shared" si="1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59" cm="1">
        <f t="array" ref="F16">estimatedTripDuration(C16,$C$7,$C$6)/60</f>
        <v>0.19333333399560718</v>
      </c>
      <c r="G16">
        <f t="shared" si="2"/>
        <v>2</v>
      </c>
      <c r="H16" s="50">
        <f t="shared" si="3"/>
        <v>0.16666666666666666</v>
      </c>
      <c r="I16" s="7" cm="1">
        <f t="array" ref="I16">CurrentCapacity(K$9,K$5,K$6,H16)</f>
        <v>273.99064176000007</v>
      </c>
      <c r="J16" s="48">
        <f t="shared" si="4"/>
        <v>0.36235828042635942</v>
      </c>
      <c r="K16" s="5" cm="1">
        <f t="array" ref="K16">UseableCapacity(I16,$K$7,$K$8)</f>
        <v>205.49298132000007</v>
      </c>
      <c r="L16" s="59">
        <f t="shared" si="5"/>
        <v>174.7078639589318</v>
      </c>
      <c r="M16" s="7">
        <f t="shared" si="6"/>
        <v>106.21020351893178</v>
      </c>
      <c r="N16" s="7">
        <f t="shared" si="7"/>
        <v>19.049358239999947</v>
      </c>
      <c r="O16" t="str">
        <f t="shared" si="8"/>
        <v>no</v>
      </c>
      <c r="P16" t="str">
        <f t="shared" si="9"/>
        <v>no</v>
      </c>
    </row>
    <row r="17" spans="2:16" x14ac:dyDescent="0.35">
      <c r="B17">
        <f t="shared" si="0"/>
        <v>3</v>
      </c>
      <c r="C17" s="7">
        <f t="shared" si="1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59" cm="1">
        <f t="array" ref="F17">estimatedTripDuration(C17,$C$7,$C$6)/60</f>
        <v>0.2266666673289405</v>
      </c>
      <c r="G17">
        <f t="shared" si="2"/>
        <v>3</v>
      </c>
      <c r="H17" s="50">
        <f t="shared" si="3"/>
        <v>0.25</v>
      </c>
      <c r="I17" s="7" cm="1">
        <f t="array" ref="I17">CurrentCapacity(K$9,K$5,K$6,H17)</f>
        <v>273.98976264000004</v>
      </c>
      <c r="J17" s="48">
        <f t="shared" si="4"/>
        <v>0.36255568808090216</v>
      </c>
      <c r="K17" s="5" cm="1">
        <f t="array" ref="K17">UseableCapacity(I17,$K$7,$K$8)</f>
        <v>205.49232198000004</v>
      </c>
      <c r="L17" s="59">
        <f t="shared" si="5"/>
        <v>174.65321571893176</v>
      </c>
      <c r="M17" s="7">
        <f t="shared" si="6"/>
        <v>106.15577505893177</v>
      </c>
      <c r="N17" s="7">
        <f t="shared" si="7"/>
        <v>19.050237359999983</v>
      </c>
      <c r="O17" t="str">
        <f t="shared" si="8"/>
        <v>no</v>
      </c>
      <c r="P17" t="str">
        <f t="shared" si="9"/>
        <v>no</v>
      </c>
    </row>
    <row r="18" spans="2:16" x14ac:dyDescent="0.35">
      <c r="B18">
        <f t="shared" si="0"/>
        <v>4</v>
      </c>
      <c r="C18" s="7">
        <f t="shared" si="1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59" cm="1">
        <f t="array" ref="F18">estimatedTripDuration(C18,$C$7,$C$6)/60</f>
        <v>0.2600000006622738</v>
      </c>
      <c r="G18">
        <f t="shared" si="2"/>
        <v>4</v>
      </c>
      <c r="H18" s="50">
        <f t="shared" si="3"/>
        <v>0.33333333333333331</v>
      </c>
      <c r="I18" s="7" cm="1">
        <f t="array" ref="I18">CurrentCapacity(K$9,K$5,K$6,H18)</f>
        <v>273.98888352000006</v>
      </c>
      <c r="J18" s="48">
        <f t="shared" si="4"/>
        <v>0.36275309700224834</v>
      </c>
      <c r="K18" s="5" cm="1">
        <f t="array" ref="K18">UseableCapacity(I18,$K$7,$K$8)</f>
        <v>205.49166264000004</v>
      </c>
      <c r="L18" s="59">
        <f t="shared" si="5"/>
        <v>174.59856747893176</v>
      </c>
      <c r="M18" s="7">
        <f t="shared" si="6"/>
        <v>106.10134659893174</v>
      </c>
      <c r="N18" s="7">
        <f t="shared" si="7"/>
        <v>19.051116479999962</v>
      </c>
      <c r="O18" t="str">
        <f t="shared" si="8"/>
        <v>no</v>
      </c>
      <c r="P18" t="str">
        <f t="shared" si="9"/>
        <v>no</v>
      </c>
    </row>
    <row r="19" spans="2:16" x14ac:dyDescent="0.35">
      <c r="B19">
        <f t="shared" si="0"/>
        <v>5</v>
      </c>
      <c r="C19" s="7">
        <f t="shared" si="1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59" cm="1">
        <f t="array" ref="F19">estimatedTripDuration(C19,$C$7,$C$6)/60</f>
        <v>0.29333333399560713</v>
      </c>
      <c r="G19">
        <f t="shared" si="2"/>
        <v>5</v>
      </c>
      <c r="H19" s="50">
        <f t="shared" si="3"/>
        <v>0.41666666666666669</v>
      </c>
      <c r="I19" s="7" cm="1">
        <f t="array" ref="I19">CurrentCapacity(K$9,K$5,K$6,H19)</f>
        <v>273.98800440000002</v>
      </c>
      <c r="J19" s="48">
        <f t="shared" si="4"/>
        <v>0.36295050719041</v>
      </c>
      <c r="K19" s="5" cm="1">
        <f t="array" ref="K19">UseableCapacity(I19,$K$7,$K$8)</f>
        <v>205.49100330000002</v>
      </c>
      <c r="L19" s="59">
        <f t="shared" si="5"/>
        <v>174.54391923893172</v>
      </c>
      <c r="M19" s="7">
        <f t="shared" si="6"/>
        <v>106.04691813893172</v>
      </c>
      <c r="N19" s="7">
        <f t="shared" si="7"/>
        <v>19.051995599999998</v>
      </c>
      <c r="O19" t="str">
        <f t="shared" si="8"/>
        <v>no</v>
      </c>
      <c r="P19" t="str">
        <f t="shared" si="9"/>
        <v>no</v>
      </c>
    </row>
    <row r="20" spans="2:16" x14ac:dyDescent="0.35">
      <c r="B20">
        <f t="shared" si="0"/>
        <v>6</v>
      </c>
      <c r="C20" s="7">
        <f t="shared" si="1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59" cm="1">
        <f t="array" ref="F20">estimatedTripDuration(C20,$C$7,$C$6)/60</f>
        <v>0.32666666732894051</v>
      </c>
      <c r="G20">
        <f t="shared" si="2"/>
        <v>6</v>
      </c>
      <c r="H20" s="50">
        <f t="shared" si="3"/>
        <v>0.5</v>
      </c>
      <c r="I20" s="7" cm="1">
        <f t="array" ref="I20">CurrentCapacity(K$9,K$5,K$6,H20)</f>
        <v>273.98712528000004</v>
      </c>
      <c r="J20" s="48">
        <f t="shared" si="4"/>
        <v>0.3631479186453993</v>
      </c>
      <c r="K20" s="5" cm="1">
        <f t="array" ref="K20">UseableCapacity(I20,$K$7,$K$8)</f>
        <v>205.49034396000002</v>
      </c>
      <c r="L20" s="59">
        <f t="shared" si="5"/>
        <v>174.48927099893177</v>
      </c>
      <c r="M20" s="7">
        <f t="shared" si="6"/>
        <v>105.99248967893173</v>
      </c>
      <c r="N20" s="7">
        <f t="shared" si="7"/>
        <v>19.052874719999977</v>
      </c>
      <c r="O20" t="str">
        <f t="shared" si="8"/>
        <v>no</v>
      </c>
      <c r="P20" t="str">
        <f t="shared" si="9"/>
        <v>no</v>
      </c>
    </row>
    <row r="21" spans="2:16" x14ac:dyDescent="0.35">
      <c r="B21">
        <f t="shared" si="0"/>
        <v>7</v>
      </c>
      <c r="C21" s="7">
        <f t="shared" si="1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59" cm="1">
        <f t="array" ref="F21">estimatedTripDuration(C21,$C$7,$C$6)/60</f>
        <v>0.36000000066227389</v>
      </c>
      <c r="G21">
        <f t="shared" si="2"/>
        <v>7</v>
      </c>
      <c r="H21" s="50">
        <f t="shared" si="3"/>
        <v>0.58333333333333337</v>
      </c>
      <c r="I21" s="7" cm="1">
        <f t="array" ref="I21">CurrentCapacity(K$9,K$5,K$6,H21)</f>
        <v>273.98624616000001</v>
      </c>
      <c r="J21" s="48">
        <f t="shared" si="4"/>
        <v>0.36334533136722869</v>
      </c>
      <c r="K21" s="5" cm="1">
        <f t="array" ref="K21">UseableCapacity(I21,$K$7,$K$8)</f>
        <v>205.48968461999999</v>
      </c>
      <c r="L21" s="59">
        <f t="shared" si="5"/>
        <v>174.43462275893171</v>
      </c>
      <c r="M21" s="7">
        <f t="shared" si="6"/>
        <v>105.93806121893169</v>
      </c>
      <c r="N21" s="7">
        <f t="shared" si="7"/>
        <v>19.053753840000013</v>
      </c>
      <c r="O21" t="str">
        <f t="shared" si="8"/>
        <v>no</v>
      </c>
      <c r="P21" t="str">
        <f t="shared" si="9"/>
        <v>no</v>
      </c>
    </row>
    <row r="22" spans="2:16" x14ac:dyDescent="0.35">
      <c r="B22">
        <f t="shared" si="0"/>
        <v>8</v>
      </c>
      <c r="C22" s="7">
        <f t="shared" si="1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59" cm="1">
        <f t="array" ref="F22">estimatedTripDuration(C22,$C$7,$C$6)/60</f>
        <v>0.39333333399560721</v>
      </c>
      <c r="G22">
        <f t="shared" si="2"/>
        <v>8</v>
      </c>
      <c r="H22" s="50">
        <f t="shared" si="3"/>
        <v>0.66666666666666663</v>
      </c>
      <c r="I22" s="7" cm="1">
        <f t="array" ref="I22">CurrentCapacity(K$9,K$5,K$6,H22)</f>
        <v>273.98536704000003</v>
      </c>
      <c r="J22" s="48">
        <f t="shared" si="4"/>
        <v>0.36354274535591008</v>
      </c>
      <c r="K22" s="5" cm="1">
        <f t="array" ref="K22">UseableCapacity(I22,$K$7,$K$8)</f>
        <v>205.48902528000002</v>
      </c>
      <c r="L22" s="59">
        <f t="shared" si="5"/>
        <v>174.37997451893173</v>
      </c>
      <c r="M22" s="7">
        <f t="shared" si="6"/>
        <v>105.88363275893172</v>
      </c>
      <c r="N22" s="7">
        <f t="shared" si="7"/>
        <v>19.054632959999992</v>
      </c>
      <c r="O22" t="str">
        <f t="shared" si="8"/>
        <v>no</v>
      </c>
      <c r="P22" t="str">
        <f t="shared" si="9"/>
        <v>no</v>
      </c>
    </row>
    <row r="23" spans="2:16" x14ac:dyDescent="0.35">
      <c r="B23">
        <f t="shared" si="0"/>
        <v>9</v>
      </c>
      <c r="C23" s="7">
        <f t="shared" si="1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59" cm="1">
        <f t="array" ref="F23">estimatedTripDuration(C23,$C$7,$C$6)/60</f>
        <v>0.42666666732894054</v>
      </c>
      <c r="G23">
        <f t="shared" si="2"/>
        <v>9</v>
      </c>
      <c r="H23" s="50">
        <f t="shared" si="3"/>
        <v>0.75</v>
      </c>
      <c r="I23" s="7" cm="1">
        <f t="array" ref="I23">CurrentCapacity(K$9,K$5,K$6,H23)</f>
        <v>273.98448792000005</v>
      </c>
      <c r="J23" s="48">
        <f t="shared" si="4"/>
        <v>0.36374016061145581</v>
      </c>
      <c r="K23" s="5" cm="1">
        <f t="array" ref="K23">UseableCapacity(I23,$K$7,$K$8)</f>
        <v>205.48836594000005</v>
      </c>
      <c r="L23" s="59">
        <f t="shared" si="5"/>
        <v>174.32532627893175</v>
      </c>
      <c r="M23" s="7">
        <f t="shared" si="6"/>
        <v>105.82920429893176</v>
      </c>
      <c r="N23" s="7">
        <f t="shared" si="7"/>
        <v>19.055512079999971</v>
      </c>
      <c r="O23" t="str">
        <f t="shared" si="8"/>
        <v>no</v>
      </c>
      <c r="P23" t="str">
        <f t="shared" si="9"/>
        <v>no</v>
      </c>
    </row>
    <row r="24" spans="2:16" x14ac:dyDescent="0.35">
      <c r="B24">
        <f t="shared" si="0"/>
        <v>10</v>
      </c>
      <c r="C24" s="7">
        <f t="shared" si="1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59" cm="1">
        <f t="array" ref="F24">estimatedTripDuration(C24,$C$7,$C$6)/60</f>
        <v>0.46000000066227387</v>
      </c>
      <c r="G24">
        <f t="shared" si="2"/>
        <v>10</v>
      </c>
      <c r="H24" s="50">
        <f t="shared" si="3"/>
        <v>0.83333333333333337</v>
      </c>
      <c r="I24" s="7" cm="1">
        <f t="array" ref="I24">CurrentCapacity(K$9,K$5,K$6,H24)</f>
        <v>273.98360880000007</v>
      </c>
      <c r="J24" s="48">
        <f t="shared" si="4"/>
        <v>0.36393757713387803</v>
      </c>
      <c r="K24" s="5" cm="1">
        <f t="array" ref="K24">UseableCapacity(I24,$K$7,$K$8)</f>
        <v>205.48770660000005</v>
      </c>
      <c r="L24" s="59">
        <f t="shared" si="5"/>
        <v>174.27067803893178</v>
      </c>
      <c r="M24" s="7">
        <f t="shared" si="6"/>
        <v>105.77477583893176</v>
      </c>
      <c r="N24" s="7">
        <f t="shared" si="7"/>
        <v>19.05639119999995</v>
      </c>
      <c r="O24" t="str">
        <f t="shared" si="8"/>
        <v>no</v>
      </c>
      <c r="P24" t="str">
        <f t="shared" si="9"/>
        <v>no</v>
      </c>
    </row>
    <row r="25" spans="2:16" x14ac:dyDescent="0.35">
      <c r="B25">
        <f t="shared" si="0"/>
        <v>11</v>
      </c>
      <c r="C25" s="7">
        <f t="shared" si="1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59" cm="1">
        <f t="array" ref="F25">estimatedTripDuration(C25,$C$7,$C$6)/60</f>
        <v>0.49333333399560719</v>
      </c>
      <c r="G25">
        <f t="shared" si="2"/>
        <v>11</v>
      </c>
      <c r="H25" s="50">
        <f t="shared" si="3"/>
        <v>0.91666666666666663</v>
      </c>
      <c r="I25" s="7" cm="1">
        <f t="array" ref="I25">CurrentCapacity(K$9,K$5,K$6,H25)</f>
        <v>273.98272968000003</v>
      </c>
      <c r="J25" s="48">
        <f t="shared" si="4"/>
        <v>0.36413499492318907</v>
      </c>
      <c r="K25" s="5" cm="1">
        <f t="array" ref="K25">UseableCapacity(I25,$K$7,$K$8)</f>
        <v>205.48704726000003</v>
      </c>
      <c r="L25" s="59">
        <f t="shared" si="5"/>
        <v>174.21602979893174</v>
      </c>
      <c r="M25" s="7">
        <f t="shared" si="6"/>
        <v>105.72034737893173</v>
      </c>
      <c r="N25" s="7">
        <f t="shared" si="7"/>
        <v>19.057270319999986</v>
      </c>
      <c r="O25" t="str">
        <f t="shared" si="8"/>
        <v>no</v>
      </c>
      <c r="P25" t="str">
        <f t="shared" si="9"/>
        <v>no</v>
      </c>
    </row>
    <row r="26" spans="2:16" x14ac:dyDescent="0.35">
      <c r="B26">
        <f t="shared" si="0"/>
        <v>12</v>
      </c>
      <c r="C26" s="7">
        <f t="shared" si="1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59" cm="1">
        <f t="array" ref="F26">estimatedTripDuration(C26,$C$7,$C$6)/60</f>
        <v>0.52666666732894052</v>
      </c>
      <c r="G26">
        <f t="shared" si="2"/>
        <v>12</v>
      </c>
      <c r="H26" s="50">
        <f t="shared" si="3"/>
        <v>1</v>
      </c>
      <c r="I26" s="7" cm="1">
        <f t="array" ref="I26">CurrentCapacity(K$9,K$5,K$6,H26)</f>
        <v>273.98185056</v>
      </c>
      <c r="J26" s="48">
        <f t="shared" si="4"/>
        <v>0.36433241397940103</v>
      </c>
      <c r="K26" s="5" cm="1">
        <f t="array" ref="K26">UseableCapacity(I26,$K$7,$K$8)</f>
        <v>205.48638792</v>
      </c>
      <c r="L26" s="59">
        <f t="shared" si="5"/>
        <v>174.16138155893168</v>
      </c>
      <c r="M26" s="7">
        <f t="shared" si="6"/>
        <v>105.66591891893169</v>
      </c>
      <c r="N26" s="7">
        <f t="shared" si="7"/>
        <v>19.058149440000022</v>
      </c>
      <c r="O26" t="str">
        <f t="shared" si="8"/>
        <v>no</v>
      </c>
      <c r="P26" t="str">
        <f t="shared" si="9"/>
        <v>no</v>
      </c>
    </row>
    <row r="27" spans="2:16" x14ac:dyDescent="0.35">
      <c r="B27">
        <f t="shared" si="0"/>
        <v>13</v>
      </c>
      <c r="C27" s="7">
        <f t="shared" si="1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59" cm="1">
        <f t="array" ref="F27">estimatedTripDuration(C27,$C$7,$C$6)/60</f>
        <v>0.56000000066227384</v>
      </c>
      <c r="G27">
        <f t="shared" si="2"/>
        <v>13</v>
      </c>
      <c r="H27" s="50">
        <f t="shared" si="3"/>
        <v>1.0833333333333333</v>
      </c>
      <c r="I27" s="7" cm="1">
        <f t="array" ref="I27">CurrentCapacity(K$9,K$5,K$6,H27)</f>
        <v>273.98097144000002</v>
      </c>
      <c r="J27" s="48">
        <f t="shared" si="4"/>
        <v>0.36452983430252589</v>
      </c>
      <c r="K27" s="5" cm="1">
        <f t="array" ref="K27">UseableCapacity(I27,$K$7,$K$8)</f>
        <v>205.48572858</v>
      </c>
      <c r="L27" s="59">
        <f t="shared" si="5"/>
        <v>174.10673331893173</v>
      </c>
      <c r="M27" s="7">
        <f t="shared" si="6"/>
        <v>105.61149045893171</v>
      </c>
      <c r="N27" s="7">
        <f t="shared" si="7"/>
        <v>19.059028560000002</v>
      </c>
      <c r="O27" t="str">
        <f t="shared" si="8"/>
        <v>no</v>
      </c>
      <c r="P27" t="str">
        <f t="shared" si="9"/>
        <v>no</v>
      </c>
    </row>
    <row r="28" spans="2:16" x14ac:dyDescent="0.35">
      <c r="B28">
        <f t="shared" si="0"/>
        <v>14</v>
      </c>
      <c r="C28" s="7">
        <f t="shared" si="1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59" cm="1">
        <f t="array" ref="F28">estimatedTripDuration(C28,$C$7,$C$6)/60</f>
        <v>0.59333333399560728</v>
      </c>
      <c r="G28">
        <f t="shared" si="2"/>
        <v>14</v>
      </c>
      <c r="H28" s="50">
        <f t="shared" si="3"/>
        <v>1.1666666666666667</v>
      </c>
      <c r="I28" s="7" cm="1">
        <f t="array" ref="I28">CurrentCapacity(K$9,K$5,K$6,H28)</f>
        <v>273.98009232000004</v>
      </c>
      <c r="J28" s="48">
        <f t="shared" si="4"/>
        <v>0.36472725589257621</v>
      </c>
      <c r="K28" s="5" cm="1">
        <f t="array" ref="K28">UseableCapacity(I28,$K$7,$K$8)</f>
        <v>205.48506924000003</v>
      </c>
      <c r="L28" s="59">
        <f t="shared" si="5"/>
        <v>174.05208507893173</v>
      </c>
      <c r="M28" s="7">
        <f t="shared" si="6"/>
        <v>105.55706199893173</v>
      </c>
      <c r="N28" s="7">
        <f t="shared" si="7"/>
        <v>19.059907679999981</v>
      </c>
      <c r="O28" t="str">
        <f t="shared" si="8"/>
        <v>no</v>
      </c>
      <c r="P28" t="str">
        <f t="shared" si="9"/>
        <v>no</v>
      </c>
    </row>
    <row r="29" spans="2:16" x14ac:dyDescent="0.35">
      <c r="B29">
        <f t="shared" si="0"/>
        <v>15</v>
      </c>
      <c r="C29" s="7">
        <f t="shared" si="1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59" cm="1">
        <f t="array" ref="F29">estimatedTripDuration(C29,$C$7,$C$6)/60</f>
        <v>0.6266666673289405</v>
      </c>
      <c r="G29">
        <f t="shared" si="2"/>
        <v>15</v>
      </c>
      <c r="H29" s="50">
        <f t="shared" si="3"/>
        <v>1.25</v>
      </c>
      <c r="I29" s="7" cm="1">
        <f t="array" ref="I29">CurrentCapacity(K$9,K$5,K$6,H29)</f>
        <v>273.97921320000006</v>
      </c>
      <c r="J29" s="48">
        <f t="shared" si="4"/>
        <v>0.36492467874956386</v>
      </c>
      <c r="K29" s="5" cm="1">
        <f t="array" ref="K29">UseableCapacity(I29,$K$7,$K$8)</f>
        <v>205.48440990000006</v>
      </c>
      <c r="L29" s="59">
        <f t="shared" si="5"/>
        <v>173.99743683893178</v>
      </c>
      <c r="M29" s="7">
        <f t="shared" si="6"/>
        <v>105.50263353893178</v>
      </c>
      <c r="N29" s="7">
        <f t="shared" si="7"/>
        <v>19.06078679999996</v>
      </c>
      <c r="O29" t="str">
        <f t="shared" si="8"/>
        <v>no</v>
      </c>
      <c r="P29" t="str">
        <f t="shared" si="9"/>
        <v>no</v>
      </c>
    </row>
    <row r="30" spans="2:16" x14ac:dyDescent="0.35">
      <c r="B30">
        <f t="shared" si="0"/>
        <v>16</v>
      </c>
      <c r="C30" s="7">
        <f t="shared" si="1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59" cm="1">
        <f t="array" ref="F30">estimatedTripDuration(C30,$C$7,$C$6)/60</f>
        <v>0.66000000066227382</v>
      </c>
      <c r="G30">
        <f t="shared" si="2"/>
        <v>16</v>
      </c>
      <c r="H30" s="50">
        <f t="shared" si="3"/>
        <v>1.3333333333333333</v>
      </c>
      <c r="I30" s="7" cm="1">
        <f t="array" ref="I30">CurrentCapacity(K$9,K$5,K$6,H30)</f>
        <v>273.97833408000002</v>
      </c>
      <c r="J30" s="48">
        <f t="shared" si="4"/>
        <v>0.36512210287350133</v>
      </c>
      <c r="K30" s="5" cm="1">
        <f t="array" ref="K30">UseableCapacity(I30,$K$7,$K$8)</f>
        <v>205.48375056000003</v>
      </c>
      <c r="L30" s="59">
        <f t="shared" si="5"/>
        <v>173.94278859893174</v>
      </c>
      <c r="M30" s="7">
        <f t="shared" si="6"/>
        <v>105.44820507893175</v>
      </c>
      <c r="N30" s="7">
        <f t="shared" si="7"/>
        <v>19.061665919999996</v>
      </c>
      <c r="O30" t="str">
        <f t="shared" si="8"/>
        <v>no</v>
      </c>
      <c r="P30" t="str">
        <f t="shared" si="9"/>
        <v>no</v>
      </c>
    </row>
    <row r="31" spans="2:16" x14ac:dyDescent="0.35">
      <c r="B31">
        <f t="shared" si="0"/>
        <v>17</v>
      </c>
      <c r="C31" s="7">
        <f t="shared" si="1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59" cm="1">
        <f t="array" ref="F31">estimatedTripDuration(C31,$C$7,$C$6)/60</f>
        <v>0.69333333399560715</v>
      </c>
      <c r="G31">
        <f t="shared" si="2"/>
        <v>17</v>
      </c>
      <c r="H31" s="50">
        <f t="shared" si="3"/>
        <v>1.4166666666666667</v>
      </c>
      <c r="I31" s="7" cm="1">
        <f t="array" ref="I31">CurrentCapacity(K$9,K$5,K$6,H31)</f>
        <v>273.97745496000005</v>
      </c>
      <c r="J31" s="48">
        <f t="shared" si="4"/>
        <v>0.36531952826440067</v>
      </c>
      <c r="K31" s="5" cm="1">
        <f t="array" ref="K31">UseableCapacity(I31,$K$7,$K$8)</f>
        <v>205.48309122000003</v>
      </c>
      <c r="L31" s="59">
        <f t="shared" si="5"/>
        <v>173.88814035893176</v>
      </c>
      <c r="M31" s="7">
        <f t="shared" si="6"/>
        <v>105.39377661893174</v>
      </c>
      <c r="N31" s="7">
        <f t="shared" si="7"/>
        <v>19.062545039999975</v>
      </c>
      <c r="O31" t="str">
        <f t="shared" si="8"/>
        <v>no</v>
      </c>
      <c r="P31" t="str">
        <f t="shared" si="9"/>
        <v>no</v>
      </c>
    </row>
    <row r="32" spans="2:16" x14ac:dyDescent="0.35">
      <c r="B32">
        <f t="shared" si="0"/>
        <v>18</v>
      </c>
      <c r="C32" s="7">
        <f t="shared" si="1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59" cm="1">
        <f t="array" ref="F32">estimatedTripDuration(C32,$C$7,$C$6)/60</f>
        <v>0.72666666732894047</v>
      </c>
      <c r="G32">
        <f t="shared" si="2"/>
        <v>18</v>
      </c>
      <c r="H32" s="50">
        <f t="shared" si="3"/>
        <v>1.5</v>
      </c>
      <c r="I32" s="7" cm="1">
        <f t="array" ref="I32">CurrentCapacity(K$9,K$5,K$6,H32)</f>
        <v>273.97657584000001</v>
      </c>
      <c r="J32" s="48">
        <f t="shared" si="4"/>
        <v>0.36551695492227404</v>
      </c>
      <c r="K32" s="5" cm="1">
        <f t="array" ref="K32">UseableCapacity(I32,$K$7,$K$8)</f>
        <v>205.48243188000001</v>
      </c>
      <c r="L32" s="59">
        <f t="shared" si="5"/>
        <v>173.83349211893173</v>
      </c>
      <c r="M32" s="7">
        <f t="shared" si="6"/>
        <v>105.33934815893173</v>
      </c>
      <c r="N32" s="7">
        <f t="shared" si="7"/>
        <v>19.063424160000011</v>
      </c>
      <c r="O32" t="str">
        <f t="shared" si="8"/>
        <v>no</v>
      </c>
      <c r="P32" t="str">
        <f t="shared" si="9"/>
        <v>no</v>
      </c>
    </row>
    <row r="33" spans="2:16" x14ac:dyDescent="0.35">
      <c r="B33">
        <f t="shared" si="0"/>
        <v>19</v>
      </c>
      <c r="C33" s="7">
        <f t="shared" si="1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59" cm="1">
        <f t="array" ref="F33">estimatedTripDuration(C33,$C$7,$C$6)/60</f>
        <v>0.7600000006622738</v>
      </c>
      <c r="G33">
        <f t="shared" si="2"/>
        <v>19</v>
      </c>
      <c r="H33" s="50">
        <f t="shared" si="3"/>
        <v>1.5833333333333333</v>
      </c>
      <c r="I33" s="7" cm="1">
        <f t="array" ref="I33">CurrentCapacity(K$9,K$5,K$6,H33)</f>
        <v>273.97569672000003</v>
      </c>
      <c r="J33" s="48">
        <f t="shared" si="4"/>
        <v>0.36571438284713376</v>
      </c>
      <c r="K33" s="5" cm="1">
        <f t="array" ref="K33">UseableCapacity(I33,$K$7,$K$8)</f>
        <v>205.48177254000001</v>
      </c>
      <c r="L33" s="59">
        <f t="shared" si="5"/>
        <v>173.77884387893172</v>
      </c>
      <c r="M33" s="7">
        <f t="shared" si="6"/>
        <v>105.2849196989317</v>
      </c>
      <c r="N33" s="7">
        <f t="shared" si="7"/>
        <v>19.06430327999999</v>
      </c>
      <c r="O33" t="str">
        <f t="shared" si="8"/>
        <v>no</v>
      </c>
      <c r="P33" t="str">
        <f t="shared" si="9"/>
        <v>no</v>
      </c>
    </row>
    <row r="34" spans="2:16" x14ac:dyDescent="0.35">
      <c r="B34">
        <f t="shared" si="0"/>
        <v>20</v>
      </c>
      <c r="C34" s="7">
        <f t="shared" si="1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59" cm="1">
        <f t="array" ref="F34">estimatedTripDuration(C34,$C$7,$C$6)/60</f>
        <v>0.79333333399560713</v>
      </c>
      <c r="G34">
        <f t="shared" si="2"/>
        <v>20</v>
      </c>
      <c r="H34" s="50">
        <f t="shared" si="3"/>
        <v>1.6666666666666667</v>
      </c>
      <c r="I34" s="7" cm="1">
        <f t="array" ref="I34">CurrentCapacity(K$9,K$5,K$6,H34)</f>
        <v>273.97481760000005</v>
      </c>
      <c r="J34" s="48">
        <f t="shared" si="4"/>
        <v>0.36591181203899181</v>
      </c>
      <c r="K34" s="5" cm="1">
        <f t="array" ref="K34">UseableCapacity(I34,$K$7,$K$8)</f>
        <v>205.48111320000004</v>
      </c>
      <c r="L34" s="59">
        <f t="shared" si="5"/>
        <v>173.72419563893175</v>
      </c>
      <c r="M34" s="7">
        <f t="shared" si="6"/>
        <v>105.23049123893175</v>
      </c>
      <c r="N34" s="7">
        <f t="shared" si="7"/>
        <v>19.065182399999969</v>
      </c>
      <c r="O34" t="str">
        <f t="shared" si="8"/>
        <v>no</v>
      </c>
      <c r="P34" t="str">
        <f t="shared" si="9"/>
        <v>no</v>
      </c>
    </row>
    <row r="35" spans="2:16" x14ac:dyDescent="0.35">
      <c r="B35">
        <f t="shared" si="0"/>
        <v>21</v>
      </c>
      <c r="C35" s="7">
        <f t="shared" si="1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59" cm="1">
        <f t="array" ref="F35">estimatedTripDuration(C35,$C$7,$C$6)/60</f>
        <v>0.82666666732894045</v>
      </c>
      <c r="G35">
        <f t="shared" si="2"/>
        <v>21</v>
      </c>
      <c r="H35" s="50">
        <f t="shared" si="3"/>
        <v>1.75</v>
      </c>
      <c r="I35" s="7" cm="1">
        <f t="array" ref="I35">CurrentCapacity(K$9,K$5,K$6,H35)</f>
        <v>273.97393848000002</v>
      </c>
      <c r="J35" s="48">
        <f t="shared" si="4"/>
        <v>0.3661092424978607</v>
      </c>
      <c r="K35" s="5" cm="1">
        <f t="array" ref="K35">UseableCapacity(I35,$K$7,$K$8)</f>
        <v>205.48045386000001</v>
      </c>
      <c r="L35" s="59">
        <f t="shared" si="5"/>
        <v>173.66954739893174</v>
      </c>
      <c r="M35" s="7">
        <f t="shared" si="6"/>
        <v>105.17606277893172</v>
      </c>
      <c r="N35" s="7">
        <f t="shared" si="7"/>
        <v>19.066061520000005</v>
      </c>
      <c r="O35" t="str">
        <f t="shared" si="8"/>
        <v>no</v>
      </c>
      <c r="P35" t="str">
        <f t="shared" si="9"/>
        <v>no</v>
      </c>
    </row>
    <row r="36" spans="2:16" x14ac:dyDescent="0.35">
      <c r="B36">
        <f t="shared" si="0"/>
        <v>22</v>
      </c>
      <c r="C36" s="7">
        <f t="shared" si="1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59" cm="1">
        <f t="array" ref="F36">estimatedTripDuration(C36,$C$7,$C$6)/60</f>
        <v>0.86000000066227378</v>
      </c>
      <c r="G36">
        <f t="shared" si="2"/>
        <v>22</v>
      </c>
      <c r="H36" s="50">
        <f t="shared" si="3"/>
        <v>1.8333333333333333</v>
      </c>
      <c r="I36" s="7" cm="1">
        <f t="array" ref="I36">CurrentCapacity(K$9,K$5,K$6,H36)</f>
        <v>273.97305936000004</v>
      </c>
      <c r="J36" s="48">
        <f t="shared" si="4"/>
        <v>0.36630667422375235</v>
      </c>
      <c r="K36" s="5" cm="1">
        <f t="array" ref="K36">UseableCapacity(I36,$K$7,$K$8)</f>
        <v>205.47979452000004</v>
      </c>
      <c r="L36" s="59">
        <f t="shared" si="5"/>
        <v>173.61489915893173</v>
      </c>
      <c r="M36" s="7">
        <f t="shared" si="6"/>
        <v>105.12163431893174</v>
      </c>
      <c r="N36" s="7">
        <f t="shared" si="7"/>
        <v>19.066940639999984</v>
      </c>
      <c r="O36" t="str">
        <f t="shared" si="8"/>
        <v>no</v>
      </c>
      <c r="P36" t="str">
        <f t="shared" si="9"/>
        <v>no</v>
      </c>
    </row>
    <row r="37" spans="2:16" x14ac:dyDescent="0.35">
      <c r="B37">
        <f t="shared" si="0"/>
        <v>23</v>
      </c>
      <c r="C37" s="7">
        <f t="shared" si="1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59" cm="1">
        <f t="array" ref="F37">estimatedTripDuration(C37,$C$7,$C$6)/60</f>
        <v>0.8933333339956071</v>
      </c>
      <c r="G37">
        <f t="shared" si="2"/>
        <v>23</v>
      </c>
      <c r="H37" s="50">
        <f t="shared" si="3"/>
        <v>1.9166666666666667</v>
      </c>
      <c r="I37" s="7" cm="1">
        <f t="array" ref="I37">CurrentCapacity(K$9,K$5,K$6,H37)</f>
        <v>273.97218024000006</v>
      </c>
      <c r="J37" s="48">
        <f t="shared" si="4"/>
        <v>0.36650410721667903</v>
      </c>
      <c r="K37" s="5" cm="1">
        <f t="array" ref="K37">UseableCapacity(I37,$K$7,$K$8)</f>
        <v>205.47913518000004</v>
      </c>
      <c r="L37" s="59">
        <f t="shared" si="5"/>
        <v>173.56025091893176</v>
      </c>
      <c r="M37" s="7">
        <f t="shared" si="6"/>
        <v>105.06720585893174</v>
      </c>
      <c r="N37" s="7">
        <f t="shared" si="7"/>
        <v>19.067819759999963</v>
      </c>
      <c r="O37" t="str">
        <f t="shared" si="8"/>
        <v>no</v>
      </c>
      <c r="P37" t="str">
        <f t="shared" si="9"/>
        <v>no</v>
      </c>
    </row>
    <row r="38" spans="2:16" x14ac:dyDescent="0.35">
      <c r="B38">
        <f t="shared" si="0"/>
        <v>24</v>
      </c>
      <c r="C38" s="7">
        <f t="shared" si="1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59" cm="1">
        <f t="array" ref="F38">estimatedTripDuration(C38,$C$7,$C$6)/60</f>
        <v>0.92666666732894043</v>
      </c>
      <c r="G38">
        <f t="shared" si="2"/>
        <v>24</v>
      </c>
      <c r="H38" s="50">
        <f t="shared" si="3"/>
        <v>2</v>
      </c>
      <c r="I38" s="7" cm="1">
        <f t="array" ref="I38">CurrentCapacity(K$9,K$5,K$6,H38)</f>
        <v>273.97130112000002</v>
      </c>
      <c r="J38" s="48">
        <f t="shared" si="4"/>
        <v>0.36670154147665313</v>
      </c>
      <c r="K38" s="5" cm="1">
        <f t="array" ref="K38">UseableCapacity(I38,$K$7,$K$8)</f>
        <v>205.47847584000002</v>
      </c>
      <c r="L38" s="59">
        <f t="shared" si="5"/>
        <v>173.50560267893172</v>
      </c>
      <c r="M38" s="7">
        <f t="shared" si="6"/>
        <v>105.0127773989317</v>
      </c>
      <c r="N38" s="7">
        <f t="shared" si="7"/>
        <v>19.068698879999999</v>
      </c>
      <c r="O38" t="str">
        <f t="shared" si="8"/>
        <v>no</v>
      </c>
      <c r="P38" t="str">
        <f t="shared" si="9"/>
        <v>no</v>
      </c>
    </row>
    <row r="39" spans="2:16" x14ac:dyDescent="0.35">
      <c r="B39">
        <f t="shared" si="0"/>
        <v>25</v>
      </c>
      <c r="C39" s="7">
        <f t="shared" si="1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59" cm="1">
        <f t="array" ref="F39">estimatedTripDuration(C39,$C$7,$C$6)/60</f>
        <v>0.96000000066227387</v>
      </c>
      <c r="G39">
        <f t="shared" si="2"/>
        <v>25</v>
      </c>
      <c r="H39" s="50">
        <f t="shared" si="3"/>
        <v>2.0833333333333335</v>
      </c>
      <c r="I39" s="7" cm="1">
        <f t="array" ref="I39">CurrentCapacity(K$9,K$5,K$6,H39)</f>
        <v>273.97042200000004</v>
      </c>
      <c r="J39" s="48">
        <f t="shared" si="4"/>
        <v>0.36689897700368646</v>
      </c>
      <c r="K39" s="5" cm="1">
        <f t="array" ref="K39">UseableCapacity(I39,$K$7,$K$8)</f>
        <v>205.47781650000002</v>
      </c>
      <c r="L39" s="59">
        <f t="shared" si="5"/>
        <v>173.45095443893175</v>
      </c>
      <c r="M39" s="7">
        <f t="shared" si="6"/>
        <v>104.95834893893172</v>
      </c>
      <c r="N39" s="7">
        <f t="shared" si="7"/>
        <v>19.069577999999979</v>
      </c>
      <c r="O39" t="str">
        <f t="shared" si="8"/>
        <v>no</v>
      </c>
      <c r="P39" t="str">
        <f t="shared" si="9"/>
        <v>no</v>
      </c>
    </row>
    <row r="40" spans="2:16" x14ac:dyDescent="0.35">
      <c r="B40">
        <f t="shared" si="0"/>
        <v>26</v>
      </c>
      <c r="C40" s="7">
        <f t="shared" si="1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59" cm="1">
        <f t="array" ref="F40">estimatedTripDuration(C40,$C$7,$C$6)/60</f>
        <v>0.99333333399560719</v>
      </c>
      <c r="G40">
        <f t="shared" si="2"/>
        <v>26</v>
      </c>
      <c r="H40" s="50">
        <f t="shared" si="3"/>
        <v>2.1666666666666665</v>
      </c>
      <c r="I40" s="7" cm="1">
        <f t="array" ref="I40">CurrentCapacity(K$9,K$5,K$6,H40)</f>
        <v>273.96954288000001</v>
      </c>
      <c r="J40" s="48">
        <f t="shared" si="4"/>
        <v>0.36709641379779157</v>
      </c>
      <c r="K40" s="5" cm="1">
        <f t="array" ref="K40">UseableCapacity(I40,$K$7,$K$8)</f>
        <v>205.47715715999999</v>
      </c>
      <c r="L40" s="59">
        <f t="shared" si="5"/>
        <v>173.39630619893171</v>
      </c>
      <c r="M40" s="7">
        <f t="shared" si="6"/>
        <v>104.90392047893171</v>
      </c>
      <c r="N40" s="7">
        <f t="shared" si="7"/>
        <v>19.070457120000015</v>
      </c>
      <c r="O40" t="str">
        <f t="shared" si="8"/>
        <v>no</v>
      </c>
      <c r="P40" t="str">
        <f t="shared" si="9"/>
        <v>no</v>
      </c>
    </row>
    <row r="41" spans="2:16" x14ac:dyDescent="0.35">
      <c r="B41">
        <f t="shared" si="0"/>
        <v>27</v>
      </c>
      <c r="C41" s="7">
        <f t="shared" si="1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59" cm="1">
        <f t="array" ref="F41">estimatedTripDuration(C41,$C$7,$C$6)/60</f>
        <v>1.0266666673289404</v>
      </c>
      <c r="G41">
        <f t="shared" si="2"/>
        <v>27</v>
      </c>
      <c r="H41" s="50">
        <f t="shared" si="3"/>
        <v>2.25</v>
      </c>
      <c r="I41" s="7" cm="1">
        <f t="array" ref="I41">CurrentCapacity(K$9,K$5,K$6,H41)</f>
        <v>273.96866376000003</v>
      </c>
      <c r="J41" s="48">
        <f t="shared" si="4"/>
        <v>0.3672938518589805</v>
      </c>
      <c r="K41" s="5" cm="1">
        <f t="array" ref="K41">UseableCapacity(I41,$K$7,$K$8)</f>
        <v>205.47649782000002</v>
      </c>
      <c r="L41" s="59">
        <f t="shared" si="5"/>
        <v>173.34165795893173</v>
      </c>
      <c r="M41" s="7">
        <f t="shared" si="6"/>
        <v>104.84949201893173</v>
      </c>
      <c r="N41" s="7">
        <f t="shared" si="7"/>
        <v>19.071336239999994</v>
      </c>
      <c r="O41" t="str">
        <f t="shared" si="8"/>
        <v>no</v>
      </c>
      <c r="P41" t="str">
        <f t="shared" si="9"/>
        <v>no</v>
      </c>
    </row>
    <row r="42" spans="2:16" x14ac:dyDescent="0.35">
      <c r="B42">
        <f t="shared" si="0"/>
        <v>28</v>
      </c>
      <c r="C42" s="7">
        <f t="shared" si="1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59" cm="1">
        <f t="array" ref="F42">estimatedTripDuration(C42,$C$7,$C$6)/60</f>
        <v>1.0600000006622738</v>
      </c>
      <c r="G42">
        <f t="shared" si="2"/>
        <v>28</v>
      </c>
      <c r="H42" s="50">
        <f t="shared" si="3"/>
        <v>2.3333333333333335</v>
      </c>
      <c r="I42" s="7" cm="1">
        <f t="array" ref="I42">CurrentCapacity(K$9,K$5,K$6,H42)</f>
        <v>273.96778464000005</v>
      </c>
      <c r="J42" s="48">
        <f t="shared" si="4"/>
        <v>0.36749129118726542</v>
      </c>
      <c r="K42" s="5" cm="1">
        <f t="array" ref="K42">UseableCapacity(I42,$K$7,$K$8)</f>
        <v>205.47583848000005</v>
      </c>
      <c r="L42" s="59">
        <f t="shared" si="5"/>
        <v>173.28700971893176</v>
      </c>
      <c r="M42" s="7">
        <f t="shared" si="6"/>
        <v>104.79506355893177</v>
      </c>
      <c r="N42" s="7">
        <f t="shared" si="7"/>
        <v>19.072215359999973</v>
      </c>
      <c r="O42" t="str">
        <f t="shared" si="8"/>
        <v>no</v>
      </c>
      <c r="P42" t="str">
        <f t="shared" si="9"/>
        <v>no</v>
      </c>
    </row>
    <row r="43" spans="2:16" x14ac:dyDescent="0.35">
      <c r="B43">
        <f t="shared" si="0"/>
        <v>29</v>
      </c>
      <c r="C43" s="7">
        <f t="shared" si="1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59" cm="1">
        <f t="array" ref="F43">estimatedTripDuration(C43,$C$7,$C$6)/60</f>
        <v>1.0933333339956071</v>
      </c>
      <c r="G43">
        <f t="shared" si="2"/>
        <v>29</v>
      </c>
      <c r="H43" s="50">
        <f t="shared" si="3"/>
        <v>2.4166666666666665</v>
      </c>
      <c r="I43" s="7" cm="1">
        <f t="array" ref="I43">CurrentCapacity(K$9,K$5,K$6,H43)</f>
        <v>273.96690552000007</v>
      </c>
      <c r="J43" s="48">
        <f t="shared" si="4"/>
        <v>0.36768873178265871</v>
      </c>
      <c r="K43" s="5" cm="1">
        <f t="array" ref="K43">UseableCapacity(I43,$K$7,$K$8)</f>
        <v>205.47517914000005</v>
      </c>
      <c r="L43" s="59">
        <f t="shared" si="5"/>
        <v>173.23236147893175</v>
      </c>
      <c r="M43" s="7">
        <f t="shared" si="6"/>
        <v>104.74063509893175</v>
      </c>
      <c r="N43" s="7">
        <f t="shared" si="7"/>
        <v>19.073094479999952</v>
      </c>
      <c r="O43" t="str">
        <f t="shared" si="8"/>
        <v>no</v>
      </c>
      <c r="P43" t="str">
        <f t="shared" si="9"/>
        <v>no</v>
      </c>
    </row>
    <row r="44" spans="2:16" x14ac:dyDescent="0.35">
      <c r="B44">
        <f t="shared" si="0"/>
        <v>30</v>
      </c>
      <c r="C44" s="7">
        <f t="shared" si="1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59" cm="1">
        <f t="array" ref="F44">estimatedTripDuration(C44,$C$7,$C$6)/60</f>
        <v>1.1266666673289405</v>
      </c>
      <c r="G44">
        <f t="shared" si="2"/>
        <v>30</v>
      </c>
      <c r="H44" s="50">
        <f t="shared" si="3"/>
        <v>2.5</v>
      </c>
      <c r="I44" s="7" cm="1">
        <f t="array" ref="I44">CurrentCapacity(K$9,K$5,K$6,H44)</f>
        <v>273.96602640000003</v>
      </c>
      <c r="J44" s="48">
        <f t="shared" si="4"/>
        <v>0.3678861736451724</v>
      </c>
      <c r="K44" s="5" cm="1">
        <f t="array" ref="K44">UseableCapacity(I44,$K$7,$K$8)</f>
        <v>205.47451980000002</v>
      </c>
      <c r="L44" s="59">
        <f t="shared" si="5"/>
        <v>173.17771323893174</v>
      </c>
      <c r="M44" s="7">
        <f t="shared" si="6"/>
        <v>104.68620663893172</v>
      </c>
      <c r="N44" s="7">
        <f t="shared" si="7"/>
        <v>19.073973599999988</v>
      </c>
      <c r="O44" t="str">
        <f t="shared" si="8"/>
        <v>no</v>
      </c>
      <c r="P44" t="str">
        <f t="shared" si="9"/>
        <v>no</v>
      </c>
    </row>
    <row r="45" spans="2:16" x14ac:dyDescent="0.35">
      <c r="B45">
        <f t="shared" si="0"/>
        <v>31</v>
      </c>
      <c r="C45" s="7">
        <f t="shared" si="1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59" cm="1">
        <f t="array" ref="F45">estimatedTripDuration(C45,$C$7,$C$6)/60</f>
        <v>1.1600000006622735</v>
      </c>
      <c r="G45">
        <f t="shared" si="2"/>
        <v>31</v>
      </c>
      <c r="H45" s="50">
        <f t="shared" si="3"/>
        <v>2.5833333333333335</v>
      </c>
      <c r="I45" s="7" cm="1">
        <f t="array" ref="I45">CurrentCapacity(K$9,K$5,K$6,H45)</f>
        <v>273.96514728000005</v>
      </c>
      <c r="J45" s="48">
        <f t="shared" si="4"/>
        <v>0.36808361677481866</v>
      </c>
      <c r="K45" s="5" cm="1">
        <f t="array" ref="K45">UseableCapacity(I45,$K$7,$K$8)</f>
        <v>205.47386046000003</v>
      </c>
      <c r="L45" s="59">
        <f t="shared" si="5"/>
        <v>173.12306499893177</v>
      </c>
      <c r="M45" s="7">
        <f t="shared" si="6"/>
        <v>104.63177817893174</v>
      </c>
      <c r="N45" s="7">
        <f t="shared" si="7"/>
        <v>19.074852719999967</v>
      </c>
      <c r="O45" t="str">
        <f t="shared" si="8"/>
        <v>no</v>
      </c>
      <c r="P45" t="str">
        <f t="shared" si="9"/>
        <v>no</v>
      </c>
    </row>
    <row r="46" spans="2:16" x14ac:dyDescent="0.35">
      <c r="B46">
        <f t="shared" si="0"/>
        <v>32</v>
      </c>
      <c r="C46" s="7">
        <f t="shared" si="1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59" cm="1">
        <f t="array" ref="F46">estimatedTripDuration(C46,$C$7,$C$6)/60</f>
        <v>1.1933333339956071</v>
      </c>
      <c r="G46">
        <f t="shared" si="2"/>
        <v>32</v>
      </c>
      <c r="H46" s="50">
        <f t="shared" si="3"/>
        <v>2.6666666666666665</v>
      </c>
      <c r="I46" s="7" cm="1">
        <f t="array" ref="I46">CurrentCapacity(K$9,K$5,K$6,H46)</f>
        <v>273.96426816000002</v>
      </c>
      <c r="J46" s="48">
        <f t="shared" si="4"/>
        <v>0.36828106117160986</v>
      </c>
      <c r="K46" s="5" cm="1">
        <f t="array" ref="K46">UseableCapacity(I46,$K$7,$K$8)</f>
        <v>205.47320112</v>
      </c>
      <c r="L46" s="59">
        <f t="shared" si="5"/>
        <v>173.06841675893173</v>
      </c>
      <c r="M46" s="7">
        <f t="shared" si="6"/>
        <v>104.5773497189317</v>
      </c>
      <c r="N46" s="7">
        <f t="shared" si="7"/>
        <v>19.075731840000003</v>
      </c>
      <c r="O46" t="str">
        <f t="shared" si="8"/>
        <v>no</v>
      </c>
      <c r="P46" t="str">
        <f t="shared" si="9"/>
        <v>no</v>
      </c>
    </row>
    <row r="47" spans="2:16" x14ac:dyDescent="0.35">
      <c r="B47">
        <f t="shared" si="0"/>
        <v>33</v>
      </c>
      <c r="C47" s="7">
        <f t="shared" si="1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59" cm="1">
        <f t="array" ref="F47">estimatedTripDuration(C47,$C$7,$C$6)/60</f>
        <v>1.2266666673289406</v>
      </c>
      <c r="G47">
        <f t="shared" si="2"/>
        <v>33</v>
      </c>
      <c r="H47" s="50">
        <f t="shared" si="3"/>
        <v>2.75</v>
      </c>
      <c r="I47" s="7" cm="1">
        <f t="array" ref="I47">CurrentCapacity(K$9,K$5,K$6,H47)</f>
        <v>273.96338904000004</v>
      </c>
      <c r="J47" s="48">
        <f t="shared" si="4"/>
        <v>0.36847850683555805</v>
      </c>
      <c r="K47" s="5" cm="1">
        <f t="array" ref="K47">UseableCapacity(I47,$K$7,$K$8)</f>
        <v>205.47254178000003</v>
      </c>
      <c r="L47" s="59">
        <f t="shared" si="5"/>
        <v>173.01376851893173</v>
      </c>
      <c r="M47" s="7">
        <f t="shared" si="6"/>
        <v>104.52292125893173</v>
      </c>
      <c r="N47" s="7">
        <f t="shared" si="7"/>
        <v>19.076610959999982</v>
      </c>
      <c r="O47" t="str">
        <f t="shared" si="8"/>
        <v>no</v>
      </c>
      <c r="P47" t="str">
        <f t="shared" si="9"/>
        <v>no</v>
      </c>
    </row>
    <row r="48" spans="2:16" x14ac:dyDescent="0.35">
      <c r="B48">
        <f t="shared" si="0"/>
        <v>34</v>
      </c>
      <c r="C48" s="7">
        <f t="shared" si="1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59" cm="1">
        <f t="array" ref="F48">estimatedTripDuration(C48,$C$7,$C$6)/60</f>
        <v>1.2600000006622738</v>
      </c>
      <c r="G48">
        <f t="shared" si="2"/>
        <v>34</v>
      </c>
      <c r="H48" s="50">
        <f t="shared" si="3"/>
        <v>2.8333333333333335</v>
      </c>
      <c r="I48" s="7" cm="1">
        <f t="array" ref="I48">CurrentCapacity(K$9,K$5,K$6,H48)</f>
        <v>273.96250992</v>
      </c>
      <c r="J48" s="48">
        <f t="shared" si="4"/>
        <v>0.3686759537666755</v>
      </c>
      <c r="K48" s="5" cm="1">
        <f t="array" ref="K48">UseableCapacity(I48,$K$7,$K$8)</f>
        <v>205.47188244</v>
      </c>
      <c r="L48" s="59">
        <f t="shared" si="5"/>
        <v>172.95912027893172</v>
      </c>
      <c r="M48" s="7">
        <f t="shared" si="6"/>
        <v>104.46849279893171</v>
      </c>
      <c r="N48" s="7">
        <f t="shared" si="7"/>
        <v>19.077490080000018</v>
      </c>
      <c r="O48" t="str">
        <f t="shared" si="8"/>
        <v>no</v>
      </c>
      <c r="P48" t="str">
        <f t="shared" si="9"/>
        <v>no</v>
      </c>
    </row>
    <row r="49" spans="2:16" x14ac:dyDescent="0.35">
      <c r="B49">
        <f t="shared" si="0"/>
        <v>35</v>
      </c>
      <c r="C49" s="7">
        <f t="shared" si="1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59" cm="1">
        <f t="array" ref="F49">estimatedTripDuration(C49,$C$7,$C$6)/60</f>
        <v>1.2933333339956072</v>
      </c>
      <c r="G49">
        <f t="shared" si="2"/>
        <v>35</v>
      </c>
      <c r="H49" s="50">
        <f t="shared" si="3"/>
        <v>2.9166666666666665</v>
      </c>
      <c r="I49" s="7" cm="1">
        <f t="array" ref="I49">CurrentCapacity(K$9,K$5,K$6,H49)</f>
        <v>273.96163080000002</v>
      </c>
      <c r="J49" s="48">
        <f t="shared" si="4"/>
        <v>0.36887340196497431</v>
      </c>
      <c r="K49" s="5" cm="1">
        <f t="array" ref="K49">UseableCapacity(I49,$K$7,$K$8)</f>
        <v>205.47122310000003</v>
      </c>
      <c r="L49" s="59">
        <f t="shared" si="5"/>
        <v>172.90447203893171</v>
      </c>
      <c r="M49" s="7">
        <f t="shared" si="6"/>
        <v>104.41406433893174</v>
      </c>
      <c r="N49" s="7">
        <f t="shared" si="7"/>
        <v>19.078369199999997</v>
      </c>
      <c r="O49" t="str">
        <f t="shared" si="8"/>
        <v>no</v>
      </c>
      <c r="P49" t="str">
        <f t="shared" si="9"/>
        <v>no</v>
      </c>
    </row>
    <row r="50" spans="2:16" x14ac:dyDescent="0.35">
      <c r="B50">
        <f t="shared" si="0"/>
        <v>36</v>
      </c>
      <c r="C50" s="7">
        <f t="shared" si="1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59" cm="1">
        <f t="array" ref="F50">estimatedTripDuration(C50,$C$7,$C$6)/60</f>
        <v>1.3266666673289405</v>
      </c>
      <c r="G50">
        <f t="shared" si="2"/>
        <v>36</v>
      </c>
      <c r="H50" s="50">
        <f t="shared" si="3"/>
        <v>3</v>
      </c>
      <c r="I50" s="7" cm="1">
        <f t="array" ref="I50">CurrentCapacity(K$9,K$5,K$6,H50)</f>
        <v>273.96075168000004</v>
      </c>
      <c r="J50" s="48">
        <f t="shared" si="4"/>
        <v>0.3690708514304667</v>
      </c>
      <c r="K50" s="5" cm="1">
        <f t="array" ref="K50">UseableCapacity(I50,$K$7,$K$8)</f>
        <v>205.47056376000003</v>
      </c>
      <c r="L50" s="59">
        <f t="shared" si="5"/>
        <v>172.84982379893177</v>
      </c>
      <c r="M50" s="7">
        <f t="shared" si="6"/>
        <v>104.35963587893175</v>
      </c>
      <c r="N50" s="7">
        <f t="shared" si="7"/>
        <v>19.079248319999977</v>
      </c>
      <c r="O50" t="str">
        <f t="shared" si="8"/>
        <v>no</v>
      </c>
      <c r="P50" t="str">
        <f t="shared" si="9"/>
        <v>no</v>
      </c>
    </row>
    <row r="51" spans="2:16" x14ac:dyDescent="0.35">
      <c r="B51">
        <f t="shared" si="0"/>
        <v>37</v>
      </c>
      <c r="C51" s="7">
        <f t="shared" si="1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59" cm="1">
        <f t="array" ref="F51">estimatedTripDuration(C51,$C$7,$C$6)/60</f>
        <v>1.3600000006622739</v>
      </c>
      <c r="G51">
        <f t="shared" si="2"/>
        <v>37</v>
      </c>
      <c r="H51" s="50">
        <f t="shared" si="3"/>
        <v>3.0833333333333335</v>
      </c>
      <c r="I51" s="7" cm="1">
        <f t="array" ref="I51">CurrentCapacity(K$9,K$5,K$6,H51)</f>
        <v>273.95987256000006</v>
      </c>
      <c r="J51" s="48">
        <f t="shared" si="4"/>
        <v>0.36926830216316509</v>
      </c>
      <c r="K51" s="5" cm="1">
        <f t="array" ref="K51">UseableCapacity(I51,$K$7,$K$8)</f>
        <v>205.46990442000003</v>
      </c>
      <c r="L51" s="59">
        <f t="shared" si="5"/>
        <v>172.79517555893176</v>
      </c>
      <c r="M51" s="7">
        <f t="shared" si="6"/>
        <v>104.30520741893173</v>
      </c>
      <c r="N51" s="7">
        <f t="shared" si="7"/>
        <v>19.080127439999956</v>
      </c>
      <c r="O51" t="str">
        <f t="shared" si="8"/>
        <v>no</v>
      </c>
      <c r="P51" t="str">
        <f t="shared" si="9"/>
        <v>no</v>
      </c>
    </row>
    <row r="52" spans="2:16" x14ac:dyDescent="0.35">
      <c r="B52">
        <f t="shared" si="0"/>
        <v>38</v>
      </c>
      <c r="C52" s="7">
        <f t="shared" si="1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59" cm="1">
        <f t="array" ref="F52">estimatedTripDuration(C52,$C$7,$C$6)/60</f>
        <v>1.3933333339956071</v>
      </c>
      <c r="G52">
        <f t="shared" si="2"/>
        <v>38</v>
      </c>
      <c r="H52" s="50">
        <f t="shared" si="3"/>
        <v>3.1666666666666665</v>
      </c>
      <c r="I52" s="7" cm="1">
        <f t="array" ref="I52">CurrentCapacity(K$9,K$5,K$6,H52)</f>
        <v>273.95899344000003</v>
      </c>
      <c r="J52" s="48">
        <f t="shared" si="4"/>
        <v>0.36946575416308147</v>
      </c>
      <c r="K52" s="5" cm="1">
        <f t="array" ref="K52">UseableCapacity(I52,$K$7,$K$8)</f>
        <v>205.46924508000001</v>
      </c>
      <c r="L52" s="59">
        <f t="shared" si="5"/>
        <v>172.74052731893173</v>
      </c>
      <c r="M52" s="7">
        <f t="shared" si="6"/>
        <v>104.2507789589317</v>
      </c>
      <c r="N52" s="7">
        <f t="shared" si="7"/>
        <v>19.081006559999992</v>
      </c>
      <c r="O52" t="str">
        <f t="shared" si="8"/>
        <v>no</v>
      </c>
      <c r="P52" t="str">
        <f t="shared" si="9"/>
        <v>no</v>
      </c>
    </row>
    <row r="53" spans="2:16" x14ac:dyDescent="0.35">
      <c r="B53">
        <f t="shared" si="0"/>
        <v>39</v>
      </c>
      <c r="C53" s="7">
        <f t="shared" si="1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59" cm="1">
        <f t="array" ref="F53">estimatedTripDuration(C53,$C$7,$C$6)/60</f>
        <v>1.4266666673289405</v>
      </c>
      <c r="G53">
        <f t="shared" si="2"/>
        <v>39</v>
      </c>
      <c r="H53" s="50">
        <f t="shared" si="3"/>
        <v>3.25</v>
      </c>
      <c r="I53" s="7" cm="1">
        <f t="array" ref="I53">CurrentCapacity(K$9,K$5,K$6,H53)</f>
        <v>273.95811432000005</v>
      </c>
      <c r="J53" s="48">
        <f t="shared" si="4"/>
        <v>0.36966320743022807</v>
      </c>
      <c r="K53" s="5" cm="1">
        <f t="array" ref="K53">UseableCapacity(I53,$K$7,$K$8)</f>
        <v>205.46858574000004</v>
      </c>
      <c r="L53" s="59">
        <f t="shared" si="5"/>
        <v>172.68587907893175</v>
      </c>
      <c r="M53" s="7">
        <f t="shared" si="6"/>
        <v>104.19635049893172</v>
      </c>
      <c r="N53" s="7">
        <f t="shared" si="7"/>
        <v>19.081885679999971</v>
      </c>
      <c r="O53" t="str">
        <f t="shared" si="8"/>
        <v>no</v>
      </c>
      <c r="P53" t="str">
        <f t="shared" si="9"/>
        <v>no</v>
      </c>
    </row>
    <row r="54" spans="2:16" x14ac:dyDescent="0.35">
      <c r="B54">
        <f t="shared" si="0"/>
        <v>40</v>
      </c>
      <c r="C54" s="7">
        <f t="shared" si="1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59" cm="1">
        <f t="array" ref="F54">estimatedTripDuration(C54,$C$7,$C$6)/60</f>
        <v>1.4600000006622738</v>
      </c>
      <c r="G54">
        <f t="shared" si="2"/>
        <v>40</v>
      </c>
      <c r="H54" s="50">
        <f t="shared" si="3"/>
        <v>3.3333333333333335</v>
      </c>
      <c r="I54" s="7" cm="1">
        <f t="array" ref="I54">CurrentCapacity(K$9,K$5,K$6,H54)</f>
        <v>273.95723520000001</v>
      </c>
      <c r="J54" s="48">
        <f t="shared" si="4"/>
        <v>0.36986066196461703</v>
      </c>
      <c r="K54" s="5" cm="1">
        <f t="array" ref="K54">UseableCapacity(I54,$K$7,$K$8)</f>
        <v>205.46792640000001</v>
      </c>
      <c r="L54" s="59">
        <f t="shared" si="5"/>
        <v>172.63123083893174</v>
      </c>
      <c r="M54" s="7">
        <f t="shared" si="6"/>
        <v>104.14192203893172</v>
      </c>
      <c r="N54" s="7">
        <f t="shared" si="7"/>
        <v>19.082764800000007</v>
      </c>
      <c r="O54" t="str">
        <f t="shared" si="8"/>
        <v>no</v>
      </c>
      <c r="P54" t="str">
        <f t="shared" si="9"/>
        <v>no</v>
      </c>
    </row>
    <row r="55" spans="2:16" x14ac:dyDescent="0.35">
      <c r="B55">
        <f t="shared" si="0"/>
        <v>41</v>
      </c>
      <c r="C55" s="7">
        <f t="shared" si="1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59" cm="1">
        <f t="array" ref="F55">estimatedTripDuration(C55,$C$7,$C$6)/60</f>
        <v>1.4933333339956072</v>
      </c>
      <c r="G55">
        <f t="shared" si="2"/>
        <v>41</v>
      </c>
      <c r="H55" s="50">
        <f t="shared" si="3"/>
        <v>3.4166666666666665</v>
      </c>
      <c r="I55" s="7" cm="1">
        <f t="array" ref="I55">CurrentCapacity(K$9,K$5,K$6,H55)</f>
        <v>273.95635608000003</v>
      </c>
      <c r="J55" s="48">
        <f t="shared" si="4"/>
        <v>0.37005811776626063</v>
      </c>
      <c r="K55" s="5" cm="1">
        <f t="array" ref="K55">UseableCapacity(I55,$K$7,$K$8)</f>
        <v>205.46726706000004</v>
      </c>
      <c r="L55" s="59">
        <f t="shared" si="5"/>
        <v>172.57658259893174</v>
      </c>
      <c r="M55" s="7">
        <f t="shared" si="6"/>
        <v>104.08749357893176</v>
      </c>
      <c r="N55" s="7">
        <f t="shared" si="7"/>
        <v>19.083643919999986</v>
      </c>
      <c r="O55" t="str">
        <f t="shared" si="8"/>
        <v>no</v>
      </c>
      <c r="P55" t="str">
        <f t="shared" si="9"/>
        <v>no</v>
      </c>
    </row>
    <row r="56" spans="2:16" x14ac:dyDescent="0.35">
      <c r="B56">
        <f t="shared" si="0"/>
        <v>42</v>
      </c>
      <c r="C56" s="7">
        <f t="shared" si="1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59" cm="1">
        <f t="array" ref="F56">estimatedTripDuration(C56,$C$7,$C$6)/60</f>
        <v>1.5266666673289404</v>
      </c>
      <c r="G56">
        <f t="shared" si="2"/>
        <v>42</v>
      </c>
      <c r="H56" s="50">
        <f t="shared" si="3"/>
        <v>3.5</v>
      </c>
      <c r="I56" s="7" cm="1">
        <f t="array" ref="I56">CurrentCapacity(K$9,K$5,K$6,H56)</f>
        <v>273.95547696000006</v>
      </c>
      <c r="J56" s="48">
        <f t="shared" si="4"/>
        <v>0.37025557483517113</v>
      </c>
      <c r="K56" s="5" cm="1">
        <f t="array" ref="K56">UseableCapacity(I56,$K$7,$K$8)</f>
        <v>205.46660772000004</v>
      </c>
      <c r="L56" s="59">
        <f t="shared" si="5"/>
        <v>172.52193435893176</v>
      </c>
      <c r="M56" s="7">
        <f t="shared" si="6"/>
        <v>104.03306511893175</v>
      </c>
      <c r="N56" s="7">
        <f t="shared" si="7"/>
        <v>19.084523039999965</v>
      </c>
      <c r="O56" t="str">
        <f t="shared" si="8"/>
        <v>no</v>
      </c>
      <c r="P56" t="str">
        <f t="shared" si="9"/>
        <v>no</v>
      </c>
    </row>
    <row r="57" spans="2:16" x14ac:dyDescent="0.35">
      <c r="B57">
        <f t="shared" si="0"/>
        <v>43</v>
      </c>
      <c r="C57" s="7">
        <f t="shared" si="1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59" cm="1">
        <f t="array" ref="F57">estimatedTripDuration(C57,$C$7,$C$6)/60</f>
        <v>1.5600000006622738</v>
      </c>
      <c r="G57">
        <f t="shared" si="2"/>
        <v>43</v>
      </c>
      <c r="H57" s="50">
        <f t="shared" si="3"/>
        <v>3.5833333333333335</v>
      </c>
      <c r="I57" s="7" cm="1">
        <f t="array" ref="I57">CurrentCapacity(K$9,K$5,K$6,H57)</f>
        <v>273.95459784000002</v>
      </c>
      <c r="J57" s="48">
        <f t="shared" si="4"/>
        <v>0.37045303317136058</v>
      </c>
      <c r="K57" s="5" cm="1">
        <f t="array" ref="K57">UseableCapacity(I57,$K$7,$K$8)</f>
        <v>205.46594838000001</v>
      </c>
      <c r="L57" s="59">
        <f t="shared" si="5"/>
        <v>172.46728611893172</v>
      </c>
      <c r="M57" s="7">
        <f t="shared" si="6"/>
        <v>103.97863665893173</v>
      </c>
      <c r="N57" s="7">
        <f t="shared" si="7"/>
        <v>19.085402160000001</v>
      </c>
      <c r="O57" t="str">
        <f t="shared" si="8"/>
        <v>no</v>
      </c>
      <c r="P57" t="str">
        <f t="shared" si="9"/>
        <v>no</v>
      </c>
    </row>
    <row r="58" spans="2:16" x14ac:dyDescent="0.35">
      <c r="B58">
        <f t="shared" si="0"/>
        <v>44</v>
      </c>
      <c r="C58" s="7">
        <f t="shared" si="1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59" cm="1">
        <f t="array" ref="F58">estimatedTripDuration(C58,$C$7,$C$6)/60</f>
        <v>1.5933333339956071</v>
      </c>
      <c r="G58">
        <f t="shared" si="2"/>
        <v>44</v>
      </c>
      <c r="H58" s="50">
        <f t="shared" si="3"/>
        <v>3.6666666666666665</v>
      </c>
      <c r="I58" s="7" cm="1">
        <f t="array" ref="I58">CurrentCapacity(K$9,K$5,K$6,H58)</f>
        <v>273.95371872000004</v>
      </c>
      <c r="J58" s="48">
        <f t="shared" si="4"/>
        <v>0.37065049277484141</v>
      </c>
      <c r="K58" s="5" cm="1">
        <f t="array" ref="K58">UseableCapacity(I58,$K$7,$K$8)</f>
        <v>205.46528904000002</v>
      </c>
      <c r="L58" s="59">
        <f t="shared" si="5"/>
        <v>172.41263787893172</v>
      </c>
      <c r="M58" s="7">
        <f t="shared" si="6"/>
        <v>103.92420819893171</v>
      </c>
      <c r="N58" s="7">
        <f t="shared" si="7"/>
        <v>19.08628127999998</v>
      </c>
      <c r="O58" t="str">
        <f t="shared" si="8"/>
        <v>no</v>
      </c>
      <c r="P58" t="str">
        <f t="shared" si="9"/>
        <v>no</v>
      </c>
    </row>
    <row r="59" spans="2:16" x14ac:dyDescent="0.35">
      <c r="B59">
        <f t="shared" si="0"/>
        <v>45</v>
      </c>
      <c r="C59" s="7">
        <f t="shared" si="1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59" cm="1">
        <f t="array" ref="F59">estimatedTripDuration(C59,$C$7,$C$6)/60</f>
        <v>1.6266666673289405</v>
      </c>
      <c r="G59">
        <f t="shared" si="2"/>
        <v>45</v>
      </c>
      <c r="H59" s="50">
        <f t="shared" si="3"/>
        <v>3.75</v>
      </c>
      <c r="I59" s="7" cm="1">
        <f t="array" ref="I59">CurrentCapacity(K$9,K$5,K$6,H59)</f>
        <v>273.95283960000006</v>
      </c>
      <c r="J59" s="48">
        <f t="shared" si="4"/>
        <v>0.37084795364562545</v>
      </c>
      <c r="K59" s="5" cm="1">
        <f t="array" ref="K59">UseableCapacity(I59,$K$7,$K$8)</f>
        <v>205.46462970000005</v>
      </c>
      <c r="L59" s="59">
        <f t="shared" si="5"/>
        <v>172.35798963893177</v>
      </c>
      <c r="M59" s="7">
        <f t="shared" si="6"/>
        <v>103.86977973893175</v>
      </c>
      <c r="N59" s="7">
        <f t="shared" si="7"/>
        <v>19.087160399999959</v>
      </c>
      <c r="O59" t="str">
        <f t="shared" si="8"/>
        <v>no</v>
      </c>
      <c r="P59" t="str">
        <f t="shared" si="9"/>
        <v>no</v>
      </c>
    </row>
    <row r="60" spans="2:16" x14ac:dyDescent="0.35">
      <c r="B60">
        <f t="shared" si="0"/>
        <v>46</v>
      </c>
      <c r="C60" s="7">
        <f t="shared" si="1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59" cm="1">
        <f t="array" ref="F60">estimatedTripDuration(C60,$C$7,$C$6)/60</f>
        <v>1.6600000006622737</v>
      </c>
      <c r="G60">
        <f t="shared" si="2"/>
        <v>46</v>
      </c>
      <c r="H60" s="50">
        <f t="shared" si="3"/>
        <v>3.8333333333333335</v>
      </c>
      <c r="I60" s="7" cm="1">
        <f t="array" ref="I60">CurrentCapacity(K$9,K$5,K$6,H60)</f>
        <v>273.95196048000003</v>
      </c>
      <c r="J60" s="48">
        <f t="shared" si="4"/>
        <v>0.3710454157837253</v>
      </c>
      <c r="K60" s="5" cm="1">
        <f t="array" ref="K60">UseableCapacity(I60,$K$7,$K$8)</f>
        <v>205.46397036000002</v>
      </c>
      <c r="L60" s="59">
        <f t="shared" si="5"/>
        <v>172.30334139893174</v>
      </c>
      <c r="M60" s="7">
        <f t="shared" si="6"/>
        <v>103.81535127893173</v>
      </c>
      <c r="N60" s="7">
        <f t="shared" si="7"/>
        <v>19.088039519999995</v>
      </c>
      <c r="O60" t="str">
        <f t="shared" si="8"/>
        <v>no</v>
      </c>
      <c r="P60" t="str">
        <f t="shared" si="9"/>
        <v>no</v>
      </c>
    </row>
    <row r="61" spans="2:16" x14ac:dyDescent="0.35">
      <c r="B61">
        <f t="shared" si="0"/>
        <v>47</v>
      </c>
      <c r="C61" s="7">
        <f t="shared" si="1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59" cm="1">
        <f t="array" ref="F61">estimatedTripDuration(C61,$C$7,$C$6)/60</f>
        <v>1.6933333339956071</v>
      </c>
      <c r="G61">
        <f t="shared" si="2"/>
        <v>47</v>
      </c>
      <c r="H61" s="50">
        <f t="shared" si="3"/>
        <v>3.9166666666666665</v>
      </c>
      <c r="I61" s="7" cm="1">
        <f t="array" ref="I61">CurrentCapacity(K$9,K$5,K$6,H61)</f>
        <v>273.95108136000005</v>
      </c>
      <c r="J61" s="48">
        <f t="shared" si="4"/>
        <v>0.37124287918915294</v>
      </c>
      <c r="K61" s="5" cm="1">
        <f t="array" ref="K61">UseableCapacity(I61,$K$7,$K$8)</f>
        <v>205.46331102000005</v>
      </c>
      <c r="L61" s="59">
        <f t="shared" si="5"/>
        <v>172.24869315893176</v>
      </c>
      <c r="M61" s="7">
        <f t="shared" si="6"/>
        <v>103.76092281893175</v>
      </c>
      <c r="N61" s="7">
        <f t="shared" si="7"/>
        <v>19.088918639999974</v>
      </c>
      <c r="O61" t="str">
        <f t="shared" si="8"/>
        <v>no</v>
      </c>
      <c r="P61" t="str">
        <f t="shared" si="9"/>
        <v>no</v>
      </c>
    </row>
    <row r="62" spans="2:16" x14ac:dyDescent="0.35">
      <c r="B62">
        <f t="shared" si="0"/>
        <v>48</v>
      </c>
      <c r="C62" s="7">
        <f t="shared" si="1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59" cm="1">
        <f t="array" ref="F62">estimatedTripDuration(C62,$C$7,$C$6)/60</f>
        <v>1.7266666673289406</v>
      </c>
      <c r="G62">
        <f t="shared" si="2"/>
        <v>48</v>
      </c>
      <c r="H62" s="50">
        <f t="shared" si="3"/>
        <v>4</v>
      </c>
      <c r="I62" s="7" cm="1">
        <f t="array" ref="I62">CurrentCapacity(K$9,K$5,K$6,H62)</f>
        <v>273.95020224000001</v>
      </c>
      <c r="J62" s="48">
        <f t="shared" si="4"/>
        <v>0.3714403438619206</v>
      </c>
      <c r="K62" s="5" cm="1">
        <f t="array" ref="K62">UseableCapacity(I62,$K$7,$K$8)</f>
        <v>205.46265168000002</v>
      </c>
      <c r="L62" s="59">
        <f t="shared" si="5"/>
        <v>172.1940449189317</v>
      </c>
      <c r="M62" s="7">
        <f t="shared" si="6"/>
        <v>103.70649435893172</v>
      </c>
      <c r="N62" s="7">
        <f t="shared" si="7"/>
        <v>19.08979776000001</v>
      </c>
      <c r="O62" t="str">
        <f t="shared" si="8"/>
        <v>no</v>
      </c>
      <c r="P62" t="str">
        <f t="shared" si="9"/>
        <v>no</v>
      </c>
    </row>
    <row r="63" spans="2:16" x14ac:dyDescent="0.35">
      <c r="B63">
        <f t="shared" si="0"/>
        <v>49</v>
      </c>
      <c r="C63" s="7">
        <f t="shared" si="1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59" cm="1">
        <f t="array" ref="F63">estimatedTripDuration(C63,$C$7,$C$6)/60</f>
        <v>1.7600000006622738</v>
      </c>
      <c r="G63">
        <f t="shared" si="2"/>
        <v>49</v>
      </c>
      <c r="H63" s="50">
        <f t="shared" si="3"/>
        <v>4.083333333333333</v>
      </c>
      <c r="I63" s="7" cm="1">
        <f t="array" ref="I63">CurrentCapacity(K$9,K$5,K$6,H63)</f>
        <v>273.94932312000003</v>
      </c>
      <c r="J63" s="48">
        <f t="shared" si="4"/>
        <v>0.37163780980204048</v>
      </c>
      <c r="K63" s="5" cm="1">
        <f t="array" ref="K63">UseableCapacity(I63,$K$7,$K$8)</f>
        <v>205.46199234000002</v>
      </c>
      <c r="L63" s="59">
        <f t="shared" si="5"/>
        <v>172.13939667893175</v>
      </c>
      <c r="M63" s="7">
        <f t="shared" si="6"/>
        <v>103.65206589893172</v>
      </c>
      <c r="N63" s="7">
        <f t="shared" si="7"/>
        <v>19.09067687999999</v>
      </c>
      <c r="O63" t="str">
        <f t="shared" si="8"/>
        <v>no</v>
      </c>
      <c r="P63" t="str">
        <f t="shared" si="9"/>
        <v>no</v>
      </c>
    </row>
    <row r="64" spans="2:16" x14ac:dyDescent="0.35">
      <c r="B64">
        <f t="shared" si="0"/>
        <v>50</v>
      </c>
      <c r="C64" s="7">
        <f t="shared" si="1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59" cm="1">
        <f t="array" ref="F64">estimatedTripDuration(C64,$C$7,$C$6)/60</f>
        <v>1.7933333339956072</v>
      </c>
      <c r="G64">
        <f t="shared" si="2"/>
        <v>50</v>
      </c>
      <c r="H64" s="50">
        <f t="shared" si="3"/>
        <v>4.166666666666667</v>
      </c>
      <c r="I64" s="7" cm="1">
        <f t="array" ref="I64">CurrentCapacity(K$9,K$5,K$6,H64)</f>
        <v>273.94844400000005</v>
      </c>
      <c r="J64" s="48">
        <f t="shared" si="4"/>
        <v>0.37183527700952473</v>
      </c>
      <c r="K64" s="5" cm="1">
        <f t="array" ref="K64">UseableCapacity(I64,$K$7,$K$8)</f>
        <v>205.46133300000002</v>
      </c>
      <c r="L64" s="59">
        <f t="shared" si="5"/>
        <v>172.08474843893174</v>
      </c>
      <c r="M64" s="7">
        <f t="shared" si="6"/>
        <v>103.59763743893173</v>
      </c>
      <c r="N64" s="7">
        <f t="shared" si="7"/>
        <v>19.091555999999969</v>
      </c>
      <c r="O64" t="str">
        <f t="shared" si="8"/>
        <v>no</v>
      </c>
      <c r="P64" t="str">
        <f t="shared" si="9"/>
        <v>no</v>
      </c>
    </row>
    <row r="65" spans="2:16" x14ac:dyDescent="0.35">
      <c r="B65">
        <f t="shared" si="0"/>
        <v>51</v>
      </c>
      <c r="C65" s="7">
        <f t="shared" si="1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59" cm="1">
        <f t="array" ref="F65">estimatedTripDuration(C65,$C$7,$C$6)/60</f>
        <v>1.8266666673289405</v>
      </c>
      <c r="G65">
        <f t="shared" si="2"/>
        <v>51</v>
      </c>
      <c r="H65" s="50">
        <f t="shared" si="3"/>
        <v>4.25</v>
      </c>
      <c r="I65" s="7" cm="1">
        <f t="array" ref="I65">CurrentCapacity(K$9,K$5,K$6,H65)</f>
        <v>273.94756488000007</v>
      </c>
      <c r="J65" s="48">
        <f t="shared" si="4"/>
        <v>0.37203274548438564</v>
      </c>
      <c r="K65" s="5" cm="1">
        <f t="array" ref="K65">UseableCapacity(I65,$K$7,$K$8)</f>
        <v>205.46067366000005</v>
      </c>
      <c r="L65" s="59">
        <f t="shared" si="5"/>
        <v>172.03010019893179</v>
      </c>
      <c r="M65" s="7">
        <f t="shared" si="6"/>
        <v>103.54320897893176</v>
      </c>
      <c r="N65" s="7">
        <f t="shared" si="7"/>
        <v>19.092435119999948</v>
      </c>
      <c r="O65" t="str">
        <f t="shared" si="8"/>
        <v>no</v>
      </c>
      <c r="P65" t="str">
        <f t="shared" si="9"/>
        <v>no</v>
      </c>
    </row>
    <row r="66" spans="2:16" x14ac:dyDescent="0.35">
      <c r="B66">
        <f t="shared" si="0"/>
        <v>52</v>
      </c>
      <c r="C66" s="7">
        <f t="shared" si="1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59" cm="1">
        <f t="array" ref="F66">estimatedTripDuration(C66,$C$7,$C$6)/60</f>
        <v>1.8600000006622739</v>
      </c>
      <c r="G66">
        <f t="shared" si="2"/>
        <v>52</v>
      </c>
      <c r="H66" s="50">
        <f t="shared" si="3"/>
        <v>4.333333333333333</v>
      </c>
      <c r="I66" s="7" cm="1">
        <f t="array" ref="I66">CurrentCapacity(K$9,K$5,K$6,H66)</f>
        <v>273.94668576000004</v>
      </c>
      <c r="J66" s="48">
        <f t="shared" si="4"/>
        <v>0.37223021522663546</v>
      </c>
      <c r="K66" s="5" cm="1">
        <f t="array" ref="K66">UseableCapacity(I66,$K$7,$K$8)</f>
        <v>205.46001432000003</v>
      </c>
      <c r="L66" s="59">
        <f t="shared" si="5"/>
        <v>171.97545195893176</v>
      </c>
      <c r="M66" s="7">
        <f t="shared" si="6"/>
        <v>103.48878051893175</v>
      </c>
      <c r="N66" s="7">
        <f t="shared" si="7"/>
        <v>19.093314239999984</v>
      </c>
      <c r="O66" t="str">
        <f t="shared" si="8"/>
        <v>no</v>
      </c>
      <c r="P66" t="str">
        <f t="shared" si="9"/>
        <v>no</v>
      </c>
    </row>
    <row r="67" spans="2:16" x14ac:dyDescent="0.35">
      <c r="B67">
        <f t="shared" si="0"/>
        <v>53</v>
      </c>
      <c r="C67" s="7">
        <f t="shared" si="1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59" cm="1">
        <f t="array" ref="F67">estimatedTripDuration(C67,$C$7,$C$6)/60</f>
        <v>1.8933333339956071</v>
      </c>
      <c r="G67">
        <f t="shared" si="2"/>
        <v>53</v>
      </c>
      <c r="H67" s="50">
        <f t="shared" si="3"/>
        <v>4.416666666666667</v>
      </c>
      <c r="I67" s="7" cm="1">
        <f t="array" ref="I67">CurrentCapacity(K$9,K$5,K$6,H67)</f>
        <v>273.94580664</v>
      </c>
      <c r="J67" s="48">
        <f t="shared" si="4"/>
        <v>0.3724276862362863</v>
      </c>
      <c r="K67" s="5" cm="1">
        <f t="array" ref="K67">UseableCapacity(I67,$K$7,$K$8)</f>
        <v>205.45935498</v>
      </c>
      <c r="L67" s="59">
        <f t="shared" si="5"/>
        <v>171.92080371893172</v>
      </c>
      <c r="M67" s="7">
        <f t="shared" si="6"/>
        <v>103.43435205893172</v>
      </c>
      <c r="N67" s="7">
        <f t="shared" si="7"/>
        <v>19.09419336000002</v>
      </c>
      <c r="O67" t="str">
        <f t="shared" si="8"/>
        <v>no</v>
      </c>
      <c r="P67" t="str">
        <f t="shared" si="9"/>
        <v>no</v>
      </c>
    </row>
    <row r="68" spans="2:16" x14ac:dyDescent="0.35">
      <c r="B68">
        <f t="shared" si="0"/>
        <v>54</v>
      </c>
      <c r="C68" s="7">
        <f t="shared" si="1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59" cm="1">
        <f t="array" ref="F68">estimatedTripDuration(C68,$C$7,$C$6)/60</f>
        <v>1.9266666673289405</v>
      </c>
      <c r="G68">
        <f t="shared" si="2"/>
        <v>54</v>
      </c>
      <c r="H68" s="50">
        <f t="shared" si="3"/>
        <v>4.5</v>
      </c>
      <c r="I68" s="7" cm="1">
        <f t="array" ref="I68">CurrentCapacity(K$9,K$5,K$6,H68)</f>
        <v>273.94492752000002</v>
      </c>
      <c r="J68" s="48">
        <f t="shared" si="4"/>
        <v>0.37262515851335043</v>
      </c>
      <c r="K68" s="5" cm="1">
        <f t="array" ref="K68">UseableCapacity(I68,$K$7,$K$8)</f>
        <v>205.45869564000003</v>
      </c>
      <c r="L68" s="59">
        <f t="shared" si="5"/>
        <v>171.86615547893172</v>
      </c>
      <c r="M68" s="7">
        <f t="shared" si="6"/>
        <v>103.37992359893173</v>
      </c>
      <c r="N68" s="7">
        <f t="shared" si="7"/>
        <v>19.095072479999999</v>
      </c>
      <c r="O68" t="str">
        <f t="shared" si="8"/>
        <v>no</v>
      </c>
      <c r="P68" t="str">
        <f t="shared" si="9"/>
        <v>no</v>
      </c>
    </row>
    <row r="69" spans="2:16" x14ac:dyDescent="0.35">
      <c r="B69">
        <f t="shared" si="0"/>
        <v>55</v>
      </c>
      <c r="C69" s="7">
        <f t="shared" si="1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59" cm="1">
        <f t="array" ref="F69">estimatedTripDuration(C69,$C$7,$C$6)/60</f>
        <v>1.9600000006622738</v>
      </c>
      <c r="G69">
        <f t="shared" si="2"/>
        <v>55</v>
      </c>
      <c r="H69" s="50">
        <f t="shared" si="3"/>
        <v>4.583333333333333</v>
      </c>
      <c r="I69" s="7" cm="1">
        <f t="array" ref="I69">CurrentCapacity(K$9,K$5,K$6,H69)</f>
        <v>273.94404840000004</v>
      </c>
      <c r="J69" s="48">
        <f t="shared" si="4"/>
        <v>0.37282263205783983</v>
      </c>
      <c r="K69" s="5" cm="1">
        <f t="array" ref="K69">UseableCapacity(I69,$K$7,$K$8)</f>
        <v>205.45803630000003</v>
      </c>
      <c r="L69" s="59">
        <f t="shared" si="5"/>
        <v>171.81150723893177</v>
      </c>
      <c r="M69" s="7">
        <f t="shared" si="6"/>
        <v>103.32549513893174</v>
      </c>
      <c r="N69" s="7">
        <f t="shared" si="7"/>
        <v>19.095951599999978</v>
      </c>
      <c r="O69" t="str">
        <f t="shared" si="8"/>
        <v>no</v>
      </c>
      <c r="P69" t="str">
        <f t="shared" si="9"/>
        <v>no</v>
      </c>
    </row>
    <row r="70" spans="2:16" x14ac:dyDescent="0.35">
      <c r="B70">
        <f t="shared" si="0"/>
        <v>56</v>
      </c>
      <c r="C70" s="7">
        <f t="shared" si="1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59" cm="1">
        <f t="array" ref="F70">estimatedTripDuration(C70,$C$7,$C$6)/60</f>
        <v>1.9933333339956074</v>
      </c>
      <c r="G70">
        <f t="shared" si="2"/>
        <v>56</v>
      </c>
      <c r="H70" s="50">
        <f t="shared" si="3"/>
        <v>4.666666666666667</v>
      </c>
      <c r="I70" s="7" cm="1">
        <f t="array" ref="I70">CurrentCapacity(K$9,K$5,K$6,H70)</f>
        <v>273.94316928000006</v>
      </c>
      <c r="J70" s="48">
        <f t="shared" si="4"/>
        <v>0.37302010686976694</v>
      </c>
      <c r="K70" s="5" cm="1">
        <f t="array" ref="K70">UseableCapacity(I70,$K$7,$K$8)</f>
        <v>205.45737696000003</v>
      </c>
      <c r="L70" s="59">
        <f t="shared" si="5"/>
        <v>171.75685899893176</v>
      </c>
      <c r="M70" s="7">
        <f t="shared" si="6"/>
        <v>103.27106667893175</v>
      </c>
      <c r="N70" s="7">
        <f t="shared" si="7"/>
        <v>19.096830719999957</v>
      </c>
      <c r="O70" t="str">
        <f t="shared" si="8"/>
        <v>no</v>
      </c>
      <c r="P70" t="str">
        <f t="shared" si="9"/>
        <v>no</v>
      </c>
    </row>
    <row r="71" spans="2:16" x14ac:dyDescent="0.35">
      <c r="B71">
        <f t="shared" si="0"/>
        <v>57</v>
      </c>
      <c r="C71" s="7">
        <f t="shared" si="1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59" cm="1">
        <f t="array" ref="F71">estimatedTripDuration(C71,$C$7,$C$6)/60</f>
        <v>2.0266666673289402</v>
      </c>
      <c r="G71">
        <f t="shared" si="2"/>
        <v>57</v>
      </c>
      <c r="H71" s="50">
        <f t="shared" si="3"/>
        <v>4.75</v>
      </c>
      <c r="I71" s="7" cm="1">
        <f t="array" ref="I71">CurrentCapacity(K$9,K$5,K$6,H71)</f>
        <v>273.94229016000003</v>
      </c>
      <c r="J71" s="48">
        <f t="shared" si="4"/>
        <v>0.37321758294914403</v>
      </c>
      <c r="K71" s="5" cm="1">
        <f t="array" ref="K71">UseableCapacity(I71,$K$7,$K$8)</f>
        <v>205.45671762000001</v>
      </c>
      <c r="L71" s="59">
        <f t="shared" si="5"/>
        <v>171.70221075893173</v>
      </c>
      <c r="M71" s="7">
        <f t="shared" si="6"/>
        <v>103.21663821893171</v>
      </c>
      <c r="N71" s="7">
        <f t="shared" si="7"/>
        <v>19.097709839999993</v>
      </c>
      <c r="O71" t="str">
        <f t="shared" si="8"/>
        <v>no</v>
      </c>
      <c r="P71" t="str">
        <f t="shared" si="9"/>
        <v>no</v>
      </c>
    </row>
    <row r="72" spans="2:16" x14ac:dyDescent="0.35">
      <c r="B72">
        <f t="shared" si="0"/>
        <v>58</v>
      </c>
      <c r="C72" s="7">
        <f t="shared" si="1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59" cm="1">
        <f t="array" ref="F72">estimatedTripDuration(C72,$C$7,$C$6)/60</f>
        <v>2.0600000006622738</v>
      </c>
      <c r="G72">
        <f t="shared" si="2"/>
        <v>58</v>
      </c>
      <c r="H72" s="50">
        <f t="shared" si="3"/>
        <v>4.833333333333333</v>
      </c>
      <c r="I72" s="7" cm="1">
        <f t="array" ref="I72">CurrentCapacity(K$9,K$5,K$6,H72)</f>
        <v>273.94141104000005</v>
      </c>
      <c r="J72" s="48">
        <f t="shared" si="4"/>
        <v>0.37341506029598304</v>
      </c>
      <c r="K72" s="5" cm="1">
        <f t="array" ref="K72">UseableCapacity(I72,$K$7,$K$8)</f>
        <v>205.45605828000004</v>
      </c>
      <c r="L72" s="59">
        <f t="shared" si="5"/>
        <v>171.64756251893175</v>
      </c>
      <c r="M72" s="7">
        <f t="shared" si="6"/>
        <v>103.16220975893175</v>
      </c>
      <c r="N72" s="7">
        <f t="shared" si="7"/>
        <v>19.098588959999972</v>
      </c>
      <c r="O72" t="str">
        <f t="shared" si="8"/>
        <v>no</v>
      </c>
      <c r="P72" t="str">
        <f t="shared" si="9"/>
        <v>no</v>
      </c>
    </row>
    <row r="73" spans="2:16" x14ac:dyDescent="0.35">
      <c r="B73">
        <f t="shared" si="0"/>
        <v>59</v>
      </c>
      <c r="C73" s="7">
        <f t="shared" si="1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59" cm="1">
        <f t="array" ref="F73">estimatedTripDuration(C73,$C$7,$C$6)/60</f>
        <v>2.0933333339956071</v>
      </c>
      <c r="G73">
        <f t="shared" si="2"/>
        <v>59</v>
      </c>
      <c r="H73" s="50">
        <f t="shared" si="3"/>
        <v>4.916666666666667</v>
      </c>
      <c r="I73" s="7" cm="1">
        <f t="array" ref="I73">CurrentCapacity(K$9,K$5,K$6,H73)</f>
        <v>273.94053192000001</v>
      </c>
      <c r="J73" s="48">
        <f t="shared" si="4"/>
        <v>0.37361253891029639</v>
      </c>
      <c r="K73" s="5" cm="1">
        <f t="array" ref="K73">UseableCapacity(I73,$K$7,$K$8)</f>
        <v>205.45539894000001</v>
      </c>
      <c r="L73" s="59">
        <f t="shared" si="5"/>
        <v>171.59291427893172</v>
      </c>
      <c r="M73" s="7">
        <f t="shared" si="6"/>
        <v>103.10778129893171</v>
      </c>
      <c r="N73" s="7">
        <f t="shared" si="7"/>
        <v>19.099468080000008</v>
      </c>
      <c r="O73" t="str">
        <f t="shared" si="8"/>
        <v>no</v>
      </c>
      <c r="P73" t="str">
        <f t="shared" si="9"/>
        <v>no</v>
      </c>
    </row>
    <row r="74" spans="2:16" x14ac:dyDescent="0.35">
      <c r="B74">
        <f t="shared" si="0"/>
        <v>60</v>
      </c>
      <c r="C74" s="7">
        <f t="shared" si="1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59" cm="1">
        <f t="array" ref="F74">estimatedTripDuration(C74,$C$7,$C$6)/60</f>
        <v>2.1266666673289403</v>
      </c>
      <c r="G74">
        <f t="shared" si="2"/>
        <v>60</v>
      </c>
      <c r="H74" s="50">
        <f t="shared" si="3"/>
        <v>5</v>
      </c>
      <c r="I74" s="7" cm="1">
        <f t="array" ref="I74">CurrentCapacity(K$9,K$5,K$6,H74)</f>
        <v>273.93965280000003</v>
      </c>
      <c r="J74" s="48">
        <f t="shared" si="4"/>
        <v>0.37381001879209613</v>
      </c>
      <c r="K74" s="5" cm="1">
        <f t="array" ref="K74">UseableCapacity(I74,$K$7,$K$8)</f>
        <v>205.45473960000004</v>
      </c>
      <c r="L74" s="59">
        <f t="shared" si="5"/>
        <v>171.53826603893174</v>
      </c>
      <c r="M74" s="7">
        <f t="shared" si="6"/>
        <v>103.05335283893174</v>
      </c>
      <c r="N74" s="7">
        <f t="shared" si="7"/>
        <v>19.100347199999987</v>
      </c>
      <c r="O74" t="str">
        <f t="shared" si="8"/>
        <v>no</v>
      </c>
      <c r="P74" t="str">
        <f t="shared" si="9"/>
        <v>no</v>
      </c>
    </row>
    <row r="75" spans="2:16" x14ac:dyDescent="0.35">
      <c r="B75">
        <f t="shared" si="0"/>
        <v>61</v>
      </c>
      <c r="C75" s="7">
        <f t="shared" si="1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59" cm="1">
        <f t="array" ref="F75">estimatedTripDuration(C75,$C$7,$C$6)/60</f>
        <v>2.1600000006622739</v>
      </c>
      <c r="G75">
        <f t="shared" si="2"/>
        <v>61</v>
      </c>
      <c r="H75" s="50">
        <f t="shared" si="3"/>
        <v>5.083333333333333</v>
      </c>
      <c r="I75" s="7" cm="1">
        <f t="array" ref="I75">CurrentCapacity(K$9,K$5,K$6,H75)</f>
        <v>273.93877368</v>
      </c>
      <c r="J75" s="48">
        <f t="shared" si="4"/>
        <v>0.37400749994139448</v>
      </c>
      <c r="K75" s="5" cm="1">
        <f t="array" ref="K75">UseableCapacity(I75,$K$7,$K$8)</f>
        <v>205.45408026000001</v>
      </c>
      <c r="L75" s="59">
        <f t="shared" si="5"/>
        <v>171.48361779893173</v>
      </c>
      <c r="M75" s="7">
        <f t="shared" si="6"/>
        <v>102.99892437893173</v>
      </c>
      <c r="N75" s="7">
        <f t="shared" si="7"/>
        <v>19.101226320000023</v>
      </c>
      <c r="O75" t="str">
        <f t="shared" si="8"/>
        <v>no</v>
      </c>
      <c r="P75" t="str">
        <f t="shared" si="9"/>
        <v>no</v>
      </c>
    </row>
    <row r="76" spans="2:16" x14ac:dyDescent="0.35">
      <c r="B76">
        <f t="shared" si="0"/>
        <v>62</v>
      </c>
      <c r="C76" s="7">
        <f t="shared" si="1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59" cm="1">
        <f t="array" ref="F76">estimatedTripDuration(C76,$C$7,$C$6)/60</f>
        <v>2.1933333339956067</v>
      </c>
      <c r="G76">
        <f t="shared" si="2"/>
        <v>62</v>
      </c>
      <c r="H76" s="50">
        <f t="shared" si="3"/>
        <v>5.166666666666667</v>
      </c>
      <c r="I76" s="7" cm="1">
        <f t="array" ref="I76">CurrentCapacity(K$9,K$5,K$6,H76)</f>
        <v>273.93789456000002</v>
      </c>
      <c r="J76" s="48">
        <f t="shared" si="4"/>
        <v>0.37420498235820382</v>
      </c>
      <c r="K76" s="5" cm="1">
        <f t="array" ref="K76">UseableCapacity(I76,$K$7,$K$8)</f>
        <v>205.45342092000001</v>
      </c>
      <c r="L76" s="59">
        <f t="shared" si="5"/>
        <v>171.42896955893173</v>
      </c>
      <c r="M76" s="7">
        <f t="shared" si="6"/>
        <v>102.94449591893171</v>
      </c>
      <c r="N76" s="7">
        <f t="shared" si="7"/>
        <v>19.102105440000003</v>
      </c>
      <c r="O76" t="str">
        <f t="shared" si="8"/>
        <v>no</v>
      </c>
      <c r="P76" t="str">
        <f t="shared" si="9"/>
        <v>no</v>
      </c>
    </row>
    <row r="77" spans="2:16" x14ac:dyDescent="0.35">
      <c r="B77">
        <f t="shared" si="0"/>
        <v>63</v>
      </c>
      <c r="C77" s="7">
        <f t="shared" si="1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59" cm="1">
        <f t="array" ref="F77">estimatedTripDuration(C77,$C$7,$C$6)/60</f>
        <v>2.2266666673289408</v>
      </c>
      <c r="G77">
        <f t="shared" si="2"/>
        <v>63</v>
      </c>
      <c r="H77" s="50">
        <f t="shared" si="3"/>
        <v>5.25</v>
      </c>
      <c r="I77" s="7" cm="1">
        <f t="array" ref="I77">CurrentCapacity(K$9,K$5,K$6,H77)</f>
        <v>273.93701544000004</v>
      </c>
      <c r="J77" s="48">
        <f t="shared" si="4"/>
        <v>0.37440246604253613</v>
      </c>
      <c r="K77" s="5" cm="1">
        <f t="array" ref="K77">UseableCapacity(I77,$K$7,$K$8)</f>
        <v>205.45276158000001</v>
      </c>
      <c r="L77" s="59">
        <f t="shared" si="5"/>
        <v>171.37432131893172</v>
      </c>
      <c r="M77" s="7">
        <f t="shared" si="6"/>
        <v>102.89006745893171</v>
      </c>
      <c r="N77" s="7">
        <f t="shared" si="7"/>
        <v>19.102984559999982</v>
      </c>
      <c r="O77" t="str">
        <f t="shared" si="8"/>
        <v>no</v>
      </c>
      <c r="P77" t="str">
        <f t="shared" si="9"/>
        <v>no</v>
      </c>
    </row>
    <row r="78" spans="2:16" x14ac:dyDescent="0.35">
      <c r="B78">
        <f t="shared" si="0"/>
        <v>64</v>
      </c>
      <c r="C78" s="7">
        <f t="shared" si="1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59" cm="1">
        <f t="array" ref="F78">estimatedTripDuration(C78,$C$7,$C$6)/60</f>
        <v>2.2600000006622736</v>
      </c>
      <c r="G78">
        <f t="shared" si="2"/>
        <v>64</v>
      </c>
      <c r="H78" s="50">
        <f t="shared" si="3"/>
        <v>5.333333333333333</v>
      </c>
      <c r="I78" s="7" cm="1">
        <f t="array" ref="I78">CurrentCapacity(K$9,K$5,K$6,H78)</f>
        <v>273.93613632000006</v>
      </c>
      <c r="J78" s="48">
        <f t="shared" si="4"/>
        <v>0.37459995099440369</v>
      </c>
      <c r="K78" s="5" cm="1">
        <f t="array" ref="K78">UseableCapacity(I78,$K$7,$K$8)</f>
        <v>205.45210224000004</v>
      </c>
      <c r="L78" s="59">
        <f t="shared" si="5"/>
        <v>171.31967307893177</v>
      </c>
      <c r="M78" s="7">
        <f t="shared" si="6"/>
        <v>102.83563899893174</v>
      </c>
      <c r="N78" s="7">
        <f t="shared" si="7"/>
        <v>19.103863679999961</v>
      </c>
      <c r="O78" t="str">
        <f t="shared" si="8"/>
        <v>no</v>
      </c>
      <c r="P78" t="str">
        <f t="shared" si="9"/>
        <v>no</v>
      </c>
    </row>
    <row r="79" spans="2:16" x14ac:dyDescent="0.35">
      <c r="B79">
        <f t="shared" ref="B79:B142" si="10">B78+$G$12</f>
        <v>65</v>
      </c>
      <c r="C79" s="7">
        <f t="shared" ref="C79:C142" si="11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59" cm="1">
        <f t="array" ref="F79">estimatedTripDuration(C79,$C$7,$C$6)/60</f>
        <v>2.2933333339956068</v>
      </c>
      <c r="G79">
        <f t="shared" ref="G79:G102" si="12">B79</f>
        <v>65</v>
      </c>
      <c r="H79" s="50">
        <f t="shared" ref="H79:H142" si="13">G79/$G$3</f>
        <v>5.416666666666667</v>
      </c>
      <c r="I79" s="7" cm="1">
        <f t="array" ref="I79">CurrentCapacity(K$9,K$5,K$6,H79)</f>
        <v>273.93525720000002</v>
      </c>
      <c r="J79" s="48">
        <f t="shared" ref="J79:J142" si="14">E79/I79</f>
        <v>0.37479743721381875</v>
      </c>
      <c r="K79" s="5" cm="1">
        <f t="array" ref="K79">UseableCapacity(I79,$K$7,$K$8)</f>
        <v>205.45144290000002</v>
      </c>
      <c r="L79" s="59">
        <f t="shared" ref="L79:L142" si="15">(K$7*I79)-E79</f>
        <v>171.26502483893171</v>
      </c>
      <c r="M79" s="7">
        <f t="shared" ref="M79:M142" si="16">K79-E79</f>
        <v>102.78121053893172</v>
      </c>
      <c r="N79" s="7">
        <f t="shared" ref="N79:N142" si="17">$K$9-I79</f>
        <v>19.104742799999997</v>
      </c>
      <c r="O79" t="str">
        <f t="shared" ref="O79:O102" si="18">IF(M79&lt;0,"yes","no")</f>
        <v>no</v>
      </c>
      <c r="P79" t="str">
        <f t="shared" ref="P79:P102" si="19">IF(L79&lt;0,"yes","no")</f>
        <v>no</v>
      </c>
    </row>
    <row r="80" spans="2:16" x14ac:dyDescent="0.35">
      <c r="B80">
        <f t="shared" si="10"/>
        <v>66</v>
      </c>
      <c r="C80" s="7">
        <f t="shared" si="11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59" cm="1">
        <f t="array" ref="F80">estimatedTripDuration(C80,$C$7,$C$6)/60</f>
        <v>2.3266666673289405</v>
      </c>
      <c r="G80">
        <f t="shared" si="12"/>
        <v>66</v>
      </c>
      <c r="H80" s="50">
        <f t="shared" si="13"/>
        <v>5.5</v>
      </c>
      <c r="I80" s="7" cm="1">
        <f t="array" ref="I80">CurrentCapacity(K$9,K$5,K$6,H80)</f>
        <v>273.93437808000004</v>
      </c>
      <c r="J80" s="48">
        <f t="shared" si="14"/>
        <v>0.37499492470079338</v>
      </c>
      <c r="K80" s="5" cm="1">
        <f t="array" ref="K80">UseableCapacity(I80,$K$7,$K$8)</f>
        <v>205.45078356000005</v>
      </c>
      <c r="L80" s="59">
        <f t="shared" si="15"/>
        <v>171.21037659893176</v>
      </c>
      <c r="M80" s="7">
        <f t="shared" si="16"/>
        <v>102.72678207893176</v>
      </c>
      <c r="N80" s="7">
        <f t="shared" si="17"/>
        <v>19.105621919999976</v>
      </c>
      <c r="O80" t="str">
        <f t="shared" si="18"/>
        <v>no</v>
      </c>
      <c r="P80" t="str">
        <f t="shared" si="19"/>
        <v>no</v>
      </c>
    </row>
    <row r="81" spans="2:16" x14ac:dyDescent="0.35">
      <c r="B81">
        <f t="shared" si="10"/>
        <v>67</v>
      </c>
      <c r="C81" s="7">
        <f t="shared" si="11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59" cm="1">
        <f t="array" ref="F81">estimatedTripDuration(C81,$C$7,$C$6)/60</f>
        <v>2.3600000006622737</v>
      </c>
      <c r="G81">
        <f t="shared" si="12"/>
        <v>67</v>
      </c>
      <c r="H81" s="50">
        <f t="shared" si="13"/>
        <v>5.583333333333333</v>
      </c>
      <c r="I81" s="7" cm="1">
        <f t="array" ref="I81">CurrentCapacity(K$9,K$5,K$6,H81)</f>
        <v>273.93349896000001</v>
      </c>
      <c r="J81" s="48">
        <f t="shared" si="14"/>
        <v>0.37519241345534005</v>
      </c>
      <c r="K81" s="5" cm="1">
        <f t="array" ref="K81">UseableCapacity(I81,$K$7,$K$8)</f>
        <v>205.45012422000002</v>
      </c>
      <c r="L81" s="59">
        <f t="shared" si="15"/>
        <v>171.15572835893173</v>
      </c>
      <c r="M81" s="7">
        <f t="shared" si="16"/>
        <v>102.67235361893174</v>
      </c>
      <c r="N81" s="7">
        <f t="shared" si="17"/>
        <v>19.106501040000012</v>
      </c>
      <c r="O81" t="str">
        <f t="shared" si="18"/>
        <v>no</v>
      </c>
      <c r="P81" t="str">
        <f t="shared" si="19"/>
        <v>no</v>
      </c>
    </row>
    <row r="82" spans="2:16" x14ac:dyDescent="0.35">
      <c r="B82">
        <f t="shared" si="10"/>
        <v>68</v>
      </c>
      <c r="C82" s="7">
        <f t="shared" si="11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59" cm="1">
        <f t="array" ref="F82">estimatedTripDuration(C82,$C$7,$C$6)/60</f>
        <v>2.3933333339956069</v>
      </c>
      <c r="G82">
        <f t="shared" si="12"/>
        <v>68</v>
      </c>
      <c r="H82" s="50">
        <f t="shared" si="13"/>
        <v>5.666666666666667</v>
      </c>
      <c r="I82" s="7" cm="1">
        <f t="array" ref="I82">CurrentCapacity(K$9,K$5,K$6,H82)</f>
        <v>273.93261984000003</v>
      </c>
      <c r="J82" s="48">
        <f t="shared" si="14"/>
        <v>0.3753899034774707</v>
      </c>
      <c r="K82" s="5" cm="1">
        <f t="array" ref="K82">UseableCapacity(I82,$K$7,$K$8)</f>
        <v>205.44946488000002</v>
      </c>
      <c r="L82" s="59">
        <f t="shared" si="15"/>
        <v>171.10108011893175</v>
      </c>
      <c r="M82" s="7">
        <f t="shared" si="16"/>
        <v>102.61792515893174</v>
      </c>
      <c r="N82" s="7">
        <f t="shared" si="17"/>
        <v>19.107380159999991</v>
      </c>
      <c r="O82" t="str">
        <f t="shared" si="18"/>
        <v>no</v>
      </c>
      <c r="P82" t="str">
        <f t="shared" si="19"/>
        <v>no</v>
      </c>
    </row>
    <row r="83" spans="2:16" x14ac:dyDescent="0.35">
      <c r="B83">
        <f t="shared" si="10"/>
        <v>69</v>
      </c>
      <c r="C83" s="7">
        <f t="shared" si="11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59" cm="1">
        <f t="array" ref="F83">estimatedTripDuration(C83,$C$7,$C$6)/60</f>
        <v>2.4266666673289401</v>
      </c>
      <c r="G83">
        <f t="shared" si="12"/>
        <v>69</v>
      </c>
      <c r="H83" s="50">
        <f t="shared" si="13"/>
        <v>5.75</v>
      </c>
      <c r="I83" s="7" cm="1">
        <f t="array" ref="I83">CurrentCapacity(K$9,K$5,K$6,H83)</f>
        <v>273.93174072000005</v>
      </c>
      <c r="J83" s="48">
        <f t="shared" si="14"/>
        <v>0.37558739476719771</v>
      </c>
      <c r="K83" s="5" cm="1">
        <f t="array" ref="K83">UseableCapacity(I83,$K$7,$K$8)</f>
        <v>205.44880554000002</v>
      </c>
      <c r="L83" s="59">
        <f t="shared" si="15"/>
        <v>171.04643187893174</v>
      </c>
      <c r="M83" s="7">
        <f t="shared" si="16"/>
        <v>102.56349669893171</v>
      </c>
      <c r="N83" s="7">
        <f t="shared" si="17"/>
        <v>19.10825927999997</v>
      </c>
      <c r="O83" t="str">
        <f t="shared" si="18"/>
        <v>no</v>
      </c>
      <c r="P83" t="str">
        <f t="shared" si="19"/>
        <v>no</v>
      </c>
    </row>
    <row r="84" spans="2:16" x14ac:dyDescent="0.35">
      <c r="B84">
        <f t="shared" si="10"/>
        <v>70</v>
      </c>
      <c r="C84" s="7">
        <f t="shared" si="11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59" cm="1">
        <f t="array" ref="F84">estimatedTripDuration(C84,$C$7,$C$6)/60</f>
        <v>2.4600000006622738</v>
      </c>
      <c r="G84">
        <f t="shared" si="12"/>
        <v>70</v>
      </c>
      <c r="H84" s="50">
        <f t="shared" si="13"/>
        <v>5.833333333333333</v>
      </c>
      <c r="I84" s="7" cm="1">
        <f t="array" ref="I84">CurrentCapacity(K$9,K$5,K$6,H84)</f>
        <v>273.93086160000001</v>
      </c>
      <c r="J84" s="48">
        <f t="shared" si="14"/>
        <v>0.37578488732453313</v>
      </c>
      <c r="K84" s="5" cm="1">
        <f t="array" ref="K84">UseableCapacity(I84,$K$7,$K$8)</f>
        <v>205.4481462</v>
      </c>
      <c r="L84" s="59">
        <f t="shared" si="15"/>
        <v>170.99178363893174</v>
      </c>
      <c r="M84" s="7">
        <f t="shared" si="16"/>
        <v>102.50906823893172</v>
      </c>
      <c r="N84" s="7">
        <f t="shared" si="17"/>
        <v>19.109138400000006</v>
      </c>
      <c r="O84" t="str">
        <f t="shared" si="18"/>
        <v>no</v>
      </c>
      <c r="P84" t="str">
        <f t="shared" si="19"/>
        <v>no</v>
      </c>
    </row>
    <row r="85" spans="2:16" x14ac:dyDescent="0.35">
      <c r="B85">
        <f t="shared" si="10"/>
        <v>71</v>
      </c>
      <c r="C85" s="7">
        <f t="shared" si="11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59" cm="1">
        <f t="array" ref="F85">estimatedTripDuration(C85,$C$7,$C$6)/60</f>
        <v>2.493333333995607</v>
      </c>
      <c r="G85">
        <f t="shared" si="12"/>
        <v>71</v>
      </c>
      <c r="H85" s="50">
        <f t="shared" si="13"/>
        <v>5.916666666666667</v>
      </c>
      <c r="I85" s="7" cm="1">
        <f t="array" ref="I85">CurrentCapacity(K$9,K$5,K$6,H85)</f>
        <v>273.92998248000004</v>
      </c>
      <c r="J85" s="48">
        <f t="shared" si="14"/>
        <v>0.37598238114948929</v>
      </c>
      <c r="K85" s="5" cm="1">
        <f t="array" ref="K85">UseableCapacity(I85,$K$7,$K$8)</f>
        <v>205.44748686000003</v>
      </c>
      <c r="L85" s="59">
        <f t="shared" si="15"/>
        <v>170.93713539893173</v>
      </c>
      <c r="M85" s="7">
        <f t="shared" si="16"/>
        <v>102.45463977893174</v>
      </c>
      <c r="N85" s="7">
        <f t="shared" si="17"/>
        <v>19.110017519999985</v>
      </c>
      <c r="O85" t="str">
        <f t="shared" si="18"/>
        <v>no</v>
      </c>
      <c r="P85" t="str">
        <f t="shared" si="19"/>
        <v>no</v>
      </c>
    </row>
    <row r="86" spans="2:16" x14ac:dyDescent="0.35">
      <c r="B86">
        <f t="shared" si="10"/>
        <v>72</v>
      </c>
      <c r="C86" s="7">
        <f t="shared" si="11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59" cm="1">
        <f t="array" ref="F86">estimatedTripDuration(C86,$C$7,$C$6)/60</f>
        <v>2.5266666673289402</v>
      </c>
      <c r="G86">
        <f t="shared" si="12"/>
        <v>72</v>
      </c>
      <c r="H86" s="50">
        <f t="shared" si="13"/>
        <v>6</v>
      </c>
      <c r="I86" s="7" cm="1">
        <f t="array" ref="I86">CurrentCapacity(K$9,K$5,K$6,H86)</f>
        <v>273.92910336000006</v>
      </c>
      <c r="J86" s="48">
        <f t="shared" si="14"/>
        <v>0.37617987624207833</v>
      </c>
      <c r="K86" s="5" cm="1">
        <f t="array" ref="K86">UseableCapacity(I86,$K$7,$K$8)</f>
        <v>205.44682752000006</v>
      </c>
      <c r="L86" s="59">
        <f t="shared" si="15"/>
        <v>170.88248715893175</v>
      </c>
      <c r="M86" s="7">
        <f t="shared" si="16"/>
        <v>102.40021131893175</v>
      </c>
      <c r="N86" s="7">
        <f t="shared" si="17"/>
        <v>19.110896639999964</v>
      </c>
      <c r="O86" t="str">
        <f t="shared" si="18"/>
        <v>no</v>
      </c>
      <c r="P86" t="str">
        <f t="shared" si="19"/>
        <v>no</v>
      </c>
    </row>
    <row r="87" spans="2:16" x14ac:dyDescent="0.35">
      <c r="B87">
        <f t="shared" si="10"/>
        <v>73</v>
      </c>
      <c r="C87" s="7">
        <f t="shared" si="11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59" cm="1">
        <f t="array" ref="F87">estimatedTripDuration(C87,$C$7,$C$6)/60</f>
        <v>2.5600000006622734</v>
      </c>
      <c r="G87">
        <f t="shared" si="12"/>
        <v>73</v>
      </c>
      <c r="H87" s="50">
        <f t="shared" si="13"/>
        <v>6.083333333333333</v>
      </c>
      <c r="I87" s="7" cm="1">
        <f t="array" ref="I87">CurrentCapacity(K$9,K$5,K$6,H87)</f>
        <v>273.92822424000002</v>
      </c>
      <c r="J87" s="48">
        <f t="shared" si="14"/>
        <v>0.37637737260231247</v>
      </c>
      <c r="K87" s="5" cm="1">
        <f t="array" ref="K87">UseableCapacity(I87,$K$7,$K$8)</f>
        <v>205.44616818000003</v>
      </c>
      <c r="L87" s="59">
        <f t="shared" si="15"/>
        <v>170.82783891893172</v>
      </c>
      <c r="M87" s="7">
        <f t="shared" si="16"/>
        <v>102.34578285893174</v>
      </c>
      <c r="N87" s="7">
        <f t="shared" si="17"/>
        <v>19.11177576</v>
      </c>
      <c r="O87" t="str">
        <f t="shared" si="18"/>
        <v>no</v>
      </c>
      <c r="P87" t="str">
        <f t="shared" si="19"/>
        <v>no</v>
      </c>
    </row>
    <row r="88" spans="2:16" x14ac:dyDescent="0.35">
      <c r="B88">
        <f t="shared" si="10"/>
        <v>74</v>
      </c>
      <c r="C88" s="7">
        <f t="shared" si="11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59" cm="1">
        <f t="array" ref="F88">estimatedTripDuration(C88,$C$7,$C$6)/60</f>
        <v>2.5933333339956071</v>
      </c>
      <c r="G88">
        <f t="shared" si="12"/>
        <v>74</v>
      </c>
      <c r="H88" s="50">
        <f t="shared" si="13"/>
        <v>6.166666666666667</v>
      </c>
      <c r="I88" s="7" cm="1">
        <f t="array" ref="I88">CurrentCapacity(K$9,K$5,K$6,H88)</f>
        <v>273.92734512000004</v>
      </c>
      <c r="J88" s="48">
        <f t="shared" si="14"/>
        <v>0.37657487023020392</v>
      </c>
      <c r="K88" s="5" cm="1">
        <f t="array" ref="K88">UseableCapacity(I88,$K$7,$K$8)</f>
        <v>205.44550884000003</v>
      </c>
      <c r="L88" s="59">
        <f t="shared" si="15"/>
        <v>170.77319067893174</v>
      </c>
      <c r="M88" s="7">
        <f t="shared" si="16"/>
        <v>102.29135439893173</v>
      </c>
      <c r="N88" s="7">
        <f t="shared" si="17"/>
        <v>19.11265487999998</v>
      </c>
      <c r="O88" t="str">
        <f t="shared" si="18"/>
        <v>no</v>
      </c>
      <c r="P88" t="str">
        <f t="shared" si="19"/>
        <v>no</v>
      </c>
    </row>
    <row r="89" spans="2:16" x14ac:dyDescent="0.35">
      <c r="B89">
        <f t="shared" si="10"/>
        <v>75</v>
      </c>
      <c r="C89" s="7">
        <f t="shared" si="11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59" cm="1">
        <f t="array" ref="F89">estimatedTripDuration(C89,$C$7,$C$6)/60</f>
        <v>2.6266666673289403</v>
      </c>
      <c r="G89">
        <f t="shared" si="12"/>
        <v>75</v>
      </c>
      <c r="H89" s="50">
        <f t="shared" si="13"/>
        <v>6.25</v>
      </c>
      <c r="I89" s="7" cm="1">
        <f t="array" ref="I89">CurrentCapacity(K$9,K$5,K$6,H89)</f>
        <v>273.926466</v>
      </c>
      <c r="J89" s="48">
        <f t="shared" si="14"/>
        <v>0.37677236912576495</v>
      </c>
      <c r="K89" s="5" cm="1">
        <f t="array" ref="K89">UseableCapacity(I89,$K$7,$K$8)</f>
        <v>205.4448495</v>
      </c>
      <c r="L89" s="59">
        <f t="shared" si="15"/>
        <v>170.71854243893171</v>
      </c>
      <c r="M89" s="7">
        <f t="shared" si="16"/>
        <v>102.23692593893171</v>
      </c>
      <c r="N89" s="7">
        <f t="shared" si="17"/>
        <v>19.113534000000016</v>
      </c>
      <c r="O89" t="str">
        <f t="shared" si="18"/>
        <v>no</v>
      </c>
      <c r="P89" t="str">
        <f t="shared" si="19"/>
        <v>no</v>
      </c>
    </row>
    <row r="90" spans="2:16" x14ac:dyDescent="0.35">
      <c r="B90">
        <f t="shared" si="10"/>
        <v>76</v>
      </c>
      <c r="C90" s="7">
        <f t="shared" si="11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59" cm="1">
        <f t="array" ref="F90">estimatedTripDuration(C90,$C$7,$C$6)/60</f>
        <v>2.6600000006622735</v>
      </c>
      <c r="G90">
        <f t="shared" si="12"/>
        <v>76</v>
      </c>
      <c r="H90" s="50">
        <f t="shared" si="13"/>
        <v>6.333333333333333</v>
      </c>
      <c r="I90" s="7" cm="1">
        <f t="array" ref="I90">CurrentCapacity(K$9,K$5,K$6,H90)</f>
        <v>273.92558688000003</v>
      </c>
      <c r="J90" s="48">
        <f t="shared" si="14"/>
        <v>0.3769698692890075</v>
      </c>
      <c r="K90" s="5" cm="1">
        <f t="array" ref="K90">UseableCapacity(I90,$K$7,$K$8)</f>
        <v>205.44419016000001</v>
      </c>
      <c r="L90" s="59">
        <f t="shared" si="15"/>
        <v>170.66389419893176</v>
      </c>
      <c r="M90" s="7">
        <f t="shared" si="16"/>
        <v>102.18249747893172</v>
      </c>
      <c r="N90" s="7">
        <f t="shared" si="17"/>
        <v>19.114413119999995</v>
      </c>
      <c r="O90" t="str">
        <f t="shared" si="18"/>
        <v>no</v>
      </c>
      <c r="P90" t="str">
        <f t="shared" si="19"/>
        <v>no</v>
      </c>
    </row>
    <row r="91" spans="2:16" x14ac:dyDescent="0.35">
      <c r="B91">
        <f t="shared" si="10"/>
        <v>77</v>
      </c>
      <c r="C91" s="7">
        <f t="shared" si="11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59" cm="1">
        <f t="array" ref="F91">estimatedTripDuration(C91,$C$7,$C$6)/60</f>
        <v>2.6933333339956067</v>
      </c>
      <c r="G91">
        <f t="shared" si="12"/>
        <v>77</v>
      </c>
      <c r="H91" s="50">
        <f t="shared" si="13"/>
        <v>6.416666666666667</v>
      </c>
      <c r="I91" s="7" cm="1">
        <f t="array" ref="I91">CurrentCapacity(K$9,K$5,K$6,H91)</f>
        <v>273.92470776000005</v>
      </c>
      <c r="J91" s="48">
        <f t="shared" si="14"/>
        <v>0.37716737071994411</v>
      </c>
      <c r="K91" s="5" cm="1">
        <f t="array" ref="K91">UseableCapacity(I91,$K$7,$K$8)</f>
        <v>205.44353082000003</v>
      </c>
      <c r="L91" s="59">
        <f t="shared" si="15"/>
        <v>170.60924595893175</v>
      </c>
      <c r="M91" s="7">
        <f t="shared" si="16"/>
        <v>102.12806901893174</v>
      </c>
      <c r="N91" s="7">
        <f t="shared" si="17"/>
        <v>19.115292239999974</v>
      </c>
      <c r="O91" t="str">
        <f t="shared" si="18"/>
        <v>no</v>
      </c>
      <c r="P91" t="str">
        <f t="shared" si="19"/>
        <v>no</v>
      </c>
    </row>
    <row r="92" spans="2:16" x14ac:dyDescent="0.35">
      <c r="B92">
        <f t="shared" si="10"/>
        <v>78</v>
      </c>
      <c r="C92" s="7">
        <f t="shared" si="11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59" cm="1">
        <f t="array" ref="F92">estimatedTripDuration(C92,$C$7,$C$6)/60</f>
        <v>2.7266666673289404</v>
      </c>
      <c r="G92">
        <f t="shared" si="12"/>
        <v>78</v>
      </c>
      <c r="H92" s="50">
        <f t="shared" si="13"/>
        <v>6.5</v>
      </c>
      <c r="I92" s="7" cm="1">
        <f t="array" ref="I92">CurrentCapacity(K$9,K$5,K$6,H92)</f>
        <v>273.92382864000007</v>
      </c>
      <c r="J92" s="48">
        <f t="shared" si="14"/>
        <v>0.37736487341858682</v>
      </c>
      <c r="K92" s="5" cm="1">
        <f t="array" ref="K92">UseableCapacity(I92,$K$7,$K$8)</f>
        <v>205.44287148000006</v>
      </c>
      <c r="L92" s="59">
        <f t="shared" si="15"/>
        <v>170.55459771893177</v>
      </c>
      <c r="M92" s="7">
        <f t="shared" si="16"/>
        <v>102.07364055893177</v>
      </c>
      <c r="N92" s="7">
        <f t="shared" si="17"/>
        <v>19.116171359999953</v>
      </c>
      <c r="O92" t="str">
        <f t="shared" si="18"/>
        <v>no</v>
      </c>
      <c r="P92" t="str">
        <f t="shared" si="19"/>
        <v>no</v>
      </c>
    </row>
    <row r="93" spans="2:16" x14ac:dyDescent="0.35">
      <c r="B93">
        <f t="shared" si="10"/>
        <v>79</v>
      </c>
      <c r="C93" s="7">
        <f t="shared" si="11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59" cm="1">
        <f t="array" ref="F93">estimatedTripDuration(C93,$C$7,$C$6)/60</f>
        <v>2.7600000006622736</v>
      </c>
      <c r="G93">
        <f t="shared" si="12"/>
        <v>79</v>
      </c>
      <c r="H93" s="50">
        <f t="shared" si="13"/>
        <v>6.583333333333333</v>
      </c>
      <c r="I93" s="7" cm="1">
        <f t="array" ref="I93">CurrentCapacity(K$9,K$5,K$6,H93)</f>
        <v>273.92294952000003</v>
      </c>
      <c r="J93" s="48">
        <f t="shared" si="14"/>
        <v>0.37756237738494802</v>
      </c>
      <c r="K93" s="5" cm="1">
        <f t="array" ref="K93">UseableCapacity(I93,$K$7,$K$8)</f>
        <v>205.44221214000004</v>
      </c>
      <c r="L93" s="59">
        <f t="shared" si="15"/>
        <v>170.49994947893171</v>
      </c>
      <c r="M93" s="7">
        <f t="shared" si="16"/>
        <v>102.01921209893172</v>
      </c>
      <c r="N93" s="7">
        <f t="shared" si="17"/>
        <v>19.117050479999989</v>
      </c>
      <c r="O93" t="str">
        <f t="shared" si="18"/>
        <v>no</v>
      </c>
      <c r="P93" t="str">
        <f t="shared" si="19"/>
        <v>no</v>
      </c>
    </row>
    <row r="94" spans="2:16" x14ac:dyDescent="0.35">
      <c r="B94">
        <f t="shared" si="10"/>
        <v>80</v>
      </c>
      <c r="C94" s="7">
        <f t="shared" si="11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59" cm="1">
        <f t="array" ref="F94">estimatedTripDuration(C94,$C$7,$C$6)/60</f>
        <v>2.7933333339956068</v>
      </c>
      <c r="G94">
        <f t="shared" si="12"/>
        <v>80</v>
      </c>
      <c r="H94" s="50">
        <f t="shared" si="13"/>
        <v>6.666666666666667</v>
      </c>
      <c r="I94" s="7" cm="1">
        <f t="array" ref="I94">CurrentCapacity(K$9,K$5,K$6,H94)</f>
        <v>273.92207040000005</v>
      </c>
      <c r="J94" s="48">
        <f t="shared" si="14"/>
        <v>0.37775988261903948</v>
      </c>
      <c r="K94" s="5" cm="1">
        <f t="array" ref="K94">UseableCapacity(I94,$K$7,$K$8)</f>
        <v>205.44155280000004</v>
      </c>
      <c r="L94" s="59">
        <f t="shared" si="15"/>
        <v>170.44530123893176</v>
      </c>
      <c r="M94" s="7">
        <f t="shared" si="16"/>
        <v>101.96478363893175</v>
      </c>
      <c r="N94" s="7">
        <f t="shared" si="17"/>
        <v>19.117929599999968</v>
      </c>
      <c r="O94" t="str">
        <f t="shared" si="18"/>
        <v>no</v>
      </c>
      <c r="P94" t="str">
        <f t="shared" si="19"/>
        <v>no</v>
      </c>
    </row>
    <row r="95" spans="2:16" x14ac:dyDescent="0.35">
      <c r="B95">
        <f t="shared" si="10"/>
        <v>81</v>
      </c>
      <c r="C95" s="7">
        <f t="shared" si="11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59" cm="1">
        <f t="array" ref="F95">estimatedTripDuration(C95,$C$7,$C$6)/60</f>
        <v>2.8266666673289405</v>
      </c>
      <c r="G95">
        <f t="shared" si="12"/>
        <v>81</v>
      </c>
      <c r="H95" s="50">
        <f t="shared" si="13"/>
        <v>6.75</v>
      </c>
      <c r="I95" s="7" cm="1">
        <f t="array" ref="I95">CurrentCapacity(K$9,K$5,K$6,H95)</f>
        <v>273.92119128000002</v>
      </c>
      <c r="J95" s="48">
        <f t="shared" si="14"/>
        <v>0.37795738912087384</v>
      </c>
      <c r="K95" s="5" cm="1">
        <f t="array" ref="K95">UseableCapacity(I95,$K$7,$K$8)</f>
        <v>205.44089346000001</v>
      </c>
      <c r="L95" s="59">
        <f t="shared" si="15"/>
        <v>170.39065299893173</v>
      </c>
      <c r="M95" s="7">
        <f t="shared" si="16"/>
        <v>101.91035517893172</v>
      </c>
      <c r="N95" s="7">
        <f t="shared" si="17"/>
        <v>19.118808720000004</v>
      </c>
      <c r="O95" t="str">
        <f t="shared" si="18"/>
        <v>no</v>
      </c>
      <c r="P95" t="str">
        <f t="shared" si="19"/>
        <v>no</v>
      </c>
    </row>
    <row r="96" spans="2:16" x14ac:dyDescent="0.35">
      <c r="B96">
        <f t="shared" si="10"/>
        <v>82</v>
      </c>
      <c r="C96" s="7">
        <f t="shared" si="11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59" cm="1">
        <f t="array" ref="F96">estimatedTripDuration(C96,$C$7,$C$6)/60</f>
        <v>2.8600000006622737</v>
      </c>
      <c r="G96">
        <f t="shared" si="12"/>
        <v>82</v>
      </c>
      <c r="H96" s="50">
        <f t="shared" si="13"/>
        <v>6.833333333333333</v>
      </c>
      <c r="I96" s="7" cm="1">
        <f t="array" ref="I96">CurrentCapacity(K$9,K$5,K$6,H96)</f>
        <v>273.92031216000004</v>
      </c>
      <c r="J96" s="48">
        <f t="shared" si="14"/>
        <v>0.37815489689046317</v>
      </c>
      <c r="K96" s="5" cm="1">
        <f t="array" ref="K96">UseableCapacity(I96,$K$7,$K$8)</f>
        <v>205.44023412000001</v>
      </c>
      <c r="L96" s="59">
        <f t="shared" si="15"/>
        <v>170.33600475893172</v>
      </c>
      <c r="M96" s="7">
        <f t="shared" si="16"/>
        <v>101.85592671893171</v>
      </c>
      <c r="N96" s="7">
        <f t="shared" si="17"/>
        <v>19.119687839999983</v>
      </c>
      <c r="O96" t="str">
        <f t="shared" si="18"/>
        <v>no</v>
      </c>
      <c r="P96" t="str">
        <f t="shared" si="19"/>
        <v>no</v>
      </c>
    </row>
    <row r="97" spans="2:16" x14ac:dyDescent="0.35">
      <c r="B97">
        <f t="shared" si="10"/>
        <v>83</v>
      </c>
      <c r="C97" s="7">
        <f t="shared" si="11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59" cm="1">
        <f t="array" ref="F97">estimatedTripDuration(C97,$C$7,$C$6)/60</f>
        <v>2.8933333339956069</v>
      </c>
      <c r="G97">
        <f t="shared" si="12"/>
        <v>83</v>
      </c>
      <c r="H97" s="50">
        <f t="shared" si="13"/>
        <v>6.916666666666667</v>
      </c>
      <c r="I97" s="7" cm="1">
        <f t="array" ref="I97">CurrentCapacity(K$9,K$5,K$6,H97)</f>
        <v>273.91943304</v>
      </c>
      <c r="J97" s="48">
        <f t="shared" si="14"/>
        <v>0.3783524059278196</v>
      </c>
      <c r="K97" s="5" cm="1">
        <f t="array" ref="K97">UseableCapacity(I97,$K$7,$K$8)</f>
        <v>205.43957477999999</v>
      </c>
      <c r="L97" s="59">
        <f t="shared" si="15"/>
        <v>170.28135651893172</v>
      </c>
      <c r="M97" s="7">
        <f t="shared" si="16"/>
        <v>101.8014982589317</v>
      </c>
      <c r="N97" s="7">
        <f t="shared" si="17"/>
        <v>19.120566960000019</v>
      </c>
      <c r="O97" t="str">
        <f t="shared" si="18"/>
        <v>no</v>
      </c>
      <c r="P97" t="str">
        <f t="shared" si="19"/>
        <v>no</v>
      </c>
    </row>
    <row r="98" spans="2:16" x14ac:dyDescent="0.35">
      <c r="B98">
        <f t="shared" si="10"/>
        <v>84</v>
      </c>
      <c r="C98" s="7">
        <f t="shared" si="11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59" cm="1">
        <f t="array" ref="F98">estimatedTripDuration(C98,$C$7,$C$6)/60</f>
        <v>2.9266666673289401</v>
      </c>
      <c r="G98">
        <f t="shared" si="12"/>
        <v>84</v>
      </c>
      <c r="H98" s="50">
        <f t="shared" si="13"/>
        <v>7</v>
      </c>
      <c r="I98" s="7" cm="1">
        <f t="array" ref="I98">CurrentCapacity(K$9,K$5,K$6,H98)</f>
        <v>273.91855392000002</v>
      </c>
      <c r="J98" s="48">
        <f t="shared" si="14"/>
        <v>0.37854991623295542</v>
      </c>
      <c r="K98" s="5" cm="1">
        <f t="array" ref="K98">UseableCapacity(I98,$K$7,$K$8)</f>
        <v>205.43891544000002</v>
      </c>
      <c r="L98" s="59">
        <f t="shared" si="15"/>
        <v>170.22670827893171</v>
      </c>
      <c r="M98" s="7">
        <f t="shared" si="16"/>
        <v>101.74706979893172</v>
      </c>
      <c r="N98" s="7">
        <f t="shared" si="17"/>
        <v>19.121446079999998</v>
      </c>
      <c r="O98" t="str">
        <f t="shared" si="18"/>
        <v>no</v>
      </c>
      <c r="P98" t="str">
        <f t="shared" si="19"/>
        <v>no</v>
      </c>
    </row>
    <row r="99" spans="2:16" x14ac:dyDescent="0.35">
      <c r="B99">
        <f t="shared" si="10"/>
        <v>85</v>
      </c>
      <c r="C99" s="7">
        <f t="shared" si="11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59" cm="1">
        <f t="array" ref="F99">estimatedTripDuration(C99,$C$7,$C$6)/60</f>
        <v>2.9600000006622738</v>
      </c>
      <c r="G99">
        <f t="shared" si="12"/>
        <v>85</v>
      </c>
      <c r="H99" s="50">
        <f t="shared" si="13"/>
        <v>7.083333333333333</v>
      </c>
      <c r="I99" s="7" cm="1">
        <f t="array" ref="I99">CurrentCapacity(K$9,K$5,K$6,H99)</f>
        <v>273.91767480000004</v>
      </c>
      <c r="J99" s="48">
        <f t="shared" si="14"/>
        <v>0.37874742780588277</v>
      </c>
      <c r="K99" s="5" cm="1">
        <f t="array" ref="K99">UseableCapacity(I99,$K$7,$K$8)</f>
        <v>205.43825610000005</v>
      </c>
      <c r="L99" s="59">
        <f t="shared" si="15"/>
        <v>170.17206003893176</v>
      </c>
      <c r="M99" s="7">
        <f t="shared" si="16"/>
        <v>101.69264133893175</v>
      </c>
      <c r="N99" s="7">
        <f t="shared" si="17"/>
        <v>19.122325199999977</v>
      </c>
      <c r="O99" t="str">
        <f t="shared" si="18"/>
        <v>no</v>
      </c>
      <c r="P99" t="str">
        <f t="shared" si="19"/>
        <v>no</v>
      </c>
    </row>
    <row r="100" spans="2:16" x14ac:dyDescent="0.35">
      <c r="B100">
        <f t="shared" si="10"/>
        <v>86</v>
      </c>
      <c r="C100" s="7">
        <f t="shared" si="11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59" cm="1">
        <f t="array" ref="F100">estimatedTripDuration(C100,$C$7,$C$6)/60</f>
        <v>2.993333333995607</v>
      </c>
      <c r="G100">
        <f t="shared" si="12"/>
        <v>86</v>
      </c>
      <c r="H100" s="50">
        <f t="shared" si="13"/>
        <v>7.166666666666667</v>
      </c>
      <c r="I100" s="7" cm="1">
        <f t="array" ref="I100">CurrentCapacity(K$9,K$5,K$6,H100)</f>
        <v>273.91679568000006</v>
      </c>
      <c r="J100" s="48">
        <f t="shared" si="14"/>
        <v>0.37894494064661388</v>
      </c>
      <c r="K100" s="5" cm="1">
        <f t="array" ref="K100">UseableCapacity(I100,$K$7,$K$8)</f>
        <v>205.43759676000005</v>
      </c>
      <c r="L100" s="59">
        <f t="shared" si="15"/>
        <v>170.11741179893178</v>
      </c>
      <c r="M100" s="7">
        <f t="shared" si="16"/>
        <v>101.63821287893177</v>
      </c>
      <c r="N100" s="7">
        <f t="shared" si="17"/>
        <v>19.123204319999957</v>
      </c>
      <c r="O100" t="str">
        <f t="shared" si="18"/>
        <v>no</v>
      </c>
      <c r="P100" t="str">
        <f t="shared" si="19"/>
        <v>no</v>
      </c>
    </row>
    <row r="101" spans="2:16" x14ac:dyDescent="0.35">
      <c r="B101">
        <f t="shared" si="10"/>
        <v>87</v>
      </c>
      <c r="C101" s="7">
        <f t="shared" si="11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59" cm="1">
        <f t="array" ref="F101">estimatedTripDuration(C101,$C$7,$C$6)/60</f>
        <v>3.0266666673289402</v>
      </c>
      <c r="G101">
        <f t="shared" si="12"/>
        <v>87</v>
      </c>
      <c r="H101" s="50">
        <f t="shared" si="13"/>
        <v>7.25</v>
      </c>
      <c r="I101" s="7" cm="1">
        <f t="array" ref="I101">CurrentCapacity(K$9,K$5,K$6,H101)</f>
        <v>273.91591656000003</v>
      </c>
      <c r="J101" s="48">
        <f t="shared" si="14"/>
        <v>0.37914245475516117</v>
      </c>
      <c r="K101" s="5" cm="1">
        <f t="array" ref="K101">UseableCapacity(I101,$K$7,$K$8)</f>
        <v>205.43693742000002</v>
      </c>
      <c r="L101" s="59">
        <f t="shared" si="15"/>
        <v>170.06276355893172</v>
      </c>
      <c r="M101" s="7">
        <f t="shared" si="16"/>
        <v>101.58378441893171</v>
      </c>
      <c r="N101" s="7">
        <f t="shared" si="17"/>
        <v>19.124083439999993</v>
      </c>
      <c r="O101" t="str">
        <f t="shared" si="18"/>
        <v>no</v>
      </c>
      <c r="P101" t="str">
        <f t="shared" si="19"/>
        <v>no</v>
      </c>
    </row>
    <row r="102" spans="2:16" x14ac:dyDescent="0.35">
      <c r="B102">
        <f t="shared" si="10"/>
        <v>88</v>
      </c>
      <c r="C102" s="7">
        <f t="shared" si="11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59" cm="1">
        <f t="array" ref="F102">estimatedTripDuration(C102,$C$7,$C$6)/60</f>
        <v>3.0600000006622734</v>
      </c>
      <c r="G102">
        <f t="shared" si="12"/>
        <v>88</v>
      </c>
      <c r="H102" s="50">
        <f t="shared" si="13"/>
        <v>7.333333333333333</v>
      </c>
      <c r="I102" s="7" cm="1">
        <f t="array" ref="I102">CurrentCapacity(K$9,K$5,K$6,H102)</f>
        <v>273.91503744000005</v>
      </c>
      <c r="J102" s="48">
        <f t="shared" si="14"/>
        <v>0.37933997013153642</v>
      </c>
      <c r="K102" s="5" cm="1">
        <f t="array" ref="K102">UseableCapacity(I102,$K$7,$K$8)</f>
        <v>205.43627808000002</v>
      </c>
      <c r="L102" s="59">
        <f t="shared" si="15"/>
        <v>170.00811531893174</v>
      </c>
      <c r="M102" s="7">
        <f t="shared" si="16"/>
        <v>101.52935595893172</v>
      </c>
      <c r="N102" s="7">
        <f t="shared" si="17"/>
        <v>19.124962559999972</v>
      </c>
      <c r="O102" t="str">
        <f t="shared" si="18"/>
        <v>no</v>
      </c>
      <c r="P102" t="str">
        <f t="shared" si="19"/>
        <v>no</v>
      </c>
    </row>
    <row r="103" spans="2:16" x14ac:dyDescent="0.35">
      <c r="B103">
        <f t="shared" si="10"/>
        <v>89</v>
      </c>
      <c r="C103" s="7">
        <f t="shared" si="11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59" cm="1">
        <f t="array" ref="F103">estimatedTripDuration(C103,$C$7,$C$6)/60</f>
        <v>3.0933333339956071</v>
      </c>
      <c r="G103">
        <f t="shared" ref="G103:G166" si="20">B103</f>
        <v>89</v>
      </c>
      <c r="H103" s="50">
        <f t="shared" si="13"/>
        <v>7.416666666666667</v>
      </c>
      <c r="I103" s="7" cm="1">
        <f t="array" ref="I103">CurrentCapacity(K$9,K$5,K$6,H103)</f>
        <v>273.91415832000001</v>
      </c>
      <c r="J103" s="48">
        <f t="shared" si="14"/>
        <v>0.37953748677575222</v>
      </c>
      <c r="K103" s="5" cm="1">
        <f t="array" ref="K103">UseableCapacity(I103,$K$7,$K$8)</f>
        <v>205.43561874</v>
      </c>
      <c r="L103" s="59">
        <f t="shared" si="15"/>
        <v>169.95346707893171</v>
      </c>
      <c r="M103" s="7">
        <f t="shared" si="16"/>
        <v>101.47492749893169</v>
      </c>
      <c r="N103" s="7">
        <f t="shared" si="17"/>
        <v>19.125841680000008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35">
      <c r="B104">
        <f t="shared" si="10"/>
        <v>90</v>
      </c>
      <c r="C104" s="7">
        <f t="shared" si="11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59" cm="1">
        <f t="array" ref="F104">estimatedTripDuration(C104,$C$7,$C$6)/60</f>
        <v>3.1266666673289403</v>
      </c>
      <c r="G104">
        <f t="shared" si="20"/>
        <v>90</v>
      </c>
      <c r="H104" s="50">
        <f t="shared" si="13"/>
        <v>7.5</v>
      </c>
      <c r="I104" s="7" cm="1">
        <f t="array" ref="I104">CurrentCapacity(K$9,K$5,K$6,H104)</f>
        <v>273.91327920000003</v>
      </c>
      <c r="J104" s="48">
        <f t="shared" si="14"/>
        <v>0.37973500468782051</v>
      </c>
      <c r="K104" s="5" cm="1">
        <f t="array" ref="K104">UseableCapacity(I104,$K$7,$K$8)</f>
        <v>205.43495940000003</v>
      </c>
      <c r="L104" s="59">
        <f t="shared" si="15"/>
        <v>169.89881883893173</v>
      </c>
      <c r="M104" s="7">
        <f t="shared" si="16"/>
        <v>101.42049903893172</v>
      </c>
      <c r="N104" s="7">
        <f t="shared" si="17"/>
        <v>19.126720799999987</v>
      </c>
      <c r="O104" t="str">
        <f t="shared" si="21"/>
        <v>no</v>
      </c>
      <c r="P104" t="str">
        <f t="shared" si="22"/>
        <v>no</v>
      </c>
    </row>
    <row r="105" spans="2:16" x14ac:dyDescent="0.35">
      <c r="B105">
        <f t="shared" si="10"/>
        <v>91</v>
      </c>
      <c r="C105" s="7">
        <f t="shared" si="11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59" cm="1">
        <f t="array" ref="F105">estimatedTripDuration(C105,$C$7,$C$6)/60</f>
        <v>3.1600000006622735</v>
      </c>
      <c r="G105">
        <f t="shared" si="20"/>
        <v>91</v>
      </c>
      <c r="H105" s="50">
        <f t="shared" si="13"/>
        <v>7.583333333333333</v>
      </c>
      <c r="I105" s="7" cm="1">
        <f t="array" ref="I105">CurrentCapacity(K$9,K$5,K$6,H105)</f>
        <v>273.91240008000005</v>
      </c>
      <c r="J105" s="48">
        <f t="shared" si="14"/>
        <v>0.37993252386775356</v>
      </c>
      <c r="K105" s="5" cm="1">
        <f t="array" ref="K105">UseableCapacity(I105,$K$7,$K$8)</f>
        <v>205.43430006000006</v>
      </c>
      <c r="L105" s="59">
        <f t="shared" si="15"/>
        <v>169.84417059893178</v>
      </c>
      <c r="M105" s="7">
        <f t="shared" si="16"/>
        <v>101.36607057893177</v>
      </c>
      <c r="N105" s="7">
        <f t="shared" si="17"/>
        <v>19.127599919999966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0"/>
        <v>92</v>
      </c>
      <c r="C106" s="7">
        <f t="shared" si="11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59" cm="1">
        <f t="array" ref="F106">estimatedTripDuration(C106,$C$7,$C$6)/60</f>
        <v>3.1933333339956067</v>
      </c>
      <c r="G106">
        <f t="shared" si="20"/>
        <v>92</v>
      </c>
      <c r="H106" s="50">
        <f t="shared" si="13"/>
        <v>7.666666666666667</v>
      </c>
      <c r="I106" s="7" cm="1">
        <f t="array" ref="I106">CurrentCapacity(K$9,K$5,K$6,H106)</f>
        <v>273.91152096000002</v>
      </c>
      <c r="J106" s="48">
        <f t="shared" si="14"/>
        <v>0.3801300443155638</v>
      </c>
      <c r="K106" s="5" cm="1">
        <f t="array" ref="K106">UseableCapacity(I106,$K$7,$K$8)</f>
        <v>205.43364072000003</v>
      </c>
      <c r="L106" s="59">
        <f t="shared" si="15"/>
        <v>169.78952235893172</v>
      </c>
      <c r="M106" s="7">
        <f t="shared" si="16"/>
        <v>101.31164211893174</v>
      </c>
      <c r="N106" s="7">
        <f t="shared" si="17"/>
        <v>19.128479040000002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0"/>
        <v>93</v>
      </c>
      <c r="C107" s="7">
        <f t="shared" si="11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59" cm="1">
        <f t="array" ref="F107">estimatedTripDuration(C107,$C$7,$C$6)/60</f>
        <v>3.2266666673289404</v>
      </c>
      <c r="G107">
        <f t="shared" si="20"/>
        <v>93</v>
      </c>
      <c r="H107" s="50">
        <f t="shared" si="13"/>
        <v>7.75</v>
      </c>
      <c r="I107" s="7" cm="1">
        <f t="array" ref="I107">CurrentCapacity(K$9,K$5,K$6,H107)</f>
        <v>273.91064184000004</v>
      </c>
      <c r="J107" s="48">
        <f t="shared" si="14"/>
        <v>0.38032756603126316</v>
      </c>
      <c r="K107" s="5" cm="1">
        <f t="array" ref="K107">UseableCapacity(I107,$K$7,$K$8)</f>
        <v>205.43298138000003</v>
      </c>
      <c r="L107" s="59">
        <f t="shared" si="15"/>
        <v>169.73487411893177</v>
      </c>
      <c r="M107" s="7">
        <f t="shared" si="16"/>
        <v>101.25721365893175</v>
      </c>
      <c r="N107" s="7">
        <f t="shared" si="17"/>
        <v>19.129358159999981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0"/>
        <v>94</v>
      </c>
      <c r="C108" s="7">
        <f t="shared" si="11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59" cm="1">
        <f t="array" ref="F108">estimatedTripDuration(C108,$C$7,$C$6)/60</f>
        <v>3.2600000006622736</v>
      </c>
      <c r="G108">
        <f t="shared" si="20"/>
        <v>94</v>
      </c>
      <c r="H108" s="50">
        <f t="shared" si="13"/>
        <v>7.833333333333333</v>
      </c>
      <c r="I108" s="7" cm="1">
        <f t="array" ref="I108">CurrentCapacity(K$9,K$5,K$6,H108)</f>
        <v>273.90976272000006</v>
      </c>
      <c r="J108" s="48">
        <f t="shared" si="14"/>
        <v>0.38052508901486404</v>
      </c>
      <c r="K108" s="5" cm="1">
        <f t="array" ref="K108">UseableCapacity(I108,$K$7,$K$8)</f>
        <v>205.43232204000003</v>
      </c>
      <c r="L108" s="59">
        <f t="shared" si="15"/>
        <v>169.68022587893176</v>
      </c>
      <c r="M108" s="7">
        <f t="shared" si="16"/>
        <v>101.20278519893172</v>
      </c>
      <c r="N108" s="7">
        <f t="shared" si="17"/>
        <v>19.13023727999996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0"/>
        <v>95</v>
      </c>
      <c r="C109" s="7">
        <f t="shared" si="11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59" cm="1">
        <f t="array" ref="F109">estimatedTripDuration(C109,$C$7,$C$6)/60</f>
        <v>3.2933333339956068</v>
      </c>
      <c r="G109">
        <f t="shared" si="20"/>
        <v>95</v>
      </c>
      <c r="H109" s="50">
        <f t="shared" si="13"/>
        <v>7.916666666666667</v>
      </c>
      <c r="I109" s="7" cm="1">
        <f t="array" ref="I109">CurrentCapacity(K$9,K$5,K$6,H109)</f>
        <v>273.90888360000002</v>
      </c>
      <c r="J109" s="48">
        <f t="shared" si="14"/>
        <v>0.38072261326637846</v>
      </c>
      <c r="K109" s="5" cm="1">
        <f t="array" ref="K109">UseableCapacity(I109,$K$7,$K$8)</f>
        <v>205.4316627</v>
      </c>
      <c r="L109" s="59">
        <f t="shared" si="15"/>
        <v>169.62557763893176</v>
      </c>
      <c r="M109" s="7">
        <f t="shared" si="16"/>
        <v>101.14835673893172</v>
      </c>
      <c r="N109" s="7">
        <f t="shared" si="17"/>
        <v>19.131116399999996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0"/>
        <v>96</v>
      </c>
      <c r="C110" s="7">
        <f t="shared" si="11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59" cm="1">
        <f t="array" ref="F110">estimatedTripDuration(C110,$C$7,$C$6)/60</f>
        <v>3.3266666673289405</v>
      </c>
      <c r="G110">
        <f t="shared" si="20"/>
        <v>96</v>
      </c>
      <c r="H110" s="50">
        <f t="shared" si="13"/>
        <v>8</v>
      </c>
      <c r="I110" s="7" cm="1">
        <f t="array" ref="I110">CurrentCapacity(K$9,K$5,K$6,H110)</f>
        <v>273.90800448000005</v>
      </c>
      <c r="J110" s="48">
        <f t="shared" si="14"/>
        <v>0.38092013878581876</v>
      </c>
      <c r="K110" s="5" cm="1">
        <f t="array" ref="K110">UseableCapacity(I110,$K$7,$K$8)</f>
        <v>205.43100336000003</v>
      </c>
      <c r="L110" s="59">
        <f t="shared" si="15"/>
        <v>169.57092939893175</v>
      </c>
      <c r="M110" s="7">
        <f t="shared" si="16"/>
        <v>101.09392827893174</v>
      </c>
      <c r="N110" s="7">
        <f t="shared" si="17"/>
        <v>19.131995519999975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0"/>
        <v>97</v>
      </c>
      <c r="C111" s="7">
        <f t="shared" si="11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59" cm="1">
        <f t="array" ref="F111">estimatedTripDuration(C111,$C$7,$C$6)/60</f>
        <v>3.3600000006622737</v>
      </c>
      <c r="G111">
        <f t="shared" si="20"/>
        <v>97</v>
      </c>
      <c r="H111" s="50">
        <f t="shared" si="13"/>
        <v>8.0833333333333339</v>
      </c>
      <c r="I111" s="7" cm="1">
        <f t="array" ref="I111">CurrentCapacity(K$9,K$5,K$6,H111)</f>
        <v>273.90712536000001</v>
      </c>
      <c r="J111" s="48">
        <f t="shared" si="14"/>
        <v>0.38111766557319726</v>
      </c>
      <c r="K111" s="5" cm="1">
        <f t="array" ref="K111">UseableCapacity(I111,$K$7,$K$8)</f>
        <v>205.43034402000001</v>
      </c>
      <c r="L111" s="59">
        <f t="shared" si="15"/>
        <v>169.51628115893169</v>
      </c>
      <c r="M111" s="7">
        <f t="shared" si="16"/>
        <v>101.0394998189317</v>
      </c>
      <c r="N111" s="7">
        <f t="shared" si="17"/>
        <v>19.132874640000011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0"/>
        <v>98</v>
      </c>
      <c r="C112" s="7">
        <f t="shared" si="11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59" cm="1">
        <f t="array" ref="F112">estimatedTripDuration(C112,$C$7,$C$6)/60</f>
        <v>3.3933333339956069</v>
      </c>
      <c r="G112">
        <f t="shared" si="20"/>
        <v>98</v>
      </c>
      <c r="H112" s="50">
        <f t="shared" si="13"/>
        <v>8.1666666666666661</v>
      </c>
      <c r="I112" s="7" cm="1">
        <f t="array" ref="I112">CurrentCapacity(K$9,K$5,K$6,H112)</f>
        <v>273.90624624000003</v>
      </c>
      <c r="J112" s="48">
        <f t="shared" si="14"/>
        <v>0.38131519362852584</v>
      </c>
      <c r="K112" s="5" cm="1">
        <f t="array" ref="K112">UseableCapacity(I112,$K$7,$K$8)</f>
        <v>205.42968468000004</v>
      </c>
      <c r="L112" s="59">
        <f t="shared" si="15"/>
        <v>169.46163291893174</v>
      </c>
      <c r="M112" s="7">
        <f t="shared" si="16"/>
        <v>100.98507135893175</v>
      </c>
      <c r="N112" s="7">
        <f t="shared" si="17"/>
        <v>19.133753759999991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0"/>
        <v>99</v>
      </c>
      <c r="C113" s="7">
        <f t="shared" si="11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59" cm="1">
        <f t="array" ref="F113">estimatedTripDuration(C113,$C$7,$C$6)/60</f>
        <v>3.4266666673289401</v>
      </c>
      <c r="G113">
        <f t="shared" si="20"/>
        <v>99</v>
      </c>
      <c r="H113" s="50">
        <f t="shared" si="13"/>
        <v>8.25</v>
      </c>
      <c r="I113" s="7" cm="1">
        <f t="array" ref="I113">CurrentCapacity(K$9,K$5,K$6,H113)</f>
        <v>273.90536712000005</v>
      </c>
      <c r="J113" s="48">
        <f t="shared" si="14"/>
        <v>0.38151272295181698</v>
      </c>
      <c r="K113" s="5" cm="1">
        <f t="array" ref="K113">UseableCapacity(I113,$K$7,$K$8)</f>
        <v>205.42902534000004</v>
      </c>
      <c r="L113" s="59">
        <f t="shared" si="15"/>
        <v>169.40698467893174</v>
      </c>
      <c r="M113" s="7">
        <f t="shared" si="16"/>
        <v>100.93064289893174</v>
      </c>
      <c r="N113" s="7">
        <f t="shared" si="17"/>
        <v>19.13463287999997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0"/>
        <v>100</v>
      </c>
      <c r="C114" s="7">
        <f t="shared" si="11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59" cm="1">
        <f t="array" ref="F114">estimatedTripDuration(C114,$C$7,$C$6)/60</f>
        <v>3.4600000006622738</v>
      </c>
      <c r="G114">
        <f t="shared" si="20"/>
        <v>100</v>
      </c>
      <c r="H114" s="50">
        <f t="shared" si="13"/>
        <v>8.3333333333333339</v>
      </c>
      <c r="I114" s="7" cm="1">
        <f t="array" ref="I114">CurrentCapacity(K$9,K$5,K$6,H114)</f>
        <v>273.90448800000007</v>
      </c>
      <c r="J114" s="48">
        <f t="shared" si="14"/>
        <v>0.38171025354308274</v>
      </c>
      <c r="K114" s="5" cm="1">
        <f t="array" ref="K114">UseableCapacity(I114,$K$7,$K$8)</f>
        <v>205.42836600000004</v>
      </c>
      <c r="L114" s="59">
        <f t="shared" si="15"/>
        <v>169.35233643893179</v>
      </c>
      <c r="M114" s="7">
        <f t="shared" si="16"/>
        <v>100.87621443893174</v>
      </c>
      <c r="N114" s="7">
        <f t="shared" si="17"/>
        <v>19.135511999999949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0"/>
        <v>101</v>
      </c>
      <c r="C115" s="7">
        <f t="shared" si="11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59" cm="1">
        <f t="array" ref="F115">estimatedTripDuration(C115,$C$7,$C$6)/60</f>
        <v>3.493333333995607</v>
      </c>
      <c r="G115">
        <f t="shared" si="20"/>
        <v>101</v>
      </c>
      <c r="H115" s="50">
        <f t="shared" si="13"/>
        <v>8.4166666666666661</v>
      </c>
      <c r="I115" s="7" cm="1">
        <f t="array" ref="I115">CurrentCapacity(K$9,K$5,K$6,H115)</f>
        <v>273.90360888000004</v>
      </c>
      <c r="J115" s="48">
        <f t="shared" si="14"/>
        <v>0.3819077854023355</v>
      </c>
      <c r="K115" s="5" cm="1">
        <f t="array" ref="K115">UseableCapacity(I115,$K$7,$K$8)</f>
        <v>205.42770666000001</v>
      </c>
      <c r="L115" s="59">
        <f t="shared" si="15"/>
        <v>169.29768819893175</v>
      </c>
      <c r="M115" s="7">
        <f t="shared" si="16"/>
        <v>100.82178597893173</v>
      </c>
      <c r="N115" s="7">
        <f t="shared" si="17"/>
        <v>19.136391119999985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0"/>
        <v>102</v>
      </c>
      <c r="C116" s="7">
        <f t="shared" si="11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59" cm="1">
        <f t="array" ref="F116">estimatedTripDuration(C116,$C$7,$C$6)/60</f>
        <v>3.5266666673289402</v>
      </c>
      <c r="G116">
        <f t="shared" si="20"/>
        <v>102</v>
      </c>
      <c r="H116" s="50">
        <f t="shared" si="13"/>
        <v>8.5</v>
      </c>
      <c r="I116" s="7" cm="1">
        <f t="array" ref="I116">CurrentCapacity(K$9,K$5,K$6,H116)</f>
        <v>273.90272976</v>
      </c>
      <c r="J116" s="48">
        <f t="shared" si="14"/>
        <v>0.3821053185295874</v>
      </c>
      <c r="K116" s="5" cm="1">
        <f t="array" ref="K116">UseableCapacity(I116,$K$7,$K$8)</f>
        <v>205.42704731999999</v>
      </c>
      <c r="L116" s="59">
        <f t="shared" si="15"/>
        <v>169.24303995893172</v>
      </c>
      <c r="M116" s="7">
        <f t="shared" si="16"/>
        <v>100.76735751893169</v>
      </c>
      <c r="N116" s="7">
        <f t="shared" si="17"/>
        <v>19.137270240000021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0"/>
        <v>103</v>
      </c>
      <c r="C117" s="7">
        <f t="shared" si="11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59" cm="1">
        <f t="array" ref="F117">estimatedTripDuration(C117,$C$7,$C$6)/60</f>
        <v>3.5600000006622734</v>
      </c>
      <c r="G117">
        <f t="shared" si="20"/>
        <v>103</v>
      </c>
      <c r="H117" s="50">
        <f t="shared" si="13"/>
        <v>8.5833333333333339</v>
      </c>
      <c r="I117" s="7" cm="1">
        <f t="array" ref="I117">CurrentCapacity(K$9,K$5,K$6,H117)</f>
        <v>273.90185064000002</v>
      </c>
      <c r="J117" s="48">
        <f t="shared" si="14"/>
        <v>0.3823028529248505</v>
      </c>
      <c r="K117" s="5" cm="1">
        <f t="array" ref="K117">UseableCapacity(I117,$K$7,$K$8)</f>
        <v>205.42638798000002</v>
      </c>
      <c r="L117" s="59">
        <f t="shared" si="15"/>
        <v>169.18839171893171</v>
      </c>
      <c r="M117" s="7">
        <f t="shared" si="16"/>
        <v>100.71292905893172</v>
      </c>
      <c r="N117" s="7">
        <f t="shared" si="17"/>
        <v>19.13814936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0"/>
        <v>104</v>
      </c>
      <c r="C118" s="7">
        <f t="shared" si="11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59" cm="1">
        <f t="array" ref="F118">estimatedTripDuration(C118,$C$7,$C$6)/60</f>
        <v>3.5933333339956071</v>
      </c>
      <c r="G118">
        <f t="shared" si="20"/>
        <v>104</v>
      </c>
      <c r="H118" s="50">
        <f t="shared" si="13"/>
        <v>8.6666666666666661</v>
      </c>
      <c r="I118" s="7" cm="1">
        <f t="array" ref="I118">CurrentCapacity(K$9,K$5,K$6,H118)</f>
        <v>273.90097152000004</v>
      </c>
      <c r="J118" s="48">
        <f t="shared" si="14"/>
        <v>0.38250038858813717</v>
      </c>
      <c r="K118" s="5" cm="1">
        <f t="array" ref="K118">UseableCapacity(I118,$K$7,$K$8)</f>
        <v>205.42572864000005</v>
      </c>
      <c r="L118" s="59">
        <f t="shared" si="15"/>
        <v>169.13374347893173</v>
      </c>
      <c r="M118" s="7">
        <f t="shared" si="16"/>
        <v>100.65850059893174</v>
      </c>
      <c r="N118" s="7">
        <f t="shared" si="17"/>
        <v>19.139028479999979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0"/>
        <v>105</v>
      </c>
      <c r="C119" s="7">
        <f t="shared" si="11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59" cm="1">
        <f t="array" ref="F119">estimatedTripDuration(C119,$C$7,$C$6)/60</f>
        <v>3.6266666673289403</v>
      </c>
      <c r="G119">
        <f t="shared" si="20"/>
        <v>105</v>
      </c>
      <c r="H119" s="50">
        <f t="shared" si="13"/>
        <v>8.75</v>
      </c>
      <c r="I119" s="7" cm="1">
        <f t="array" ref="I119">CurrentCapacity(K$9,K$5,K$6,H119)</f>
        <v>273.90009240000006</v>
      </c>
      <c r="J119" s="48">
        <f t="shared" si="14"/>
        <v>0.38269792551945953</v>
      </c>
      <c r="K119" s="5" cm="1">
        <f t="array" ref="K119">UseableCapacity(I119,$K$7,$K$8)</f>
        <v>205.42506930000005</v>
      </c>
      <c r="L119" s="59">
        <f t="shared" si="15"/>
        <v>169.07909523893176</v>
      </c>
      <c r="M119" s="7">
        <f t="shared" si="16"/>
        <v>100.60407213893174</v>
      </c>
      <c r="N119" s="7">
        <f t="shared" si="17"/>
        <v>19.139907599999958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0"/>
        <v>106</v>
      </c>
      <c r="C120" s="7">
        <f t="shared" si="11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59" cm="1">
        <f t="array" ref="F120">estimatedTripDuration(C120,$C$7,$C$6)/60</f>
        <v>3.6600000006622735</v>
      </c>
      <c r="G120">
        <f t="shared" si="20"/>
        <v>106</v>
      </c>
      <c r="H120" s="50">
        <f t="shared" si="13"/>
        <v>8.8333333333333339</v>
      </c>
      <c r="I120" s="7" cm="1">
        <f t="array" ref="I120">CurrentCapacity(K$9,K$5,K$6,H120)</f>
        <v>273.89921328000003</v>
      </c>
      <c r="J120" s="48">
        <f t="shared" si="14"/>
        <v>0.38289546371882988</v>
      </c>
      <c r="K120" s="5" cm="1">
        <f t="array" ref="K120">UseableCapacity(I120,$K$7,$K$8)</f>
        <v>205.42440996000002</v>
      </c>
      <c r="L120" s="59">
        <f t="shared" si="15"/>
        <v>169.02444699893175</v>
      </c>
      <c r="M120" s="7">
        <f t="shared" si="16"/>
        <v>100.54964367893173</v>
      </c>
      <c r="N120" s="7">
        <f t="shared" si="17"/>
        <v>19.140786719999994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0"/>
        <v>107</v>
      </c>
      <c r="C121" s="7">
        <f t="shared" si="11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59" cm="1">
        <f t="array" ref="F121">estimatedTripDuration(C121,$C$7,$C$6)/60</f>
        <v>3.6933333339956076</v>
      </c>
      <c r="G121">
        <f t="shared" si="20"/>
        <v>107</v>
      </c>
      <c r="H121" s="50">
        <f t="shared" si="13"/>
        <v>8.9166666666666661</v>
      </c>
      <c r="I121" s="7" cm="1">
        <f t="array" ref="I121">CurrentCapacity(K$9,K$5,K$6,H121)</f>
        <v>273.89833416000005</v>
      </c>
      <c r="J121" s="48">
        <f t="shared" si="14"/>
        <v>0.38309300318626033</v>
      </c>
      <c r="K121" s="5" cm="1">
        <f t="array" ref="K121">UseableCapacity(I121,$K$7,$K$8)</f>
        <v>205.42375062000002</v>
      </c>
      <c r="L121" s="59">
        <f t="shared" si="15"/>
        <v>168.96979875893174</v>
      </c>
      <c r="M121" s="7">
        <f t="shared" si="16"/>
        <v>100.49521521893173</v>
      </c>
      <c r="N121" s="7">
        <f t="shared" si="17"/>
        <v>19.141665839999973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0"/>
        <v>108</v>
      </c>
      <c r="C122" s="7">
        <f t="shared" si="11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59" cm="1">
        <f t="array" ref="F122">estimatedTripDuration(C122,$C$7,$C$6)/60</f>
        <v>3.7266666673289404</v>
      </c>
      <c r="G122">
        <f t="shared" si="20"/>
        <v>108</v>
      </c>
      <c r="H122" s="50">
        <f t="shared" si="13"/>
        <v>9</v>
      </c>
      <c r="I122" s="7" cm="1">
        <f t="array" ref="I122">CurrentCapacity(K$9,K$5,K$6,H122)</f>
        <v>273.89745504000001</v>
      </c>
      <c r="J122" s="48">
        <f t="shared" si="14"/>
        <v>0.3832905439217632</v>
      </c>
      <c r="K122" s="5" cm="1">
        <f t="array" ref="K122">UseableCapacity(I122,$K$7,$K$8)</f>
        <v>205.42309127999999</v>
      </c>
      <c r="L122" s="59">
        <f t="shared" si="15"/>
        <v>168.91515051893174</v>
      </c>
      <c r="M122" s="7">
        <f t="shared" si="16"/>
        <v>100.44078675893171</v>
      </c>
      <c r="N122" s="7">
        <f t="shared" si="17"/>
        <v>19.142544960000009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0"/>
        <v>109</v>
      </c>
      <c r="C123" s="7">
        <f t="shared" si="11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59" cm="1">
        <f t="array" ref="F123">estimatedTripDuration(C123,$C$7,$C$6)/60</f>
        <v>3.7600000006622731</v>
      </c>
      <c r="G123">
        <f t="shared" si="20"/>
        <v>109</v>
      </c>
      <c r="H123" s="50">
        <f t="shared" si="13"/>
        <v>9.0833333333333339</v>
      </c>
      <c r="I123" s="7" cm="1">
        <f t="array" ref="I123">CurrentCapacity(K$9,K$5,K$6,H123)</f>
        <v>273.89657592000003</v>
      </c>
      <c r="J123" s="48">
        <f t="shared" si="14"/>
        <v>0.38348808592535066</v>
      </c>
      <c r="K123" s="5" cm="1">
        <f t="array" ref="K123">UseableCapacity(I123,$K$7,$K$8)</f>
        <v>205.42243194000002</v>
      </c>
      <c r="L123" s="59">
        <f t="shared" si="15"/>
        <v>168.86050227893173</v>
      </c>
      <c r="M123" s="7">
        <f t="shared" si="16"/>
        <v>100.38635829893173</v>
      </c>
      <c r="N123" s="7">
        <f t="shared" si="17"/>
        <v>19.143424079999988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0"/>
        <v>110</v>
      </c>
      <c r="C124" s="7">
        <f t="shared" si="11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59" cm="1">
        <f t="array" ref="F124">estimatedTripDuration(C124,$C$7,$C$6)/60</f>
        <v>3.7933333339956068</v>
      </c>
      <c r="G124">
        <f t="shared" si="20"/>
        <v>110</v>
      </c>
      <c r="H124" s="50">
        <f t="shared" si="13"/>
        <v>9.1666666666666661</v>
      </c>
      <c r="I124" s="7" cm="1">
        <f t="array" ref="I124">CurrentCapacity(K$9,K$5,K$6,H124)</f>
        <v>273.8956968</v>
      </c>
      <c r="J124" s="48">
        <f t="shared" si="14"/>
        <v>0.38368562919703486</v>
      </c>
      <c r="K124" s="5" cm="1">
        <f t="array" ref="K124">UseableCapacity(I124,$K$7,$K$8)</f>
        <v>205.4217726</v>
      </c>
      <c r="L124" s="59">
        <f t="shared" si="15"/>
        <v>168.80585403893173</v>
      </c>
      <c r="M124" s="7">
        <f t="shared" si="16"/>
        <v>100.33192983893171</v>
      </c>
      <c r="N124" s="7">
        <f t="shared" si="17"/>
        <v>19.144303200000024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0"/>
        <v>111</v>
      </c>
      <c r="C125" s="7">
        <f t="shared" si="11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59" cm="1">
        <f t="array" ref="F125">estimatedTripDuration(C125,$C$7,$C$6)/60</f>
        <v>3.8266666673289405</v>
      </c>
      <c r="G125">
        <f t="shared" si="20"/>
        <v>111</v>
      </c>
      <c r="H125" s="50">
        <f t="shared" si="13"/>
        <v>9.25</v>
      </c>
      <c r="I125" s="7" cm="1">
        <f t="array" ref="I125">CurrentCapacity(K$9,K$5,K$6,H125)</f>
        <v>273.89481768000002</v>
      </c>
      <c r="J125" s="48">
        <f t="shared" si="14"/>
        <v>0.38388317373682801</v>
      </c>
      <c r="K125" s="5" cm="1">
        <f t="array" ref="K125">UseableCapacity(I125,$K$7,$K$8)</f>
        <v>205.42111326000003</v>
      </c>
      <c r="L125" s="59">
        <f t="shared" si="15"/>
        <v>168.75120579893172</v>
      </c>
      <c r="M125" s="7">
        <f t="shared" si="16"/>
        <v>100.27750137893175</v>
      </c>
      <c r="N125" s="7">
        <f t="shared" si="17"/>
        <v>19.145182320000004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0"/>
        <v>112</v>
      </c>
      <c r="C126" s="7">
        <f t="shared" si="11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59" cm="1">
        <f t="array" ref="F126">estimatedTripDuration(C126,$C$7,$C$6)/60</f>
        <v>3.8600000006622741</v>
      </c>
      <c r="G126">
        <f t="shared" si="20"/>
        <v>112</v>
      </c>
      <c r="H126" s="50">
        <f t="shared" si="13"/>
        <v>9.3333333333333339</v>
      </c>
      <c r="I126" s="7" cm="1">
        <f t="array" ref="I126">CurrentCapacity(K$9,K$5,K$6,H126)</f>
        <v>273.89393856000004</v>
      </c>
      <c r="J126" s="48">
        <f t="shared" si="14"/>
        <v>0.38408071954474249</v>
      </c>
      <c r="K126" s="5" cm="1">
        <f t="array" ref="K126">UseableCapacity(I126,$K$7,$K$8)</f>
        <v>205.42045392000003</v>
      </c>
      <c r="L126" s="59">
        <f t="shared" si="15"/>
        <v>168.69655755893172</v>
      </c>
      <c r="M126" s="7">
        <f t="shared" si="16"/>
        <v>100.22307291893172</v>
      </c>
      <c r="N126" s="7">
        <f t="shared" si="17"/>
        <v>19.146061439999983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0"/>
        <v>113</v>
      </c>
      <c r="C127" s="7">
        <f t="shared" si="11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59" cm="1">
        <f t="array" ref="F127">estimatedTripDuration(C127,$C$7,$C$6)/60</f>
        <v>3.8933333339956069</v>
      </c>
      <c r="G127">
        <f t="shared" si="20"/>
        <v>113</v>
      </c>
      <c r="H127" s="50">
        <f t="shared" si="13"/>
        <v>9.4166666666666661</v>
      </c>
      <c r="I127" s="7" cm="1">
        <f t="array" ref="I127">CurrentCapacity(K$9,K$5,K$6,H127)</f>
        <v>273.89305944000006</v>
      </c>
      <c r="J127" s="48">
        <f t="shared" si="14"/>
        <v>0.38427826662079023</v>
      </c>
      <c r="K127" s="5" cm="1">
        <f t="array" ref="K127">UseableCapacity(I127,$K$7,$K$8)</f>
        <v>205.41979458000003</v>
      </c>
      <c r="L127" s="59">
        <f t="shared" si="15"/>
        <v>168.64190931893177</v>
      </c>
      <c r="M127" s="7">
        <f t="shared" si="16"/>
        <v>100.16864445893174</v>
      </c>
      <c r="N127" s="7">
        <f t="shared" si="17"/>
        <v>19.146940559999962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0"/>
        <v>114</v>
      </c>
      <c r="C128" s="7">
        <f t="shared" si="11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59" cm="1">
        <f t="array" ref="F128">estimatedTripDuration(C128,$C$7,$C$6)/60</f>
        <v>3.9266666673289397</v>
      </c>
      <c r="G128">
        <f t="shared" si="20"/>
        <v>114</v>
      </c>
      <c r="H128" s="50">
        <f t="shared" si="13"/>
        <v>9.5</v>
      </c>
      <c r="I128" s="7" cm="1">
        <f t="array" ref="I128">CurrentCapacity(K$9,K$5,K$6,H128)</f>
        <v>273.89218032000002</v>
      </c>
      <c r="J128" s="48">
        <f t="shared" si="14"/>
        <v>0.38447581496498379</v>
      </c>
      <c r="K128" s="5" cm="1">
        <f t="array" ref="K128">UseableCapacity(I128,$K$7,$K$8)</f>
        <v>205.41913524</v>
      </c>
      <c r="L128" s="59">
        <f t="shared" si="15"/>
        <v>168.5872610789317</v>
      </c>
      <c r="M128" s="7">
        <f t="shared" si="16"/>
        <v>100.1142159989317</v>
      </c>
      <c r="N128" s="7">
        <f t="shared" si="17"/>
        <v>19.147819679999998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0"/>
        <v>115</v>
      </c>
      <c r="C129" s="7">
        <f t="shared" si="11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59" cm="1">
        <f t="array" ref="F129">estimatedTripDuration(C129,$C$7,$C$6)/60</f>
        <v>3.9600000006622738</v>
      </c>
      <c r="G129">
        <f t="shared" si="20"/>
        <v>115</v>
      </c>
      <c r="H129" s="50">
        <f t="shared" si="13"/>
        <v>9.5833333333333339</v>
      </c>
      <c r="I129" s="7" cm="1">
        <f t="array" ref="I129">CurrentCapacity(K$9,K$5,K$6,H129)</f>
        <v>273.89130120000004</v>
      </c>
      <c r="J129" s="48">
        <f t="shared" si="14"/>
        <v>0.38467336457733503</v>
      </c>
      <c r="K129" s="5" cm="1">
        <f t="array" ref="K129">UseableCapacity(I129,$K$7,$K$8)</f>
        <v>205.41847590000003</v>
      </c>
      <c r="L129" s="59">
        <f t="shared" si="15"/>
        <v>168.53261283893175</v>
      </c>
      <c r="M129" s="7">
        <f t="shared" si="16"/>
        <v>100.05978753893173</v>
      </c>
      <c r="N129" s="7">
        <f t="shared" si="17"/>
        <v>19.148698799999977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0"/>
        <v>116</v>
      </c>
      <c r="C130" s="7">
        <f t="shared" si="11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59" cm="1">
        <f t="array" ref="F130">estimatedTripDuration(C130,$C$7,$C$6)/60</f>
        <v>3.993333333995607</v>
      </c>
      <c r="G130">
        <f t="shared" si="20"/>
        <v>116</v>
      </c>
      <c r="H130" s="50">
        <f t="shared" si="13"/>
        <v>9.6666666666666661</v>
      </c>
      <c r="I130" s="7" cm="1">
        <f t="array" ref="I130">CurrentCapacity(K$9,K$5,K$6,H130)</f>
        <v>273.89042208000001</v>
      </c>
      <c r="J130" s="48">
        <f t="shared" si="14"/>
        <v>0.3848709154578564</v>
      </c>
      <c r="K130" s="5" cm="1">
        <f t="array" ref="K130">UseableCapacity(I130,$K$7,$K$8)</f>
        <v>205.41781656000001</v>
      </c>
      <c r="L130" s="59">
        <f t="shared" si="15"/>
        <v>168.47796459893172</v>
      </c>
      <c r="M130" s="7">
        <f t="shared" si="16"/>
        <v>100.00535907893172</v>
      </c>
      <c r="N130" s="7">
        <f t="shared" si="17"/>
        <v>19.149577920000013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0"/>
        <v>117</v>
      </c>
      <c r="C131" s="7">
        <f t="shared" si="11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59" cm="1">
        <f t="array" ref="F131">estimatedTripDuration(C131,$C$7,$C$6)/60</f>
        <v>4.0266666673289411</v>
      </c>
      <c r="G131">
        <f t="shared" si="20"/>
        <v>117</v>
      </c>
      <c r="H131" s="50">
        <f t="shared" si="13"/>
        <v>9.75</v>
      </c>
      <c r="I131" s="7" cm="1">
        <f t="array" ref="I131">CurrentCapacity(K$9,K$5,K$6,H131)</f>
        <v>273.88954296000003</v>
      </c>
      <c r="J131" s="48">
        <f t="shared" si="14"/>
        <v>0.38506846760655999</v>
      </c>
      <c r="K131" s="5" cm="1">
        <f t="array" ref="K131">UseableCapacity(I131,$K$7,$K$8)</f>
        <v>205.41715722000004</v>
      </c>
      <c r="L131" s="59">
        <f t="shared" si="15"/>
        <v>168.42331635893174</v>
      </c>
      <c r="M131" s="7">
        <f t="shared" si="16"/>
        <v>99.950930618931736</v>
      </c>
      <c r="N131" s="7">
        <f t="shared" si="17"/>
        <v>19.150457039999992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0"/>
        <v>118</v>
      </c>
      <c r="C132" s="7">
        <f t="shared" si="11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59" cm="1">
        <f t="array" ref="F132">estimatedTripDuration(C132,$C$7,$C$6)/60</f>
        <v>4.0600000006622734</v>
      </c>
      <c r="G132">
        <f t="shared" si="20"/>
        <v>118</v>
      </c>
      <c r="H132" s="50">
        <f t="shared" si="13"/>
        <v>9.8333333333333339</v>
      </c>
      <c r="I132" s="7" cm="1">
        <f t="array" ref="I132">CurrentCapacity(K$9,K$5,K$6,H132)</f>
        <v>273.88866384000005</v>
      </c>
      <c r="J132" s="48">
        <f t="shared" si="14"/>
        <v>0.38526602102345808</v>
      </c>
      <c r="K132" s="5" cm="1">
        <f t="array" ref="K132">UseableCapacity(I132,$K$7,$K$8)</f>
        <v>205.41649788000004</v>
      </c>
      <c r="L132" s="59">
        <f t="shared" si="15"/>
        <v>168.36866811893174</v>
      </c>
      <c r="M132" s="7">
        <f t="shared" si="16"/>
        <v>99.896502158931739</v>
      </c>
      <c r="N132" s="7">
        <f t="shared" si="17"/>
        <v>19.151336159999971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0"/>
        <v>119</v>
      </c>
      <c r="C133" s="7">
        <f t="shared" si="11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59" cm="1">
        <f t="array" ref="F133">estimatedTripDuration(C133,$C$7,$C$6)/60</f>
        <v>4.0933333339956066</v>
      </c>
      <c r="G133">
        <f t="shared" si="20"/>
        <v>119</v>
      </c>
      <c r="H133" s="50">
        <f t="shared" si="13"/>
        <v>9.9166666666666661</v>
      </c>
      <c r="I133" s="7" cm="1">
        <f t="array" ref="I133">CurrentCapacity(K$9,K$5,K$6,H133)</f>
        <v>273.88778472000001</v>
      </c>
      <c r="J133" s="48">
        <f t="shared" si="14"/>
        <v>0.38546357570856288</v>
      </c>
      <c r="K133" s="5" cm="1">
        <f t="array" ref="K133">UseableCapacity(I133,$K$7,$K$8)</f>
        <v>205.41583854000001</v>
      </c>
      <c r="L133" s="59">
        <f t="shared" si="15"/>
        <v>168.31401987893173</v>
      </c>
      <c r="M133" s="7">
        <f t="shared" si="16"/>
        <v>99.842073698931713</v>
      </c>
      <c r="N133" s="7">
        <f t="shared" si="17"/>
        <v>19.152215280000007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0"/>
        <v>120</v>
      </c>
      <c r="C134" s="7">
        <f t="shared" si="11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59" cm="1">
        <f t="array" ref="F134">estimatedTripDuration(C134,$C$7,$C$6)/60</f>
        <v>4.1266666673289398</v>
      </c>
      <c r="G134">
        <f t="shared" si="20"/>
        <v>120</v>
      </c>
      <c r="H134" s="50">
        <f t="shared" si="13"/>
        <v>10</v>
      </c>
      <c r="I134" s="7" cm="1">
        <f t="array" ref="I134">CurrentCapacity(K$9,K$5,K$6,H134)</f>
        <v>273.88690560000003</v>
      </c>
      <c r="J134" s="48">
        <f t="shared" si="14"/>
        <v>0.38566113166188648</v>
      </c>
      <c r="K134" s="5" cm="1">
        <f t="array" ref="K134">UseableCapacity(I134,$K$7,$K$8)</f>
        <v>205.41517920000001</v>
      </c>
      <c r="L134" s="59">
        <f t="shared" si="15"/>
        <v>168.25937163893175</v>
      </c>
      <c r="M134" s="7">
        <f t="shared" si="16"/>
        <v>99.787645238931731</v>
      </c>
      <c r="N134" s="7">
        <f t="shared" si="17"/>
        <v>19.153094399999986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0"/>
        <v>121</v>
      </c>
      <c r="C135" s="7">
        <f t="shared" si="11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59" cm="1">
        <f t="array" ref="F135">estimatedTripDuration(C135,$C$7,$C$6)/60</f>
        <v>4.1600000006622739</v>
      </c>
      <c r="G135">
        <f t="shared" si="20"/>
        <v>121</v>
      </c>
      <c r="H135" s="50">
        <f t="shared" si="13"/>
        <v>10.083333333333334</v>
      </c>
      <c r="I135" s="7" cm="1">
        <f t="array" ref="I135">CurrentCapacity(K$9,K$5,K$6,H135)</f>
        <v>273.88602648000006</v>
      </c>
      <c r="J135" s="48">
        <f t="shared" si="14"/>
        <v>0.38585868888344127</v>
      </c>
      <c r="K135" s="5" cm="1">
        <f t="array" ref="K135">UseableCapacity(I135,$K$7,$K$8)</f>
        <v>205.41451986000004</v>
      </c>
      <c r="L135" s="59">
        <f t="shared" si="15"/>
        <v>168.20472339893178</v>
      </c>
      <c r="M135" s="7">
        <f t="shared" si="16"/>
        <v>99.733216778931748</v>
      </c>
      <c r="N135" s="7">
        <f t="shared" si="17"/>
        <v>19.153973519999965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0"/>
        <v>122</v>
      </c>
      <c r="C136" s="7">
        <f t="shared" si="11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59" cm="1">
        <f t="array" ref="F136">estimatedTripDuration(C136,$C$7,$C$6)/60</f>
        <v>4.1933333339956071</v>
      </c>
      <c r="G136">
        <f t="shared" si="20"/>
        <v>122</v>
      </c>
      <c r="H136" s="50">
        <f t="shared" si="13"/>
        <v>10.166666666666666</v>
      </c>
      <c r="I136" s="7" cm="1">
        <f t="array" ref="I136">CurrentCapacity(K$9,K$5,K$6,H136)</f>
        <v>273.88514736000002</v>
      </c>
      <c r="J136" s="48">
        <f t="shared" si="14"/>
        <v>0.3860562473732394</v>
      </c>
      <c r="K136" s="5" cm="1">
        <f t="array" ref="K136">UseableCapacity(I136,$K$7,$K$8)</f>
        <v>205.41386052000001</v>
      </c>
      <c r="L136" s="59">
        <f t="shared" si="15"/>
        <v>168.15007515893171</v>
      </c>
      <c r="M136" s="7">
        <f t="shared" si="16"/>
        <v>99.678788318931723</v>
      </c>
      <c r="N136" s="7">
        <f t="shared" si="17"/>
        <v>19.154852640000001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0"/>
        <v>123</v>
      </c>
      <c r="C137" s="7">
        <f t="shared" si="11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59" cm="1">
        <f t="array" ref="F137">estimatedTripDuration(C137,$C$7,$C$6)/60</f>
        <v>4.2266666673289404</v>
      </c>
      <c r="G137">
        <f t="shared" si="20"/>
        <v>123</v>
      </c>
      <c r="H137" s="50">
        <f t="shared" si="13"/>
        <v>10.25</v>
      </c>
      <c r="I137" s="7" cm="1">
        <f t="array" ref="I137">CurrentCapacity(K$9,K$5,K$6,H137)</f>
        <v>273.88426824000004</v>
      </c>
      <c r="J137" s="48">
        <f t="shared" si="14"/>
        <v>0.38625380713129298</v>
      </c>
      <c r="K137" s="5" cm="1">
        <f t="array" ref="K137">UseableCapacity(I137,$K$7,$K$8)</f>
        <v>205.41320118000004</v>
      </c>
      <c r="L137" s="59">
        <f t="shared" si="15"/>
        <v>168.09542691893176</v>
      </c>
      <c r="M137" s="7">
        <f t="shared" si="16"/>
        <v>99.624359858931754</v>
      </c>
      <c r="N137" s="7">
        <f t="shared" si="17"/>
        <v>19.155731759999981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0"/>
        <v>124</v>
      </c>
      <c r="C138" s="7">
        <f t="shared" si="11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59" cm="1">
        <f t="array" ref="F138">estimatedTripDuration(C138,$C$7,$C$6)/60</f>
        <v>4.2600000006622727</v>
      </c>
      <c r="G138">
        <f t="shared" si="20"/>
        <v>124</v>
      </c>
      <c r="H138" s="50">
        <f t="shared" si="13"/>
        <v>10.333333333333334</v>
      </c>
      <c r="I138" s="7" cm="1">
        <f t="array" ref="I138">CurrentCapacity(K$9,K$5,K$6,H138)</f>
        <v>273.88338912</v>
      </c>
      <c r="J138" s="48">
        <f t="shared" si="14"/>
        <v>0.38645136815761449</v>
      </c>
      <c r="K138" s="5" cm="1">
        <f t="array" ref="K138">UseableCapacity(I138,$K$7,$K$8)</f>
        <v>205.41254184000002</v>
      </c>
      <c r="L138" s="59">
        <f t="shared" si="15"/>
        <v>168.0407786789317</v>
      </c>
      <c r="M138" s="7">
        <f t="shared" si="16"/>
        <v>99.569931398931715</v>
      </c>
      <c r="N138" s="7">
        <f t="shared" si="17"/>
        <v>19.156610880000017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0"/>
        <v>125</v>
      </c>
      <c r="C139" s="7">
        <f t="shared" si="11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59" cm="1">
        <f t="array" ref="F139">estimatedTripDuration(C139,$C$7,$C$6)/60</f>
        <v>4.2933333339956068</v>
      </c>
      <c r="G139">
        <f t="shared" si="20"/>
        <v>125</v>
      </c>
      <c r="H139" s="50">
        <f t="shared" si="13"/>
        <v>10.416666666666666</v>
      </c>
      <c r="I139" s="7" cm="1">
        <f t="array" ref="I139">CurrentCapacity(K$9,K$5,K$6,H139)</f>
        <v>273.88251000000002</v>
      </c>
      <c r="J139" s="48">
        <f t="shared" si="14"/>
        <v>0.38664893045221571</v>
      </c>
      <c r="K139" s="5" cm="1">
        <f t="array" ref="K139">UseableCapacity(I139,$K$7,$K$8)</f>
        <v>205.41188250000002</v>
      </c>
      <c r="L139" s="59">
        <f t="shared" si="15"/>
        <v>167.98613043893175</v>
      </c>
      <c r="M139" s="7">
        <f t="shared" si="16"/>
        <v>99.515502938931732</v>
      </c>
      <c r="N139" s="7">
        <f t="shared" si="17"/>
        <v>19.157489999999996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0"/>
        <v>126</v>
      </c>
      <c r="C140" s="7">
        <f t="shared" si="11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59" cm="1">
        <f t="array" ref="F140">estimatedTripDuration(C140,$C$7,$C$6)/60</f>
        <v>4.32666666732894</v>
      </c>
      <c r="G140">
        <f t="shared" si="20"/>
        <v>126</v>
      </c>
      <c r="H140" s="50">
        <f t="shared" si="13"/>
        <v>10.5</v>
      </c>
      <c r="I140" s="7" cm="1">
        <f t="array" ref="I140">CurrentCapacity(K$9,K$5,K$6,H140)</f>
        <v>273.88163088000005</v>
      </c>
      <c r="J140" s="48">
        <f t="shared" si="14"/>
        <v>0.38684649401510918</v>
      </c>
      <c r="K140" s="5" cm="1">
        <f t="array" ref="K140">UseableCapacity(I140,$K$7,$K$8)</f>
        <v>205.41122316000002</v>
      </c>
      <c r="L140" s="59">
        <f t="shared" si="15"/>
        <v>167.93148219893175</v>
      </c>
      <c r="M140" s="7">
        <f t="shared" si="16"/>
        <v>99.461074478931735</v>
      </c>
      <c r="N140" s="7">
        <f t="shared" si="17"/>
        <v>19.158369119999975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0"/>
        <v>127</v>
      </c>
      <c r="C141" s="7">
        <f t="shared" si="11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59" cm="1">
        <f t="array" ref="F141">estimatedTripDuration(C141,$C$7,$C$6)/60</f>
        <v>4.3600000006622741</v>
      </c>
      <c r="G141">
        <f t="shared" si="20"/>
        <v>127</v>
      </c>
      <c r="H141" s="50">
        <f t="shared" si="13"/>
        <v>10.583333333333334</v>
      </c>
      <c r="I141" s="7" cm="1">
        <f t="array" ref="I141">CurrentCapacity(K$9,K$5,K$6,H141)</f>
        <v>273.88075176000007</v>
      </c>
      <c r="J141" s="48">
        <f t="shared" si="14"/>
        <v>0.3870440588463071</v>
      </c>
      <c r="K141" s="5" cm="1">
        <f t="array" ref="K141">UseableCapacity(I141,$K$7,$K$8)</f>
        <v>205.41056382000005</v>
      </c>
      <c r="L141" s="59">
        <f t="shared" si="15"/>
        <v>167.87683395893177</v>
      </c>
      <c r="M141" s="7">
        <f t="shared" si="16"/>
        <v>99.406646018931752</v>
      </c>
      <c r="N141" s="7">
        <f t="shared" si="17"/>
        <v>19.159248239999954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0"/>
        <v>128</v>
      </c>
      <c r="C142" s="7">
        <f t="shared" si="11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59" cm="1">
        <f t="array" ref="F142">estimatedTripDuration(C142,$C$7,$C$6)/60</f>
        <v>4.3933333339956082</v>
      </c>
      <c r="G142">
        <f t="shared" si="20"/>
        <v>128</v>
      </c>
      <c r="H142" s="50">
        <f t="shared" si="13"/>
        <v>10.666666666666666</v>
      </c>
      <c r="I142" s="7" cm="1">
        <f t="array" ref="I142">CurrentCapacity(K$9,K$5,K$6,H142)</f>
        <v>273.87987264000003</v>
      </c>
      <c r="J142" s="48">
        <f t="shared" si="14"/>
        <v>0.38724162494582159</v>
      </c>
      <c r="K142" s="5" cm="1">
        <f t="array" ref="K142">UseableCapacity(I142,$K$7,$K$8)</f>
        <v>205.40990448000002</v>
      </c>
      <c r="L142" s="59">
        <f t="shared" si="15"/>
        <v>167.82218571893173</v>
      </c>
      <c r="M142" s="7">
        <f t="shared" si="16"/>
        <v>99.352217558931741</v>
      </c>
      <c r="N142" s="7">
        <f t="shared" si="17"/>
        <v>19.16012735999999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ref="B143:B206" si="23">B142+$G$12</f>
        <v>129</v>
      </c>
      <c r="C143" s="7">
        <f t="shared" ref="C143:C206" si="24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59" cm="1">
        <f t="array" ref="F143">estimatedTripDuration(C143,$C$7,$C$6)/60</f>
        <v>4.4266666673289414</v>
      </c>
      <c r="G143">
        <f t="shared" si="20"/>
        <v>129</v>
      </c>
      <c r="H143" s="50">
        <f t="shared" ref="H143:H206" si="25">G143/$G$3</f>
        <v>10.75</v>
      </c>
      <c r="I143" s="7" cm="1">
        <f t="array" ref="I143">CurrentCapacity(K$9,K$5,K$6,H143)</f>
        <v>273.87899352000005</v>
      </c>
      <c r="J143" s="48">
        <f t="shared" ref="J143:J206" si="26">E143/I143</f>
        <v>0.38743919231366497</v>
      </c>
      <c r="K143" s="5" cm="1">
        <f t="array" ref="K143">UseableCapacity(I143,$K$7,$K$8)</f>
        <v>205.40924514000005</v>
      </c>
      <c r="L143" s="59">
        <f t="shared" ref="L143:L206" si="27">(K$7*I143)-E143</f>
        <v>167.76753747893173</v>
      </c>
      <c r="M143" s="7">
        <f t="shared" ref="M143:M206" si="28">K143-E143</f>
        <v>99.297789098931744</v>
      </c>
      <c r="N143" s="7">
        <f t="shared" ref="N143:N206" si="29">$K$9-I143</f>
        <v>19.161006479999969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si="23"/>
        <v>130</v>
      </c>
      <c r="C144" s="7">
        <f t="shared" si="24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59" cm="1">
        <f t="array" ref="F144">estimatedTripDuration(C144,$C$7,$C$6)/60</f>
        <v>4.4600000006622746</v>
      </c>
      <c r="G144">
        <f t="shared" si="20"/>
        <v>130</v>
      </c>
      <c r="H144" s="50">
        <f t="shared" si="25"/>
        <v>10.833333333333334</v>
      </c>
      <c r="I144" s="7" cm="1">
        <f t="array" ref="I144">CurrentCapacity(K$9,K$5,K$6,H144)</f>
        <v>273.87811440000002</v>
      </c>
      <c r="J144" s="48">
        <f t="shared" si="26"/>
        <v>0.38763676094984939</v>
      </c>
      <c r="K144" s="5" cm="1">
        <f t="array" ref="K144">UseableCapacity(I144,$K$7,$K$8)</f>
        <v>205.40858580000003</v>
      </c>
      <c r="L144" s="59">
        <f t="shared" si="27"/>
        <v>167.71288923893172</v>
      </c>
      <c r="M144" s="7">
        <f t="shared" si="28"/>
        <v>99.243360638931719</v>
      </c>
      <c r="N144" s="7">
        <f t="shared" si="29"/>
        <v>19.161885600000005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si="23"/>
        <v>131</v>
      </c>
      <c r="C145" s="7">
        <f t="shared" si="24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59" cm="1">
        <f t="array" ref="F145">estimatedTripDuration(C145,$C$7,$C$6)/60</f>
        <v>4.4933333339956079</v>
      </c>
      <c r="G145">
        <f t="shared" si="20"/>
        <v>131</v>
      </c>
      <c r="H145" s="50">
        <f t="shared" si="25"/>
        <v>10.916666666666666</v>
      </c>
      <c r="I145" s="7" cm="1">
        <f t="array" ref="I145">CurrentCapacity(K$9,K$5,K$6,H145)</f>
        <v>273.87723528000004</v>
      </c>
      <c r="J145" s="48">
        <f t="shared" si="26"/>
        <v>0.3878343308543869</v>
      </c>
      <c r="K145" s="5" cm="1">
        <f t="array" ref="K145">UseableCapacity(I145,$K$7,$K$8)</f>
        <v>205.40792646000003</v>
      </c>
      <c r="L145" s="59">
        <f t="shared" si="27"/>
        <v>167.65824099893175</v>
      </c>
      <c r="M145" s="7">
        <f t="shared" si="28"/>
        <v>99.188932178931736</v>
      </c>
      <c r="N145" s="7">
        <f t="shared" si="29"/>
        <v>19.162764719999984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3"/>
        <v>132</v>
      </c>
      <c r="C146" s="7">
        <f t="shared" si="24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59" cm="1">
        <f t="array" ref="F146">estimatedTripDuration(C146,$C$7,$C$6)/60</f>
        <v>4.5266666673289411</v>
      </c>
      <c r="G146">
        <f t="shared" si="20"/>
        <v>132</v>
      </c>
      <c r="H146" s="50">
        <f t="shared" si="25"/>
        <v>11</v>
      </c>
      <c r="I146" s="7" cm="1">
        <f t="array" ref="I146">CurrentCapacity(K$9,K$5,K$6,H146)</f>
        <v>273.87635616000006</v>
      </c>
      <c r="J146" s="48">
        <f t="shared" si="26"/>
        <v>0.38803190202728988</v>
      </c>
      <c r="K146" s="5" cm="1">
        <f t="array" ref="K146">UseableCapacity(I146,$K$7,$K$8)</f>
        <v>205.40726712000003</v>
      </c>
      <c r="L146" s="59">
        <f t="shared" si="27"/>
        <v>167.60359275893177</v>
      </c>
      <c r="M146" s="7">
        <f t="shared" si="28"/>
        <v>99.13450371893174</v>
      </c>
      <c r="N146" s="7">
        <f t="shared" si="29"/>
        <v>19.163643839999963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3"/>
        <v>133</v>
      </c>
      <c r="C147" s="7">
        <f t="shared" si="24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59" cm="1">
        <f t="array" ref="F147">estimatedTripDuration(C147,$C$7,$C$6)/60</f>
        <v>4.5600000006622743</v>
      </c>
      <c r="G147">
        <f t="shared" si="20"/>
        <v>133</v>
      </c>
      <c r="H147" s="50">
        <f t="shared" si="25"/>
        <v>11.083333333333334</v>
      </c>
      <c r="I147" s="7" cm="1">
        <f t="array" ref="I147">CurrentCapacity(K$9,K$5,K$6,H147)</f>
        <v>273.87547704000002</v>
      </c>
      <c r="J147" s="48">
        <f t="shared" si="26"/>
        <v>0.38822947446857065</v>
      </c>
      <c r="K147" s="5" cm="1">
        <f t="array" ref="K147">UseableCapacity(I147,$K$7,$K$8)</f>
        <v>205.40660778</v>
      </c>
      <c r="L147" s="59">
        <f t="shared" si="27"/>
        <v>167.54894451893173</v>
      </c>
      <c r="M147" s="7">
        <f t="shared" si="28"/>
        <v>99.080075258931714</v>
      </c>
      <c r="N147" s="7">
        <f t="shared" si="29"/>
        <v>19.164522959999999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3"/>
        <v>134</v>
      </c>
      <c r="C148" s="7">
        <f t="shared" si="24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59" cm="1">
        <f t="array" ref="F148">estimatedTripDuration(C148,$C$7,$C$6)/60</f>
        <v>4.5933333339956075</v>
      </c>
      <c r="G148">
        <f t="shared" si="20"/>
        <v>134</v>
      </c>
      <c r="H148" s="50">
        <f t="shared" si="25"/>
        <v>11.166666666666666</v>
      </c>
      <c r="I148" s="7" cm="1">
        <f t="array" ref="I148">CurrentCapacity(K$9,K$5,K$6,H148)</f>
        <v>273.87459792000004</v>
      </c>
      <c r="J148" s="48">
        <f t="shared" si="26"/>
        <v>0.3884270481782412</v>
      </c>
      <c r="K148" s="5" cm="1">
        <f t="array" ref="K148">UseableCapacity(I148,$K$7,$K$8)</f>
        <v>205.40594844000003</v>
      </c>
      <c r="L148" s="59">
        <f t="shared" si="27"/>
        <v>167.49429627893176</v>
      </c>
      <c r="M148" s="7">
        <f t="shared" si="28"/>
        <v>99.025646798931746</v>
      </c>
      <c r="N148" s="7">
        <f t="shared" si="29"/>
        <v>19.165402079999978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3"/>
        <v>135</v>
      </c>
      <c r="C149" s="7">
        <f t="shared" si="24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59" cm="1">
        <f t="array" ref="F149">estimatedTripDuration(C149,$C$7,$C$6)/60</f>
        <v>4.6266666673289416</v>
      </c>
      <c r="G149">
        <f t="shared" si="20"/>
        <v>135</v>
      </c>
      <c r="H149" s="50">
        <f t="shared" si="25"/>
        <v>11.25</v>
      </c>
      <c r="I149" s="7" cm="1">
        <f t="array" ref="I149">CurrentCapacity(K$9,K$5,K$6,H149)</f>
        <v>273.87371880000006</v>
      </c>
      <c r="J149" s="48">
        <f t="shared" si="26"/>
        <v>0.3886246231563138</v>
      </c>
      <c r="K149" s="5" cm="1">
        <f t="array" ref="K149">UseableCapacity(I149,$K$7,$K$8)</f>
        <v>205.40528910000006</v>
      </c>
      <c r="L149" s="59">
        <f t="shared" si="27"/>
        <v>167.43964803893178</v>
      </c>
      <c r="M149" s="7">
        <f t="shared" si="28"/>
        <v>98.971218338931777</v>
      </c>
      <c r="N149" s="7">
        <f t="shared" si="29"/>
        <v>19.166281199999958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3"/>
        <v>136</v>
      </c>
      <c r="C150" s="7">
        <f t="shared" si="24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59" cm="1">
        <f t="array" ref="F150">estimatedTripDuration(C150,$C$7,$C$6)/60</f>
        <v>4.6600000006622748</v>
      </c>
      <c r="G150">
        <f t="shared" si="20"/>
        <v>136</v>
      </c>
      <c r="H150" s="50">
        <f t="shared" si="25"/>
        <v>11.333333333333334</v>
      </c>
      <c r="I150" s="7" cm="1">
        <f t="array" ref="I150">CurrentCapacity(K$9,K$5,K$6,H150)</f>
        <v>273.87283968000003</v>
      </c>
      <c r="J150" s="48">
        <f t="shared" si="26"/>
        <v>0.38882219940280088</v>
      </c>
      <c r="K150" s="5" cm="1">
        <f t="array" ref="K150">UseableCapacity(I150,$K$7,$K$8)</f>
        <v>205.40462976000003</v>
      </c>
      <c r="L150" s="59">
        <f t="shared" si="27"/>
        <v>167.38499979893174</v>
      </c>
      <c r="M150" s="7">
        <f t="shared" si="28"/>
        <v>98.916789878931752</v>
      </c>
      <c r="N150" s="7">
        <f t="shared" si="29"/>
        <v>19.167160319999994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3"/>
        <v>137</v>
      </c>
      <c r="C151" s="7">
        <f t="shared" si="24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59" cm="1">
        <f t="array" ref="F151">estimatedTripDuration(C151,$C$7,$C$6)/60</f>
        <v>4.693333333995608</v>
      </c>
      <c r="G151">
        <f t="shared" si="20"/>
        <v>137</v>
      </c>
      <c r="H151" s="50">
        <f t="shared" si="25"/>
        <v>11.416666666666666</v>
      </c>
      <c r="I151" s="7" cm="1">
        <f t="array" ref="I151">CurrentCapacity(K$9,K$5,K$6,H151)</f>
        <v>273.87196056000005</v>
      </c>
      <c r="J151" s="48">
        <f t="shared" si="26"/>
        <v>0.38901977691771439</v>
      </c>
      <c r="K151" s="5" cm="1">
        <f t="array" ref="K151">UseableCapacity(I151,$K$7,$K$8)</f>
        <v>205.40397042000004</v>
      </c>
      <c r="L151" s="59">
        <f t="shared" si="27"/>
        <v>167.33035155893174</v>
      </c>
      <c r="M151" s="7">
        <f t="shared" si="28"/>
        <v>98.862361418931741</v>
      </c>
      <c r="N151" s="7">
        <f t="shared" si="29"/>
        <v>19.168039439999973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3"/>
        <v>138</v>
      </c>
      <c r="C152" s="7">
        <f t="shared" si="24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59" cm="1">
        <f t="array" ref="F152">estimatedTripDuration(C152,$C$7,$C$6)/60</f>
        <v>4.7266666673289413</v>
      </c>
      <c r="G152">
        <f t="shared" si="20"/>
        <v>138</v>
      </c>
      <c r="H152" s="50">
        <f t="shared" si="25"/>
        <v>11.5</v>
      </c>
      <c r="I152" s="7" cm="1">
        <f t="array" ref="I152">CurrentCapacity(K$9,K$5,K$6,H152)</f>
        <v>273.87108144000001</v>
      </c>
      <c r="J152" s="48">
        <f t="shared" si="26"/>
        <v>0.38921735570106669</v>
      </c>
      <c r="K152" s="5" cm="1">
        <f t="array" ref="K152">UseableCapacity(I152,$K$7,$K$8)</f>
        <v>205.40331108000001</v>
      </c>
      <c r="L152" s="59">
        <f t="shared" si="27"/>
        <v>167.27570331893173</v>
      </c>
      <c r="M152" s="7">
        <f t="shared" si="28"/>
        <v>98.807932958931715</v>
      </c>
      <c r="N152" s="7">
        <f t="shared" si="29"/>
        <v>19.168918560000009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3"/>
        <v>139</v>
      </c>
      <c r="C153" s="7">
        <f t="shared" si="24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59" cm="1">
        <f t="array" ref="F153">estimatedTripDuration(C153,$C$7,$C$6)/60</f>
        <v>4.7600000006622745</v>
      </c>
      <c r="G153">
        <f t="shared" si="20"/>
        <v>139</v>
      </c>
      <c r="H153" s="50">
        <f t="shared" si="25"/>
        <v>11.583333333333334</v>
      </c>
      <c r="I153" s="7" cm="1">
        <f t="array" ref="I153">CurrentCapacity(K$9,K$5,K$6,H153)</f>
        <v>273.87020232000003</v>
      </c>
      <c r="J153" s="48">
        <f t="shared" si="26"/>
        <v>0.38941493575286995</v>
      </c>
      <c r="K153" s="5" cm="1">
        <f t="array" ref="K153">UseableCapacity(I153,$K$7,$K$8)</f>
        <v>205.40265174000001</v>
      </c>
      <c r="L153" s="59">
        <f t="shared" si="27"/>
        <v>167.22105507893173</v>
      </c>
      <c r="M153" s="7">
        <f t="shared" si="28"/>
        <v>98.753504498931704</v>
      </c>
      <c r="N153" s="7">
        <f t="shared" si="29"/>
        <v>19.169797679999988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3"/>
        <v>140</v>
      </c>
      <c r="C154" s="7">
        <f t="shared" si="24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59" cm="1">
        <f t="array" ref="F154">estimatedTripDuration(C154,$C$7,$C$6)/60</f>
        <v>4.7933333339956077</v>
      </c>
      <c r="G154">
        <f t="shared" si="20"/>
        <v>140</v>
      </c>
      <c r="H154" s="50">
        <f t="shared" si="25"/>
        <v>11.666666666666666</v>
      </c>
      <c r="I154" s="7" cm="1">
        <f t="array" ref="I154">CurrentCapacity(K$9,K$5,K$6,H154)</f>
        <v>273.86932320000005</v>
      </c>
      <c r="J154" s="48">
        <f t="shared" si="26"/>
        <v>0.38961251707313632</v>
      </c>
      <c r="K154" s="5" cm="1">
        <f t="array" ref="K154">UseableCapacity(I154,$K$7,$K$8)</f>
        <v>205.40199240000004</v>
      </c>
      <c r="L154" s="59">
        <f t="shared" si="27"/>
        <v>167.16640683893175</v>
      </c>
      <c r="M154" s="7">
        <f t="shared" si="28"/>
        <v>98.699076038931736</v>
      </c>
      <c r="N154" s="7">
        <f t="shared" si="29"/>
        <v>19.170676799999967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3"/>
        <v>141</v>
      </c>
      <c r="C155" s="7">
        <f t="shared" si="24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59" cm="1">
        <f t="array" ref="F155">estimatedTripDuration(C155,$C$7,$C$6)/60</f>
        <v>4.8266666673289409</v>
      </c>
      <c r="G155">
        <f t="shared" si="20"/>
        <v>141</v>
      </c>
      <c r="H155" s="50">
        <f t="shared" si="25"/>
        <v>11.75</v>
      </c>
      <c r="I155" s="7" cm="1">
        <f t="array" ref="I155">CurrentCapacity(K$9,K$5,K$6,H155)</f>
        <v>273.86844408000007</v>
      </c>
      <c r="J155" s="48">
        <f t="shared" si="26"/>
        <v>0.38981009966187802</v>
      </c>
      <c r="K155" s="5" cm="1">
        <f t="array" ref="K155">UseableCapacity(I155,$K$7,$K$8)</f>
        <v>205.40133306000007</v>
      </c>
      <c r="L155" s="59">
        <f t="shared" si="27"/>
        <v>167.11175859893177</v>
      </c>
      <c r="M155" s="7">
        <f t="shared" si="28"/>
        <v>98.644647578931782</v>
      </c>
      <c r="N155" s="7">
        <f t="shared" si="29"/>
        <v>19.171555919999946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3"/>
        <v>142</v>
      </c>
      <c r="C156" s="7">
        <f t="shared" si="24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59" cm="1">
        <f t="array" ref="F156">estimatedTripDuration(C156,$C$7,$C$6)/60</f>
        <v>4.8600000006622741</v>
      </c>
      <c r="G156">
        <f t="shared" si="20"/>
        <v>142</v>
      </c>
      <c r="H156" s="50">
        <f t="shared" si="25"/>
        <v>11.833333333333334</v>
      </c>
      <c r="I156" s="7" cm="1">
        <f t="array" ref="I156">CurrentCapacity(K$9,K$5,K$6,H156)</f>
        <v>273.86756496000004</v>
      </c>
      <c r="J156" s="48">
        <f t="shared" si="26"/>
        <v>0.39000768351910747</v>
      </c>
      <c r="K156" s="5" cm="1">
        <f t="array" ref="K156">UseableCapacity(I156,$K$7,$K$8)</f>
        <v>205.40067372000004</v>
      </c>
      <c r="L156" s="59">
        <f t="shared" si="27"/>
        <v>167.05711035893174</v>
      </c>
      <c r="M156" s="7">
        <f t="shared" si="28"/>
        <v>98.590219118931742</v>
      </c>
      <c r="N156" s="7">
        <f t="shared" si="29"/>
        <v>19.172435039999982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3"/>
        <v>143</v>
      </c>
      <c r="C157" s="7">
        <f t="shared" si="24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59" cm="1">
        <f t="array" ref="F157">estimatedTripDuration(C157,$C$7,$C$6)/60</f>
        <v>4.8933333339956082</v>
      </c>
      <c r="G157">
        <f t="shared" si="20"/>
        <v>143</v>
      </c>
      <c r="H157" s="50">
        <f t="shared" si="25"/>
        <v>11.916666666666666</v>
      </c>
      <c r="I157" s="7" cm="1">
        <f t="array" ref="I157">CurrentCapacity(K$9,K$5,K$6,H157)</f>
        <v>273.86668584000006</v>
      </c>
      <c r="J157" s="48">
        <f t="shared" si="26"/>
        <v>0.39020526864483657</v>
      </c>
      <c r="K157" s="5" cm="1">
        <f t="array" ref="K157">UseableCapacity(I157,$K$7,$K$8)</f>
        <v>205.40001438000004</v>
      </c>
      <c r="L157" s="59">
        <f t="shared" si="27"/>
        <v>167.00246211893176</v>
      </c>
      <c r="M157" s="7">
        <f t="shared" si="28"/>
        <v>98.535790658931759</v>
      </c>
      <c r="N157" s="7">
        <f t="shared" si="29"/>
        <v>19.173314159999961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3"/>
        <v>144</v>
      </c>
      <c r="C158" s="7">
        <f t="shared" si="24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59" cm="1">
        <f t="array" ref="F158">estimatedTripDuration(C158,$C$7,$C$6)/60</f>
        <v>4.9266666673289414</v>
      </c>
      <c r="G158">
        <f t="shared" si="20"/>
        <v>144</v>
      </c>
      <c r="H158" s="50">
        <f t="shared" si="25"/>
        <v>12</v>
      </c>
      <c r="I158" s="7" cm="1">
        <f t="array" ref="I158">CurrentCapacity(K$9,K$5,K$6,H158)</f>
        <v>273.86580672000002</v>
      </c>
      <c r="J158" s="48">
        <f t="shared" si="26"/>
        <v>0.39040285503907796</v>
      </c>
      <c r="K158" s="5" cm="1">
        <f t="array" ref="K158">UseableCapacity(I158,$K$7,$K$8)</f>
        <v>205.39935504000002</v>
      </c>
      <c r="L158" s="59">
        <f t="shared" si="27"/>
        <v>166.9478138789317</v>
      </c>
      <c r="M158" s="7">
        <f t="shared" si="28"/>
        <v>98.481362198931706</v>
      </c>
      <c r="N158" s="7">
        <f t="shared" si="29"/>
        <v>19.174193279999997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3"/>
        <v>145</v>
      </c>
      <c r="C159" s="7">
        <f t="shared" si="24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59" cm="1">
        <f t="array" ref="F159">estimatedTripDuration(C159,$C$7,$C$6)/60</f>
        <v>4.9600000006622746</v>
      </c>
      <c r="G159">
        <f t="shared" si="20"/>
        <v>145</v>
      </c>
      <c r="H159" s="50">
        <f t="shared" si="25"/>
        <v>12.083333333333334</v>
      </c>
      <c r="I159" s="7" cm="1">
        <f t="array" ref="I159">CurrentCapacity(K$9,K$5,K$6,H159)</f>
        <v>273.86492760000004</v>
      </c>
      <c r="J159" s="48">
        <f t="shared" si="26"/>
        <v>0.3906004427018433</v>
      </c>
      <c r="K159" s="5" cm="1">
        <f t="array" ref="K159">UseableCapacity(I159,$K$7,$K$8)</f>
        <v>205.39869570000002</v>
      </c>
      <c r="L159" s="59">
        <f t="shared" si="27"/>
        <v>166.89316563893175</v>
      </c>
      <c r="M159" s="7">
        <f t="shared" si="28"/>
        <v>98.426933738931737</v>
      </c>
      <c r="N159" s="7">
        <f t="shared" si="29"/>
        <v>19.175072399999976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3"/>
        <v>146</v>
      </c>
      <c r="C160" s="7">
        <f t="shared" si="24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59" cm="1">
        <f t="array" ref="F160">estimatedTripDuration(C160,$C$7,$C$6)/60</f>
        <v>4.9933333339956079</v>
      </c>
      <c r="G160">
        <f t="shared" si="20"/>
        <v>146</v>
      </c>
      <c r="H160" s="50">
        <f t="shared" si="25"/>
        <v>12.166666666666666</v>
      </c>
      <c r="I160" s="7" cm="1">
        <f t="array" ref="I160">CurrentCapacity(K$9,K$5,K$6,H160)</f>
        <v>273.86404848000001</v>
      </c>
      <c r="J160" s="48">
        <f t="shared" si="26"/>
        <v>0.3907980316331453</v>
      </c>
      <c r="K160" s="5" cm="1">
        <f t="array" ref="K160">UseableCapacity(I160,$K$7,$K$8)</f>
        <v>205.39803635999999</v>
      </c>
      <c r="L160" s="59">
        <f t="shared" si="27"/>
        <v>166.83851739893174</v>
      </c>
      <c r="M160" s="7">
        <f t="shared" si="28"/>
        <v>98.372505278931712</v>
      </c>
      <c r="N160" s="7">
        <f t="shared" si="29"/>
        <v>19.175951520000012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3"/>
        <v>147</v>
      </c>
      <c r="C161" s="7">
        <f t="shared" si="24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59" cm="1">
        <f t="array" ref="F161">estimatedTripDuration(C161,$C$7,$C$6)/60</f>
        <v>5.0266666673289411</v>
      </c>
      <c r="G161">
        <f t="shared" si="20"/>
        <v>147</v>
      </c>
      <c r="H161" s="50">
        <f t="shared" si="25"/>
        <v>12.25</v>
      </c>
      <c r="I161" s="7" cm="1">
        <f t="array" ref="I161">CurrentCapacity(K$9,K$5,K$6,H161)</f>
        <v>273.86316936000003</v>
      </c>
      <c r="J161" s="48">
        <f t="shared" si="26"/>
        <v>0.39099562183299597</v>
      </c>
      <c r="K161" s="5" cm="1">
        <f t="array" ref="K161">UseableCapacity(I161,$K$7,$K$8)</f>
        <v>205.39737702000002</v>
      </c>
      <c r="L161" s="59">
        <f t="shared" si="27"/>
        <v>166.78386915893174</v>
      </c>
      <c r="M161" s="7">
        <f t="shared" si="28"/>
        <v>98.318076818931729</v>
      </c>
      <c r="N161" s="7">
        <f t="shared" si="29"/>
        <v>19.176830639999991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3"/>
        <v>148</v>
      </c>
      <c r="C162" s="7">
        <f t="shared" si="24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59" cm="1">
        <f t="array" ref="F162">estimatedTripDuration(C162,$C$7,$C$6)/60</f>
        <v>5.0600000006622743</v>
      </c>
      <c r="G162">
        <f t="shared" si="20"/>
        <v>148</v>
      </c>
      <c r="H162" s="50">
        <f t="shared" si="25"/>
        <v>12.333333333333334</v>
      </c>
      <c r="I162" s="7" cm="1">
        <f t="array" ref="I162">CurrentCapacity(K$9,K$5,K$6,H162)</f>
        <v>273.86229024000005</v>
      </c>
      <c r="J162" s="48">
        <f t="shared" si="26"/>
        <v>0.39119321330140744</v>
      </c>
      <c r="K162" s="5" cm="1">
        <f t="array" ref="K162">UseableCapacity(I162,$K$7,$K$8)</f>
        <v>205.39671768000005</v>
      </c>
      <c r="L162" s="59">
        <f t="shared" si="27"/>
        <v>166.72922091893176</v>
      </c>
      <c r="M162" s="7">
        <f t="shared" si="28"/>
        <v>98.263648358931761</v>
      </c>
      <c r="N162" s="7">
        <f t="shared" si="29"/>
        <v>19.177709759999971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3"/>
        <v>149</v>
      </c>
      <c r="C163" s="7">
        <f t="shared" si="24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59" cm="1">
        <f t="array" ref="F163">estimatedTripDuration(C163,$C$7,$C$6)/60</f>
        <v>5.0933333339956075</v>
      </c>
      <c r="G163">
        <f t="shared" si="20"/>
        <v>149</v>
      </c>
      <c r="H163" s="50">
        <f t="shared" si="25"/>
        <v>12.416666666666666</v>
      </c>
      <c r="I163" s="7" cm="1">
        <f t="array" ref="I163">CurrentCapacity(K$9,K$5,K$6,H163)</f>
        <v>273.86141112000001</v>
      </c>
      <c r="J163" s="48">
        <f t="shared" si="26"/>
        <v>0.39139080603839216</v>
      </c>
      <c r="K163" s="5" cm="1">
        <f t="array" ref="K163">UseableCapacity(I163,$K$7,$K$8)</f>
        <v>205.39605834000002</v>
      </c>
      <c r="L163" s="59">
        <f t="shared" si="27"/>
        <v>166.67457267893172</v>
      </c>
      <c r="M163" s="7">
        <f t="shared" si="28"/>
        <v>98.209219898931721</v>
      </c>
      <c r="N163" s="7">
        <f t="shared" si="29"/>
        <v>19.178588880000007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3"/>
        <v>150</v>
      </c>
      <c r="C164" s="7">
        <f t="shared" si="24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59" cm="1">
        <f t="array" ref="F164">estimatedTripDuration(C164,$C$7,$C$6)/60</f>
        <v>5.1266666673289416</v>
      </c>
      <c r="G164">
        <f t="shared" si="20"/>
        <v>150</v>
      </c>
      <c r="H164" s="50">
        <f t="shared" si="25"/>
        <v>12.5</v>
      </c>
      <c r="I164" s="7" cm="1">
        <f t="array" ref="I164">CurrentCapacity(K$9,K$5,K$6,H164)</f>
        <v>273.86053200000003</v>
      </c>
      <c r="J164" s="48">
        <f t="shared" si="26"/>
        <v>0.39158840004396206</v>
      </c>
      <c r="K164" s="5" cm="1">
        <f t="array" ref="K164">UseableCapacity(I164,$K$7,$K$8)</f>
        <v>205.39539900000003</v>
      </c>
      <c r="L164" s="59">
        <f t="shared" si="27"/>
        <v>166.61992443893175</v>
      </c>
      <c r="M164" s="7">
        <f t="shared" si="28"/>
        <v>98.154791438931738</v>
      </c>
      <c r="N164" s="7">
        <f t="shared" si="29"/>
        <v>19.179467999999986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3"/>
        <v>151</v>
      </c>
      <c r="C165" s="7">
        <f t="shared" si="24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59" cm="1">
        <f t="array" ref="F165">estimatedTripDuration(C165,$C$7,$C$6)/60</f>
        <v>5.1600000006622748</v>
      </c>
      <c r="G165">
        <f t="shared" si="20"/>
        <v>151</v>
      </c>
      <c r="H165" s="50">
        <f t="shared" si="25"/>
        <v>12.583333333333334</v>
      </c>
      <c r="I165" s="7" cm="1">
        <f t="array" ref="I165">CurrentCapacity(K$9,K$5,K$6,H165)</f>
        <v>273.85965288</v>
      </c>
      <c r="J165" s="48">
        <f t="shared" si="26"/>
        <v>0.39178599531812963</v>
      </c>
      <c r="K165" s="5" cm="1">
        <f t="array" ref="K165">UseableCapacity(I165,$K$7,$K$8)</f>
        <v>205.39473966</v>
      </c>
      <c r="L165" s="59">
        <f t="shared" si="27"/>
        <v>166.56527619893171</v>
      </c>
      <c r="M165" s="7">
        <f t="shared" si="28"/>
        <v>98.100362978931713</v>
      </c>
      <c r="N165" s="7">
        <f t="shared" si="29"/>
        <v>19.180347120000022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3"/>
        <v>152</v>
      </c>
      <c r="C166" s="7">
        <f t="shared" si="24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59" cm="1">
        <f t="array" ref="F166">estimatedTripDuration(C166,$C$7,$C$6)/60</f>
        <v>5.193333333995608</v>
      </c>
      <c r="G166">
        <f t="shared" si="20"/>
        <v>152</v>
      </c>
      <c r="H166" s="50">
        <f t="shared" si="25"/>
        <v>12.666666666666666</v>
      </c>
      <c r="I166" s="7" cm="1">
        <f t="array" ref="I166">CurrentCapacity(K$9,K$5,K$6,H166)</f>
        <v>273.85877376000002</v>
      </c>
      <c r="J166" s="48">
        <f t="shared" si="26"/>
        <v>0.39198359186090692</v>
      </c>
      <c r="K166" s="5" cm="1">
        <f t="array" ref="K166">UseableCapacity(I166,$K$7,$K$8)</f>
        <v>205.39408032</v>
      </c>
      <c r="L166" s="59">
        <f t="shared" si="27"/>
        <v>166.51062795893171</v>
      </c>
      <c r="M166" s="7">
        <f t="shared" si="28"/>
        <v>98.045934518931702</v>
      </c>
      <c r="N166" s="7">
        <f t="shared" si="29"/>
        <v>19.181226240000001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3"/>
        <v>153</v>
      </c>
      <c r="C167" s="7">
        <f t="shared" si="24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59" cm="1">
        <f t="array" ref="F167">estimatedTripDuration(C167,$C$7,$C$6)/60</f>
        <v>5.2266666673289413</v>
      </c>
      <c r="G167">
        <f t="shared" ref="G167:G187" si="30">B167</f>
        <v>153</v>
      </c>
      <c r="H167" s="50">
        <f t="shared" si="25"/>
        <v>12.75</v>
      </c>
      <c r="I167" s="7" cm="1">
        <f t="array" ref="I167">CurrentCapacity(K$9,K$5,K$6,H167)</f>
        <v>273.85789464000004</v>
      </c>
      <c r="J167" s="48">
        <f t="shared" si="26"/>
        <v>0.39218118967230614</v>
      </c>
      <c r="K167" s="5" cm="1">
        <f t="array" ref="K167">UseableCapacity(I167,$K$7,$K$8)</f>
        <v>205.39342098000003</v>
      </c>
      <c r="L167" s="59">
        <f t="shared" si="27"/>
        <v>166.45597971893176</v>
      </c>
      <c r="M167" s="7">
        <f t="shared" si="28"/>
        <v>97.991506058931748</v>
      </c>
      <c r="N167" s="7">
        <f t="shared" si="29"/>
        <v>19.18210535999998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35">
      <c r="B168">
        <f t="shared" si="23"/>
        <v>154</v>
      </c>
      <c r="C168" s="7">
        <f t="shared" si="24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59" cm="1">
        <f t="array" ref="F168">estimatedTripDuration(C168,$C$7,$C$6)/60</f>
        <v>5.2600000006622745</v>
      </c>
      <c r="G168">
        <f t="shared" si="30"/>
        <v>154</v>
      </c>
      <c r="H168" s="50">
        <f t="shared" si="25"/>
        <v>12.833333333333334</v>
      </c>
      <c r="I168" s="7" cm="1">
        <f t="array" ref="I168">CurrentCapacity(K$9,K$5,K$6,H168)</f>
        <v>273.85701552000006</v>
      </c>
      <c r="J168" s="48">
        <f t="shared" si="26"/>
        <v>0.39237878875233967</v>
      </c>
      <c r="K168" s="5" cm="1">
        <f t="array" ref="K168">UseableCapacity(I168,$K$7,$K$8)</f>
        <v>205.39276164000006</v>
      </c>
      <c r="L168" s="59">
        <f t="shared" si="27"/>
        <v>166.40133147893175</v>
      </c>
      <c r="M168" s="7">
        <f t="shared" si="28"/>
        <v>97.937077598931751</v>
      </c>
      <c r="N168" s="7">
        <f t="shared" si="29"/>
        <v>19.182984479999959</v>
      </c>
      <c r="O168" t="str">
        <f t="shared" si="31"/>
        <v>no</v>
      </c>
      <c r="P168" t="str">
        <f t="shared" si="32"/>
        <v>no</v>
      </c>
    </row>
    <row r="169" spans="2:16" x14ac:dyDescent="0.35">
      <c r="B169">
        <f t="shared" si="23"/>
        <v>155</v>
      </c>
      <c r="C169" s="7">
        <f t="shared" si="24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59" cm="1">
        <f t="array" ref="F169">estimatedTripDuration(C169,$C$7,$C$6)/60</f>
        <v>5.2933333339956077</v>
      </c>
      <c r="G169">
        <f t="shared" si="30"/>
        <v>155</v>
      </c>
      <c r="H169" s="50">
        <f t="shared" si="25"/>
        <v>12.916666666666666</v>
      </c>
      <c r="I169" s="7" cm="1">
        <f t="array" ref="I169">CurrentCapacity(K$9,K$5,K$6,H169)</f>
        <v>273.85613640000003</v>
      </c>
      <c r="J169" s="48">
        <f t="shared" si="26"/>
        <v>0.39257638910101961</v>
      </c>
      <c r="K169" s="5" cm="1">
        <f t="array" ref="K169">UseableCapacity(I169,$K$7,$K$8)</f>
        <v>205.39210230000003</v>
      </c>
      <c r="L169" s="59">
        <f t="shared" si="27"/>
        <v>166.34668323893172</v>
      </c>
      <c r="M169" s="7">
        <f t="shared" si="28"/>
        <v>97.882649138931725</v>
      </c>
      <c r="N169" s="7">
        <f t="shared" si="29"/>
        <v>19.183863599999995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3"/>
        <v>156</v>
      </c>
      <c r="C170" s="7">
        <f t="shared" si="24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59" cm="1">
        <f t="array" ref="F170">estimatedTripDuration(C170,$C$7,$C$6)/60</f>
        <v>5.3266666673289409</v>
      </c>
      <c r="G170">
        <f t="shared" si="30"/>
        <v>156</v>
      </c>
      <c r="H170" s="50">
        <f t="shared" si="25"/>
        <v>13</v>
      </c>
      <c r="I170" s="7" cm="1">
        <f t="array" ref="I170">CurrentCapacity(K$9,K$5,K$6,H170)</f>
        <v>273.85525728000005</v>
      </c>
      <c r="J170" s="48">
        <f t="shared" si="26"/>
        <v>0.39277399071835806</v>
      </c>
      <c r="K170" s="5" cm="1">
        <f t="array" ref="K170">UseableCapacity(I170,$K$7,$K$8)</f>
        <v>205.39144296000003</v>
      </c>
      <c r="L170" s="59">
        <f t="shared" si="27"/>
        <v>166.29203499893174</v>
      </c>
      <c r="M170" s="7">
        <f t="shared" si="28"/>
        <v>97.828220678931743</v>
      </c>
      <c r="N170" s="7">
        <f t="shared" si="29"/>
        <v>19.184742719999974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3"/>
        <v>157</v>
      </c>
      <c r="C171" s="7">
        <f t="shared" si="24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59" cm="1">
        <f t="array" ref="F171">estimatedTripDuration(C171,$C$7,$C$6)/60</f>
        <v>5.3600000006622741</v>
      </c>
      <c r="G171">
        <f t="shared" si="30"/>
        <v>157</v>
      </c>
      <c r="H171" s="50">
        <f t="shared" si="25"/>
        <v>13.083333333333334</v>
      </c>
      <c r="I171" s="7" cm="1">
        <f t="array" ref="I171">CurrentCapacity(K$9,K$5,K$6,H171)</f>
        <v>273.85437816000001</v>
      </c>
      <c r="J171" s="48">
        <f t="shared" si="26"/>
        <v>0.39297159360436751</v>
      </c>
      <c r="K171" s="5" cm="1">
        <f t="array" ref="K171">UseableCapacity(I171,$K$7,$K$8)</f>
        <v>205.39078362000001</v>
      </c>
      <c r="L171" s="59">
        <f t="shared" si="27"/>
        <v>166.23738675893171</v>
      </c>
      <c r="M171" s="7">
        <f t="shared" si="28"/>
        <v>97.773792218931703</v>
      </c>
      <c r="N171" s="7">
        <f t="shared" si="29"/>
        <v>19.18562184000001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3"/>
        <v>158</v>
      </c>
      <c r="C172" s="7">
        <f t="shared" si="24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59" cm="1">
        <f t="array" ref="F172">estimatedTripDuration(C172,$C$7,$C$6)/60</f>
        <v>5.3933333339956082</v>
      </c>
      <c r="G172">
        <f t="shared" si="30"/>
        <v>158</v>
      </c>
      <c r="H172" s="50">
        <f t="shared" si="25"/>
        <v>13.166666666666666</v>
      </c>
      <c r="I172" s="7" cm="1">
        <f t="array" ref="I172">CurrentCapacity(K$9,K$5,K$6,H172)</f>
        <v>273.85349904000003</v>
      </c>
      <c r="J172" s="48">
        <f t="shared" si="26"/>
        <v>0.39316919775905995</v>
      </c>
      <c r="K172" s="5" cm="1">
        <f t="array" ref="K172">UseableCapacity(I172,$K$7,$K$8)</f>
        <v>205.39012428000001</v>
      </c>
      <c r="L172" s="59">
        <f t="shared" si="27"/>
        <v>166.18273851893173</v>
      </c>
      <c r="M172" s="7">
        <f t="shared" si="28"/>
        <v>97.719363758931706</v>
      </c>
      <c r="N172" s="7">
        <f t="shared" si="29"/>
        <v>19.186500959999989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3"/>
        <v>159</v>
      </c>
      <c r="C173" s="7">
        <f t="shared" si="24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59" cm="1">
        <f t="array" ref="F173">estimatedTripDuration(C173,$C$7,$C$6)/60</f>
        <v>5.4266666673289414</v>
      </c>
      <c r="G173">
        <f t="shared" si="30"/>
        <v>159</v>
      </c>
      <c r="H173" s="50">
        <f t="shared" si="25"/>
        <v>13.25</v>
      </c>
      <c r="I173" s="7" cm="1">
        <f t="array" ref="I173">CurrentCapacity(K$9,K$5,K$6,H173)</f>
        <v>273.85261992000005</v>
      </c>
      <c r="J173" s="48">
        <f t="shared" si="26"/>
        <v>0.3933668031824476</v>
      </c>
      <c r="K173" s="5" cm="1">
        <f t="array" ref="K173">UseableCapacity(I173,$K$7,$K$8)</f>
        <v>205.38946494000004</v>
      </c>
      <c r="L173" s="59">
        <f t="shared" si="27"/>
        <v>166.12809027893178</v>
      </c>
      <c r="M173" s="7">
        <f t="shared" si="28"/>
        <v>97.664935298931752</v>
      </c>
      <c r="N173" s="7">
        <f t="shared" si="29"/>
        <v>19.187380079999969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3"/>
        <v>160</v>
      </c>
      <c r="C174" s="7">
        <f t="shared" si="24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59" cm="1">
        <f t="array" ref="F174">estimatedTripDuration(C174,$C$7,$C$6)/60</f>
        <v>5.4600000006622746</v>
      </c>
      <c r="G174">
        <f t="shared" si="30"/>
        <v>160</v>
      </c>
      <c r="H174" s="50">
        <f t="shared" si="25"/>
        <v>13.333333333333334</v>
      </c>
      <c r="I174" s="7" cm="1">
        <f t="array" ref="I174">CurrentCapacity(K$9,K$5,K$6,H174)</f>
        <v>273.85174080000002</v>
      </c>
      <c r="J174" s="48">
        <f t="shared" si="26"/>
        <v>0.39356440987454289</v>
      </c>
      <c r="K174" s="5" cm="1">
        <f t="array" ref="K174">UseableCapacity(I174,$K$7,$K$8)</f>
        <v>205.38880560000001</v>
      </c>
      <c r="L174" s="59">
        <f t="shared" si="27"/>
        <v>166.07344203893172</v>
      </c>
      <c r="M174" s="7">
        <f t="shared" si="28"/>
        <v>97.610506838931727</v>
      </c>
      <c r="N174" s="7">
        <f t="shared" si="29"/>
        <v>19.188259200000005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3"/>
        <v>161</v>
      </c>
      <c r="C175" s="7">
        <f t="shared" si="24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59" cm="1">
        <f t="array" ref="F175">estimatedTripDuration(C175,$C$7,$C$6)/60</f>
        <v>5.4933333339956079</v>
      </c>
      <c r="G175">
        <f t="shared" si="30"/>
        <v>161</v>
      </c>
      <c r="H175" s="50">
        <f t="shared" si="25"/>
        <v>13.416666666666666</v>
      </c>
      <c r="I175" s="7" cm="1">
        <f t="array" ref="I175">CurrentCapacity(K$9,K$5,K$6,H175)</f>
        <v>273.85086168000004</v>
      </c>
      <c r="J175" s="48">
        <f t="shared" si="26"/>
        <v>0.3937620178353578</v>
      </c>
      <c r="K175" s="5" cm="1">
        <f t="array" ref="K175">UseableCapacity(I175,$K$7,$K$8)</f>
        <v>205.38814626000004</v>
      </c>
      <c r="L175" s="59">
        <f t="shared" si="27"/>
        <v>166.01879379893177</v>
      </c>
      <c r="M175" s="7">
        <f t="shared" si="28"/>
        <v>97.556078378931758</v>
      </c>
      <c r="N175" s="7">
        <f t="shared" si="29"/>
        <v>19.189138319999984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3"/>
        <v>162</v>
      </c>
      <c r="C176" s="7">
        <f t="shared" si="24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59" cm="1">
        <f t="array" ref="F176">estimatedTripDuration(C176,$C$7,$C$6)/60</f>
        <v>5.5266666673289411</v>
      </c>
      <c r="G176">
        <f t="shared" si="30"/>
        <v>162</v>
      </c>
      <c r="H176" s="50">
        <f t="shared" si="25"/>
        <v>13.5</v>
      </c>
      <c r="I176" s="7" cm="1">
        <f t="array" ref="I176">CurrentCapacity(K$9,K$5,K$6,H176)</f>
        <v>273.84998256000006</v>
      </c>
      <c r="J176" s="48">
        <f t="shared" si="26"/>
        <v>0.39395962706490478</v>
      </c>
      <c r="K176" s="5" cm="1">
        <f t="array" ref="K176">UseableCapacity(I176,$K$7,$K$8)</f>
        <v>205.38748692000004</v>
      </c>
      <c r="L176" s="59">
        <f t="shared" si="27"/>
        <v>165.96414555893176</v>
      </c>
      <c r="M176" s="7">
        <f t="shared" si="28"/>
        <v>97.501649918931747</v>
      </c>
      <c r="N176" s="7">
        <f t="shared" si="29"/>
        <v>19.190017439999963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3"/>
        <v>163</v>
      </c>
      <c r="C177" s="7">
        <f t="shared" si="24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59" cm="1">
        <f t="array" ref="F177">estimatedTripDuration(C177,$C$7,$C$6)/60</f>
        <v>5.5600000006622743</v>
      </c>
      <c r="G177">
        <f t="shared" si="30"/>
        <v>163</v>
      </c>
      <c r="H177" s="50">
        <f t="shared" si="25"/>
        <v>13.583333333333334</v>
      </c>
      <c r="I177" s="7" cm="1">
        <f t="array" ref="I177">CurrentCapacity(K$9,K$5,K$6,H177)</f>
        <v>273.84910344000002</v>
      </c>
      <c r="J177" s="48">
        <f t="shared" si="26"/>
        <v>0.39415723756319587</v>
      </c>
      <c r="K177" s="5" cm="1">
        <f t="array" ref="K177">UseableCapacity(I177,$K$7,$K$8)</f>
        <v>205.38682758000002</v>
      </c>
      <c r="L177" s="59">
        <f t="shared" si="27"/>
        <v>165.90949731893173</v>
      </c>
      <c r="M177" s="7">
        <f t="shared" si="28"/>
        <v>97.447221458931722</v>
      </c>
      <c r="N177" s="7">
        <f t="shared" si="29"/>
        <v>19.190896559999999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3"/>
        <v>164</v>
      </c>
      <c r="C178" s="7">
        <f t="shared" si="24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59" cm="1">
        <f t="array" ref="F178">estimatedTripDuration(C178,$C$7,$C$6)/60</f>
        <v>5.5933333339956075</v>
      </c>
      <c r="G178">
        <f t="shared" si="30"/>
        <v>164</v>
      </c>
      <c r="H178" s="50">
        <f t="shared" si="25"/>
        <v>13.666666666666666</v>
      </c>
      <c r="I178" s="7" cm="1">
        <f t="array" ref="I178">CurrentCapacity(K$9,K$5,K$6,H178)</f>
        <v>273.84822432000004</v>
      </c>
      <c r="J178" s="48">
        <f t="shared" si="26"/>
        <v>0.3943548493302434</v>
      </c>
      <c r="K178" s="5" cm="1">
        <f t="array" ref="K178">UseableCapacity(I178,$K$7,$K$8)</f>
        <v>205.38616824000002</v>
      </c>
      <c r="L178" s="59">
        <f t="shared" si="27"/>
        <v>165.85484907893175</v>
      </c>
      <c r="M178" s="7">
        <f t="shared" si="28"/>
        <v>97.392792998931711</v>
      </c>
      <c r="N178" s="7">
        <f t="shared" si="29"/>
        <v>19.191775679999978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3"/>
        <v>165</v>
      </c>
      <c r="C179" s="7">
        <f t="shared" si="24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59" cm="1">
        <f t="array" ref="F179">estimatedTripDuration(C179,$C$7,$C$6)/60</f>
        <v>5.6266666673289416</v>
      </c>
      <c r="G179">
        <f t="shared" si="30"/>
        <v>165</v>
      </c>
      <c r="H179" s="50">
        <f t="shared" si="25"/>
        <v>13.75</v>
      </c>
      <c r="I179" s="7" cm="1">
        <f t="array" ref="I179">CurrentCapacity(K$9,K$5,K$6,H179)</f>
        <v>273.84734520000001</v>
      </c>
      <c r="J179" s="48">
        <f t="shared" si="26"/>
        <v>0.39455246236605945</v>
      </c>
      <c r="K179" s="5" cm="1">
        <f t="array" ref="K179">UseableCapacity(I179,$K$7,$K$8)</f>
        <v>205.38550889999999</v>
      </c>
      <c r="L179" s="59">
        <f t="shared" si="27"/>
        <v>165.80020083893172</v>
      </c>
      <c r="M179" s="7">
        <f t="shared" si="28"/>
        <v>97.3383645389317</v>
      </c>
      <c r="N179" s="7">
        <f t="shared" si="29"/>
        <v>19.192654800000014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3"/>
        <v>166</v>
      </c>
      <c r="C180" s="7">
        <f t="shared" si="24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59" cm="1">
        <f t="array" ref="F180">estimatedTripDuration(C180,$C$7,$C$6)/60</f>
        <v>5.6600000006622748</v>
      </c>
      <c r="G180">
        <f t="shared" si="30"/>
        <v>166</v>
      </c>
      <c r="H180" s="50">
        <f t="shared" si="25"/>
        <v>13.833333333333334</v>
      </c>
      <c r="I180" s="7" cm="1">
        <f t="array" ref="I180">CurrentCapacity(K$9,K$5,K$6,H180)</f>
        <v>273.84646608000003</v>
      </c>
      <c r="J180" s="48">
        <f t="shared" si="26"/>
        <v>0.39475007667065631</v>
      </c>
      <c r="K180" s="5" cm="1">
        <f t="array" ref="K180">UseableCapacity(I180,$K$7,$K$8)</f>
        <v>205.38484956000002</v>
      </c>
      <c r="L180" s="59">
        <f t="shared" si="27"/>
        <v>165.74555259893174</v>
      </c>
      <c r="M180" s="7">
        <f t="shared" si="28"/>
        <v>97.283936078931731</v>
      </c>
      <c r="N180" s="7">
        <f t="shared" si="29"/>
        <v>19.193533919999993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3"/>
        <v>167</v>
      </c>
      <c r="C181" s="7">
        <f t="shared" si="24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59" cm="1">
        <f t="array" ref="F181">estimatedTripDuration(C181,$C$7,$C$6)/60</f>
        <v>5.693333333995608</v>
      </c>
      <c r="G181">
        <f t="shared" si="30"/>
        <v>167</v>
      </c>
      <c r="H181" s="50">
        <f t="shared" si="25"/>
        <v>13.916666666666666</v>
      </c>
      <c r="I181" s="7" cm="1">
        <f t="array" ref="I181">CurrentCapacity(K$9,K$5,K$6,H181)</f>
        <v>273.84558696000005</v>
      </c>
      <c r="J181" s="48">
        <f t="shared" si="26"/>
        <v>0.39494769224404624</v>
      </c>
      <c r="K181" s="5" cm="1">
        <f t="array" ref="K181">UseableCapacity(I181,$K$7,$K$8)</f>
        <v>205.38419022000005</v>
      </c>
      <c r="L181" s="59">
        <f t="shared" si="27"/>
        <v>165.69090435893173</v>
      </c>
      <c r="M181" s="7">
        <f t="shared" si="28"/>
        <v>97.229507618931748</v>
      </c>
      <c r="N181" s="7">
        <f t="shared" si="29"/>
        <v>19.194413039999972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3"/>
        <v>168</v>
      </c>
      <c r="C182" s="7">
        <f t="shared" si="24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59" cm="1">
        <f t="array" ref="F182">estimatedTripDuration(C182,$C$7,$C$6)/60</f>
        <v>5.7266666673289413</v>
      </c>
      <c r="G182">
        <f t="shared" si="30"/>
        <v>168</v>
      </c>
      <c r="H182" s="50">
        <f t="shared" si="25"/>
        <v>14</v>
      </c>
      <c r="I182" s="7" cm="1">
        <f t="array" ref="I182">CurrentCapacity(K$9,K$5,K$6,H182)</f>
        <v>273.84470784000007</v>
      </c>
      <c r="J182" s="48">
        <f t="shared" si="26"/>
        <v>0.39514530908624135</v>
      </c>
      <c r="K182" s="5" cm="1">
        <f t="array" ref="K182">UseableCapacity(I182,$K$7,$K$8)</f>
        <v>205.38353088000005</v>
      </c>
      <c r="L182" s="59">
        <f t="shared" si="27"/>
        <v>165.63625611893178</v>
      </c>
      <c r="M182" s="7">
        <f t="shared" si="28"/>
        <v>97.175079158931766</v>
      </c>
      <c r="N182" s="7">
        <f t="shared" si="29"/>
        <v>19.195292159999951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3"/>
        <v>169</v>
      </c>
      <c r="C183" s="7">
        <f t="shared" si="24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59" cm="1">
        <f t="array" ref="F183">estimatedTripDuration(C183,$C$7,$C$6)/60</f>
        <v>5.7600000006622745</v>
      </c>
      <c r="G183">
        <f t="shared" si="30"/>
        <v>169</v>
      </c>
      <c r="H183" s="50">
        <f t="shared" si="25"/>
        <v>14.083333333333334</v>
      </c>
      <c r="I183" s="7" cm="1">
        <f t="array" ref="I183">CurrentCapacity(K$9,K$5,K$6,H183)</f>
        <v>273.84382872000003</v>
      </c>
      <c r="J183" s="48">
        <f t="shared" si="26"/>
        <v>0.39534292719725417</v>
      </c>
      <c r="K183" s="5" cm="1">
        <f t="array" ref="K183">UseableCapacity(I183,$K$7,$K$8)</f>
        <v>205.38287154000002</v>
      </c>
      <c r="L183" s="59">
        <f t="shared" si="27"/>
        <v>165.58160787893172</v>
      </c>
      <c r="M183" s="7">
        <f t="shared" si="28"/>
        <v>97.120650698931712</v>
      </c>
      <c r="N183" s="7">
        <f t="shared" si="29"/>
        <v>19.196171279999987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3"/>
        <v>170</v>
      </c>
      <c r="C184" s="7">
        <f t="shared" si="24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59" cm="1">
        <f t="array" ref="F184">estimatedTripDuration(C184,$C$7,$C$6)/60</f>
        <v>5.7933333339956077</v>
      </c>
      <c r="G184">
        <f t="shared" si="30"/>
        <v>170</v>
      </c>
      <c r="H184" s="50">
        <f t="shared" si="25"/>
        <v>14.166666666666666</v>
      </c>
      <c r="I184" s="7" cm="1">
        <f t="array" ref="I184">CurrentCapacity(K$9,K$5,K$6,H184)</f>
        <v>273.84294960000005</v>
      </c>
      <c r="J184" s="48">
        <f t="shared" si="26"/>
        <v>0.39554054657709647</v>
      </c>
      <c r="K184" s="5" cm="1">
        <f t="array" ref="K184">UseableCapacity(I184,$K$7,$K$8)</f>
        <v>205.38221220000003</v>
      </c>
      <c r="L184" s="59">
        <f t="shared" si="27"/>
        <v>165.52695963893177</v>
      </c>
      <c r="M184" s="7">
        <f t="shared" si="28"/>
        <v>97.066222238931729</v>
      </c>
      <c r="N184" s="7">
        <f t="shared" si="29"/>
        <v>19.197050399999966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3"/>
        <v>171</v>
      </c>
      <c r="C185" s="7">
        <f t="shared" si="24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59" cm="1">
        <f t="array" ref="F185">estimatedTripDuration(C185,$C$7,$C$6)/60</f>
        <v>5.8266666673289409</v>
      </c>
      <c r="G185">
        <f t="shared" si="30"/>
        <v>171</v>
      </c>
      <c r="H185" s="50">
        <f t="shared" si="25"/>
        <v>14.25</v>
      </c>
      <c r="I185" s="7" cm="1">
        <f t="array" ref="I185">CurrentCapacity(K$9,K$5,K$6,H185)</f>
        <v>273.84207048000002</v>
      </c>
      <c r="J185" s="48">
        <f t="shared" si="26"/>
        <v>0.39573816722578081</v>
      </c>
      <c r="K185" s="5" cm="1">
        <f t="array" ref="K185">UseableCapacity(I185,$K$7,$K$8)</f>
        <v>205.38155286</v>
      </c>
      <c r="L185" s="59">
        <f t="shared" si="27"/>
        <v>165.47231139893171</v>
      </c>
      <c r="M185" s="7">
        <f t="shared" si="28"/>
        <v>97.011793778931704</v>
      </c>
      <c r="N185" s="7">
        <f t="shared" si="29"/>
        <v>19.197929520000002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3"/>
        <v>172</v>
      </c>
      <c r="C186" s="7">
        <f t="shared" si="24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59" cm="1">
        <f t="array" ref="F186">estimatedTripDuration(C186,$C$7,$C$6)/60</f>
        <v>5.8600000006622741</v>
      </c>
      <c r="G186">
        <f t="shared" si="30"/>
        <v>172</v>
      </c>
      <c r="H186" s="50">
        <f t="shared" si="25"/>
        <v>14.333333333333334</v>
      </c>
      <c r="I186" s="7" cm="1">
        <f t="array" ref="I186">CurrentCapacity(K$9,K$5,K$6,H186)</f>
        <v>273.84119136000004</v>
      </c>
      <c r="J186" s="48">
        <f t="shared" si="26"/>
        <v>0.39593578914331917</v>
      </c>
      <c r="K186" s="5" cm="1">
        <f t="array" ref="K186">UseableCapacity(I186,$K$7,$K$8)</f>
        <v>205.38089352000003</v>
      </c>
      <c r="L186" s="59">
        <f t="shared" si="27"/>
        <v>165.41766315893176</v>
      </c>
      <c r="M186" s="7">
        <f t="shared" si="28"/>
        <v>96.957365318931735</v>
      </c>
      <c r="N186" s="7">
        <f t="shared" si="29"/>
        <v>19.198808639999982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3"/>
        <v>173</v>
      </c>
      <c r="C187" s="7">
        <f t="shared" si="24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59" cm="1">
        <f t="array" ref="F187">estimatedTripDuration(C187,$C$7,$C$6)/60</f>
        <v>5.8933333339956082</v>
      </c>
      <c r="G187">
        <f t="shared" si="30"/>
        <v>173</v>
      </c>
      <c r="H187" s="50">
        <f t="shared" si="25"/>
        <v>14.416666666666666</v>
      </c>
      <c r="I187" s="7" cm="1">
        <f t="array" ref="I187">CurrentCapacity(K$9,K$5,K$6,H187)</f>
        <v>273.84031224</v>
      </c>
      <c r="J187" s="48">
        <f t="shared" si="26"/>
        <v>0.39613341232972404</v>
      </c>
      <c r="K187" s="5" cm="1">
        <f t="array" ref="K187">UseableCapacity(I187,$K$7,$K$8)</f>
        <v>205.38023418</v>
      </c>
      <c r="L187" s="59">
        <f t="shared" si="27"/>
        <v>165.3630149189317</v>
      </c>
      <c r="M187" s="7">
        <f t="shared" si="28"/>
        <v>96.90293685893171</v>
      </c>
      <c r="N187" s="7">
        <f t="shared" si="29"/>
        <v>19.199687760000018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3"/>
        <v>174</v>
      </c>
      <c r="C188" s="7">
        <f t="shared" si="24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59" cm="1">
        <f t="array" ref="F188">estimatedTripDuration(C188,$C$7,$C$6)/60</f>
        <v>5.9266666673289414</v>
      </c>
      <c r="G188">
        <f t="shared" ref="G188:G200" si="33">B188</f>
        <v>174</v>
      </c>
      <c r="H188" s="50">
        <f t="shared" si="25"/>
        <v>14.5</v>
      </c>
      <c r="I188" s="7" cm="1">
        <f t="array" ref="I188">CurrentCapacity(K$9,K$5,K$6,H188)</f>
        <v>273.83943312000002</v>
      </c>
      <c r="J188" s="48">
        <f t="shared" si="26"/>
        <v>0.39633103678500736</v>
      </c>
      <c r="K188" s="5" cm="1">
        <f t="array" ref="K188">UseableCapacity(I188,$K$7,$K$8)</f>
        <v>205.37957484000003</v>
      </c>
      <c r="L188" s="59">
        <f t="shared" si="27"/>
        <v>165.30836667893175</v>
      </c>
      <c r="M188" s="7">
        <f t="shared" si="28"/>
        <v>96.848508398931742</v>
      </c>
      <c r="N188" s="7">
        <f t="shared" si="29"/>
        <v>19.200566879999997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35">
      <c r="B189">
        <f t="shared" si="23"/>
        <v>175</v>
      </c>
      <c r="C189" s="7">
        <f t="shared" si="24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59" cm="1">
        <f t="array" ref="F189">estimatedTripDuration(C189,$C$7,$C$6)/60</f>
        <v>5.9600000006622746</v>
      </c>
      <c r="G189">
        <f t="shared" si="33"/>
        <v>175</v>
      </c>
      <c r="H189" s="50">
        <f t="shared" si="25"/>
        <v>14.583333333333334</v>
      </c>
      <c r="I189" s="7" cm="1">
        <f t="array" ref="I189">CurrentCapacity(K$9,K$5,K$6,H189)</f>
        <v>273.83855400000004</v>
      </c>
      <c r="J189" s="48">
        <f t="shared" si="26"/>
        <v>0.39652866250918151</v>
      </c>
      <c r="K189" s="5" cm="1">
        <f t="array" ref="K189">UseableCapacity(I189,$K$7,$K$8)</f>
        <v>205.37891550000003</v>
      </c>
      <c r="L189" s="59">
        <f t="shared" si="27"/>
        <v>165.25371843893174</v>
      </c>
      <c r="M189" s="7">
        <f t="shared" si="28"/>
        <v>96.794079938931745</v>
      </c>
      <c r="N189" s="7">
        <f t="shared" si="29"/>
        <v>19.201445999999976</v>
      </c>
      <c r="O189" t="str">
        <f t="shared" si="34"/>
        <v>no</v>
      </c>
      <c r="P189" t="str">
        <f t="shared" si="35"/>
        <v>no</v>
      </c>
    </row>
    <row r="190" spans="2:16" x14ac:dyDescent="0.35">
      <c r="B190">
        <f t="shared" si="23"/>
        <v>176</v>
      </c>
      <c r="C190" s="7">
        <f t="shared" si="24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59" cm="1">
        <f t="array" ref="F190">estimatedTripDuration(C190,$C$7,$C$6)/60</f>
        <v>5.9933333339956079</v>
      </c>
      <c r="G190">
        <f t="shared" si="33"/>
        <v>176</v>
      </c>
      <c r="H190" s="50">
        <f t="shared" si="25"/>
        <v>14.666666666666666</v>
      </c>
      <c r="I190" s="7" cm="1">
        <f t="array" ref="I190">CurrentCapacity(K$9,K$5,K$6,H190)</f>
        <v>273.83767488000007</v>
      </c>
      <c r="J190" s="48">
        <f t="shared" si="26"/>
        <v>0.39672628950225863</v>
      </c>
      <c r="K190" s="5" cm="1">
        <f t="array" ref="K190">UseableCapacity(I190,$K$7,$K$8)</f>
        <v>205.37825616000003</v>
      </c>
      <c r="L190" s="59">
        <f t="shared" si="27"/>
        <v>165.19907019893179</v>
      </c>
      <c r="M190" s="7">
        <f t="shared" si="28"/>
        <v>96.739651478931748</v>
      </c>
      <c r="N190" s="7">
        <f t="shared" si="29"/>
        <v>19.202325119999955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3"/>
        <v>177</v>
      </c>
      <c r="C191" s="7">
        <f t="shared" si="24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59" cm="1">
        <f t="array" ref="F191">estimatedTripDuration(C191,$C$7,$C$6)/60</f>
        <v>6.0266666673289411</v>
      </c>
      <c r="G191">
        <f t="shared" si="33"/>
        <v>177</v>
      </c>
      <c r="H191" s="50">
        <f t="shared" si="25"/>
        <v>14.75</v>
      </c>
      <c r="I191" s="7" cm="1">
        <f t="array" ref="I191">CurrentCapacity(K$9,K$5,K$6,H191)</f>
        <v>273.83679576000003</v>
      </c>
      <c r="J191" s="48">
        <f t="shared" si="26"/>
        <v>0.39692391776425112</v>
      </c>
      <c r="K191" s="5" cm="1">
        <f t="array" ref="K191">UseableCapacity(I191,$K$7,$K$8)</f>
        <v>205.37759682000001</v>
      </c>
      <c r="L191" s="59">
        <f t="shared" si="27"/>
        <v>165.14442195893173</v>
      </c>
      <c r="M191" s="7">
        <f t="shared" si="28"/>
        <v>96.685223018931723</v>
      </c>
      <c r="N191" s="7">
        <f t="shared" si="29"/>
        <v>19.203204239999991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3"/>
        <v>178</v>
      </c>
      <c r="C192" s="7">
        <f t="shared" si="24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59" cm="1">
        <f t="array" ref="F192">estimatedTripDuration(C192,$C$7,$C$6)/60</f>
        <v>6.0600000006622743</v>
      </c>
      <c r="G192">
        <f t="shared" si="33"/>
        <v>178</v>
      </c>
      <c r="H192" s="50">
        <f t="shared" si="25"/>
        <v>14.833333333333334</v>
      </c>
      <c r="I192" s="7" cm="1">
        <f t="array" ref="I192">CurrentCapacity(K$9,K$5,K$6,H192)</f>
        <v>273.83591664000005</v>
      </c>
      <c r="J192" s="48">
        <f t="shared" si="26"/>
        <v>0.39712154729517102</v>
      </c>
      <c r="K192" s="5" cm="1">
        <f t="array" ref="K192">UseableCapacity(I192,$K$7,$K$8)</f>
        <v>205.37693748000004</v>
      </c>
      <c r="L192" s="59">
        <f t="shared" si="27"/>
        <v>165.08977371893178</v>
      </c>
      <c r="M192" s="7">
        <f t="shared" si="28"/>
        <v>96.630794558931754</v>
      </c>
      <c r="N192" s="7">
        <f t="shared" si="29"/>
        <v>19.20408335999997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3"/>
        <v>179</v>
      </c>
      <c r="C193" s="7">
        <f t="shared" si="24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59" cm="1">
        <f t="array" ref="F193">estimatedTripDuration(C193,$C$7,$C$6)/60</f>
        <v>6.0933333339956075</v>
      </c>
      <c r="G193">
        <f t="shared" si="33"/>
        <v>179</v>
      </c>
      <c r="H193" s="50">
        <f t="shared" si="25"/>
        <v>14.916666666666666</v>
      </c>
      <c r="I193" s="7" cm="1">
        <f t="array" ref="I193">CurrentCapacity(K$9,K$5,K$6,H193)</f>
        <v>273.83503752000001</v>
      </c>
      <c r="J193" s="48">
        <f t="shared" si="26"/>
        <v>0.39731917809503076</v>
      </c>
      <c r="K193" s="5" cm="1">
        <f t="array" ref="K193">UseableCapacity(I193,$K$7,$K$8)</f>
        <v>205.37627814000001</v>
      </c>
      <c r="L193" s="59">
        <f t="shared" si="27"/>
        <v>165.03512547893172</v>
      </c>
      <c r="M193" s="7">
        <f t="shared" si="28"/>
        <v>96.5763660989317</v>
      </c>
      <c r="N193" s="7">
        <f t="shared" si="29"/>
        <v>19.204962480000006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3"/>
        <v>180</v>
      </c>
      <c r="C194" s="7">
        <f t="shared" si="24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59" cm="1">
        <f t="array" ref="F194">estimatedTripDuration(C194,$C$7,$C$6)/60</f>
        <v>6.1266666673289416</v>
      </c>
      <c r="G194">
        <f t="shared" si="33"/>
        <v>180</v>
      </c>
      <c r="H194" s="50">
        <f t="shared" si="25"/>
        <v>15</v>
      </c>
      <c r="I194" s="7" cm="1">
        <f t="array" ref="I194">CurrentCapacity(K$9,K$5,K$6,H194)</f>
        <v>273.83415840000004</v>
      </c>
      <c r="J194" s="48">
        <f t="shared" si="26"/>
        <v>0.39751681016384216</v>
      </c>
      <c r="K194" s="5" cm="1">
        <f t="array" ref="K194">UseableCapacity(I194,$K$7,$K$8)</f>
        <v>205.37561880000004</v>
      </c>
      <c r="L194" s="59">
        <f t="shared" si="27"/>
        <v>164.98047723893174</v>
      </c>
      <c r="M194" s="7">
        <f t="shared" si="28"/>
        <v>96.521937638931746</v>
      </c>
      <c r="N194" s="7">
        <f t="shared" si="29"/>
        <v>19.205841599999985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3"/>
        <v>181</v>
      </c>
      <c r="C195" s="7">
        <f t="shared" si="24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59" cm="1">
        <f t="array" ref="F195">estimatedTripDuration(C195,$C$7,$C$6)/60</f>
        <v>6.1600000006622748</v>
      </c>
      <c r="G195">
        <f t="shared" si="33"/>
        <v>181</v>
      </c>
      <c r="H195" s="50">
        <f t="shared" si="25"/>
        <v>15.083333333333334</v>
      </c>
      <c r="I195" s="7" cm="1">
        <f t="array" ref="I195">CurrentCapacity(K$9,K$5,K$6,H195)</f>
        <v>273.83327928000006</v>
      </c>
      <c r="J195" s="48">
        <f t="shared" si="26"/>
        <v>0.39771444350161772</v>
      </c>
      <c r="K195" s="5" cm="1">
        <f t="array" ref="K195">UseableCapacity(I195,$K$7,$K$8)</f>
        <v>205.37495946000004</v>
      </c>
      <c r="L195" s="59">
        <f t="shared" si="27"/>
        <v>164.92582899893176</v>
      </c>
      <c r="M195" s="7">
        <f t="shared" si="28"/>
        <v>96.467509178931749</v>
      </c>
      <c r="N195" s="7">
        <f t="shared" si="29"/>
        <v>19.206720719999964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3"/>
        <v>182</v>
      </c>
      <c r="C196" s="7">
        <f t="shared" si="24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59" cm="1">
        <f t="array" ref="F196">estimatedTripDuration(C196,$C$7,$C$6)/60</f>
        <v>6.193333333995608</v>
      </c>
      <c r="G196">
        <f t="shared" si="33"/>
        <v>182</v>
      </c>
      <c r="H196" s="50">
        <f t="shared" si="25"/>
        <v>15.166666666666666</v>
      </c>
      <c r="I196" s="7" cm="1">
        <f t="array" ref="I196">CurrentCapacity(K$9,K$5,K$6,H196)</f>
        <v>273.83240016000002</v>
      </c>
      <c r="J196" s="48">
        <f t="shared" si="26"/>
        <v>0.39791207810836982</v>
      </c>
      <c r="K196" s="5" cm="1">
        <f t="array" ref="K196">UseableCapacity(I196,$K$7,$K$8)</f>
        <v>205.37430012000002</v>
      </c>
      <c r="L196" s="59">
        <f t="shared" si="27"/>
        <v>164.8711807589317</v>
      </c>
      <c r="M196" s="7">
        <f t="shared" si="28"/>
        <v>96.41308071893171</v>
      </c>
      <c r="N196" s="7">
        <f t="shared" si="29"/>
        <v>19.20759984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3"/>
        <v>183</v>
      </c>
      <c r="C197" s="7">
        <f t="shared" si="24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59" cm="1">
        <f t="array" ref="F197">estimatedTripDuration(C197,$C$7,$C$6)/60</f>
        <v>6.2266666673289413</v>
      </c>
      <c r="G197">
        <f t="shared" si="33"/>
        <v>183</v>
      </c>
      <c r="H197" s="50">
        <f t="shared" si="25"/>
        <v>15.25</v>
      </c>
      <c r="I197" s="7" cm="1">
        <f t="array" ref="I197">CurrentCapacity(K$9,K$5,K$6,H197)</f>
        <v>273.83152104000004</v>
      </c>
      <c r="J197" s="48">
        <f t="shared" si="26"/>
        <v>0.39810971398411027</v>
      </c>
      <c r="K197" s="5" cm="1">
        <f t="array" ref="K197">UseableCapacity(I197,$K$7,$K$8)</f>
        <v>205.37364078000002</v>
      </c>
      <c r="L197" s="59">
        <f t="shared" si="27"/>
        <v>164.81653251893175</v>
      </c>
      <c r="M197" s="7">
        <f t="shared" si="28"/>
        <v>96.358652258931727</v>
      </c>
      <c r="N197" s="7">
        <f t="shared" si="29"/>
        <v>19.208478959999979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3"/>
        <v>184</v>
      </c>
      <c r="C198" s="7">
        <f t="shared" si="24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59" cm="1">
        <f t="array" ref="F198">estimatedTripDuration(C198,$C$7,$C$6)/60</f>
        <v>6.2600000006622745</v>
      </c>
      <c r="G198">
        <f t="shared" si="33"/>
        <v>184</v>
      </c>
      <c r="H198" s="50">
        <f t="shared" si="25"/>
        <v>15.333333333333334</v>
      </c>
      <c r="I198" s="7" cm="1">
        <f t="array" ref="I198">CurrentCapacity(K$9,K$5,K$6,H198)</f>
        <v>273.83064192000006</v>
      </c>
      <c r="J198" s="48">
        <f t="shared" si="26"/>
        <v>0.39830735112885163</v>
      </c>
      <c r="K198" s="5" cm="1">
        <f t="array" ref="K198">UseableCapacity(I198,$K$7,$K$8)</f>
        <v>205.37298144000005</v>
      </c>
      <c r="L198" s="59">
        <f t="shared" si="27"/>
        <v>164.76188427893175</v>
      </c>
      <c r="M198" s="7">
        <f t="shared" si="28"/>
        <v>96.304223798931744</v>
      </c>
      <c r="N198" s="7">
        <f t="shared" si="29"/>
        <v>19.209358079999959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3"/>
        <v>185</v>
      </c>
      <c r="C199" s="7">
        <f t="shared" si="24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59" cm="1">
        <f t="array" ref="F199">estimatedTripDuration(C199,$C$7,$C$6)/60</f>
        <v>6.2933333339956077</v>
      </c>
      <c r="G199">
        <f t="shared" si="33"/>
        <v>185</v>
      </c>
      <c r="H199" s="50">
        <f t="shared" si="25"/>
        <v>15.416666666666666</v>
      </c>
      <c r="I199" s="7" cm="1">
        <f t="array" ref="I199">CurrentCapacity(K$9,K$5,K$6,H199)</f>
        <v>273.82976280000003</v>
      </c>
      <c r="J199" s="48">
        <f t="shared" si="26"/>
        <v>0.39850498954260599</v>
      </c>
      <c r="K199" s="5" cm="1">
        <f t="array" ref="K199">UseableCapacity(I199,$K$7,$K$8)</f>
        <v>205.37232210000002</v>
      </c>
      <c r="L199" s="59">
        <f t="shared" si="27"/>
        <v>164.70723603893174</v>
      </c>
      <c r="M199" s="7">
        <f t="shared" si="28"/>
        <v>96.249795338931733</v>
      </c>
      <c r="N199" s="7">
        <f t="shared" si="29"/>
        <v>19.210237199999995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3"/>
        <v>186</v>
      </c>
      <c r="C200" s="7">
        <f t="shared" si="24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59" cm="1">
        <f t="array" ref="F200">estimatedTripDuration(C200,$C$7,$C$6)/60</f>
        <v>6.3266666673289409</v>
      </c>
      <c r="G200">
        <f t="shared" si="33"/>
        <v>186</v>
      </c>
      <c r="H200" s="50">
        <f t="shared" si="25"/>
        <v>15.5</v>
      </c>
      <c r="I200" s="7" cm="1">
        <f t="array" ref="I200">CurrentCapacity(K$9,K$5,K$6,H200)</f>
        <v>273.82888368000005</v>
      </c>
      <c r="J200" s="48">
        <f t="shared" si="26"/>
        <v>0.39870262922538546</v>
      </c>
      <c r="K200" s="5" cm="1">
        <f t="array" ref="K200">UseableCapacity(I200,$K$7,$K$8)</f>
        <v>205.37166276000005</v>
      </c>
      <c r="L200" s="59">
        <f t="shared" si="27"/>
        <v>164.65258779893179</v>
      </c>
      <c r="M200" s="7">
        <f t="shared" si="28"/>
        <v>96.195366878931779</v>
      </c>
      <c r="N200" s="7">
        <f t="shared" si="29"/>
        <v>19.211116319999974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3"/>
        <v>187</v>
      </c>
      <c r="C201" s="7">
        <f t="shared" si="24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59" cm="1">
        <f t="array" ref="F201">estimatedTripDuration(C201,$C$7,$C$6)/60</f>
        <v>6.3600000006622741</v>
      </c>
      <c r="G201">
        <f t="shared" ref="G201:G264" si="36">B201</f>
        <v>187</v>
      </c>
      <c r="H201" s="50">
        <f t="shared" si="25"/>
        <v>15.583333333333334</v>
      </c>
      <c r="I201" s="7" cm="1">
        <f t="array" ref="I201">CurrentCapacity(K$9,K$5,K$6,H201)</f>
        <v>273.82800456000001</v>
      </c>
      <c r="J201" s="48">
        <f t="shared" si="26"/>
        <v>0.3989002701772027</v>
      </c>
      <c r="K201" s="5" cm="1">
        <f t="array" ref="K201">UseableCapacity(I201,$K$7,$K$8)</f>
        <v>205.37100342000002</v>
      </c>
      <c r="L201" s="59">
        <f t="shared" si="27"/>
        <v>164.59793955893173</v>
      </c>
      <c r="M201" s="7">
        <f t="shared" si="28"/>
        <v>96.140938418931725</v>
      </c>
      <c r="N201" s="7">
        <f t="shared" si="29"/>
        <v>19.21199544000001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35">
      <c r="B202">
        <f t="shared" si="23"/>
        <v>188</v>
      </c>
      <c r="C202" s="7">
        <f t="shared" si="24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59" cm="1">
        <f t="array" ref="F202">estimatedTripDuration(C202,$C$7,$C$6)/60</f>
        <v>6.3933333339956082</v>
      </c>
      <c r="G202">
        <f t="shared" si="36"/>
        <v>188</v>
      </c>
      <c r="H202" s="50">
        <f t="shared" si="25"/>
        <v>15.666666666666666</v>
      </c>
      <c r="I202" s="7" cm="1">
        <f t="array" ref="I202">CurrentCapacity(K$9,K$5,K$6,H202)</f>
        <v>273.82712544000003</v>
      </c>
      <c r="J202" s="48">
        <f t="shared" si="26"/>
        <v>0.39909791239806941</v>
      </c>
      <c r="K202" s="5" cm="1">
        <f t="array" ref="K202">UseableCapacity(I202,$K$7,$K$8)</f>
        <v>205.37034408000002</v>
      </c>
      <c r="L202" s="59">
        <f t="shared" si="27"/>
        <v>164.54329131893172</v>
      </c>
      <c r="M202" s="7">
        <f t="shared" si="28"/>
        <v>96.086509958931728</v>
      </c>
      <c r="N202" s="7">
        <f t="shared" si="29"/>
        <v>19.212874559999989</v>
      </c>
      <c r="O202" t="str">
        <f t="shared" si="37"/>
        <v>no</v>
      </c>
      <c r="P202" t="str">
        <f t="shared" si="38"/>
        <v>no</v>
      </c>
    </row>
    <row r="203" spans="2:16" x14ac:dyDescent="0.35">
      <c r="B203">
        <f t="shared" si="23"/>
        <v>189</v>
      </c>
      <c r="C203" s="7">
        <f t="shared" si="24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59" cm="1">
        <f t="array" ref="F203">estimatedTripDuration(C203,$C$7,$C$6)/60</f>
        <v>6.4266666673289414</v>
      </c>
      <c r="G203">
        <f t="shared" si="36"/>
        <v>189</v>
      </c>
      <c r="H203" s="50">
        <f t="shared" si="25"/>
        <v>15.75</v>
      </c>
      <c r="I203" s="7" cm="1">
        <f t="array" ref="I203">CurrentCapacity(K$9,K$5,K$6,H203)</f>
        <v>273.82624632000005</v>
      </c>
      <c r="J203" s="48">
        <f t="shared" si="26"/>
        <v>0.39929555588799803</v>
      </c>
      <c r="K203" s="5" cm="1">
        <f t="array" ref="K203">UseableCapacity(I203,$K$7,$K$8)</f>
        <v>205.36968474000003</v>
      </c>
      <c r="L203" s="59">
        <f t="shared" si="27"/>
        <v>164.48864307893177</v>
      </c>
      <c r="M203" s="7">
        <f t="shared" si="28"/>
        <v>96.032081498931731</v>
      </c>
      <c r="N203" s="7">
        <f t="shared" si="29"/>
        <v>19.213753679999968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3"/>
        <v>190</v>
      </c>
      <c r="C204" s="7">
        <f t="shared" si="24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59" cm="1">
        <f t="array" ref="F204">estimatedTripDuration(C204,$C$7,$C$6)/60</f>
        <v>6.4600000006622746</v>
      </c>
      <c r="G204">
        <f t="shared" si="36"/>
        <v>190</v>
      </c>
      <c r="H204" s="50">
        <f t="shared" si="25"/>
        <v>15.833333333333334</v>
      </c>
      <c r="I204" s="7" cm="1">
        <f t="array" ref="I204">CurrentCapacity(K$9,K$5,K$6,H204)</f>
        <v>273.82536720000007</v>
      </c>
      <c r="J204" s="48">
        <f t="shared" si="26"/>
        <v>0.39949320064700078</v>
      </c>
      <c r="K204" s="5" cm="1">
        <f t="array" ref="K204">UseableCapacity(I204,$K$7,$K$8)</f>
        <v>205.36902540000006</v>
      </c>
      <c r="L204" s="59">
        <f t="shared" si="27"/>
        <v>164.43399483893177</v>
      </c>
      <c r="M204" s="7">
        <f t="shared" si="28"/>
        <v>95.977653038931763</v>
      </c>
      <c r="N204" s="7">
        <f t="shared" si="29"/>
        <v>19.214632799999947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3"/>
        <v>191</v>
      </c>
      <c r="C205" s="7">
        <f t="shared" si="24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59" cm="1">
        <f t="array" ref="F205">estimatedTripDuration(C205,$C$7,$C$6)/60</f>
        <v>6.4933333339956079</v>
      </c>
      <c r="G205">
        <f t="shared" si="36"/>
        <v>191</v>
      </c>
      <c r="H205" s="50">
        <f t="shared" si="25"/>
        <v>15.916666666666666</v>
      </c>
      <c r="I205" s="7" cm="1">
        <f t="array" ref="I205">CurrentCapacity(K$9,K$5,K$6,H205)</f>
        <v>273.82448808000004</v>
      </c>
      <c r="J205" s="48">
        <f t="shared" si="26"/>
        <v>0.39969084667508997</v>
      </c>
      <c r="K205" s="5" cm="1">
        <f t="array" ref="K205">UseableCapacity(I205,$K$7,$K$8)</f>
        <v>205.36836606000003</v>
      </c>
      <c r="L205" s="59">
        <f t="shared" si="27"/>
        <v>164.37934659893176</v>
      </c>
      <c r="M205" s="7">
        <f t="shared" si="28"/>
        <v>95.923224578931737</v>
      </c>
      <c r="N205" s="7">
        <f t="shared" si="29"/>
        <v>19.215511919999983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3"/>
        <v>192</v>
      </c>
      <c r="C206" s="7">
        <f t="shared" si="24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59" cm="1">
        <f t="array" ref="F206">estimatedTripDuration(C206,$C$7,$C$6)/60</f>
        <v>6.5266666673289411</v>
      </c>
      <c r="G206">
        <f t="shared" si="36"/>
        <v>192</v>
      </c>
      <c r="H206" s="50">
        <f t="shared" si="25"/>
        <v>16</v>
      </c>
      <c r="I206" s="7" cm="1">
        <f t="array" ref="I206">CurrentCapacity(K$9,K$5,K$6,H206)</f>
        <v>273.82360896</v>
      </c>
      <c r="J206" s="48">
        <f t="shared" si="26"/>
        <v>0.39988849397227777</v>
      </c>
      <c r="K206" s="5" cm="1">
        <f t="array" ref="K206">UseableCapacity(I206,$K$7,$K$8)</f>
        <v>205.36770672</v>
      </c>
      <c r="L206" s="59">
        <f t="shared" si="27"/>
        <v>164.3246983589317</v>
      </c>
      <c r="M206" s="7">
        <f t="shared" si="28"/>
        <v>95.868796118931698</v>
      </c>
      <c r="N206" s="7">
        <f t="shared" si="29"/>
        <v>19.216391040000019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ref="B207:B270" si="39">B206+$G$12</f>
        <v>193</v>
      </c>
      <c r="C207" s="7">
        <f t="shared" ref="C207:C270" si="40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59" cm="1">
        <f t="array" ref="F207">estimatedTripDuration(C207,$C$7,$C$6)/60</f>
        <v>6.5600000006622743</v>
      </c>
      <c r="G207">
        <f t="shared" si="36"/>
        <v>193</v>
      </c>
      <c r="H207" s="50">
        <f t="shared" ref="H207:H270" si="41">G207/$G$3</f>
        <v>16.083333333333332</v>
      </c>
      <c r="I207" s="7" cm="1">
        <f t="array" ref="I207">CurrentCapacity(K$9,K$5,K$6,H207)</f>
        <v>273.82272984000002</v>
      </c>
      <c r="J207" s="48">
        <f t="shared" ref="J207:J270" si="42">E207/I207</f>
        <v>0.40008614253857616</v>
      </c>
      <c r="K207" s="5" cm="1">
        <f t="array" ref="K207">UseableCapacity(I207,$K$7,$K$8)</f>
        <v>205.36704738000003</v>
      </c>
      <c r="L207" s="59">
        <f t="shared" ref="L207:L270" si="43">(K$7*I207)-E207</f>
        <v>164.27005011893175</v>
      </c>
      <c r="M207" s="7">
        <f t="shared" ref="M207:M270" si="44">K207-E207</f>
        <v>95.814367658931744</v>
      </c>
      <c r="N207" s="7">
        <f t="shared" ref="N207:N270" si="45">$K$9-I207</f>
        <v>19.217270159999998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si="39"/>
        <v>194</v>
      </c>
      <c r="C208" s="7">
        <f t="shared" si="40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59" cm="1">
        <f t="array" ref="F208">estimatedTripDuration(C208,$C$7,$C$6)/60</f>
        <v>6.5933333339956075</v>
      </c>
      <c r="G208">
        <f t="shared" si="36"/>
        <v>194</v>
      </c>
      <c r="H208" s="50">
        <f t="shared" si="41"/>
        <v>16.166666666666668</v>
      </c>
      <c r="I208" s="7" cm="1">
        <f t="array" ref="I208">CurrentCapacity(K$9,K$5,K$6,H208)</f>
        <v>273.82185072000004</v>
      </c>
      <c r="J208" s="48">
        <f t="shared" si="42"/>
        <v>0.4002837923739978</v>
      </c>
      <c r="K208" s="5" cm="1">
        <f t="array" ref="K208">UseableCapacity(I208,$K$7,$K$8)</f>
        <v>205.36638804000003</v>
      </c>
      <c r="L208" s="59">
        <f t="shared" si="43"/>
        <v>164.21540187893174</v>
      </c>
      <c r="M208" s="7">
        <f t="shared" si="44"/>
        <v>95.759939198931718</v>
      </c>
      <c r="N208" s="7">
        <f t="shared" si="45"/>
        <v>19.218149279999977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si="39"/>
        <v>195</v>
      </c>
      <c r="C209" s="7">
        <f t="shared" si="40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59" cm="1">
        <f t="array" ref="F209">estimatedTripDuration(C209,$C$7,$C$6)/60</f>
        <v>6.6266666673289416</v>
      </c>
      <c r="G209">
        <f t="shared" si="36"/>
        <v>195</v>
      </c>
      <c r="H209" s="50">
        <f t="shared" si="41"/>
        <v>16.25</v>
      </c>
      <c r="I209" s="7" cm="1">
        <f t="array" ref="I209">CurrentCapacity(K$9,K$5,K$6,H209)</f>
        <v>273.82097160000006</v>
      </c>
      <c r="J209" s="48">
        <f t="shared" si="42"/>
        <v>0.40048144347855441</v>
      </c>
      <c r="K209" s="5" cm="1">
        <f t="array" ref="K209">UseableCapacity(I209,$K$7,$K$8)</f>
        <v>205.36572870000003</v>
      </c>
      <c r="L209" s="59">
        <f t="shared" si="43"/>
        <v>164.16075363893179</v>
      </c>
      <c r="M209" s="7">
        <f t="shared" si="44"/>
        <v>95.70551073893175</v>
      </c>
      <c r="N209" s="7">
        <f t="shared" si="45"/>
        <v>19.219028399999956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39"/>
        <v>196</v>
      </c>
      <c r="C210" s="7">
        <f t="shared" si="40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59" cm="1">
        <f t="array" ref="F210">estimatedTripDuration(C210,$C$7,$C$6)/60</f>
        <v>6.6600000006622748</v>
      </c>
      <c r="G210">
        <f t="shared" si="36"/>
        <v>196</v>
      </c>
      <c r="H210" s="50">
        <f t="shared" si="41"/>
        <v>16.333333333333332</v>
      </c>
      <c r="I210" s="7" cm="1">
        <f t="array" ref="I210">CurrentCapacity(K$9,K$5,K$6,H210)</f>
        <v>273.82009248000003</v>
      </c>
      <c r="J210" s="48">
        <f t="shared" si="42"/>
        <v>0.4006790958522588</v>
      </c>
      <c r="K210" s="5" cm="1">
        <f t="array" ref="K210">UseableCapacity(I210,$K$7,$K$8)</f>
        <v>205.36506936000001</v>
      </c>
      <c r="L210" s="59">
        <f t="shared" si="43"/>
        <v>164.10610539893173</v>
      </c>
      <c r="M210" s="7">
        <f t="shared" si="44"/>
        <v>95.65108227893171</v>
      </c>
      <c r="N210" s="7">
        <f t="shared" si="45"/>
        <v>19.219907519999992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39"/>
        <v>197</v>
      </c>
      <c r="C211" s="7">
        <f t="shared" si="40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59" cm="1">
        <f t="array" ref="F211">estimatedTripDuration(C211,$C$7,$C$6)/60</f>
        <v>6.693333333995608</v>
      </c>
      <c r="G211">
        <f t="shared" si="36"/>
        <v>197</v>
      </c>
      <c r="H211" s="50">
        <f t="shared" si="41"/>
        <v>16.416666666666668</v>
      </c>
      <c r="I211" s="7" cm="1">
        <f t="array" ref="I211">CurrentCapacity(K$9,K$5,K$6,H211)</f>
        <v>273.81921336000005</v>
      </c>
      <c r="J211" s="48">
        <f t="shared" si="42"/>
        <v>0.40087674949512275</v>
      </c>
      <c r="K211" s="5" cm="1">
        <f t="array" ref="K211">UseableCapacity(I211,$K$7,$K$8)</f>
        <v>205.36441002000004</v>
      </c>
      <c r="L211" s="59">
        <f t="shared" si="43"/>
        <v>164.05145715893173</v>
      </c>
      <c r="M211" s="7">
        <f t="shared" si="44"/>
        <v>95.596653818931728</v>
      </c>
      <c r="N211" s="7">
        <f t="shared" si="45"/>
        <v>19.220786639999972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39"/>
        <v>198</v>
      </c>
      <c r="C212" s="7">
        <f t="shared" si="40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59" cm="1">
        <f t="array" ref="F212">estimatedTripDuration(C212,$C$7,$C$6)/60</f>
        <v>6.7266666673289413</v>
      </c>
      <c r="G212">
        <f t="shared" si="36"/>
        <v>198</v>
      </c>
      <c r="H212" s="50">
        <f t="shared" si="41"/>
        <v>16.5</v>
      </c>
      <c r="I212" s="7" cm="1">
        <f t="array" ref="I212">CurrentCapacity(K$9,K$5,K$6,H212)</f>
        <v>273.81833424000001</v>
      </c>
      <c r="J212" s="48">
        <f t="shared" si="42"/>
        <v>0.40107440440715858</v>
      </c>
      <c r="K212" s="5" cm="1">
        <f t="array" ref="K212">UseableCapacity(I212,$K$7,$K$8)</f>
        <v>205.36375068000001</v>
      </c>
      <c r="L212" s="59">
        <f t="shared" si="43"/>
        <v>163.99680891893172</v>
      </c>
      <c r="M212" s="7">
        <f t="shared" si="44"/>
        <v>95.542225358931731</v>
      </c>
      <c r="N212" s="7">
        <f t="shared" si="45"/>
        <v>19.221665760000008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39"/>
        <v>199</v>
      </c>
      <c r="C213" s="7">
        <f t="shared" si="40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59" cm="1">
        <f t="array" ref="F213">estimatedTripDuration(C213,$C$7,$C$6)/60</f>
        <v>6.7600000006622745</v>
      </c>
      <c r="G213">
        <f t="shared" si="36"/>
        <v>199</v>
      </c>
      <c r="H213" s="50">
        <f t="shared" si="41"/>
        <v>16.583333333333332</v>
      </c>
      <c r="I213" s="7" cm="1">
        <f t="array" ref="I213">CurrentCapacity(K$9,K$5,K$6,H213)</f>
        <v>273.81745512000003</v>
      </c>
      <c r="J213" s="48">
        <f t="shared" si="42"/>
        <v>0.40127206058837861</v>
      </c>
      <c r="K213" s="5" cm="1">
        <f t="array" ref="K213">UseableCapacity(I213,$K$7,$K$8)</f>
        <v>205.36309134000004</v>
      </c>
      <c r="L213" s="59">
        <f t="shared" si="43"/>
        <v>163.94216067893174</v>
      </c>
      <c r="M213" s="7">
        <f t="shared" si="44"/>
        <v>95.487796898931748</v>
      </c>
      <c r="N213" s="7">
        <f t="shared" si="45"/>
        <v>19.222544879999987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39"/>
        <v>200</v>
      </c>
      <c r="C214" s="7">
        <f t="shared" si="40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59" cm="1">
        <f t="array" ref="F214">estimatedTripDuration(C214,$C$7,$C$6)/60</f>
        <v>6.7933333339956077</v>
      </c>
      <c r="G214">
        <f t="shared" si="36"/>
        <v>200</v>
      </c>
      <c r="H214" s="50">
        <f t="shared" si="41"/>
        <v>16.666666666666668</v>
      </c>
      <c r="I214" s="7" cm="1">
        <f t="array" ref="I214">CurrentCapacity(K$9,K$5,K$6,H214)</f>
        <v>273.816576</v>
      </c>
      <c r="J214" s="48">
        <f t="shared" si="42"/>
        <v>0.40146971803879505</v>
      </c>
      <c r="K214" s="5" cm="1">
        <f t="array" ref="K214">UseableCapacity(I214,$K$7,$K$8)</f>
        <v>205.36243200000001</v>
      </c>
      <c r="L214" s="59">
        <f t="shared" si="43"/>
        <v>163.88751243893171</v>
      </c>
      <c r="M214" s="7">
        <f t="shared" si="44"/>
        <v>95.433368438931723</v>
      </c>
      <c r="N214" s="7">
        <f t="shared" si="45"/>
        <v>19.223424000000023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39"/>
        <v>201</v>
      </c>
      <c r="C215" s="7">
        <f t="shared" si="40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59" cm="1">
        <f t="array" ref="F215">estimatedTripDuration(C215,$C$7,$C$6)/60</f>
        <v>6.8266666673289409</v>
      </c>
      <c r="G215">
        <f t="shared" si="36"/>
        <v>201</v>
      </c>
      <c r="H215" s="50">
        <f t="shared" si="41"/>
        <v>16.75</v>
      </c>
      <c r="I215" s="7" cm="1">
        <f t="array" ref="I215">CurrentCapacity(K$9,K$5,K$6,H215)</f>
        <v>273.81569688000002</v>
      </c>
      <c r="J215" s="48">
        <f t="shared" si="42"/>
        <v>0.4016673767584199</v>
      </c>
      <c r="K215" s="5" cm="1">
        <f t="array" ref="K215">UseableCapacity(I215,$K$7,$K$8)</f>
        <v>205.36177266000001</v>
      </c>
      <c r="L215" s="59">
        <f t="shared" si="43"/>
        <v>163.83286419893176</v>
      </c>
      <c r="M215" s="7">
        <f t="shared" si="44"/>
        <v>95.37893997893174</v>
      </c>
      <c r="N215" s="7">
        <f t="shared" si="45"/>
        <v>19.224303120000002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39"/>
        <v>202</v>
      </c>
      <c r="C216" s="7">
        <f t="shared" si="40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59" cm="1">
        <f t="array" ref="F216">estimatedTripDuration(C216,$C$7,$C$6)/60</f>
        <v>6.8600000006622741</v>
      </c>
      <c r="G216">
        <f t="shared" si="36"/>
        <v>202</v>
      </c>
      <c r="H216" s="50">
        <f t="shared" si="41"/>
        <v>16.833333333333332</v>
      </c>
      <c r="I216" s="7" cm="1">
        <f t="array" ref="I216">CurrentCapacity(K$9,K$5,K$6,H216)</f>
        <v>273.81481776000004</v>
      </c>
      <c r="J216" s="48">
        <f t="shared" si="42"/>
        <v>0.40186503674726576</v>
      </c>
      <c r="K216" s="5" cm="1">
        <f t="array" ref="K216">UseableCapacity(I216,$K$7,$K$8)</f>
        <v>205.36111332000002</v>
      </c>
      <c r="L216" s="59">
        <f t="shared" si="43"/>
        <v>163.77821595893175</v>
      </c>
      <c r="M216" s="7">
        <f t="shared" si="44"/>
        <v>95.324511518931729</v>
      </c>
      <c r="N216" s="7">
        <f t="shared" si="45"/>
        <v>19.225182239999981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39"/>
        <v>203</v>
      </c>
      <c r="C217" s="7">
        <f t="shared" si="40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59" cm="1">
        <f t="array" ref="F217">estimatedTripDuration(C217,$C$7,$C$6)/60</f>
        <v>6.8933333339956082</v>
      </c>
      <c r="G217">
        <f t="shared" si="36"/>
        <v>203</v>
      </c>
      <c r="H217" s="50">
        <f t="shared" si="41"/>
        <v>16.916666666666668</v>
      </c>
      <c r="I217" s="7" cm="1">
        <f t="array" ref="I217">CurrentCapacity(K$9,K$5,K$6,H217)</f>
        <v>273.81393864000006</v>
      </c>
      <c r="J217" s="48">
        <f t="shared" si="42"/>
        <v>0.40206269800534461</v>
      </c>
      <c r="K217" s="5" cm="1">
        <f t="array" ref="K217">UseableCapacity(I217,$K$7,$K$8)</f>
        <v>205.36045398000005</v>
      </c>
      <c r="L217" s="59">
        <f t="shared" si="43"/>
        <v>163.72356771893175</v>
      </c>
      <c r="M217" s="7">
        <f t="shared" si="44"/>
        <v>95.270083058931746</v>
      </c>
      <c r="N217" s="7">
        <f t="shared" si="45"/>
        <v>19.22606135999996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39"/>
        <v>204</v>
      </c>
      <c r="C218" s="7">
        <f t="shared" si="40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59" cm="1">
        <f t="array" ref="F218">estimatedTripDuration(C218,$C$7,$C$6)/60</f>
        <v>6.9266666673289414</v>
      </c>
      <c r="G218">
        <f t="shared" si="36"/>
        <v>204</v>
      </c>
      <c r="H218" s="50">
        <f t="shared" si="41"/>
        <v>17</v>
      </c>
      <c r="I218" s="7" cm="1">
        <f t="array" ref="I218">CurrentCapacity(K$9,K$5,K$6,H218)</f>
        <v>273.81305952000002</v>
      </c>
      <c r="J218" s="48">
        <f t="shared" si="42"/>
        <v>0.40226036053266878</v>
      </c>
      <c r="K218" s="5" cm="1">
        <f t="array" ref="K218">UseableCapacity(I218,$K$7,$K$8)</f>
        <v>205.35979464000002</v>
      </c>
      <c r="L218" s="59">
        <f t="shared" si="43"/>
        <v>163.66891947893171</v>
      </c>
      <c r="M218" s="7">
        <f t="shared" si="44"/>
        <v>95.215654598931707</v>
      </c>
      <c r="N218" s="7">
        <f t="shared" si="45"/>
        <v>19.226940479999996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39"/>
        <v>205</v>
      </c>
      <c r="C219" s="7">
        <f t="shared" si="40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59" cm="1">
        <f t="array" ref="F219">estimatedTripDuration(C219,$C$7,$C$6)/60</f>
        <v>6.9600000006622746</v>
      </c>
      <c r="G219">
        <f t="shared" si="36"/>
        <v>205</v>
      </c>
      <c r="H219" s="50">
        <f t="shared" si="41"/>
        <v>17.083333333333332</v>
      </c>
      <c r="I219" s="7" cm="1">
        <f t="array" ref="I219">CurrentCapacity(K$9,K$5,K$6,H219)</f>
        <v>273.81218040000005</v>
      </c>
      <c r="J219" s="48">
        <f t="shared" si="42"/>
        <v>0.40245802432925032</v>
      </c>
      <c r="K219" s="5" cm="1">
        <f t="array" ref="K219">UseableCapacity(I219,$K$7,$K$8)</f>
        <v>205.35913530000005</v>
      </c>
      <c r="L219" s="59">
        <f t="shared" si="43"/>
        <v>163.61427123893174</v>
      </c>
      <c r="M219" s="7">
        <f t="shared" si="44"/>
        <v>95.161226138931752</v>
      </c>
      <c r="N219" s="7">
        <f t="shared" si="45"/>
        <v>19.227819599999975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39"/>
        <v>206</v>
      </c>
      <c r="C220" s="7">
        <f t="shared" si="40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59" cm="1">
        <f t="array" ref="F220">estimatedTripDuration(C220,$C$7,$C$6)/60</f>
        <v>6.9933333339956079</v>
      </c>
      <c r="G220">
        <f t="shared" si="36"/>
        <v>206</v>
      </c>
      <c r="H220" s="50">
        <f t="shared" si="41"/>
        <v>17.166666666666668</v>
      </c>
      <c r="I220" s="7" cm="1">
        <f t="array" ref="I220">CurrentCapacity(K$9,K$5,K$6,H220)</f>
        <v>273.81130128000001</v>
      </c>
      <c r="J220" s="48">
        <f t="shared" si="42"/>
        <v>0.40265568939510171</v>
      </c>
      <c r="K220" s="5" cm="1">
        <f t="array" ref="K220">UseableCapacity(I220,$K$7,$K$8)</f>
        <v>205.35847596000002</v>
      </c>
      <c r="L220" s="59">
        <f t="shared" si="43"/>
        <v>163.55962299893173</v>
      </c>
      <c r="M220" s="7">
        <f t="shared" si="44"/>
        <v>95.106797678931727</v>
      </c>
      <c r="N220" s="7">
        <f t="shared" si="45"/>
        <v>19.228698720000011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39"/>
        <v>207</v>
      </c>
      <c r="C221" s="7">
        <f t="shared" si="40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59" cm="1">
        <f t="array" ref="F221">estimatedTripDuration(C221,$C$7,$C$6)/60</f>
        <v>7.0266666673289411</v>
      </c>
      <c r="G221">
        <f t="shared" si="36"/>
        <v>207</v>
      </c>
      <c r="H221" s="50">
        <f t="shared" si="41"/>
        <v>17.25</v>
      </c>
      <c r="I221" s="7" cm="1">
        <f t="array" ref="I221">CurrentCapacity(K$9,K$5,K$6,H221)</f>
        <v>273.81042216000003</v>
      </c>
      <c r="J221" s="48">
        <f t="shared" si="42"/>
        <v>0.40285335573023495</v>
      </c>
      <c r="K221" s="5" cm="1">
        <f t="array" ref="K221">UseableCapacity(I221,$K$7,$K$8)</f>
        <v>205.35781662000002</v>
      </c>
      <c r="L221" s="59">
        <f t="shared" si="43"/>
        <v>163.50497475893172</v>
      </c>
      <c r="M221" s="7">
        <f t="shared" si="44"/>
        <v>95.052369218931716</v>
      </c>
      <c r="N221" s="7">
        <f t="shared" si="45"/>
        <v>19.22957783999999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39"/>
        <v>208</v>
      </c>
      <c r="C222" s="7">
        <f t="shared" si="40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59" cm="1">
        <f t="array" ref="F222">estimatedTripDuration(C222,$C$7,$C$6)/60</f>
        <v>7.0600000006622743</v>
      </c>
      <c r="G222">
        <f t="shared" si="36"/>
        <v>208</v>
      </c>
      <c r="H222" s="50">
        <f t="shared" si="41"/>
        <v>17.333333333333332</v>
      </c>
      <c r="I222" s="7" cm="1">
        <f t="array" ref="I222">CurrentCapacity(K$9,K$5,K$6,H222)</f>
        <v>273.80954304000005</v>
      </c>
      <c r="J222" s="48">
        <f t="shared" si="42"/>
        <v>0.40305102333466231</v>
      </c>
      <c r="K222" s="5" cm="1">
        <f t="array" ref="K222">UseableCapacity(I222,$K$7,$K$8)</f>
        <v>205.35715728000002</v>
      </c>
      <c r="L222" s="59">
        <f t="shared" si="43"/>
        <v>163.45032651893177</v>
      </c>
      <c r="M222" s="7">
        <f t="shared" si="44"/>
        <v>94.997940758931733</v>
      </c>
      <c r="N222" s="7">
        <f t="shared" si="45"/>
        <v>19.23045695999997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39"/>
        <v>209</v>
      </c>
      <c r="C223" s="7">
        <f t="shared" si="40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59" cm="1">
        <f t="array" ref="F223">estimatedTripDuration(C223,$C$7,$C$6)/60</f>
        <v>7.0933333339956075</v>
      </c>
      <c r="G223">
        <f t="shared" si="36"/>
        <v>209</v>
      </c>
      <c r="H223" s="50">
        <f t="shared" si="41"/>
        <v>17.416666666666668</v>
      </c>
      <c r="I223" s="7" cm="1">
        <f t="array" ref="I223">CurrentCapacity(K$9,K$5,K$6,H223)</f>
        <v>273.80866392000001</v>
      </c>
      <c r="J223" s="48">
        <f t="shared" si="42"/>
        <v>0.40324869220839626</v>
      </c>
      <c r="K223" s="5" cm="1">
        <f t="array" ref="K223">UseableCapacity(I223,$K$7,$K$8)</f>
        <v>205.35649794</v>
      </c>
      <c r="L223" s="59">
        <f t="shared" si="43"/>
        <v>163.39567827893171</v>
      </c>
      <c r="M223" s="7">
        <f t="shared" si="44"/>
        <v>94.943512298931694</v>
      </c>
      <c r="N223" s="7">
        <f t="shared" si="45"/>
        <v>19.231336080000005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39"/>
        <v>210</v>
      </c>
      <c r="C224" s="7">
        <f t="shared" si="40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59" cm="1">
        <f t="array" ref="F224">estimatedTripDuration(C224,$C$7,$C$6)/60</f>
        <v>7.1266666673289416</v>
      </c>
      <c r="G224">
        <f t="shared" si="36"/>
        <v>210</v>
      </c>
      <c r="H224" s="50">
        <f t="shared" si="41"/>
        <v>17.5</v>
      </c>
      <c r="I224" s="7" cm="1">
        <f t="array" ref="I224">CurrentCapacity(K$9,K$5,K$6,H224)</f>
        <v>273.80778480000004</v>
      </c>
      <c r="J224" s="48">
        <f t="shared" si="42"/>
        <v>0.40344636235144865</v>
      </c>
      <c r="K224" s="5" cm="1">
        <f t="array" ref="K224">UseableCapacity(I224,$K$7,$K$8)</f>
        <v>205.35583860000003</v>
      </c>
      <c r="L224" s="59">
        <f t="shared" si="43"/>
        <v>163.34103003893176</v>
      </c>
      <c r="M224" s="7">
        <f t="shared" si="44"/>
        <v>94.889083838931739</v>
      </c>
      <c r="N224" s="7">
        <f t="shared" si="45"/>
        <v>19.232215199999985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39"/>
        <v>211</v>
      </c>
      <c r="C225" s="7">
        <f t="shared" si="40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59" cm="1">
        <f t="array" ref="F225">estimatedTripDuration(C225,$C$7,$C$6)/60</f>
        <v>7.1600000006622748</v>
      </c>
      <c r="G225">
        <f t="shared" si="36"/>
        <v>211</v>
      </c>
      <c r="H225" s="50">
        <f t="shared" si="41"/>
        <v>17.583333333333332</v>
      </c>
      <c r="I225" s="7" cm="1">
        <f t="array" ref="I225">CurrentCapacity(K$9,K$5,K$6,H225)</f>
        <v>273.80690568000006</v>
      </c>
      <c r="J225" s="48">
        <f t="shared" si="42"/>
        <v>0.40364403376383184</v>
      </c>
      <c r="K225" s="5" cm="1">
        <f t="array" ref="K225">UseableCapacity(I225,$K$7,$K$8)</f>
        <v>205.35517926000006</v>
      </c>
      <c r="L225" s="59">
        <f t="shared" si="43"/>
        <v>163.28638179893179</v>
      </c>
      <c r="M225" s="7">
        <f t="shared" si="44"/>
        <v>94.834655378931785</v>
      </c>
      <c r="N225" s="7">
        <f t="shared" si="45"/>
        <v>19.233094319999964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39"/>
        <v>212</v>
      </c>
      <c r="C226" s="7">
        <f t="shared" si="40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59" cm="1">
        <f t="array" ref="F226">estimatedTripDuration(C226,$C$7,$C$6)/60</f>
        <v>7.193333333995608</v>
      </c>
      <c r="G226">
        <f t="shared" si="36"/>
        <v>212</v>
      </c>
      <c r="H226" s="50">
        <f t="shared" si="41"/>
        <v>17.666666666666668</v>
      </c>
      <c r="I226" s="7" cm="1">
        <f t="array" ref="I226">CurrentCapacity(K$9,K$5,K$6,H226)</f>
        <v>273.80602656000002</v>
      </c>
      <c r="J226" s="48">
        <f t="shared" si="42"/>
        <v>0.40384170644555839</v>
      </c>
      <c r="K226" s="5" cm="1">
        <f t="array" ref="K226">UseableCapacity(I226,$K$7,$K$8)</f>
        <v>205.35451992000003</v>
      </c>
      <c r="L226" s="59">
        <f t="shared" si="43"/>
        <v>163.23173355893172</v>
      </c>
      <c r="M226" s="7">
        <f t="shared" si="44"/>
        <v>94.780226918931731</v>
      </c>
      <c r="N226" s="7">
        <f t="shared" si="45"/>
        <v>19.23397344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39"/>
        <v>213</v>
      </c>
      <c r="C227" s="7">
        <f t="shared" si="40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59" cm="1">
        <f t="array" ref="F227">estimatedTripDuration(C227,$C$7,$C$6)/60</f>
        <v>7.2266666673289413</v>
      </c>
      <c r="G227">
        <f t="shared" si="36"/>
        <v>213</v>
      </c>
      <c r="H227" s="50">
        <f t="shared" si="41"/>
        <v>17.75</v>
      </c>
      <c r="I227" s="7" cm="1">
        <f t="array" ref="I227">CurrentCapacity(K$9,K$5,K$6,H227)</f>
        <v>273.80514744000004</v>
      </c>
      <c r="J227" s="48">
        <f t="shared" si="42"/>
        <v>0.40403938039664</v>
      </c>
      <c r="K227" s="5" cm="1">
        <f t="array" ref="K227">UseableCapacity(I227,$K$7,$K$8)</f>
        <v>205.35386058000003</v>
      </c>
      <c r="L227" s="59">
        <f t="shared" si="43"/>
        <v>163.17708531893174</v>
      </c>
      <c r="M227" s="7">
        <f t="shared" si="44"/>
        <v>94.725798458931749</v>
      </c>
      <c r="N227" s="7">
        <f t="shared" si="45"/>
        <v>19.234852559999979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39"/>
        <v>214</v>
      </c>
      <c r="C228" s="7">
        <f t="shared" si="40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59" cm="1">
        <f t="array" ref="F228">estimatedTripDuration(C228,$C$7,$C$6)/60</f>
        <v>7.2600000006622754</v>
      </c>
      <c r="G228">
        <f t="shared" si="36"/>
        <v>214</v>
      </c>
      <c r="H228" s="50">
        <f t="shared" si="41"/>
        <v>17.833333333333332</v>
      </c>
      <c r="I228" s="7" cm="1">
        <f t="array" ref="I228">CurrentCapacity(K$9,K$5,K$6,H228)</f>
        <v>273.80426832000001</v>
      </c>
      <c r="J228" s="48">
        <f t="shared" si="42"/>
        <v>0.40423705561708934</v>
      </c>
      <c r="K228" s="5" cm="1">
        <f t="array" ref="K228">UseableCapacity(I228,$K$7,$K$8)</f>
        <v>205.35320124</v>
      </c>
      <c r="L228" s="59">
        <f t="shared" si="43"/>
        <v>163.12243707893171</v>
      </c>
      <c r="M228" s="7">
        <f t="shared" si="44"/>
        <v>94.671369998931709</v>
      </c>
      <c r="N228" s="7">
        <f t="shared" si="45"/>
        <v>19.235731680000015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39"/>
        <v>215</v>
      </c>
      <c r="C229" s="7">
        <f t="shared" si="40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59" cm="1">
        <f t="array" ref="F229">estimatedTripDuration(C229,$C$7,$C$6)/60</f>
        <v>7.2933333339956077</v>
      </c>
      <c r="G229">
        <f t="shared" si="36"/>
        <v>215</v>
      </c>
      <c r="H229" s="50">
        <f t="shared" si="41"/>
        <v>17.916666666666668</v>
      </c>
      <c r="I229" s="7" cm="1">
        <f t="array" ref="I229">CurrentCapacity(K$9,K$5,K$6,H229)</f>
        <v>273.80338920000003</v>
      </c>
      <c r="J229" s="48">
        <f t="shared" si="42"/>
        <v>0.40443473210691827</v>
      </c>
      <c r="K229" s="5" cm="1">
        <f t="array" ref="K229">UseableCapacity(I229,$K$7,$K$8)</f>
        <v>205.35254190000001</v>
      </c>
      <c r="L229" s="59">
        <f t="shared" si="43"/>
        <v>163.06778883893173</v>
      </c>
      <c r="M229" s="7">
        <f t="shared" si="44"/>
        <v>94.616941538931712</v>
      </c>
      <c r="N229" s="7">
        <f t="shared" si="45"/>
        <v>19.236610799999994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39"/>
        <v>216</v>
      </c>
      <c r="C230" s="7">
        <f t="shared" si="40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59" cm="1">
        <f t="array" ref="F230">estimatedTripDuration(C230,$C$7,$C$6)/60</f>
        <v>7.3266666673289409</v>
      </c>
      <c r="G230">
        <f t="shared" si="36"/>
        <v>216</v>
      </c>
      <c r="H230" s="50">
        <f t="shared" si="41"/>
        <v>18</v>
      </c>
      <c r="I230" s="7" cm="1">
        <f t="array" ref="I230">CurrentCapacity(K$9,K$5,K$6,H230)</f>
        <v>273.80251008000005</v>
      </c>
      <c r="J230" s="48">
        <f t="shared" si="42"/>
        <v>0.40463240986613919</v>
      </c>
      <c r="K230" s="5" cm="1">
        <f t="array" ref="K230">UseableCapacity(I230,$K$7,$K$8)</f>
        <v>205.35188256000004</v>
      </c>
      <c r="L230" s="59">
        <f t="shared" si="43"/>
        <v>163.01314059893176</v>
      </c>
      <c r="M230" s="7">
        <f t="shared" si="44"/>
        <v>94.562513078931744</v>
      </c>
      <c r="N230" s="7">
        <f t="shared" si="45"/>
        <v>19.237489919999973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39"/>
        <v>217</v>
      </c>
      <c r="C231" s="7">
        <f t="shared" si="40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59" cm="1">
        <f t="array" ref="F231">estimatedTripDuration(C231,$C$7,$C$6)/60</f>
        <v>7.3600000006622741</v>
      </c>
      <c r="G231">
        <f t="shared" si="36"/>
        <v>217</v>
      </c>
      <c r="H231" s="50">
        <f t="shared" si="41"/>
        <v>18.083333333333332</v>
      </c>
      <c r="I231" s="7" cm="1">
        <f t="array" ref="I231">CurrentCapacity(K$9,K$5,K$6,H231)</f>
        <v>273.80163096000007</v>
      </c>
      <c r="J231" s="48">
        <f t="shared" si="42"/>
        <v>0.40483008889476435</v>
      </c>
      <c r="K231" s="5" cm="1">
        <f t="array" ref="K231">UseableCapacity(I231,$K$7,$K$8)</f>
        <v>205.35122322000007</v>
      </c>
      <c r="L231" s="59">
        <f t="shared" si="43"/>
        <v>162.95849235893178</v>
      </c>
      <c r="M231" s="7">
        <f t="shared" si="44"/>
        <v>94.508084618931775</v>
      </c>
      <c r="N231" s="7">
        <f t="shared" si="45"/>
        <v>19.238369039999952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39"/>
        <v>218</v>
      </c>
      <c r="C232" s="7">
        <f t="shared" si="40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59" cm="1">
        <f t="array" ref="F232">estimatedTripDuration(C232,$C$7,$C$6)/60</f>
        <v>7.3933333339956073</v>
      </c>
      <c r="G232">
        <f t="shared" si="36"/>
        <v>218</v>
      </c>
      <c r="H232" s="50">
        <f t="shared" si="41"/>
        <v>18.166666666666668</v>
      </c>
      <c r="I232" s="7" cm="1">
        <f t="array" ref="I232">CurrentCapacity(K$9,K$5,K$6,H232)</f>
        <v>273.80075184000003</v>
      </c>
      <c r="J232" s="48">
        <f t="shared" si="42"/>
        <v>0.40502776919280603</v>
      </c>
      <c r="K232" s="5" cm="1">
        <f t="array" ref="K232">UseableCapacity(I232,$K$7,$K$8)</f>
        <v>205.35056388000004</v>
      </c>
      <c r="L232" s="59">
        <f t="shared" si="43"/>
        <v>162.90384411893174</v>
      </c>
      <c r="M232" s="7">
        <f t="shared" si="44"/>
        <v>94.45365615893175</v>
      </c>
      <c r="N232" s="7">
        <f t="shared" si="45"/>
        <v>19.239248159999988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39"/>
        <v>219</v>
      </c>
      <c r="C233" s="7">
        <f t="shared" si="40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59" cm="1">
        <f t="array" ref="F233">estimatedTripDuration(C233,$C$7,$C$6)/60</f>
        <v>7.4266666673289423</v>
      </c>
      <c r="G233">
        <f t="shared" si="36"/>
        <v>219</v>
      </c>
      <c r="H233" s="50">
        <f t="shared" si="41"/>
        <v>18.25</v>
      </c>
      <c r="I233" s="7" cm="1">
        <f t="array" ref="I233">CurrentCapacity(K$9,K$5,K$6,H233)</f>
        <v>273.79987272000005</v>
      </c>
      <c r="J233" s="48">
        <f t="shared" si="42"/>
        <v>0.40522545076027633</v>
      </c>
      <c r="K233" s="5" cm="1">
        <f t="array" ref="K233">UseableCapacity(I233,$K$7,$K$8)</f>
        <v>205.34990454000004</v>
      </c>
      <c r="L233" s="59">
        <f t="shared" si="43"/>
        <v>162.84919587893174</v>
      </c>
      <c r="M233" s="7">
        <f t="shared" si="44"/>
        <v>94.399227698931725</v>
      </c>
      <c r="N233" s="7">
        <f t="shared" si="45"/>
        <v>19.240127279999967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39"/>
        <v>220</v>
      </c>
      <c r="C234" s="7">
        <f t="shared" si="40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59" cm="1">
        <f t="array" ref="F234">estimatedTripDuration(C234,$C$7,$C$6)/60</f>
        <v>7.4600000006622746</v>
      </c>
      <c r="G234">
        <f t="shared" si="36"/>
        <v>220</v>
      </c>
      <c r="H234" s="50">
        <f t="shared" si="41"/>
        <v>18.333333333333332</v>
      </c>
      <c r="I234" s="7" cm="1">
        <f t="array" ref="I234">CurrentCapacity(K$9,K$5,K$6,H234)</f>
        <v>273.79899360000002</v>
      </c>
      <c r="J234" s="48">
        <f t="shared" si="42"/>
        <v>0.40542313359718746</v>
      </c>
      <c r="K234" s="5" cm="1">
        <f t="array" ref="K234">UseableCapacity(I234,$K$7,$K$8)</f>
        <v>205.34924520000001</v>
      </c>
      <c r="L234" s="59">
        <f t="shared" si="43"/>
        <v>162.79454763893173</v>
      </c>
      <c r="M234" s="7">
        <f t="shared" si="44"/>
        <v>94.344799238931728</v>
      </c>
      <c r="N234" s="7">
        <f t="shared" si="45"/>
        <v>19.241006400000003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39"/>
        <v>221</v>
      </c>
      <c r="C235" s="7">
        <f t="shared" si="40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59" cm="1">
        <f t="array" ref="F235">estimatedTripDuration(C235,$C$7,$C$6)/60</f>
        <v>7.4933333339956079</v>
      </c>
      <c r="G235">
        <f t="shared" si="36"/>
        <v>221</v>
      </c>
      <c r="H235" s="50">
        <f t="shared" si="41"/>
        <v>18.416666666666668</v>
      </c>
      <c r="I235" s="7" cm="1">
        <f t="array" ref="I235">CurrentCapacity(K$9,K$5,K$6,H235)</f>
        <v>273.79811448000004</v>
      </c>
      <c r="J235" s="48">
        <f t="shared" si="42"/>
        <v>0.40562081770355179</v>
      </c>
      <c r="K235" s="5" cm="1">
        <f t="array" ref="K235">UseableCapacity(I235,$K$7,$K$8)</f>
        <v>205.34858586000001</v>
      </c>
      <c r="L235" s="59">
        <f t="shared" si="43"/>
        <v>162.73989939893175</v>
      </c>
      <c r="M235" s="7">
        <f t="shared" si="44"/>
        <v>94.290370778931717</v>
      </c>
      <c r="N235" s="7">
        <f t="shared" si="45"/>
        <v>19.241885519999983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39"/>
        <v>222</v>
      </c>
      <c r="C236" s="7">
        <f t="shared" si="40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59" cm="1">
        <f t="array" ref="F236">estimatedTripDuration(C236,$C$7,$C$6)/60</f>
        <v>7.5266666673289411</v>
      </c>
      <c r="G236">
        <f t="shared" si="36"/>
        <v>222</v>
      </c>
      <c r="H236" s="50">
        <f t="shared" si="41"/>
        <v>18.5</v>
      </c>
      <c r="I236" s="7" cm="1">
        <f t="array" ref="I236">CurrentCapacity(K$9,K$5,K$6,H236)</f>
        <v>273.79723536</v>
      </c>
      <c r="J236" s="48">
        <f t="shared" si="42"/>
        <v>0.40581850307938155</v>
      </c>
      <c r="K236" s="5" cm="1">
        <f t="array" ref="K236">UseableCapacity(I236,$K$7,$K$8)</f>
        <v>205.34792651999999</v>
      </c>
      <c r="L236" s="59">
        <f t="shared" si="43"/>
        <v>162.68525115893169</v>
      </c>
      <c r="M236" s="7">
        <f t="shared" si="44"/>
        <v>94.235942318931677</v>
      </c>
      <c r="N236" s="7">
        <f t="shared" si="45"/>
        <v>19.242764640000019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39"/>
        <v>223</v>
      </c>
      <c r="C237" s="7">
        <f t="shared" si="40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59" cm="1">
        <f t="array" ref="F237">estimatedTripDuration(C237,$C$7,$C$6)/60</f>
        <v>7.5600000006622734</v>
      </c>
      <c r="G237">
        <f t="shared" si="36"/>
        <v>223</v>
      </c>
      <c r="H237" s="50">
        <f t="shared" si="41"/>
        <v>18.583333333333332</v>
      </c>
      <c r="I237" s="7" cm="1">
        <f t="array" ref="I237">CurrentCapacity(K$9,K$5,K$6,H237)</f>
        <v>273.79635624000002</v>
      </c>
      <c r="J237" s="48">
        <f t="shared" si="42"/>
        <v>0.40601618972468867</v>
      </c>
      <c r="K237" s="5" cm="1">
        <f t="array" ref="K237">UseableCapacity(I237,$K$7,$K$8)</f>
        <v>205.34726718000002</v>
      </c>
      <c r="L237" s="59">
        <f t="shared" si="43"/>
        <v>162.63060291893174</v>
      </c>
      <c r="M237" s="7">
        <f t="shared" si="44"/>
        <v>94.181513858931723</v>
      </c>
      <c r="N237" s="7">
        <f t="shared" si="45"/>
        <v>19.243643759999998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39"/>
        <v>224</v>
      </c>
      <c r="C238" s="7">
        <f t="shared" si="40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59" cm="1">
        <f t="array" ref="F238">estimatedTripDuration(C238,$C$7,$C$6)/60</f>
        <v>7.5933333339956084</v>
      </c>
      <c r="G238">
        <f t="shared" si="36"/>
        <v>224</v>
      </c>
      <c r="H238" s="50">
        <f t="shared" si="41"/>
        <v>18.666666666666668</v>
      </c>
      <c r="I238" s="7" cm="1">
        <f t="array" ref="I238">CurrentCapacity(K$9,K$5,K$6,H238)</f>
        <v>273.79547712000004</v>
      </c>
      <c r="J238" s="48">
        <f t="shared" si="42"/>
        <v>0.40621387763948569</v>
      </c>
      <c r="K238" s="5" cm="1">
        <f t="array" ref="K238">UseableCapacity(I238,$K$7,$K$8)</f>
        <v>205.34660784000005</v>
      </c>
      <c r="L238" s="59">
        <f t="shared" si="43"/>
        <v>162.57595467893174</v>
      </c>
      <c r="M238" s="7">
        <f t="shared" si="44"/>
        <v>94.12708539893174</v>
      </c>
      <c r="N238" s="7">
        <f t="shared" si="45"/>
        <v>19.244522879999977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39"/>
        <v>225</v>
      </c>
      <c r="C239" s="7">
        <f t="shared" si="40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59" cm="1">
        <f t="array" ref="F239">estimatedTripDuration(C239,$C$7,$C$6)/60</f>
        <v>7.6266666673289416</v>
      </c>
      <c r="G239">
        <f t="shared" si="36"/>
        <v>225</v>
      </c>
      <c r="H239" s="50">
        <f t="shared" si="41"/>
        <v>18.75</v>
      </c>
      <c r="I239" s="7" cm="1">
        <f t="array" ref="I239">CurrentCapacity(K$9,K$5,K$6,H239)</f>
        <v>273.79459800000006</v>
      </c>
      <c r="J239" s="48">
        <f t="shared" si="42"/>
        <v>0.40641156682378471</v>
      </c>
      <c r="K239" s="5" cm="1">
        <f t="array" ref="K239">UseableCapacity(I239,$K$7,$K$8)</f>
        <v>205.34594850000005</v>
      </c>
      <c r="L239" s="59">
        <f t="shared" si="43"/>
        <v>162.52130643893179</v>
      </c>
      <c r="M239" s="7">
        <f t="shared" si="44"/>
        <v>94.072656938931758</v>
      </c>
      <c r="N239" s="7">
        <f t="shared" si="45"/>
        <v>19.245401999999956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39"/>
        <v>226</v>
      </c>
      <c r="C240" s="7">
        <f t="shared" si="40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59" cm="1">
        <f t="array" ref="F240">estimatedTripDuration(C240,$C$7,$C$6)/60</f>
        <v>7.6600000006622748</v>
      </c>
      <c r="G240">
        <f t="shared" si="36"/>
        <v>226</v>
      </c>
      <c r="H240" s="50">
        <f t="shared" si="41"/>
        <v>18.833333333333332</v>
      </c>
      <c r="I240" s="7" cm="1">
        <f t="array" ref="I240">CurrentCapacity(K$9,K$5,K$6,H240)</f>
        <v>273.79371888000003</v>
      </c>
      <c r="J240" s="48">
        <f t="shared" si="42"/>
        <v>0.406609257277598</v>
      </c>
      <c r="K240" s="5" cm="1">
        <f t="array" ref="K240">UseableCapacity(I240,$K$7,$K$8)</f>
        <v>205.34528916000002</v>
      </c>
      <c r="L240" s="59">
        <f t="shared" si="43"/>
        <v>162.46665819893175</v>
      </c>
      <c r="M240" s="7">
        <f t="shared" si="44"/>
        <v>94.018228478931746</v>
      </c>
      <c r="N240" s="7">
        <f t="shared" si="45"/>
        <v>19.246281119999992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39"/>
        <v>227</v>
      </c>
      <c r="C241" s="7">
        <f t="shared" si="40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59" cm="1">
        <f t="array" ref="F241">estimatedTripDuration(C241,$C$7,$C$6)/60</f>
        <v>7.693333333995608</v>
      </c>
      <c r="G241">
        <f t="shared" si="36"/>
        <v>227</v>
      </c>
      <c r="H241" s="50">
        <f t="shared" si="41"/>
        <v>18.916666666666668</v>
      </c>
      <c r="I241" s="7" cm="1">
        <f t="array" ref="I241">CurrentCapacity(K$9,K$5,K$6,H241)</f>
        <v>273.79283976000005</v>
      </c>
      <c r="J241" s="48">
        <f t="shared" si="42"/>
        <v>0.40680694900093783</v>
      </c>
      <c r="K241" s="5" cm="1">
        <f t="array" ref="K241">UseableCapacity(I241,$K$7,$K$8)</f>
        <v>205.34462982000002</v>
      </c>
      <c r="L241" s="59">
        <f t="shared" si="43"/>
        <v>162.41200995893178</v>
      </c>
      <c r="M241" s="7">
        <f t="shared" si="44"/>
        <v>93.963800018931735</v>
      </c>
      <c r="N241" s="7">
        <f t="shared" si="45"/>
        <v>19.247160239999971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39"/>
        <v>228</v>
      </c>
      <c r="C242" s="7">
        <f t="shared" si="40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59" cm="1">
        <f t="array" ref="F242">estimatedTripDuration(C242,$C$7,$C$6)/60</f>
        <v>7.7266666673289404</v>
      </c>
      <c r="G242">
        <f t="shared" si="36"/>
        <v>228</v>
      </c>
      <c r="H242" s="50">
        <f t="shared" si="41"/>
        <v>19</v>
      </c>
      <c r="I242" s="7" cm="1">
        <f t="array" ref="I242">CurrentCapacity(K$9,K$5,K$6,H242)</f>
        <v>273.79196064000001</v>
      </c>
      <c r="J242" s="48">
        <f t="shared" si="42"/>
        <v>0.40700464199381647</v>
      </c>
      <c r="K242" s="5" cm="1">
        <f t="array" ref="K242">UseableCapacity(I242,$K$7,$K$8)</f>
        <v>205.34397048</v>
      </c>
      <c r="L242" s="59">
        <f t="shared" si="43"/>
        <v>162.35736171893171</v>
      </c>
      <c r="M242" s="7">
        <f t="shared" si="44"/>
        <v>93.909371558931696</v>
      </c>
      <c r="N242" s="7">
        <f t="shared" si="45"/>
        <v>19.248039360000007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39"/>
        <v>229</v>
      </c>
      <c r="C243" s="7">
        <f t="shared" si="40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59" cm="1">
        <f t="array" ref="F243">estimatedTripDuration(C243,$C$7,$C$6)/60</f>
        <v>7.7600000006622754</v>
      </c>
      <c r="G243">
        <f t="shared" si="36"/>
        <v>229</v>
      </c>
      <c r="H243" s="50">
        <f t="shared" si="41"/>
        <v>19.083333333333332</v>
      </c>
      <c r="I243" s="7" cm="1">
        <f t="array" ref="I243">CurrentCapacity(K$9,K$5,K$6,H243)</f>
        <v>273.79108152000003</v>
      </c>
      <c r="J243" s="48">
        <f t="shared" si="42"/>
        <v>0.40720233625624597</v>
      </c>
      <c r="K243" s="5" cm="1">
        <f t="array" ref="K243">UseableCapacity(I243,$K$7,$K$8)</f>
        <v>205.34331114000003</v>
      </c>
      <c r="L243" s="59">
        <f t="shared" si="43"/>
        <v>162.30271347893174</v>
      </c>
      <c r="M243" s="7">
        <f t="shared" si="44"/>
        <v>93.854943098931727</v>
      </c>
      <c r="N243" s="7">
        <f t="shared" si="45"/>
        <v>19.248918479999986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39"/>
        <v>230</v>
      </c>
      <c r="C244" s="7">
        <f t="shared" si="40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59" cm="1">
        <f t="array" ref="F244">estimatedTripDuration(C244,$C$7,$C$6)/60</f>
        <v>7.7933333339956077</v>
      </c>
      <c r="G244">
        <f t="shared" si="36"/>
        <v>230</v>
      </c>
      <c r="H244" s="50">
        <f t="shared" si="41"/>
        <v>19.166666666666668</v>
      </c>
      <c r="I244" s="7" cm="1">
        <f t="array" ref="I244">CurrentCapacity(K$9,K$5,K$6,H244)</f>
        <v>273.79020240000006</v>
      </c>
      <c r="J244" s="48">
        <f t="shared" si="42"/>
        <v>0.40740003178823858</v>
      </c>
      <c r="K244" s="5" cm="1">
        <f t="array" ref="K244">UseableCapacity(I244,$K$7,$K$8)</f>
        <v>205.34265180000006</v>
      </c>
      <c r="L244" s="59">
        <f t="shared" si="43"/>
        <v>162.24806523893176</v>
      </c>
      <c r="M244" s="7">
        <f t="shared" si="44"/>
        <v>93.800514638931759</v>
      </c>
      <c r="N244" s="7">
        <f t="shared" si="45"/>
        <v>19.249797599999965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39"/>
        <v>231</v>
      </c>
      <c r="C245" s="7">
        <f t="shared" si="40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59" cm="1">
        <f t="array" ref="F245">estimatedTripDuration(C245,$C$7,$C$6)/60</f>
        <v>7.8266666673289409</v>
      </c>
      <c r="G245">
        <f t="shared" si="36"/>
        <v>231</v>
      </c>
      <c r="H245" s="50">
        <f t="shared" si="41"/>
        <v>19.25</v>
      </c>
      <c r="I245" s="7" cm="1">
        <f t="array" ref="I245">CurrentCapacity(K$9,K$5,K$6,H245)</f>
        <v>273.78932328000002</v>
      </c>
      <c r="J245" s="48">
        <f t="shared" si="42"/>
        <v>0.4075977285898067</v>
      </c>
      <c r="K245" s="5" cm="1">
        <f t="array" ref="K245">UseableCapacity(I245,$K$7,$K$8)</f>
        <v>205.34199246000003</v>
      </c>
      <c r="L245" s="59">
        <f t="shared" si="43"/>
        <v>162.19341699893172</v>
      </c>
      <c r="M245" s="7">
        <f t="shared" si="44"/>
        <v>93.746086178931733</v>
      </c>
      <c r="N245" s="7">
        <f t="shared" si="45"/>
        <v>19.250676720000001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39"/>
        <v>232</v>
      </c>
      <c r="C246" s="7">
        <f t="shared" si="40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59" cm="1">
        <f t="array" ref="F246">estimatedTripDuration(C246,$C$7,$C$6)/60</f>
        <v>7.8600000006622741</v>
      </c>
      <c r="G246">
        <f t="shared" si="36"/>
        <v>232</v>
      </c>
      <c r="H246" s="50">
        <f t="shared" si="41"/>
        <v>19.333333333333332</v>
      </c>
      <c r="I246" s="7" cm="1">
        <f t="array" ref="I246">CurrentCapacity(K$9,K$5,K$6,H246)</f>
        <v>273.78844416000004</v>
      </c>
      <c r="J246" s="48">
        <f t="shared" si="42"/>
        <v>0.40779542666096241</v>
      </c>
      <c r="K246" s="5" cm="1">
        <f t="array" ref="K246">UseableCapacity(I246,$K$7,$K$8)</f>
        <v>205.34133312000003</v>
      </c>
      <c r="L246" s="59">
        <f t="shared" si="43"/>
        <v>162.13876875893175</v>
      </c>
      <c r="M246" s="7">
        <f t="shared" si="44"/>
        <v>93.691657718931737</v>
      </c>
      <c r="N246" s="7">
        <f t="shared" si="45"/>
        <v>19.25155583999998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39"/>
        <v>233</v>
      </c>
      <c r="C247" s="7">
        <f t="shared" si="40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59" cm="1">
        <f t="array" ref="F247">estimatedTripDuration(C247,$C$7,$C$6)/60</f>
        <v>7.8933333339956073</v>
      </c>
      <c r="G247">
        <f t="shared" si="36"/>
        <v>233</v>
      </c>
      <c r="H247" s="50">
        <f t="shared" si="41"/>
        <v>19.416666666666668</v>
      </c>
      <c r="I247" s="7" cm="1">
        <f t="array" ref="I247">CurrentCapacity(K$9,K$5,K$6,H247)</f>
        <v>273.78756504000006</v>
      </c>
      <c r="J247" s="48">
        <f t="shared" si="42"/>
        <v>0.40799312600171794</v>
      </c>
      <c r="K247" s="5" cm="1">
        <f t="array" ref="K247">UseableCapacity(I247,$K$7,$K$8)</f>
        <v>205.34067378000003</v>
      </c>
      <c r="L247" s="59">
        <f t="shared" si="43"/>
        <v>162.08412051893177</v>
      </c>
      <c r="M247" s="7">
        <f t="shared" si="44"/>
        <v>93.63722925893174</v>
      </c>
      <c r="N247" s="7">
        <f t="shared" si="45"/>
        <v>19.25243495999996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39"/>
        <v>234</v>
      </c>
      <c r="C248" s="7">
        <f t="shared" si="40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59" cm="1">
        <f t="array" ref="F248">estimatedTripDuration(C248,$C$7,$C$6)/60</f>
        <v>7.9266666673289423</v>
      </c>
      <c r="G248">
        <f t="shared" si="36"/>
        <v>234</v>
      </c>
      <c r="H248" s="50">
        <f t="shared" si="41"/>
        <v>19.5</v>
      </c>
      <c r="I248" s="7" cm="1">
        <f t="array" ref="I248">CurrentCapacity(K$9,K$5,K$6,H248)</f>
        <v>273.78668592000002</v>
      </c>
      <c r="J248" s="48">
        <f t="shared" si="42"/>
        <v>0.40819082661208572</v>
      </c>
      <c r="K248" s="5" cm="1">
        <f t="array" ref="K248">UseableCapacity(I248,$K$7,$K$8)</f>
        <v>205.34001444</v>
      </c>
      <c r="L248" s="59">
        <f t="shared" si="43"/>
        <v>162.02947227893173</v>
      </c>
      <c r="M248" s="7">
        <f t="shared" si="44"/>
        <v>93.5828007989317</v>
      </c>
      <c r="N248" s="7">
        <f t="shared" si="45"/>
        <v>19.253314079999996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39"/>
        <v>235</v>
      </c>
      <c r="C249" s="7">
        <f t="shared" si="40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59" cm="1">
        <f t="array" ref="F249">estimatedTripDuration(C249,$C$7,$C$6)/60</f>
        <v>7.9600000006622746</v>
      </c>
      <c r="G249">
        <f t="shared" si="36"/>
        <v>235</v>
      </c>
      <c r="H249" s="50">
        <f t="shared" si="41"/>
        <v>19.583333333333332</v>
      </c>
      <c r="I249" s="7" cm="1">
        <f t="array" ref="I249">CurrentCapacity(K$9,K$5,K$6,H249)</f>
        <v>273.78580680000005</v>
      </c>
      <c r="J249" s="48">
        <f t="shared" si="42"/>
        <v>0.40838852849207768</v>
      </c>
      <c r="K249" s="5" cm="1">
        <f t="array" ref="K249">UseableCapacity(I249,$K$7,$K$8)</f>
        <v>205.33935510000003</v>
      </c>
      <c r="L249" s="59">
        <f t="shared" si="43"/>
        <v>161.97482403893176</v>
      </c>
      <c r="M249" s="7">
        <f t="shared" si="44"/>
        <v>93.528372338931746</v>
      </c>
      <c r="N249" s="7">
        <f t="shared" si="45"/>
        <v>19.254193199999975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39"/>
        <v>236</v>
      </c>
      <c r="C250" s="7">
        <f t="shared" si="40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59" cm="1">
        <f t="array" ref="F250">estimatedTripDuration(C250,$C$7,$C$6)/60</f>
        <v>7.9933333339956079</v>
      </c>
      <c r="G250">
        <f t="shared" si="36"/>
        <v>236</v>
      </c>
      <c r="H250" s="50">
        <f t="shared" si="41"/>
        <v>19.666666666666668</v>
      </c>
      <c r="I250" s="7" cm="1">
        <f t="array" ref="I250">CurrentCapacity(K$9,K$5,K$6,H250)</f>
        <v>273.78492768000001</v>
      </c>
      <c r="J250" s="48">
        <f t="shared" si="42"/>
        <v>0.40858623164170627</v>
      </c>
      <c r="K250" s="5" cm="1">
        <f t="array" ref="K250">UseableCapacity(I250,$K$7,$K$8)</f>
        <v>205.33869576000001</v>
      </c>
      <c r="L250" s="59">
        <f t="shared" si="43"/>
        <v>161.92017579893172</v>
      </c>
      <c r="M250" s="7">
        <f t="shared" si="44"/>
        <v>93.473943878931721</v>
      </c>
      <c r="N250" s="7">
        <f t="shared" si="45"/>
        <v>19.255072320000011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39"/>
        <v>237</v>
      </c>
      <c r="C251" s="7">
        <f t="shared" si="40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59" cm="1">
        <f t="array" ref="F251">estimatedTripDuration(C251,$C$7,$C$6)/60</f>
        <v>8.0266666673289411</v>
      </c>
      <c r="G251">
        <f t="shared" si="36"/>
        <v>237</v>
      </c>
      <c r="H251" s="50">
        <f t="shared" si="41"/>
        <v>19.75</v>
      </c>
      <c r="I251" s="7" cm="1">
        <f t="array" ref="I251">CurrentCapacity(K$9,K$5,K$6,H251)</f>
        <v>273.78404856000003</v>
      </c>
      <c r="J251" s="48">
        <f t="shared" si="42"/>
        <v>0.40878393606098373</v>
      </c>
      <c r="K251" s="5" cm="1">
        <f t="array" ref="K251">UseableCapacity(I251,$K$7,$K$8)</f>
        <v>205.33803642000004</v>
      </c>
      <c r="L251" s="59">
        <f t="shared" si="43"/>
        <v>161.86552755893172</v>
      </c>
      <c r="M251" s="7">
        <f t="shared" si="44"/>
        <v>93.419515418931724</v>
      </c>
      <c r="N251" s="7">
        <f t="shared" si="45"/>
        <v>19.25595143999999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39"/>
        <v>238</v>
      </c>
      <c r="C252" s="7">
        <f t="shared" si="40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59" cm="1">
        <f t="array" ref="F252">estimatedTripDuration(C252,$C$7,$C$6)/60</f>
        <v>8.0600000006622743</v>
      </c>
      <c r="G252">
        <f t="shared" si="36"/>
        <v>238</v>
      </c>
      <c r="H252" s="50">
        <f t="shared" si="41"/>
        <v>19.833333333333332</v>
      </c>
      <c r="I252" s="7" cm="1">
        <f t="array" ref="I252">CurrentCapacity(K$9,K$5,K$6,H252)</f>
        <v>273.78316944000005</v>
      </c>
      <c r="J252" s="48">
        <f t="shared" si="42"/>
        <v>0.40898164174992191</v>
      </c>
      <c r="K252" s="5" cm="1">
        <f t="array" ref="K252">UseableCapacity(I252,$K$7,$K$8)</f>
        <v>205.33737708000004</v>
      </c>
      <c r="L252" s="59">
        <f t="shared" si="43"/>
        <v>161.81087931893177</v>
      </c>
      <c r="M252" s="7">
        <f t="shared" si="44"/>
        <v>93.365086958931769</v>
      </c>
      <c r="N252" s="7">
        <f t="shared" si="45"/>
        <v>19.256830559999969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39"/>
        <v>239</v>
      </c>
      <c r="C253" s="7">
        <f t="shared" si="40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59" cm="1">
        <f t="array" ref="F253">estimatedTripDuration(C253,$C$7,$C$6)/60</f>
        <v>8.0933333339956093</v>
      </c>
      <c r="G253">
        <f t="shared" si="36"/>
        <v>239</v>
      </c>
      <c r="H253" s="50">
        <f t="shared" si="41"/>
        <v>19.916666666666668</v>
      </c>
      <c r="I253" s="7" cm="1">
        <f t="array" ref="I253">CurrentCapacity(K$9,K$5,K$6,H253)</f>
        <v>273.78229032000007</v>
      </c>
      <c r="J253" s="48">
        <f t="shared" si="42"/>
        <v>0.40917934870853362</v>
      </c>
      <c r="K253" s="5" cm="1">
        <f t="array" ref="K253">UseableCapacity(I253,$K$7,$K$8)</f>
        <v>205.33671774000004</v>
      </c>
      <c r="L253" s="59">
        <f t="shared" si="43"/>
        <v>161.75623107893176</v>
      </c>
      <c r="M253" s="7">
        <f t="shared" si="44"/>
        <v>93.310658498931744</v>
      </c>
      <c r="N253" s="7">
        <f t="shared" si="45"/>
        <v>19.257709679999948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39"/>
        <v>240</v>
      </c>
      <c r="C254" s="7">
        <f t="shared" si="40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59" cm="1">
        <f t="array" ref="F254">estimatedTripDuration(C254,$C$7,$C$6)/60</f>
        <v>8.1266666673289407</v>
      </c>
      <c r="G254">
        <f t="shared" si="36"/>
        <v>240</v>
      </c>
      <c r="H254" s="50">
        <f t="shared" si="41"/>
        <v>20</v>
      </c>
      <c r="I254" s="7" cm="1">
        <f t="array" ref="I254">CurrentCapacity(K$9,K$5,K$6,H254)</f>
        <v>273.78141120000004</v>
      </c>
      <c r="J254" s="48">
        <f t="shared" si="42"/>
        <v>0.4093770569368308</v>
      </c>
      <c r="K254" s="5" cm="1">
        <f t="array" ref="K254">UseableCapacity(I254,$K$7,$K$8)</f>
        <v>205.33605840000001</v>
      </c>
      <c r="L254" s="59">
        <f t="shared" si="43"/>
        <v>161.70158283893176</v>
      </c>
      <c r="M254" s="7">
        <f t="shared" si="44"/>
        <v>93.256230038931719</v>
      </c>
      <c r="N254" s="7">
        <f t="shared" si="45"/>
        <v>19.258588799999984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39"/>
        <v>241</v>
      </c>
      <c r="C255" s="7">
        <f t="shared" si="40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59" cm="1">
        <f t="array" ref="F255">estimatedTripDuration(C255,$C$7,$C$6)/60</f>
        <v>8.1600000006622739</v>
      </c>
      <c r="G255">
        <f t="shared" si="36"/>
        <v>241</v>
      </c>
      <c r="H255" s="50">
        <f t="shared" si="41"/>
        <v>20.083333333333332</v>
      </c>
      <c r="I255" s="7" cm="1">
        <f t="array" ref="I255">CurrentCapacity(K$9,K$5,K$6,H255)</f>
        <v>273.78053208</v>
      </c>
      <c r="J255" s="48">
        <f t="shared" si="42"/>
        <v>0.4095747664348256</v>
      </c>
      <c r="K255" s="5" cm="1">
        <f t="array" ref="K255">UseableCapacity(I255,$K$7,$K$8)</f>
        <v>205.33539905999999</v>
      </c>
      <c r="L255" s="59">
        <f t="shared" si="43"/>
        <v>161.64693459893172</v>
      </c>
      <c r="M255" s="7">
        <f t="shared" si="44"/>
        <v>93.201801578931708</v>
      </c>
      <c r="N255" s="7">
        <f t="shared" si="45"/>
        <v>19.25946792000002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39"/>
        <v>242</v>
      </c>
      <c r="C256" s="7">
        <f t="shared" si="40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59" cm="1">
        <f t="array" ref="F256">estimatedTripDuration(C256,$C$7,$C$6)/60</f>
        <v>8.1933333339956071</v>
      </c>
      <c r="G256">
        <f t="shared" si="36"/>
        <v>242</v>
      </c>
      <c r="H256" s="50">
        <f t="shared" si="41"/>
        <v>20.166666666666668</v>
      </c>
      <c r="I256" s="7" cm="1">
        <f t="array" ref="I256">CurrentCapacity(K$9,K$5,K$6,H256)</f>
        <v>273.77965296000002</v>
      </c>
      <c r="J256" s="48">
        <f t="shared" si="42"/>
        <v>0.40977247720253041</v>
      </c>
      <c r="K256" s="5" cm="1">
        <f t="array" ref="K256">UseableCapacity(I256,$K$7,$K$8)</f>
        <v>205.33473972000002</v>
      </c>
      <c r="L256" s="59">
        <f t="shared" si="43"/>
        <v>161.59228635893174</v>
      </c>
      <c r="M256" s="7">
        <f t="shared" si="44"/>
        <v>93.147373118931725</v>
      </c>
      <c r="N256" s="7">
        <f t="shared" si="45"/>
        <v>19.260347039999999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39"/>
        <v>243</v>
      </c>
      <c r="C257" s="7">
        <f t="shared" si="40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59" cm="1">
        <f t="array" ref="F257">estimatedTripDuration(C257,$C$7,$C$6)/60</f>
        <v>8.2266666673289404</v>
      </c>
      <c r="G257">
        <f t="shared" si="36"/>
        <v>243</v>
      </c>
      <c r="H257" s="50">
        <f t="shared" si="41"/>
        <v>20.25</v>
      </c>
      <c r="I257" s="7" cm="1">
        <f t="array" ref="I257">CurrentCapacity(K$9,K$5,K$6,H257)</f>
        <v>273.77877384000004</v>
      </c>
      <c r="J257" s="48">
        <f t="shared" si="42"/>
        <v>0.40997018923995732</v>
      </c>
      <c r="K257" s="5" cm="1">
        <f t="array" ref="K257">UseableCapacity(I257,$K$7,$K$8)</f>
        <v>205.33408038000005</v>
      </c>
      <c r="L257" s="59">
        <f t="shared" si="43"/>
        <v>161.53763811893174</v>
      </c>
      <c r="M257" s="7">
        <f t="shared" si="44"/>
        <v>93.092944658931756</v>
      </c>
      <c r="N257" s="7">
        <f t="shared" si="45"/>
        <v>19.261226159999978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39"/>
        <v>244</v>
      </c>
      <c r="C258" s="7">
        <f t="shared" si="40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59" cm="1">
        <f t="array" ref="F258">estimatedTripDuration(C258,$C$7,$C$6)/60</f>
        <v>8.2600000006622754</v>
      </c>
      <c r="G258">
        <f t="shared" si="36"/>
        <v>244</v>
      </c>
      <c r="H258" s="50">
        <f t="shared" si="41"/>
        <v>20.333333333333332</v>
      </c>
      <c r="I258" s="7" cm="1">
        <f t="array" ref="I258">CurrentCapacity(K$9,K$5,K$6,H258)</f>
        <v>273.77789472000006</v>
      </c>
      <c r="J258" s="48">
        <f t="shared" si="42"/>
        <v>0.41016790254711866</v>
      </c>
      <c r="K258" s="5" cm="1">
        <f t="array" ref="K258">UseableCapacity(I258,$K$7,$K$8)</f>
        <v>205.33342104000005</v>
      </c>
      <c r="L258" s="59">
        <f t="shared" si="43"/>
        <v>161.48298987893176</v>
      </c>
      <c r="M258" s="7">
        <f t="shared" si="44"/>
        <v>93.038516198931745</v>
      </c>
      <c r="N258" s="7">
        <f t="shared" si="45"/>
        <v>19.262105279999957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39"/>
        <v>245</v>
      </c>
      <c r="C259" s="7">
        <f t="shared" si="40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59" cm="1">
        <f t="array" ref="F259">estimatedTripDuration(C259,$C$7,$C$6)/60</f>
        <v>8.2933333339956086</v>
      </c>
      <c r="G259">
        <f t="shared" si="36"/>
        <v>245</v>
      </c>
      <c r="H259" s="50">
        <f t="shared" si="41"/>
        <v>20.416666666666668</v>
      </c>
      <c r="I259" s="7" cm="1">
        <f t="array" ref="I259">CurrentCapacity(K$9,K$5,K$6,H259)</f>
        <v>273.77701560000003</v>
      </c>
      <c r="J259" s="48">
        <f t="shared" si="42"/>
        <v>0.41036561712402664</v>
      </c>
      <c r="K259" s="5" cm="1">
        <f t="array" ref="K259">UseableCapacity(I259,$K$7,$K$8)</f>
        <v>205.33276170000002</v>
      </c>
      <c r="L259" s="59">
        <f t="shared" si="43"/>
        <v>161.42834163893173</v>
      </c>
      <c r="M259" s="7">
        <f t="shared" si="44"/>
        <v>92.984087738931734</v>
      </c>
      <c r="N259" s="7">
        <f t="shared" si="45"/>
        <v>19.262984399999993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39"/>
        <v>246</v>
      </c>
      <c r="C260" s="7">
        <f t="shared" si="40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59" cm="1">
        <f t="array" ref="F260">estimatedTripDuration(C260,$C$7,$C$6)/60</f>
        <v>8.3266666673289418</v>
      </c>
      <c r="G260">
        <f t="shared" si="36"/>
        <v>246</v>
      </c>
      <c r="H260" s="50">
        <f t="shared" si="41"/>
        <v>20.5</v>
      </c>
      <c r="I260" s="7" cm="1">
        <f t="array" ref="I260">CurrentCapacity(K$9,K$5,K$6,H260)</f>
        <v>273.77613648000005</v>
      </c>
      <c r="J260" s="48">
        <f t="shared" si="42"/>
        <v>0.41056333297069353</v>
      </c>
      <c r="K260" s="5" cm="1">
        <f t="array" ref="K260">UseableCapacity(I260,$K$7,$K$8)</f>
        <v>205.33210236000002</v>
      </c>
      <c r="L260" s="59">
        <f t="shared" si="43"/>
        <v>161.37369339893175</v>
      </c>
      <c r="M260" s="7">
        <f t="shared" si="44"/>
        <v>92.929659278931723</v>
      </c>
      <c r="N260" s="7">
        <f t="shared" si="45"/>
        <v>19.263863519999973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39"/>
        <v>247</v>
      </c>
      <c r="C261" s="7">
        <f t="shared" si="40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59" cm="1">
        <f t="array" ref="F261">estimatedTripDuration(C261,$C$7,$C$6)/60</f>
        <v>8.360000000662275</v>
      </c>
      <c r="G261">
        <f t="shared" si="36"/>
        <v>247</v>
      </c>
      <c r="H261" s="50">
        <f t="shared" si="41"/>
        <v>20.583333333333332</v>
      </c>
      <c r="I261" s="7" cm="1">
        <f t="array" ref="I261">CurrentCapacity(K$9,K$5,K$6,H261)</f>
        <v>273.77525736000001</v>
      </c>
      <c r="J261" s="48">
        <f t="shared" si="42"/>
        <v>0.4107610500871316</v>
      </c>
      <c r="K261" s="5" cm="1">
        <f t="array" ref="K261">UseableCapacity(I261,$K$7,$K$8)</f>
        <v>205.33144301999999</v>
      </c>
      <c r="L261" s="59">
        <f t="shared" si="43"/>
        <v>161.31904515893171</v>
      </c>
      <c r="M261" s="7">
        <f t="shared" si="44"/>
        <v>92.875230818931684</v>
      </c>
      <c r="N261" s="7">
        <f t="shared" si="45"/>
        <v>19.264742640000009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39"/>
        <v>248</v>
      </c>
      <c r="C262" s="7">
        <f t="shared" si="40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59" cm="1">
        <f t="array" ref="F262">estimatedTripDuration(C262,$C$7,$C$6)/60</f>
        <v>8.3933333339956064</v>
      </c>
      <c r="G262">
        <f t="shared" si="36"/>
        <v>248</v>
      </c>
      <c r="H262" s="50">
        <f t="shared" si="41"/>
        <v>20.666666666666668</v>
      </c>
      <c r="I262" s="7" cm="1">
        <f t="array" ref="I262">CurrentCapacity(K$9,K$5,K$6,H262)</f>
        <v>273.77437824000003</v>
      </c>
      <c r="J262" s="48">
        <f t="shared" si="42"/>
        <v>0.41095876847335283</v>
      </c>
      <c r="K262" s="5" cm="1">
        <f t="array" ref="K262">UseableCapacity(I262,$K$7,$K$8)</f>
        <v>205.33078368000002</v>
      </c>
      <c r="L262" s="59">
        <f t="shared" si="43"/>
        <v>161.26439691893174</v>
      </c>
      <c r="M262" s="7">
        <f t="shared" si="44"/>
        <v>92.820802358931729</v>
      </c>
      <c r="N262" s="7">
        <f t="shared" si="45"/>
        <v>19.265621759999988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39"/>
        <v>249</v>
      </c>
      <c r="C263" s="7">
        <f t="shared" si="40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59" cm="1">
        <f t="array" ref="F263">estimatedTripDuration(C263,$C$7,$C$6)/60</f>
        <v>8.4266666673289414</v>
      </c>
      <c r="G263">
        <f t="shared" si="36"/>
        <v>249</v>
      </c>
      <c r="H263" s="50">
        <f t="shared" si="41"/>
        <v>20.75</v>
      </c>
      <c r="I263" s="7" cm="1">
        <f t="array" ref="I263">CurrentCapacity(K$9,K$5,K$6,H263)</f>
        <v>273.77349912</v>
      </c>
      <c r="J263" s="48">
        <f t="shared" si="42"/>
        <v>0.41115648812936978</v>
      </c>
      <c r="K263" s="5" cm="1">
        <f t="array" ref="K263">UseableCapacity(I263,$K$7,$K$8)</f>
        <v>205.33012434</v>
      </c>
      <c r="L263" s="59">
        <f t="shared" si="43"/>
        <v>161.2097486789317</v>
      </c>
      <c r="M263" s="7">
        <f t="shared" si="44"/>
        <v>92.76637389893169</v>
      </c>
      <c r="N263" s="7">
        <f t="shared" si="45"/>
        <v>19.266500880000024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39"/>
        <v>250</v>
      </c>
      <c r="C264" s="7">
        <f t="shared" si="40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59" cm="1">
        <f t="array" ref="F264">estimatedTripDuration(C264,$C$7,$C$6)/60</f>
        <v>8.4600000006622746</v>
      </c>
      <c r="G264">
        <f t="shared" si="36"/>
        <v>250</v>
      </c>
      <c r="H264" s="50">
        <f t="shared" si="41"/>
        <v>20.833333333333332</v>
      </c>
      <c r="I264" s="7" cm="1">
        <f t="array" ref="I264">CurrentCapacity(K$9,K$5,K$6,H264)</f>
        <v>273.77262000000002</v>
      </c>
      <c r="J264" s="48">
        <f t="shared" si="42"/>
        <v>0.41135420905519438</v>
      </c>
      <c r="K264" s="5" cm="1">
        <f t="array" ref="K264">UseableCapacity(I264,$K$7,$K$8)</f>
        <v>205.32946500000003</v>
      </c>
      <c r="L264" s="59">
        <f t="shared" si="43"/>
        <v>161.15510043893173</v>
      </c>
      <c r="M264" s="7">
        <f t="shared" si="44"/>
        <v>92.711945438931735</v>
      </c>
      <c r="N264" s="7">
        <f t="shared" si="45"/>
        <v>19.267380000000003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39"/>
        <v>251</v>
      </c>
      <c r="C265" s="7">
        <f t="shared" si="40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59" cm="1">
        <f t="array" ref="F265">estimatedTripDuration(C265,$C$7,$C$6)/60</f>
        <v>8.4933333339956079</v>
      </c>
      <c r="G265">
        <f t="shared" ref="G265:G328" si="46">B265</f>
        <v>251</v>
      </c>
      <c r="H265" s="50">
        <f t="shared" si="41"/>
        <v>20.916666666666668</v>
      </c>
      <c r="I265" s="7" cm="1">
        <f t="array" ref="I265">CurrentCapacity(K$9,K$5,K$6,H265)</f>
        <v>273.77174088000004</v>
      </c>
      <c r="J265" s="48">
        <f t="shared" si="42"/>
        <v>0.41155193125083894</v>
      </c>
      <c r="K265" s="5" cm="1">
        <f t="array" ref="K265">UseableCapacity(I265,$K$7,$K$8)</f>
        <v>205.32880566000003</v>
      </c>
      <c r="L265" s="59">
        <f t="shared" si="43"/>
        <v>161.10045219893175</v>
      </c>
      <c r="M265" s="7">
        <f t="shared" si="44"/>
        <v>92.657516978931753</v>
      </c>
      <c r="N265" s="7">
        <f t="shared" si="45"/>
        <v>19.268259119999982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35">
      <c r="B266">
        <f t="shared" si="39"/>
        <v>252</v>
      </c>
      <c r="C266" s="7">
        <f t="shared" si="40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59" cm="1">
        <f t="array" ref="F266">estimatedTripDuration(C266,$C$7,$C$6)/60</f>
        <v>8.5266666673289411</v>
      </c>
      <c r="G266">
        <f t="shared" si="46"/>
        <v>252</v>
      </c>
      <c r="H266" s="50">
        <f t="shared" si="41"/>
        <v>21</v>
      </c>
      <c r="I266" s="7" cm="1">
        <f t="array" ref="I266">CurrentCapacity(K$9,K$5,K$6,H266)</f>
        <v>273.77086176000006</v>
      </c>
      <c r="J266" s="48">
        <f t="shared" si="42"/>
        <v>0.41174965471631592</v>
      </c>
      <c r="K266" s="5" cm="1">
        <f t="array" ref="K266">UseableCapacity(I266,$K$7,$K$8)</f>
        <v>205.32814632000003</v>
      </c>
      <c r="L266" s="59">
        <f t="shared" si="43"/>
        <v>161.04580395893177</v>
      </c>
      <c r="M266" s="7">
        <f t="shared" si="44"/>
        <v>92.603088518931742</v>
      </c>
      <c r="N266" s="7">
        <f t="shared" si="45"/>
        <v>19.269138239999961</v>
      </c>
      <c r="O266" t="str">
        <f t="shared" si="47"/>
        <v>no</v>
      </c>
      <c r="P266" t="str">
        <f t="shared" si="48"/>
        <v>no</v>
      </c>
    </row>
    <row r="267" spans="2:16" x14ac:dyDescent="0.35">
      <c r="B267">
        <f t="shared" si="39"/>
        <v>253</v>
      </c>
      <c r="C267" s="7">
        <f t="shared" si="40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59" cm="1">
        <f t="array" ref="F267">estimatedTripDuration(C267,$C$7,$C$6)/60</f>
        <v>8.5600000006622743</v>
      </c>
      <c r="G267">
        <f t="shared" si="46"/>
        <v>253</v>
      </c>
      <c r="H267" s="50">
        <f t="shared" si="41"/>
        <v>21.083333333333332</v>
      </c>
      <c r="I267" s="7" cm="1">
        <f t="array" ref="I267">CurrentCapacity(K$9,K$5,K$6,H267)</f>
        <v>273.76998264000002</v>
      </c>
      <c r="J267" s="48">
        <f t="shared" si="42"/>
        <v>0.41194737945163745</v>
      </c>
      <c r="K267" s="5" cm="1">
        <f t="array" ref="K267">UseableCapacity(I267,$K$7,$K$8)</f>
        <v>205.32748698</v>
      </c>
      <c r="L267" s="59">
        <f t="shared" si="43"/>
        <v>160.99115571893174</v>
      </c>
      <c r="M267" s="7">
        <f t="shared" si="44"/>
        <v>92.548660058931716</v>
      </c>
      <c r="N267" s="7">
        <f t="shared" si="45"/>
        <v>19.270017359999997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39"/>
        <v>254</v>
      </c>
      <c r="C268" s="7">
        <f t="shared" si="40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59" cm="1">
        <f t="array" ref="F268">estimatedTripDuration(C268,$C$7,$C$6)/60</f>
        <v>8.5933333339956093</v>
      </c>
      <c r="G268">
        <f t="shared" si="46"/>
        <v>254</v>
      </c>
      <c r="H268" s="50">
        <f t="shared" si="41"/>
        <v>21.166666666666668</v>
      </c>
      <c r="I268" s="7" cm="1">
        <f t="array" ref="I268">CurrentCapacity(K$9,K$5,K$6,H268)</f>
        <v>273.76910352000004</v>
      </c>
      <c r="J268" s="48">
        <f t="shared" si="42"/>
        <v>0.41214510545681565</v>
      </c>
      <c r="K268" s="5" cm="1">
        <f t="array" ref="K268">UseableCapacity(I268,$K$7,$K$8)</f>
        <v>205.32682764000003</v>
      </c>
      <c r="L268" s="59">
        <f t="shared" si="43"/>
        <v>160.93650747893173</v>
      </c>
      <c r="M268" s="7">
        <f t="shared" si="44"/>
        <v>92.494231598931734</v>
      </c>
      <c r="N268" s="7">
        <f t="shared" si="45"/>
        <v>19.270896479999976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39"/>
        <v>255</v>
      </c>
      <c r="C269" s="7">
        <f t="shared" si="40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59" cm="1">
        <f t="array" ref="F269">estimatedTripDuration(C269,$C$7,$C$6)/60</f>
        <v>8.6266666673289407</v>
      </c>
      <c r="G269">
        <f t="shared" si="46"/>
        <v>255</v>
      </c>
      <c r="H269" s="50">
        <f t="shared" si="41"/>
        <v>21.25</v>
      </c>
      <c r="I269" s="7" cm="1">
        <f t="array" ref="I269">CurrentCapacity(K$9,K$5,K$6,H269)</f>
        <v>273.76822440000001</v>
      </c>
      <c r="J269" s="48">
        <f t="shared" si="42"/>
        <v>0.41234283273186284</v>
      </c>
      <c r="K269" s="5" cm="1">
        <f t="array" ref="K269">UseableCapacity(I269,$K$7,$K$8)</f>
        <v>205.32616830000001</v>
      </c>
      <c r="L269" s="59">
        <f t="shared" si="43"/>
        <v>160.88185923893172</v>
      </c>
      <c r="M269" s="7">
        <f t="shared" si="44"/>
        <v>92.439803138931708</v>
      </c>
      <c r="N269" s="7">
        <f t="shared" si="45"/>
        <v>19.271775600000012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39"/>
        <v>256</v>
      </c>
      <c r="C270" s="7">
        <f t="shared" si="40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59" cm="1">
        <f t="array" ref="F270">estimatedTripDuration(C270,$C$7,$C$6)/60</f>
        <v>8.6600000006622739</v>
      </c>
      <c r="G270">
        <f t="shared" si="46"/>
        <v>256</v>
      </c>
      <c r="H270" s="50">
        <f t="shared" si="41"/>
        <v>21.333333333333332</v>
      </c>
      <c r="I270" s="7" cm="1">
        <f t="array" ref="I270">CurrentCapacity(K$9,K$5,K$6,H270)</f>
        <v>273.76734528000003</v>
      </c>
      <c r="J270" s="48">
        <f t="shared" si="42"/>
        <v>0.41254056127679112</v>
      </c>
      <c r="K270" s="5" cm="1">
        <f t="array" ref="K270">UseableCapacity(I270,$K$7,$K$8)</f>
        <v>205.32550896000004</v>
      </c>
      <c r="L270" s="59">
        <f t="shared" si="43"/>
        <v>160.82721099893175</v>
      </c>
      <c r="M270" s="7">
        <f t="shared" si="44"/>
        <v>92.385374678931754</v>
      </c>
      <c r="N270" s="7">
        <f t="shared" si="45"/>
        <v>19.272654719999991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ref="B271:B334" si="49">B270+$G$12</f>
        <v>257</v>
      </c>
      <c r="C271" s="7">
        <f t="shared" ref="C271:C334" si="50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59" cm="1">
        <f t="array" ref="F271">estimatedTripDuration(C271,$C$7,$C$6)/60</f>
        <v>8.6933333339956071</v>
      </c>
      <c r="G271">
        <f t="shared" si="46"/>
        <v>257</v>
      </c>
      <c r="H271" s="50">
        <f t="shared" ref="H271:H334" si="51">G271/$G$3</f>
        <v>21.416666666666668</v>
      </c>
      <c r="I271" s="7" cm="1">
        <f t="array" ref="I271">CurrentCapacity(K$9,K$5,K$6,H271)</f>
        <v>273.76646616000005</v>
      </c>
      <c r="J271" s="48">
        <f t="shared" ref="J271:J334" si="52">E271/I271</f>
        <v>0.41273829109161292</v>
      </c>
      <c r="K271" s="5" cm="1">
        <f t="array" ref="K271">UseableCapacity(I271,$K$7,$K$8)</f>
        <v>205.32484962000004</v>
      </c>
      <c r="L271" s="59">
        <f t="shared" ref="L271:L334" si="53">(K$7*I271)-E271</f>
        <v>160.77256275893177</v>
      </c>
      <c r="M271" s="7">
        <f t="shared" ref="M271:M334" si="54">K271-E271</f>
        <v>92.330946218931743</v>
      </c>
      <c r="N271" s="7">
        <f t="shared" ref="N271:N334" si="55">$K$9-I271</f>
        <v>19.27353383999997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si="49"/>
        <v>258</v>
      </c>
      <c r="C272" s="7">
        <f t="shared" si="50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59" cm="1">
        <f t="array" ref="F272">estimatedTripDuration(C272,$C$7,$C$6)/60</f>
        <v>8.7266666673289404</v>
      </c>
      <c r="G272">
        <f t="shared" si="46"/>
        <v>258</v>
      </c>
      <c r="H272" s="50">
        <f t="shared" si="51"/>
        <v>21.5</v>
      </c>
      <c r="I272" s="7" cm="1">
        <f t="array" ref="I272">CurrentCapacity(K$9,K$5,K$6,H272)</f>
        <v>273.76558704000001</v>
      </c>
      <c r="J272" s="48">
        <f t="shared" si="52"/>
        <v>0.4129360221763404</v>
      </c>
      <c r="K272" s="5" cm="1">
        <f t="array" ref="K272">UseableCapacity(I272,$K$7,$K$8)</f>
        <v>205.32419028000001</v>
      </c>
      <c r="L272" s="59">
        <f t="shared" si="53"/>
        <v>160.71791451893171</v>
      </c>
      <c r="M272" s="7">
        <f t="shared" si="54"/>
        <v>92.276517758931718</v>
      </c>
      <c r="N272" s="7">
        <f t="shared" si="55"/>
        <v>19.274412960000006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si="49"/>
        <v>259</v>
      </c>
      <c r="C273" s="7">
        <f t="shared" si="50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59" cm="1">
        <f t="array" ref="F273">estimatedTripDuration(C273,$C$7,$C$6)/60</f>
        <v>8.7600000006622736</v>
      </c>
      <c r="G273">
        <f t="shared" si="46"/>
        <v>259</v>
      </c>
      <c r="H273" s="50">
        <f t="shared" si="51"/>
        <v>21.583333333333332</v>
      </c>
      <c r="I273" s="7" cm="1">
        <f t="array" ref="I273">CurrentCapacity(K$9,K$5,K$6,H273)</f>
        <v>273.76470792000003</v>
      </c>
      <c r="J273" s="48">
        <f t="shared" si="52"/>
        <v>0.41313375453098578</v>
      </c>
      <c r="K273" s="5" cm="1">
        <f t="array" ref="K273">UseableCapacity(I273,$K$7,$K$8)</f>
        <v>205.32353094000001</v>
      </c>
      <c r="L273" s="59">
        <f t="shared" si="53"/>
        <v>160.66326627893173</v>
      </c>
      <c r="M273" s="7">
        <f t="shared" si="54"/>
        <v>92.222089298931706</v>
      </c>
      <c r="N273" s="7">
        <f t="shared" si="55"/>
        <v>19.275292079999986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49"/>
        <v>260</v>
      </c>
      <c r="C274" s="7">
        <f t="shared" si="50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59" cm="1">
        <f t="array" ref="F274">estimatedTripDuration(C274,$C$7,$C$6)/60</f>
        <v>8.7933333339956068</v>
      </c>
      <c r="G274">
        <f t="shared" si="46"/>
        <v>260</v>
      </c>
      <c r="H274" s="50">
        <f t="shared" si="51"/>
        <v>21.666666666666668</v>
      </c>
      <c r="I274" s="7" cm="1">
        <f t="array" ref="I274">CurrentCapacity(K$9,K$5,K$6,H274)</f>
        <v>273.76382880000006</v>
      </c>
      <c r="J274" s="48">
        <f t="shared" si="52"/>
        <v>0.41333148815556114</v>
      </c>
      <c r="K274" s="5" cm="1">
        <f t="array" ref="K274">UseableCapacity(I274,$K$7,$K$8)</f>
        <v>205.32287160000004</v>
      </c>
      <c r="L274" s="59">
        <f t="shared" si="53"/>
        <v>160.60861803893175</v>
      </c>
      <c r="M274" s="7">
        <f t="shared" si="54"/>
        <v>92.167660838931752</v>
      </c>
      <c r="N274" s="7">
        <f t="shared" si="55"/>
        <v>19.276171199999965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49"/>
        <v>261</v>
      </c>
      <c r="C275" s="7">
        <f t="shared" si="50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59" cm="1">
        <f t="array" ref="F275">estimatedTripDuration(C275,$C$7,$C$6)/60</f>
        <v>8.82666666732894</v>
      </c>
      <c r="G275">
        <f t="shared" si="46"/>
        <v>261</v>
      </c>
      <c r="H275" s="50">
        <f t="shared" si="51"/>
        <v>21.75</v>
      </c>
      <c r="I275" s="7" cm="1">
        <f t="array" ref="I275">CurrentCapacity(K$9,K$5,K$6,H275)</f>
        <v>273.76294968000002</v>
      </c>
      <c r="J275" s="48">
        <f t="shared" si="52"/>
        <v>0.413529223050079</v>
      </c>
      <c r="K275" s="5" cm="1">
        <f t="array" ref="K275">UseableCapacity(I275,$K$7,$K$8)</f>
        <v>205.32221226000001</v>
      </c>
      <c r="L275" s="59">
        <f t="shared" si="53"/>
        <v>160.55396979893175</v>
      </c>
      <c r="M275" s="7">
        <f t="shared" si="54"/>
        <v>92.113232378931727</v>
      </c>
      <c r="N275" s="7">
        <f t="shared" si="55"/>
        <v>19.277050320000001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49"/>
        <v>262</v>
      </c>
      <c r="C276" s="7">
        <f t="shared" si="50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59" cm="1">
        <f t="array" ref="F276">estimatedTripDuration(C276,$C$7,$C$6)/60</f>
        <v>8.8600000006622732</v>
      </c>
      <c r="G276">
        <f t="shared" si="46"/>
        <v>262</v>
      </c>
      <c r="H276" s="50">
        <f t="shared" si="51"/>
        <v>21.833333333333332</v>
      </c>
      <c r="I276" s="7" cm="1">
        <f t="array" ref="I276">CurrentCapacity(K$9,K$5,K$6,H276)</f>
        <v>273.76207056000004</v>
      </c>
      <c r="J276" s="48">
        <f t="shared" si="52"/>
        <v>0.41372695921455155</v>
      </c>
      <c r="K276" s="5" cm="1">
        <f t="array" ref="K276">UseableCapacity(I276,$K$7,$K$8)</f>
        <v>205.32155292000004</v>
      </c>
      <c r="L276" s="59">
        <f t="shared" si="53"/>
        <v>160.49932155893174</v>
      </c>
      <c r="M276" s="7">
        <f t="shared" si="54"/>
        <v>92.05880391893173</v>
      </c>
      <c r="N276" s="7">
        <f t="shared" si="55"/>
        <v>19.27792943999998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49"/>
        <v>263</v>
      </c>
      <c r="C277" s="7">
        <f t="shared" si="50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59" cm="1">
        <f t="array" ref="F277">estimatedTripDuration(C277,$C$7,$C$6)/60</f>
        <v>8.8933333339956064</v>
      </c>
      <c r="G277">
        <f t="shared" si="46"/>
        <v>263</v>
      </c>
      <c r="H277" s="50">
        <f t="shared" si="51"/>
        <v>21.916666666666668</v>
      </c>
      <c r="I277" s="7" cm="1">
        <f t="array" ref="I277">CurrentCapacity(K$9,K$5,K$6,H277)</f>
        <v>273.76119144</v>
      </c>
      <c r="J277" s="48">
        <f t="shared" si="52"/>
        <v>0.41392469664899073</v>
      </c>
      <c r="K277" s="5" cm="1">
        <f t="array" ref="K277">UseableCapacity(I277,$K$7,$K$8)</f>
        <v>205.32089358000002</v>
      </c>
      <c r="L277" s="59">
        <f t="shared" si="53"/>
        <v>160.44467331893173</v>
      </c>
      <c r="M277" s="7">
        <f t="shared" si="54"/>
        <v>92.004375458931733</v>
      </c>
      <c r="N277" s="7">
        <f t="shared" si="55"/>
        <v>19.278808560000016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49"/>
        <v>264</v>
      </c>
      <c r="C278" s="7">
        <f t="shared" si="50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59" cm="1">
        <f t="array" ref="F278">estimatedTripDuration(C278,$C$7,$C$6)/60</f>
        <v>8.9266666673289397</v>
      </c>
      <c r="G278">
        <f t="shared" si="46"/>
        <v>264</v>
      </c>
      <c r="H278" s="50">
        <f t="shared" si="51"/>
        <v>22</v>
      </c>
      <c r="I278" s="7" cm="1">
        <f t="array" ref="I278">CurrentCapacity(K$9,K$5,K$6,H278)</f>
        <v>273.76031232000003</v>
      </c>
      <c r="J278" s="48">
        <f t="shared" si="52"/>
        <v>0.41412243535340915</v>
      </c>
      <c r="K278" s="5" cm="1">
        <f t="array" ref="K278">UseableCapacity(I278,$K$7,$K$8)</f>
        <v>205.32023424000002</v>
      </c>
      <c r="L278" s="59">
        <f t="shared" si="53"/>
        <v>160.39002507893173</v>
      </c>
      <c r="M278" s="7">
        <f t="shared" si="54"/>
        <v>91.949946998931708</v>
      </c>
      <c r="N278" s="7">
        <f t="shared" si="55"/>
        <v>19.279687679999995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49"/>
        <v>265</v>
      </c>
      <c r="C279" s="7">
        <f t="shared" si="50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59" cm="1">
        <f t="array" ref="F279">estimatedTripDuration(C279,$C$7,$C$6)/60</f>
        <v>8.9600000006622729</v>
      </c>
      <c r="G279">
        <f t="shared" si="46"/>
        <v>265</v>
      </c>
      <c r="H279" s="50">
        <f t="shared" si="51"/>
        <v>22.083333333333332</v>
      </c>
      <c r="I279" s="7" cm="1">
        <f t="array" ref="I279">CurrentCapacity(K$9,K$5,K$6,H279)</f>
        <v>273.75943320000005</v>
      </c>
      <c r="J279" s="48">
        <f t="shared" si="52"/>
        <v>0.41432017532781867</v>
      </c>
      <c r="K279" s="5" cm="1">
        <f t="array" ref="K279">UseableCapacity(I279,$K$7,$K$8)</f>
        <v>205.31957490000002</v>
      </c>
      <c r="L279" s="59">
        <f t="shared" si="53"/>
        <v>160.33537683893178</v>
      </c>
      <c r="M279" s="7">
        <f t="shared" si="54"/>
        <v>91.895518538931739</v>
      </c>
      <c r="N279" s="7">
        <f t="shared" si="55"/>
        <v>19.280566799999974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49"/>
        <v>266</v>
      </c>
      <c r="C280" s="7">
        <f t="shared" si="50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59" cm="1">
        <f t="array" ref="F280">estimatedTripDuration(C280,$C$7,$C$6)/60</f>
        <v>8.9933333339956061</v>
      </c>
      <c r="G280">
        <f t="shared" si="46"/>
        <v>266</v>
      </c>
      <c r="H280" s="50">
        <f t="shared" si="51"/>
        <v>22.166666666666668</v>
      </c>
      <c r="I280" s="7" cm="1">
        <f t="array" ref="I280">CurrentCapacity(K$9,K$5,K$6,H280)</f>
        <v>273.75855408000007</v>
      </c>
      <c r="J280" s="48">
        <f t="shared" si="52"/>
        <v>0.4145179165722318</v>
      </c>
      <c r="K280" s="5" cm="1">
        <f t="array" ref="K280">UseableCapacity(I280,$K$7,$K$8)</f>
        <v>205.31891556000005</v>
      </c>
      <c r="L280" s="59">
        <f t="shared" si="53"/>
        <v>160.28072859893177</v>
      </c>
      <c r="M280" s="7">
        <f t="shared" si="54"/>
        <v>91.841090078931771</v>
      </c>
      <c r="N280" s="7">
        <f t="shared" si="55"/>
        <v>19.281445919999953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49"/>
        <v>267</v>
      </c>
      <c r="C281" s="7">
        <f t="shared" si="50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59" cm="1">
        <f t="array" ref="F281">estimatedTripDuration(C281,$C$7,$C$6)/60</f>
        <v>9.0266666673289411</v>
      </c>
      <c r="G281">
        <f t="shared" si="46"/>
        <v>267</v>
      </c>
      <c r="H281" s="50">
        <f t="shared" si="51"/>
        <v>22.25</v>
      </c>
      <c r="I281" s="7" cm="1">
        <f t="array" ref="I281">CurrentCapacity(K$9,K$5,K$6,H281)</f>
        <v>273.75767496000003</v>
      </c>
      <c r="J281" s="48">
        <f t="shared" si="52"/>
        <v>0.41471565908666086</v>
      </c>
      <c r="K281" s="5" cm="1">
        <f t="array" ref="K281">UseableCapacity(I281,$K$7,$K$8)</f>
        <v>205.31825622000002</v>
      </c>
      <c r="L281" s="59">
        <f t="shared" si="53"/>
        <v>160.22608035893174</v>
      </c>
      <c r="M281" s="7">
        <f t="shared" si="54"/>
        <v>91.786661618931731</v>
      </c>
      <c r="N281" s="7">
        <f t="shared" si="55"/>
        <v>19.282325039999989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49"/>
        <v>268</v>
      </c>
      <c r="C282" s="7">
        <f t="shared" si="50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59" cm="1">
        <f t="array" ref="F282">estimatedTripDuration(C282,$C$7,$C$6)/60</f>
        <v>9.0600000006622743</v>
      </c>
      <c r="G282">
        <f t="shared" si="46"/>
        <v>268</v>
      </c>
      <c r="H282" s="50">
        <f t="shared" si="51"/>
        <v>22.333333333333332</v>
      </c>
      <c r="I282" s="7" cm="1">
        <f t="array" ref="I282">CurrentCapacity(K$9,K$5,K$6,H282)</f>
        <v>273.75679584000005</v>
      </c>
      <c r="J282" s="48">
        <f t="shared" si="52"/>
        <v>0.41491340287111783</v>
      </c>
      <c r="K282" s="5" cm="1">
        <f t="array" ref="K282">UseableCapacity(I282,$K$7,$K$8)</f>
        <v>205.31759688000005</v>
      </c>
      <c r="L282" s="59">
        <f t="shared" si="53"/>
        <v>160.17143211893176</v>
      </c>
      <c r="M282" s="7">
        <f t="shared" si="54"/>
        <v>91.732233158931763</v>
      </c>
      <c r="N282" s="7">
        <f t="shared" si="55"/>
        <v>19.283204159999968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49"/>
        <v>269</v>
      </c>
      <c r="C283" s="7">
        <f t="shared" si="50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59" cm="1">
        <f t="array" ref="F283">estimatedTripDuration(C283,$C$7,$C$6)/60</f>
        <v>9.0933333339956075</v>
      </c>
      <c r="G283">
        <f t="shared" si="46"/>
        <v>269</v>
      </c>
      <c r="H283" s="50">
        <f t="shared" si="51"/>
        <v>22.416666666666668</v>
      </c>
      <c r="I283" s="7" cm="1">
        <f t="array" ref="I283">CurrentCapacity(K$9,K$5,K$6,H283)</f>
        <v>273.75591672000002</v>
      </c>
      <c r="J283" s="48">
        <f t="shared" si="52"/>
        <v>0.41511114792561515</v>
      </c>
      <c r="K283" s="5" cm="1">
        <f t="array" ref="K283">UseableCapacity(I283,$K$7,$K$8)</f>
        <v>205.31693754000003</v>
      </c>
      <c r="L283" s="59">
        <f t="shared" si="53"/>
        <v>160.1167838789317</v>
      </c>
      <c r="M283" s="7">
        <f t="shared" si="54"/>
        <v>91.677804698931723</v>
      </c>
      <c r="N283" s="7">
        <f t="shared" si="55"/>
        <v>19.284083280000004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49"/>
        <v>270</v>
      </c>
      <c r="C284" s="7">
        <f t="shared" si="50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59" cm="1">
        <f t="array" ref="F284">estimatedTripDuration(C284,$C$7,$C$6)/60</f>
        <v>9.1266666673289407</v>
      </c>
      <c r="G284">
        <f t="shared" si="46"/>
        <v>270</v>
      </c>
      <c r="H284" s="50">
        <f t="shared" si="51"/>
        <v>22.5</v>
      </c>
      <c r="I284" s="7" cm="1">
        <f t="array" ref="I284">CurrentCapacity(K$9,K$5,K$6,H284)</f>
        <v>273.75503760000004</v>
      </c>
      <c r="J284" s="48">
        <f t="shared" si="52"/>
        <v>0.41530889425016476</v>
      </c>
      <c r="K284" s="5" cm="1">
        <f t="array" ref="K284">UseableCapacity(I284,$K$7,$K$8)</f>
        <v>205.31627820000003</v>
      </c>
      <c r="L284" s="59">
        <f t="shared" si="53"/>
        <v>160.06213563893175</v>
      </c>
      <c r="M284" s="7">
        <f t="shared" si="54"/>
        <v>91.623376238931741</v>
      </c>
      <c r="N284" s="7">
        <f t="shared" si="55"/>
        <v>19.284962399999984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49"/>
        <v>271</v>
      </c>
      <c r="C285" s="7">
        <f t="shared" si="50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59" cm="1">
        <f t="array" ref="F285">estimatedTripDuration(C285,$C$7,$C$6)/60</f>
        <v>9.1600000006622739</v>
      </c>
      <c r="G285">
        <f t="shared" si="46"/>
        <v>271</v>
      </c>
      <c r="H285" s="50">
        <f t="shared" si="51"/>
        <v>22.583333333333332</v>
      </c>
      <c r="I285" s="7" cm="1">
        <f t="array" ref="I285">CurrentCapacity(K$9,K$5,K$6,H285)</f>
        <v>273.75415848000006</v>
      </c>
      <c r="J285" s="48">
        <f t="shared" si="52"/>
        <v>0.41550664184477915</v>
      </c>
      <c r="K285" s="5" cm="1">
        <f t="array" ref="K285">UseableCapacity(I285,$K$7,$K$8)</f>
        <v>205.31561886000003</v>
      </c>
      <c r="L285" s="59">
        <f t="shared" si="53"/>
        <v>160.00748739893174</v>
      </c>
      <c r="M285" s="7">
        <f t="shared" si="54"/>
        <v>91.568947778931729</v>
      </c>
      <c r="N285" s="7">
        <f t="shared" si="55"/>
        <v>19.285841519999963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49"/>
        <v>272</v>
      </c>
      <c r="C286" s="7">
        <f t="shared" si="50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59" cm="1">
        <f t="array" ref="F286">estimatedTripDuration(C286,$C$7,$C$6)/60</f>
        <v>9.1933333339956071</v>
      </c>
      <c r="G286">
        <f t="shared" si="46"/>
        <v>272</v>
      </c>
      <c r="H286" s="50">
        <f t="shared" si="51"/>
        <v>22.666666666666668</v>
      </c>
      <c r="I286" s="7" cm="1">
        <f t="array" ref="I286">CurrentCapacity(K$9,K$5,K$6,H286)</f>
        <v>273.75327936000002</v>
      </c>
      <c r="J286" s="48">
        <f t="shared" si="52"/>
        <v>0.41570439070947057</v>
      </c>
      <c r="K286" s="5" cm="1">
        <f t="array" ref="K286">UseableCapacity(I286,$K$7,$K$8)</f>
        <v>205.31495952</v>
      </c>
      <c r="L286" s="59">
        <f t="shared" si="53"/>
        <v>159.95283915893174</v>
      </c>
      <c r="M286" s="7">
        <f t="shared" si="54"/>
        <v>91.514519318931704</v>
      </c>
      <c r="N286" s="7">
        <f t="shared" si="55"/>
        <v>19.286720639999999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49"/>
        <v>273</v>
      </c>
      <c r="C287" s="7">
        <f t="shared" si="50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59" cm="1">
        <f t="array" ref="F287">estimatedTripDuration(C287,$C$7,$C$6)/60</f>
        <v>9.2266666673289404</v>
      </c>
      <c r="G287">
        <f t="shared" si="46"/>
        <v>273</v>
      </c>
      <c r="H287" s="50">
        <f t="shared" si="51"/>
        <v>22.75</v>
      </c>
      <c r="I287" s="7" cm="1">
        <f t="array" ref="I287">CurrentCapacity(K$9,K$5,K$6,H287)</f>
        <v>273.75240024000004</v>
      </c>
      <c r="J287" s="48">
        <f t="shared" si="52"/>
        <v>0.41590214084425109</v>
      </c>
      <c r="K287" s="5" cm="1">
        <f t="array" ref="K287">UseableCapacity(I287,$K$7,$K$8)</f>
        <v>205.31430018000003</v>
      </c>
      <c r="L287" s="59">
        <f t="shared" si="53"/>
        <v>159.89819091893173</v>
      </c>
      <c r="M287" s="7">
        <f t="shared" si="54"/>
        <v>91.460090858931736</v>
      </c>
      <c r="N287" s="7">
        <f t="shared" si="55"/>
        <v>19.287599759999978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49"/>
        <v>274</v>
      </c>
      <c r="C288" s="7">
        <f t="shared" si="50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59" cm="1">
        <f t="array" ref="F288">estimatedTripDuration(C288,$C$7,$C$6)/60</f>
        <v>9.2600000006622736</v>
      </c>
      <c r="G288">
        <f t="shared" si="46"/>
        <v>274</v>
      </c>
      <c r="H288" s="50">
        <f t="shared" si="51"/>
        <v>22.833333333333332</v>
      </c>
      <c r="I288" s="7" cm="1">
        <f t="array" ref="I288">CurrentCapacity(K$9,K$5,K$6,H288)</f>
        <v>273.75152112000006</v>
      </c>
      <c r="J288" s="48">
        <f t="shared" si="52"/>
        <v>0.41609989224913307</v>
      </c>
      <c r="K288" s="5" cm="1">
        <f t="array" ref="K288">UseableCapacity(I288,$K$7,$K$8)</f>
        <v>205.31364084000006</v>
      </c>
      <c r="L288" s="59">
        <f t="shared" si="53"/>
        <v>159.84354267893175</v>
      </c>
      <c r="M288" s="7">
        <f t="shared" si="54"/>
        <v>91.405662398931753</v>
      </c>
      <c r="N288" s="7">
        <f t="shared" si="55"/>
        <v>19.288478879999957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49"/>
        <v>275</v>
      </c>
      <c r="C289" s="7">
        <f t="shared" si="50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59" cm="1">
        <f t="array" ref="F289">estimatedTripDuration(C289,$C$7,$C$6)/60</f>
        <v>9.2933333339956068</v>
      </c>
      <c r="G289">
        <f t="shared" si="46"/>
        <v>275</v>
      </c>
      <c r="H289" s="50">
        <f t="shared" si="51"/>
        <v>22.916666666666668</v>
      </c>
      <c r="I289" s="7" cm="1">
        <f t="array" ref="I289">CurrentCapacity(K$9,K$5,K$6,H289)</f>
        <v>273.75064200000003</v>
      </c>
      <c r="J289" s="48">
        <f t="shared" si="52"/>
        <v>0.41629764492412874</v>
      </c>
      <c r="K289" s="5" cm="1">
        <f t="array" ref="K289">UseableCapacity(I289,$K$7,$K$8)</f>
        <v>205.31298150000003</v>
      </c>
      <c r="L289" s="59">
        <f t="shared" si="53"/>
        <v>159.78889443893172</v>
      </c>
      <c r="M289" s="7">
        <f t="shared" si="54"/>
        <v>91.351233938931742</v>
      </c>
      <c r="N289" s="7">
        <f t="shared" si="55"/>
        <v>19.289357999999993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49"/>
        <v>276</v>
      </c>
      <c r="C290" s="7">
        <f t="shared" si="50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59" cm="1">
        <f t="array" ref="F290">estimatedTripDuration(C290,$C$7,$C$6)/60</f>
        <v>9.32666666732894</v>
      </c>
      <c r="G290">
        <f t="shared" si="46"/>
        <v>276</v>
      </c>
      <c r="H290" s="50">
        <f t="shared" si="51"/>
        <v>23</v>
      </c>
      <c r="I290" s="7" cm="1">
        <f t="array" ref="I290">CurrentCapacity(K$9,K$5,K$6,H290)</f>
        <v>273.74976287999999</v>
      </c>
      <c r="J290" s="48">
        <f t="shared" si="52"/>
        <v>0.4164953988692503</v>
      </c>
      <c r="K290" s="5" cm="1">
        <f t="array" ref="K290">UseableCapacity(I290,$K$7,$K$8)</f>
        <v>205.31232216000001</v>
      </c>
      <c r="L290" s="59">
        <f t="shared" si="53"/>
        <v>159.73424619893171</v>
      </c>
      <c r="M290" s="7">
        <f t="shared" si="54"/>
        <v>91.296805478931716</v>
      </c>
      <c r="N290" s="7">
        <f t="shared" si="55"/>
        <v>19.290237120000029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49"/>
        <v>277</v>
      </c>
      <c r="C291" s="7">
        <f t="shared" si="50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59" cm="1">
        <f t="array" ref="F291">estimatedTripDuration(C291,$C$7,$C$6)/60</f>
        <v>9.3600000006622732</v>
      </c>
      <c r="G291">
        <f t="shared" si="46"/>
        <v>277</v>
      </c>
      <c r="H291" s="50">
        <f t="shared" si="51"/>
        <v>23.083333333333332</v>
      </c>
      <c r="I291" s="7" cm="1">
        <f t="array" ref="I291">CurrentCapacity(K$9,K$5,K$6,H291)</f>
        <v>273.74888376000001</v>
      </c>
      <c r="J291" s="48">
        <f t="shared" si="52"/>
        <v>0.41669315408451002</v>
      </c>
      <c r="K291" s="5" cm="1">
        <f t="array" ref="K291">UseableCapacity(I291,$K$7,$K$8)</f>
        <v>205.31166282000001</v>
      </c>
      <c r="L291" s="59">
        <f t="shared" si="53"/>
        <v>159.67959795893171</v>
      </c>
      <c r="M291" s="7">
        <f t="shared" si="54"/>
        <v>91.242377018931705</v>
      </c>
      <c r="N291" s="7">
        <f t="shared" si="55"/>
        <v>19.291116240000008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49"/>
        <v>278</v>
      </c>
      <c r="C292" s="7">
        <f t="shared" si="50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59" cm="1">
        <f t="array" ref="F292">estimatedTripDuration(C292,$C$7,$C$6)/60</f>
        <v>9.3933333339956064</v>
      </c>
      <c r="G292">
        <f t="shared" si="46"/>
        <v>278</v>
      </c>
      <c r="H292" s="50">
        <f t="shared" si="51"/>
        <v>23.166666666666668</v>
      </c>
      <c r="I292" s="7" cm="1">
        <f t="array" ref="I292">CurrentCapacity(K$9,K$5,K$6,H292)</f>
        <v>273.74800464000003</v>
      </c>
      <c r="J292" s="48">
        <f t="shared" si="52"/>
        <v>0.41689091056991995</v>
      </c>
      <c r="K292" s="5" cm="1">
        <f t="array" ref="K292">UseableCapacity(I292,$K$7,$K$8)</f>
        <v>205.31100348000001</v>
      </c>
      <c r="L292" s="59">
        <f t="shared" si="53"/>
        <v>159.62494971893176</v>
      </c>
      <c r="M292" s="7">
        <f t="shared" si="54"/>
        <v>91.187948558931723</v>
      </c>
      <c r="N292" s="7">
        <f t="shared" si="55"/>
        <v>19.291995359999987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49"/>
        <v>279</v>
      </c>
      <c r="C293" s="7">
        <f t="shared" si="50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59" cm="1">
        <f t="array" ref="F293">estimatedTripDuration(C293,$C$7,$C$6)/60</f>
        <v>9.4266666673289397</v>
      </c>
      <c r="G293">
        <f t="shared" si="46"/>
        <v>279</v>
      </c>
      <c r="H293" s="50">
        <f t="shared" si="51"/>
        <v>23.25</v>
      </c>
      <c r="I293" s="7" cm="1">
        <f t="array" ref="I293">CurrentCapacity(K$9,K$5,K$6,H293)</f>
        <v>273.74712552000005</v>
      </c>
      <c r="J293" s="48">
        <f t="shared" si="52"/>
        <v>0.41708866832549263</v>
      </c>
      <c r="K293" s="5" cm="1">
        <f t="array" ref="K293">UseableCapacity(I293,$K$7,$K$8)</f>
        <v>205.31034414000004</v>
      </c>
      <c r="L293" s="59">
        <f t="shared" si="53"/>
        <v>159.57030147893175</v>
      </c>
      <c r="M293" s="7">
        <f t="shared" si="54"/>
        <v>91.13352009893174</v>
      </c>
      <c r="N293" s="7">
        <f t="shared" si="55"/>
        <v>19.292874479999966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49"/>
        <v>280</v>
      </c>
      <c r="C294" s="7">
        <f t="shared" si="50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59" cm="1">
        <f t="array" ref="F294">estimatedTripDuration(C294,$C$7,$C$6)/60</f>
        <v>9.4600000006622729</v>
      </c>
      <c r="G294">
        <f t="shared" si="46"/>
        <v>280</v>
      </c>
      <c r="H294" s="50">
        <f t="shared" si="51"/>
        <v>23.333333333333332</v>
      </c>
      <c r="I294" s="7" cm="1">
        <f t="array" ref="I294">CurrentCapacity(K$9,K$5,K$6,H294)</f>
        <v>273.74624640000008</v>
      </c>
      <c r="J294" s="48">
        <f t="shared" si="52"/>
        <v>0.41728642735124011</v>
      </c>
      <c r="K294" s="5" cm="1">
        <f t="array" ref="K294">UseableCapacity(I294,$K$7,$K$8)</f>
        <v>205.30968480000007</v>
      </c>
      <c r="L294" s="59">
        <f t="shared" si="53"/>
        <v>159.51565323893178</v>
      </c>
      <c r="M294" s="7">
        <f t="shared" si="54"/>
        <v>91.079091638931772</v>
      </c>
      <c r="N294" s="7">
        <f t="shared" si="55"/>
        <v>19.293753599999945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49"/>
        <v>281</v>
      </c>
      <c r="C295" s="7">
        <f t="shared" si="50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59" cm="1">
        <f t="array" ref="F295">estimatedTripDuration(C295,$C$7,$C$6)/60</f>
        <v>9.4933333339956061</v>
      </c>
      <c r="G295">
        <f t="shared" si="46"/>
        <v>281</v>
      </c>
      <c r="H295" s="50">
        <f t="shared" si="51"/>
        <v>23.416666666666668</v>
      </c>
      <c r="I295" s="7" cm="1">
        <f t="array" ref="I295">CurrentCapacity(K$9,K$5,K$6,H295)</f>
        <v>273.74536728000004</v>
      </c>
      <c r="J295" s="48">
        <f t="shared" si="52"/>
        <v>0.41748418764717465</v>
      </c>
      <c r="K295" s="5" cm="1">
        <f t="array" ref="K295">UseableCapacity(I295,$K$7,$K$8)</f>
        <v>205.30902546000004</v>
      </c>
      <c r="L295" s="59">
        <f t="shared" si="53"/>
        <v>159.46100499893174</v>
      </c>
      <c r="M295" s="7">
        <f t="shared" si="54"/>
        <v>91.02466317893176</v>
      </c>
      <c r="N295" s="7">
        <f t="shared" si="55"/>
        <v>19.294632719999981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49"/>
        <v>282</v>
      </c>
      <c r="C296" s="7">
        <f t="shared" si="50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59" cm="1">
        <f t="array" ref="F296">estimatedTripDuration(C296,$C$7,$C$6)/60</f>
        <v>9.5266666673289411</v>
      </c>
      <c r="G296">
        <f t="shared" si="46"/>
        <v>282</v>
      </c>
      <c r="H296" s="50">
        <f t="shared" si="51"/>
        <v>23.5</v>
      </c>
      <c r="I296" s="7" cm="1">
        <f t="array" ref="I296">CurrentCapacity(K$9,K$5,K$6,H296)</f>
        <v>273.74448816</v>
      </c>
      <c r="J296" s="48">
        <f t="shared" si="52"/>
        <v>0.41768194921330865</v>
      </c>
      <c r="K296" s="5" cm="1">
        <f t="array" ref="K296">UseableCapacity(I296,$K$7,$K$8)</f>
        <v>205.30836612000002</v>
      </c>
      <c r="L296" s="59">
        <f t="shared" si="53"/>
        <v>159.40635675893171</v>
      </c>
      <c r="M296" s="7">
        <f t="shared" si="54"/>
        <v>90.970234718931721</v>
      </c>
      <c r="N296" s="7">
        <f t="shared" si="55"/>
        <v>19.295511840000017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49"/>
        <v>283</v>
      </c>
      <c r="C297" s="7">
        <f t="shared" si="50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59" cm="1">
        <f t="array" ref="F297">estimatedTripDuration(C297,$C$7,$C$6)/60</f>
        <v>9.5600000006622743</v>
      </c>
      <c r="G297">
        <f t="shared" si="46"/>
        <v>283</v>
      </c>
      <c r="H297" s="50">
        <f t="shared" si="51"/>
        <v>23.583333333333332</v>
      </c>
      <c r="I297" s="7" cm="1">
        <f t="array" ref="I297">CurrentCapacity(K$9,K$5,K$6,H297)</f>
        <v>273.74360904000002</v>
      </c>
      <c r="J297" s="48">
        <f t="shared" si="52"/>
        <v>0.41787971204965407</v>
      </c>
      <c r="K297" s="5" cm="1">
        <f t="array" ref="K297">UseableCapacity(I297,$K$7,$K$8)</f>
        <v>205.30770678000002</v>
      </c>
      <c r="L297" s="59">
        <f t="shared" si="53"/>
        <v>159.35170851893173</v>
      </c>
      <c r="M297" s="7">
        <f t="shared" si="54"/>
        <v>90.915806258931724</v>
      </c>
      <c r="N297" s="7">
        <f t="shared" si="55"/>
        <v>19.296390959999997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49"/>
        <v>284</v>
      </c>
      <c r="C298" s="7">
        <f t="shared" si="50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59" cm="1">
        <f t="array" ref="F298">estimatedTripDuration(C298,$C$7,$C$6)/60</f>
        <v>9.5933333339956075</v>
      </c>
      <c r="G298">
        <f t="shared" si="46"/>
        <v>284</v>
      </c>
      <c r="H298" s="50">
        <f t="shared" si="51"/>
        <v>23.666666666666668</v>
      </c>
      <c r="I298" s="7" cm="1">
        <f t="array" ref="I298">CurrentCapacity(K$9,K$5,K$6,H298)</f>
        <v>273.74272992000004</v>
      </c>
      <c r="J298" s="48">
        <f t="shared" si="52"/>
        <v>0.41807747615622332</v>
      </c>
      <c r="K298" s="5" cm="1">
        <f t="array" ref="K298">UseableCapacity(I298,$K$7,$K$8)</f>
        <v>205.30704744000002</v>
      </c>
      <c r="L298" s="59">
        <f t="shared" si="53"/>
        <v>159.29706027893175</v>
      </c>
      <c r="M298" s="7">
        <f t="shared" si="54"/>
        <v>90.861377798931727</v>
      </c>
      <c r="N298" s="7">
        <f t="shared" si="55"/>
        <v>19.297270079999976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49"/>
        <v>285</v>
      </c>
      <c r="C299" s="7">
        <f t="shared" si="50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59" cm="1">
        <f t="array" ref="F299">estimatedTripDuration(C299,$C$7,$C$6)/60</f>
        <v>9.6266666673289407</v>
      </c>
      <c r="G299">
        <f t="shared" si="46"/>
        <v>285</v>
      </c>
      <c r="H299" s="50">
        <f t="shared" si="51"/>
        <v>23.75</v>
      </c>
      <c r="I299" s="7" cm="1">
        <f t="array" ref="I299">CurrentCapacity(K$9,K$5,K$6,H299)</f>
        <v>273.74185080000001</v>
      </c>
      <c r="J299" s="48">
        <f t="shared" si="52"/>
        <v>0.41827524153302864</v>
      </c>
      <c r="K299" s="5" cm="1">
        <f t="array" ref="K299">UseableCapacity(I299,$K$7,$K$8)</f>
        <v>205.30638809999999</v>
      </c>
      <c r="L299" s="59">
        <f t="shared" si="53"/>
        <v>159.24241203893172</v>
      </c>
      <c r="M299" s="7">
        <f t="shared" si="54"/>
        <v>90.806949338931702</v>
      </c>
      <c r="N299" s="7">
        <f t="shared" si="55"/>
        <v>19.298149200000012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49"/>
        <v>286</v>
      </c>
      <c r="C300" s="7">
        <f t="shared" si="50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59" cm="1">
        <f t="array" ref="F300">estimatedTripDuration(C300,$C$7,$C$6)/60</f>
        <v>9.6600000006622739</v>
      </c>
      <c r="G300">
        <f t="shared" si="46"/>
        <v>286</v>
      </c>
      <c r="H300" s="50">
        <f t="shared" si="51"/>
        <v>23.833333333333332</v>
      </c>
      <c r="I300" s="7" cm="1">
        <f t="array" ref="I300">CurrentCapacity(K$9,K$5,K$6,H300)</f>
        <v>273.74097168000003</v>
      </c>
      <c r="J300" s="48">
        <f t="shared" si="52"/>
        <v>0.4184730081800821</v>
      </c>
      <c r="K300" s="5" cm="1">
        <f t="array" ref="K300">UseableCapacity(I300,$K$7,$K$8)</f>
        <v>205.30572876000002</v>
      </c>
      <c r="L300" s="59">
        <f t="shared" si="53"/>
        <v>159.18776379893177</v>
      </c>
      <c r="M300" s="7">
        <f t="shared" si="54"/>
        <v>90.752520878931747</v>
      </c>
      <c r="N300" s="7">
        <f t="shared" si="55"/>
        <v>19.299028319999991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49"/>
        <v>287</v>
      </c>
      <c r="C301" s="7">
        <f t="shared" si="50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59" cm="1">
        <f t="array" ref="F301">estimatedTripDuration(C301,$C$7,$C$6)/60</f>
        <v>9.6933333339956071</v>
      </c>
      <c r="G301">
        <f t="shared" si="46"/>
        <v>287</v>
      </c>
      <c r="H301" s="50">
        <f t="shared" si="51"/>
        <v>23.916666666666668</v>
      </c>
      <c r="I301" s="7" cm="1">
        <f t="array" ref="I301">CurrentCapacity(K$9,K$5,K$6,H301)</f>
        <v>273.74009256000005</v>
      </c>
      <c r="J301" s="48">
        <f t="shared" si="52"/>
        <v>0.41867077609739622</v>
      </c>
      <c r="K301" s="5" cm="1">
        <f t="array" ref="K301">UseableCapacity(I301,$K$7,$K$8)</f>
        <v>205.30506942000005</v>
      </c>
      <c r="L301" s="59">
        <f t="shared" si="53"/>
        <v>159.13311555893176</v>
      </c>
      <c r="M301" s="7">
        <f t="shared" si="54"/>
        <v>90.698092418931751</v>
      </c>
      <c r="N301" s="7">
        <f t="shared" si="55"/>
        <v>19.29990743999997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49"/>
        <v>288</v>
      </c>
      <c r="C302" s="7">
        <f t="shared" si="50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59" cm="1">
        <f t="array" ref="F302">estimatedTripDuration(C302,$C$7,$C$6)/60</f>
        <v>9.7266666673289404</v>
      </c>
      <c r="G302">
        <f t="shared" si="46"/>
        <v>288</v>
      </c>
      <c r="H302" s="50">
        <f t="shared" si="51"/>
        <v>24</v>
      </c>
      <c r="I302" s="7" cm="1">
        <f t="array" ref="I302">CurrentCapacity(K$9,K$5,K$6,H302)</f>
        <v>273.73921344000001</v>
      </c>
      <c r="J302" s="48">
        <f t="shared" si="52"/>
        <v>0.41886854528498302</v>
      </c>
      <c r="K302" s="5" cm="1">
        <f t="array" ref="K302">UseableCapacity(I302,$K$7,$K$8)</f>
        <v>205.30441008000003</v>
      </c>
      <c r="L302" s="59">
        <f t="shared" si="53"/>
        <v>159.07846731893173</v>
      </c>
      <c r="M302" s="7">
        <f t="shared" si="54"/>
        <v>90.643663958931739</v>
      </c>
      <c r="N302" s="7">
        <f t="shared" si="55"/>
        <v>19.300786560000006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49"/>
        <v>289</v>
      </c>
      <c r="C303" s="7">
        <f t="shared" si="50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59" cm="1">
        <f t="array" ref="F303">estimatedTripDuration(C303,$C$7,$C$6)/60</f>
        <v>9.7600000006622736</v>
      </c>
      <c r="G303">
        <f t="shared" si="46"/>
        <v>289</v>
      </c>
      <c r="H303" s="50">
        <f t="shared" si="51"/>
        <v>24.083333333333332</v>
      </c>
      <c r="I303" s="7" cm="1">
        <f t="array" ref="I303">CurrentCapacity(K$9,K$5,K$6,H303)</f>
        <v>273.73833432000004</v>
      </c>
      <c r="J303" s="48">
        <f t="shared" si="52"/>
        <v>0.41906631574285491</v>
      </c>
      <c r="K303" s="5" cm="1">
        <f t="array" ref="K303">UseableCapacity(I303,$K$7,$K$8)</f>
        <v>205.30375074000003</v>
      </c>
      <c r="L303" s="59">
        <f t="shared" si="53"/>
        <v>159.02381907893172</v>
      </c>
      <c r="M303" s="7">
        <f t="shared" si="54"/>
        <v>90.589235498931714</v>
      </c>
      <c r="N303" s="7">
        <f t="shared" si="55"/>
        <v>19.301665679999985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49"/>
        <v>290</v>
      </c>
      <c r="C304" s="7">
        <f t="shared" si="50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59" cm="1">
        <f t="array" ref="F304">estimatedTripDuration(C304,$C$7,$C$6)/60</f>
        <v>9.7933333339956068</v>
      </c>
      <c r="G304">
        <f t="shared" si="46"/>
        <v>290</v>
      </c>
      <c r="H304" s="50">
        <f t="shared" si="51"/>
        <v>24.166666666666668</v>
      </c>
      <c r="I304" s="7" cm="1">
        <f t="array" ref="I304">CurrentCapacity(K$9,K$5,K$6,H304)</f>
        <v>273.7374552</v>
      </c>
      <c r="J304" s="48">
        <f t="shared" si="52"/>
        <v>0.41926408747102395</v>
      </c>
      <c r="K304" s="5" cm="1">
        <f t="array" ref="K304">UseableCapacity(I304,$K$7,$K$8)</f>
        <v>205.3030914</v>
      </c>
      <c r="L304" s="59">
        <f t="shared" si="53"/>
        <v>158.96917083893169</v>
      </c>
      <c r="M304" s="7">
        <f t="shared" si="54"/>
        <v>90.534807038931703</v>
      </c>
      <c r="N304" s="7">
        <f t="shared" si="55"/>
        <v>19.302544800000021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49"/>
        <v>291</v>
      </c>
      <c r="C305" s="7">
        <f t="shared" si="50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59" cm="1">
        <f t="array" ref="F305">estimatedTripDuration(C305,$C$7,$C$6)/60</f>
        <v>9.82666666732894</v>
      </c>
      <c r="G305">
        <f t="shared" si="46"/>
        <v>291</v>
      </c>
      <c r="H305" s="50">
        <f t="shared" si="51"/>
        <v>24.25</v>
      </c>
      <c r="I305" s="7" cm="1">
        <f t="array" ref="I305">CurrentCapacity(K$9,K$5,K$6,H305)</f>
        <v>273.73657608000002</v>
      </c>
      <c r="J305" s="48">
        <f t="shared" si="52"/>
        <v>0.41946186046950235</v>
      </c>
      <c r="K305" s="5" cm="1">
        <f t="array" ref="K305">UseableCapacity(I305,$K$7,$K$8)</f>
        <v>205.30243206</v>
      </c>
      <c r="L305" s="59">
        <f t="shared" si="53"/>
        <v>158.91452259893174</v>
      </c>
      <c r="M305" s="7">
        <f t="shared" si="54"/>
        <v>90.48037857893172</v>
      </c>
      <c r="N305" s="7">
        <f t="shared" si="55"/>
        <v>19.30342392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49"/>
        <v>292</v>
      </c>
      <c r="C306" s="7">
        <f t="shared" si="50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59" cm="1">
        <f t="array" ref="F306">estimatedTripDuration(C306,$C$7,$C$6)/60</f>
        <v>9.8600000006622732</v>
      </c>
      <c r="G306">
        <f t="shared" si="46"/>
        <v>292</v>
      </c>
      <c r="H306" s="50">
        <f t="shared" si="51"/>
        <v>24.333333333333332</v>
      </c>
      <c r="I306" s="7" cm="1">
        <f t="array" ref="I306">CurrentCapacity(K$9,K$5,K$6,H306)</f>
        <v>273.73569696000004</v>
      </c>
      <c r="J306" s="48">
        <f t="shared" si="52"/>
        <v>0.41965963473830253</v>
      </c>
      <c r="K306" s="5" cm="1">
        <f t="array" ref="K306">UseableCapacity(I306,$K$7,$K$8)</f>
        <v>205.30177272000003</v>
      </c>
      <c r="L306" s="59">
        <f t="shared" si="53"/>
        <v>158.85987435893173</v>
      </c>
      <c r="M306" s="7">
        <f t="shared" si="54"/>
        <v>90.425950118931738</v>
      </c>
      <c r="N306" s="7">
        <f t="shared" si="55"/>
        <v>19.304303039999979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49"/>
        <v>293</v>
      </c>
      <c r="C307" s="7">
        <f t="shared" si="50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59" cm="1">
        <f t="array" ref="F307">estimatedTripDuration(C307,$C$7,$C$6)/60</f>
        <v>9.8933333339956064</v>
      </c>
      <c r="G307">
        <f t="shared" si="46"/>
        <v>293</v>
      </c>
      <c r="H307" s="50">
        <f t="shared" si="51"/>
        <v>24.416666666666668</v>
      </c>
      <c r="I307" s="7" cm="1">
        <f t="array" ref="I307">CurrentCapacity(K$9,K$5,K$6,H307)</f>
        <v>273.73481784000006</v>
      </c>
      <c r="J307" s="48">
        <f t="shared" si="52"/>
        <v>0.41985741027743662</v>
      </c>
      <c r="K307" s="5" cm="1">
        <f t="array" ref="K307">UseableCapacity(I307,$K$7,$K$8)</f>
        <v>205.30111338000006</v>
      </c>
      <c r="L307" s="59">
        <f t="shared" si="53"/>
        <v>158.80522611893178</v>
      </c>
      <c r="M307" s="7">
        <f t="shared" si="54"/>
        <v>90.371521658931783</v>
      </c>
      <c r="N307" s="7">
        <f t="shared" si="55"/>
        <v>19.305182159999958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49"/>
        <v>294</v>
      </c>
      <c r="C308" s="7">
        <f t="shared" si="50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59" cm="1">
        <f t="array" ref="F308">estimatedTripDuration(C308,$C$7,$C$6)/60</f>
        <v>9.9266666673289397</v>
      </c>
      <c r="G308">
        <f t="shared" si="46"/>
        <v>294</v>
      </c>
      <c r="H308" s="50">
        <f t="shared" si="51"/>
        <v>24.5</v>
      </c>
      <c r="I308" s="7" cm="1">
        <f t="array" ref="I308">CurrentCapacity(K$9,K$5,K$6,H308)</f>
        <v>273.73393872000003</v>
      </c>
      <c r="J308" s="48">
        <f t="shared" si="52"/>
        <v>0.42005518708691708</v>
      </c>
      <c r="K308" s="5" cm="1">
        <f t="array" ref="K308">UseableCapacity(I308,$K$7,$K$8)</f>
        <v>205.30045404000003</v>
      </c>
      <c r="L308" s="59">
        <f t="shared" si="53"/>
        <v>158.75057787893172</v>
      </c>
      <c r="M308" s="7">
        <f t="shared" si="54"/>
        <v>90.31709319893173</v>
      </c>
      <c r="N308" s="7">
        <f t="shared" si="55"/>
        <v>19.306061279999994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49"/>
        <v>295</v>
      </c>
      <c r="C309" s="7">
        <f t="shared" si="50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59" cm="1">
        <f t="array" ref="F309">estimatedTripDuration(C309,$C$7,$C$6)/60</f>
        <v>9.9600000006622729</v>
      </c>
      <c r="G309">
        <f t="shared" si="46"/>
        <v>295</v>
      </c>
      <c r="H309" s="50">
        <f t="shared" si="51"/>
        <v>24.583333333333332</v>
      </c>
      <c r="I309" s="7" cm="1">
        <f t="array" ref="I309">CurrentCapacity(K$9,K$5,K$6,H309)</f>
        <v>273.73305960000005</v>
      </c>
      <c r="J309" s="48">
        <f t="shared" si="52"/>
        <v>0.4202529651667557</v>
      </c>
      <c r="K309" s="5" cm="1">
        <f t="array" ref="K309">UseableCapacity(I309,$K$7,$K$8)</f>
        <v>205.29979470000004</v>
      </c>
      <c r="L309" s="59">
        <f t="shared" si="53"/>
        <v>158.69592963893177</v>
      </c>
      <c r="M309" s="7">
        <f t="shared" si="54"/>
        <v>90.262664738931747</v>
      </c>
      <c r="N309" s="7">
        <f t="shared" si="55"/>
        <v>19.306940399999974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49"/>
        <v>296</v>
      </c>
      <c r="C310" s="7">
        <f t="shared" si="50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59" cm="1">
        <f t="array" ref="F310">estimatedTripDuration(C310,$C$7,$C$6)/60</f>
        <v>9.9933333339956061</v>
      </c>
      <c r="G310">
        <f t="shared" si="46"/>
        <v>296</v>
      </c>
      <c r="H310" s="50">
        <f t="shared" si="51"/>
        <v>24.666666666666668</v>
      </c>
      <c r="I310" s="7" cm="1">
        <f t="array" ref="I310">CurrentCapacity(K$9,K$5,K$6,H310)</f>
        <v>273.73218048000001</v>
      </c>
      <c r="J310" s="48">
        <f t="shared" si="52"/>
        <v>0.42045074451696518</v>
      </c>
      <c r="K310" s="5" cm="1">
        <f t="array" ref="K310">UseableCapacity(I310,$K$7,$K$8)</f>
        <v>205.29913536000001</v>
      </c>
      <c r="L310" s="59">
        <f t="shared" si="53"/>
        <v>158.64128139893171</v>
      </c>
      <c r="M310" s="7">
        <f t="shared" si="54"/>
        <v>90.208236278931722</v>
      </c>
      <c r="N310" s="7">
        <f t="shared" si="55"/>
        <v>19.30781952000001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49"/>
        <v>297</v>
      </c>
      <c r="C311" s="7">
        <f t="shared" si="50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59" cm="1">
        <f t="array" ref="F311">estimatedTripDuration(C311,$C$7,$C$6)/60</f>
        <v>10.026666667328941</v>
      </c>
      <c r="G311">
        <f t="shared" si="46"/>
        <v>297</v>
      </c>
      <c r="H311" s="50">
        <f t="shared" si="51"/>
        <v>24.75</v>
      </c>
      <c r="I311" s="7" cm="1">
        <f t="array" ref="I311">CurrentCapacity(K$9,K$5,K$6,H311)</f>
        <v>273.73130136000003</v>
      </c>
      <c r="J311" s="48">
        <f t="shared" si="52"/>
        <v>0.42064852513755752</v>
      </c>
      <c r="K311" s="5" cm="1">
        <f t="array" ref="K311">UseableCapacity(I311,$K$7,$K$8)</f>
        <v>205.29847602000001</v>
      </c>
      <c r="L311" s="59">
        <f t="shared" si="53"/>
        <v>158.58663315893173</v>
      </c>
      <c r="M311" s="7">
        <f t="shared" si="54"/>
        <v>90.15380781893171</v>
      </c>
      <c r="N311" s="7">
        <f t="shared" si="55"/>
        <v>19.308698639999989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49"/>
        <v>298</v>
      </c>
      <c r="C312" s="7">
        <f t="shared" si="50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59" cm="1">
        <f t="array" ref="F312">estimatedTripDuration(C312,$C$7,$C$6)/60</f>
        <v>10.060000000662274</v>
      </c>
      <c r="G312">
        <f t="shared" si="46"/>
        <v>298</v>
      </c>
      <c r="H312" s="50">
        <f t="shared" si="51"/>
        <v>24.833333333333332</v>
      </c>
      <c r="I312" s="7" cm="1">
        <f t="array" ref="I312">CurrentCapacity(K$9,K$5,K$6,H312)</f>
        <v>273.73042224000005</v>
      </c>
      <c r="J312" s="48">
        <f t="shared" si="52"/>
        <v>0.42084630702854492</v>
      </c>
      <c r="K312" s="5" cm="1">
        <f t="array" ref="K312">UseableCapacity(I312,$K$7,$K$8)</f>
        <v>205.29781668000004</v>
      </c>
      <c r="L312" s="59">
        <f t="shared" si="53"/>
        <v>158.53198491893176</v>
      </c>
      <c r="M312" s="7">
        <f t="shared" si="54"/>
        <v>90.099379358931742</v>
      </c>
      <c r="N312" s="7">
        <f t="shared" si="55"/>
        <v>19.309577759999968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49"/>
        <v>299</v>
      </c>
      <c r="C313" s="7">
        <f t="shared" si="50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59" cm="1">
        <f t="array" ref="F313">estimatedTripDuration(C313,$C$7,$C$6)/60</f>
        <v>10.093333333995608</v>
      </c>
      <c r="G313">
        <f t="shared" si="46"/>
        <v>299</v>
      </c>
      <c r="H313" s="50">
        <f t="shared" si="51"/>
        <v>24.916666666666668</v>
      </c>
      <c r="I313" s="7" cm="1">
        <f t="array" ref="I313">CurrentCapacity(K$9,K$5,K$6,H313)</f>
        <v>273.72954312000002</v>
      </c>
      <c r="J313" s="48">
        <f t="shared" si="52"/>
        <v>0.42104409018993982</v>
      </c>
      <c r="K313" s="5" cm="1">
        <f t="array" ref="K313">UseableCapacity(I313,$K$7,$K$8)</f>
        <v>205.29715734000001</v>
      </c>
      <c r="L313" s="59">
        <f t="shared" si="53"/>
        <v>158.47733667893169</v>
      </c>
      <c r="M313" s="7">
        <f t="shared" si="54"/>
        <v>90.044950898931702</v>
      </c>
      <c r="N313" s="7">
        <f t="shared" si="55"/>
        <v>19.310456880000004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49"/>
        <v>300</v>
      </c>
      <c r="C314" s="7">
        <f t="shared" si="50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59" cm="1">
        <f t="array" ref="F314">estimatedTripDuration(C314,$C$7,$C$6)/60</f>
        <v>10.126666667328941</v>
      </c>
      <c r="G314">
        <f t="shared" si="46"/>
        <v>300</v>
      </c>
      <c r="H314" s="50">
        <f t="shared" si="51"/>
        <v>25</v>
      </c>
      <c r="I314" s="7" cm="1">
        <f t="array" ref="I314">CurrentCapacity(K$9,K$5,K$6,H314)</f>
        <v>273.72866400000004</v>
      </c>
      <c r="J314" s="48">
        <f t="shared" si="52"/>
        <v>0.42124187462175416</v>
      </c>
      <c r="K314" s="5" cm="1">
        <f t="array" ref="K314">UseableCapacity(I314,$K$7,$K$8)</f>
        <v>205.29649800000004</v>
      </c>
      <c r="L314" s="59">
        <f t="shared" si="53"/>
        <v>158.42268843893174</v>
      </c>
      <c r="M314" s="7">
        <f t="shared" si="54"/>
        <v>89.990522438931748</v>
      </c>
      <c r="N314" s="7">
        <f t="shared" si="55"/>
        <v>19.311335999999983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49"/>
        <v>301</v>
      </c>
      <c r="C315" s="7">
        <f t="shared" si="50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59" cm="1">
        <f t="array" ref="F315">estimatedTripDuration(C315,$C$7,$C$6)/60</f>
        <v>10.160000000662274</v>
      </c>
      <c r="G315">
        <f t="shared" si="46"/>
        <v>301</v>
      </c>
      <c r="H315" s="50">
        <f t="shared" si="51"/>
        <v>25.083333333333332</v>
      </c>
      <c r="I315" s="7" cm="1">
        <f t="array" ref="I315">CurrentCapacity(K$9,K$5,K$6,H315)</f>
        <v>273.72778488000006</v>
      </c>
      <c r="J315" s="48">
        <f t="shared" si="52"/>
        <v>0.42143966032400043</v>
      </c>
      <c r="K315" s="5" cm="1">
        <f t="array" ref="K315">UseableCapacity(I315,$K$7,$K$8)</f>
        <v>205.29583866000004</v>
      </c>
      <c r="L315" s="59">
        <f t="shared" si="53"/>
        <v>158.36804019893177</v>
      </c>
      <c r="M315" s="7">
        <f t="shared" si="54"/>
        <v>89.936093978931751</v>
      </c>
      <c r="N315" s="7">
        <f t="shared" si="55"/>
        <v>19.312215119999962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49"/>
        <v>302</v>
      </c>
      <c r="C316" s="7">
        <f t="shared" si="50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59" cm="1">
        <f t="array" ref="F316">estimatedTripDuration(C316,$C$7,$C$6)/60</f>
        <v>10.193333333995607</v>
      </c>
      <c r="G316">
        <f t="shared" si="46"/>
        <v>302</v>
      </c>
      <c r="H316" s="50">
        <f t="shared" si="51"/>
        <v>25.166666666666668</v>
      </c>
      <c r="I316" s="7" cm="1">
        <f t="array" ref="I316">CurrentCapacity(K$9,K$5,K$6,H316)</f>
        <v>273.72690576000002</v>
      </c>
      <c r="J316" s="48">
        <f t="shared" si="52"/>
        <v>0.42163744729669089</v>
      </c>
      <c r="K316" s="5" cm="1">
        <f t="array" ref="K316">UseableCapacity(I316,$K$7,$K$8)</f>
        <v>205.29517932000002</v>
      </c>
      <c r="L316" s="59">
        <f t="shared" si="53"/>
        <v>158.31339195893173</v>
      </c>
      <c r="M316" s="7">
        <f t="shared" si="54"/>
        <v>89.881665518931726</v>
      </c>
      <c r="N316" s="7">
        <f t="shared" si="55"/>
        <v>19.313094239999998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49"/>
        <v>303</v>
      </c>
      <c r="C317" s="7">
        <f t="shared" si="50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59" cm="1">
        <f t="array" ref="F317">estimatedTripDuration(C317,$C$7,$C$6)/60</f>
        <v>10.22666666732894</v>
      </c>
      <c r="G317">
        <f t="shared" si="46"/>
        <v>303</v>
      </c>
      <c r="H317" s="50">
        <f t="shared" si="51"/>
        <v>25.25</v>
      </c>
      <c r="I317" s="7" cm="1">
        <f t="array" ref="I317">CurrentCapacity(K$9,K$5,K$6,H317)</f>
        <v>273.72602664000004</v>
      </c>
      <c r="J317" s="48">
        <f t="shared" si="52"/>
        <v>0.42183523553983771</v>
      </c>
      <c r="K317" s="5" cm="1">
        <f t="array" ref="K317">UseableCapacity(I317,$K$7,$K$8)</f>
        <v>205.29451998000002</v>
      </c>
      <c r="L317" s="59">
        <f t="shared" si="53"/>
        <v>158.25874371893173</v>
      </c>
      <c r="M317" s="7">
        <f t="shared" si="54"/>
        <v>89.827237058931715</v>
      </c>
      <c r="N317" s="7">
        <f t="shared" si="55"/>
        <v>19.313973359999977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49"/>
        <v>304</v>
      </c>
      <c r="C318" s="7">
        <f t="shared" si="50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59" cm="1">
        <f t="array" ref="F318">estimatedTripDuration(C318,$C$7,$C$6)/60</f>
        <v>10.260000000662274</v>
      </c>
      <c r="G318">
        <f t="shared" si="46"/>
        <v>304</v>
      </c>
      <c r="H318" s="50">
        <f t="shared" si="51"/>
        <v>25.333333333333332</v>
      </c>
      <c r="I318" s="7" cm="1">
        <f t="array" ref="I318">CurrentCapacity(K$9,K$5,K$6,H318)</f>
        <v>273.72514752000001</v>
      </c>
      <c r="J318" s="48">
        <f t="shared" si="52"/>
        <v>0.42203302505345314</v>
      </c>
      <c r="K318" s="5" cm="1">
        <f t="array" ref="K318">UseableCapacity(I318,$K$7,$K$8)</f>
        <v>205.29386063999999</v>
      </c>
      <c r="L318" s="59">
        <f t="shared" si="53"/>
        <v>158.20409547893169</v>
      </c>
      <c r="M318" s="7">
        <f t="shared" si="54"/>
        <v>89.772808598931675</v>
      </c>
      <c r="N318" s="7">
        <f t="shared" si="55"/>
        <v>19.314852480000013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49"/>
        <v>305</v>
      </c>
      <c r="C319" s="7">
        <f t="shared" si="50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59" cm="1">
        <f t="array" ref="F319">estimatedTripDuration(C319,$C$7,$C$6)/60</f>
        <v>10.293333333995607</v>
      </c>
      <c r="G319">
        <f t="shared" si="46"/>
        <v>305</v>
      </c>
      <c r="H319" s="50">
        <f t="shared" si="51"/>
        <v>25.416666666666668</v>
      </c>
      <c r="I319" s="7" cm="1">
        <f t="array" ref="I319">CurrentCapacity(K$9,K$5,K$6,H319)</f>
        <v>273.72426840000003</v>
      </c>
      <c r="J319" s="48">
        <f t="shared" si="52"/>
        <v>0.42223081583754912</v>
      </c>
      <c r="K319" s="5" cm="1">
        <f t="array" ref="K319">UseableCapacity(I319,$K$7,$K$8)</f>
        <v>205.29320130000002</v>
      </c>
      <c r="L319" s="59">
        <f t="shared" si="53"/>
        <v>158.14944723893174</v>
      </c>
      <c r="M319" s="7">
        <f t="shared" si="54"/>
        <v>89.718380138931735</v>
      </c>
      <c r="N319" s="7">
        <f t="shared" si="55"/>
        <v>19.315731599999992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49"/>
        <v>306</v>
      </c>
      <c r="C320" s="7">
        <f t="shared" si="50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59" cm="1">
        <f t="array" ref="F320">estimatedTripDuration(C320,$C$7,$C$6)/60</f>
        <v>10.32666666732894</v>
      </c>
      <c r="G320">
        <f t="shared" si="46"/>
        <v>306</v>
      </c>
      <c r="H320" s="50">
        <f t="shared" si="51"/>
        <v>25.5</v>
      </c>
      <c r="I320" s="7" cm="1">
        <f t="array" ref="I320">CurrentCapacity(K$9,K$5,K$6,H320)</f>
        <v>273.72338928000005</v>
      </c>
      <c r="J320" s="48">
        <f t="shared" si="52"/>
        <v>0.42242860789213832</v>
      </c>
      <c r="K320" s="5" cm="1">
        <f t="array" ref="K320">UseableCapacity(I320,$K$7,$K$8)</f>
        <v>205.29254196000005</v>
      </c>
      <c r="L320" s="59">
        <f t="shared" si="53"/>
        <v>158.09479899893176</v>
      </c>
      <c r="M320" s="7">
        <f t="shared" si="54"/>
        <v>89.663951678931767</v>
      </c>
      <c r="N320" s="7">
        <f t="shared" si="55"/>
        <v>19.316610719999971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49"/>
        <v>307</v>
      </c>
      <c r="C321" s="7">
        <f t="shared" si="50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59" cm="1">
        <f t="array" ref="F321">estimatedTripDuration(C321,$C$7,$C$6)/60</f>
        <v>10.360000000662273</v>
      </c>
      <c r="G321">
        <f t="shared" si="46"/>
        <v>307</v>
      </c>
      <c r="H321" s="50">
        <f t="shared" si="51"/>
        <v>25.583333333333332</v>
      </c>
      <c r="I321" s="7" cm="1">
        <f t="array" ref="I321">CurrentCapacity(K$9,K$5,K$6,H321)</f>
        <v>273.72251016000007</v>
      </c>
      <c r="J321" s="48">
        <f t="shared" si="52"/>
        <v>0.42262640121723288</v>
      </c>
      <c r="K321" s="5" cm="1">
        <f t="array" ref="K321">UseableCapacity(I321,$K$7,$K$8)</f>
        <v>205.29188262000005</v>
      </c>
      <c r="L321" s="59">
        <f t="shared" si="53"/>
        <v>158.04015075893176</v>
      </c>
      <c r="M321" s="7">
        <f t="shared" si="54"/>
        <v>89.609523218931756</v>
      </c>
      <c r="N321" s="7">
        <f t="shared" si="55"/>
        <v>19.317489839999951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49"/>
        <v>308</v>
      </c>
      <c r="C322" s="7">
        <f t="shared" si="50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59" cm="1">
        <f t="array" ref="F322">estimatedTripDuration(C322,$C$7,$C$6)/60</f>
        <v>10.393333333995606</v>
      </c>
      <c r="G322">
        <f t="shared" si="46"/>
        <v>308</v>
      </c>
      <c r="H322" s="50">
        <f t="shared" si="51"/>
        <v>25.666666666666668</v>
      </c>
      <c r="I322" s="7" cm="1">
        <f t="array" ref="I322">CurrentCapacity(K$9,K$5,K$6,H322)</f>
        <v>273.72163104000003</v>
      </c>
      <c r="J322" s="48">
        <f t="shared" si="52"/>
        <v>0.42282419581284497</v>
      </c>
      <c r="K322" s="5" cm="1">
        <f t="array" ref="K322">UseableCapacity(I322,$K$7,$K$8)</f>
        <v>205.29122328000003</v>
      </c>
      <c r="L322" s="59">
        <f t="shared" si="53"/>
        <v>157.98550251893175</v>
      </c>
      <c r="M322" s="7">
        <f t="shared" si="54"/>
        <v>89.555094758931745</v>
      </c>
      <c r="N322" s="7">
        <f t="shared" si="55"/>
        <v>19.318368959999987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49"/>
        <v>309</v>
      </c>
      <c r="C323" s="7">
        <f t="shared" si="50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59" cm="1">
        <f t="array" ref="F323">estimatedTripDuration(C323,$C$7,$C$6)/60</f>
        <v>10.42666666732894</v>
      </c>
      <c r="G323">
        <f t="shared" si="46"/>
        <v>309</v>
      </c>
      <c r="H323" s="50">
        <f t="shared" si="51"/>
        <v>25.75</v>
      </c>
      <c r="I323" s="7" cm="1">
        <f t="array" ref="I323">CurrentCapacity(K$9,K$5,K$6,H323)</f>
        <v>273.72075192000005</v>
      </c>
      <c r="J323" s="48">
        <f t="shared" si="52"/>
        <v>0.42302199167898685</v>
      </c>
      <c r="K323" s="5" cm="1">
        <f t="array" ref="K323">UseableCapacity(I323,$K$7,$K$8)</f>
        <v>205.29056394000003</v>
      </c>
      <c r="L323" s="59">
        <f t="shared" si="53"/>
        <v>157.93085427893175</v>
      </c>
      <c r="M323" s="7">
        <f t="shared" si="54"/>
        <v>89.500666298931733</v>
      </c>
      <c r="N323" s="7">
        <f t="shared" si="55"/>
        <v>19.319248079999966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49"/>
        <v>310</v>
      </c>
      <c r="C324" s="7">
        <f t="shared" si="50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59" cm="1">
        <f t="array" ref="F324">estimatedTripDuration(C324,$C$7,$C$6)/60</f>
        <v>10.460000000662273</v>
      </c>
      <c r="G324">
        <f t="shared" si="46"/>
        <v>310</v>
      </c>
      <c r="H324" s="50">
        <f t="shared" si="51"/>
        <v>25.833333333333332</v>
      </c>
      <c r="I324" s="7" cm="1">
        <f t="array" ref="I324">CurrentCapacity(K$9,K$5,K$6,H324)</f>
        <v>273.71987280000002</v>
      </c>
      <c r="J324" s="48">
        <f t="shared" si="52"/>
        <v>0.42321978881567085</v>
      </c>
      <c r="K324" s="5" cm="1">
        <f t="array" ref="K324">UseableCapacity(I324,$K$7,$K$8)</f>
        <v>205.2899046</v>
      </c>
      <c r="L324" s="59">
        <f t="shared" si="53"/>
        <v>157.87620603893174</v>
      </c>
      <c r="M324" s="7">
        <f t="shared" si="54"/>
        <v>89.446237838931708</v>
      </c>
      <c r="N324" s="7">
        <f t="shared" si="55"/>
        <v>19.320127200000002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49"/>
        <v>311</v>
      </c>
      <c r="C325" s="7">
        <f t="shared" si="50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59" cm="1">
        <f t="array" ref="F325">estimatedTripDuration(C325,$C$7,$C$6)/60</f>
        <v>10.493333333995606</v>
      </c>
      <c r="G325">
        <f t="shared" si="46"/>
        <v>311</v>
      </c>
      <c r="H325" s="50">
        <f t="shared" si="51"/>
        <v>25.916666666666668</v>
      </c>
      <c r="I325" s="7" cm="1">
        <f t="array" ref="I325">CurrentCapacity(K$9,K$5,K$6,H325)</f>
        <v>273.71899368000004</v>
      </c>
      <c r="J325" s="48">
        <f t="shared" si="52"/>
        <v>0.42341758722290895</v>
      </c>
      <c r="K325" s="5" cm="1">
        <f t="array" ref="K325">UseableCapacity(I325,$K$7,$K$8)</f>
        <v>205.28924526000003</v>
      </c>
      <c r="L325" s="59">
        <f t="shared" si="53"/>
        <v>157.82155779893176</v>
      </c>
      <c r="M325" s="7">
        <f t="shared" si="54"/>
        <v>89.391809378931754</v>
      </c>
      <c r="N325" s="7">
        <f t="shared" si="55"/>
        <v>19.321006319999981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49"/>
        <v>312</v>
      </c>
      <c r="C326" s="7">
        <f t="shared" si="50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59" cm="1">
        <f t="array" ref="F326">estimatedTripDuration(C326,$C$7,$C$6)/60</f>
        <v>10.526666667328941</v>
      </c>
      <c r="G326">
        <f t="shared" si="46"/>
        <v>312</v>
      </c>
      <c r="H326" s="50">
        <f t="shared" si="51"/>
        <v>26</v>
      </c>
      <c r="I326" s="7" cm="1">
        <f t="array" ref="I326">CurrentCapacity(K$9,K$5,K$6,H326)</f>
        <v>273.71811456</v>
      </c>
      <c r="J326" s="48">
        <f t="shared" si="52"/>
        <v>0.42361538690071382</v>
      </c>
      <c r="K326" s="5" cm="1">
        <f t="array" ref="K326">UseableCapacity(I326,$K$7,$K$8)</f>
        <v>205.28858592</v>
      </c>
      <c r="L326" s="59">
        <f t="shared" si="53"/>
        <v>157.7669095589317</v>
      </c>
      <c r="M326" s="7">
        <f t="shared" si="54"/>
        <v>89.3373809189317</v>
      </c>
      <c r="N326" s="7">
        <f t="shared" si="55"/>
        <v>19.321885440000017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49"/>
        <v>313</v>
      </c>
      <c r="C327" s="7">
        <f t="shared" si="50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59" cm="1">
        <f t="array" ref="F327">estimatedTripDuration(C327,$C$7,$C$6)/60</f>
        <v>10.560000000662274</v>
      </c>
      <c r="G327">
        <f t="shared" si="46"/>
        <v>313</v>
      </c>
      <c r="H327" s="50">
        <f t="shared" si="51"/>
        <v>26.083333333333332</v>
      </c>
      <c r="I327" s="7" cm="1">
        <f t="array" ref="I327">CurrentCapacity(K$9,K$5,K$6,H327)</f>
        <v>273.71723544000002</v>
      </c>
      <c r="J327" s="48">
        <f t="shared" si="52"/>
        <v>0.42381318784909716</v>
      </c>
      <c r="K327" s="5" cm="1">
        <f t="array" ref="K327">UseableCapacity(I327,$K$7,$K$8)</f>
        <v>205.28792658000003</v>
      </c>
      <c r="L327" s="59">
        <f t="shared" si="53"/>
        <v>157.71226131893172</v>
      </c>
      <c r="M327" s="7">
        <f t="shared" si="54"/>
        <v>89.282952458931746</v>
      </c>
      <c r="N327" s="7">
        <f t="shared" si="55"/>
        <v>19.322764559999996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49"/>
        <v>314</v>
      </c>
      <c r="C328" s="7">
        <f t="shared" si="50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59" cm="1">
        <f t="array" ref="F328">estimatedTripDuration(C328,$C$7,$C$6)/60</f>
        <v>10.593333333995608</v>
      </c>
      <c r="G328">
        <f t="shared" si="46"/>
        <v>314</v>
      </c>
      <c r="H328" s="50">
        <f t="shared" si="51"/>
        <v>26.166666666666668</v>
      </c>
      <c r="I328" s="7" cm="1">
        <f t="array" ref="I328">CurrentCapacity(K$9,K$5,K$6,H328)</f>
        <v>273.71635632000005</v>
      </c>
      <c r="J328" s="48">
        <f t="shared" si="52"/>
        <v>0.42401099006807169</v>
      </c>
      <c r="K328" s="5" cm="1">
        <f t="array" ref="K328">UseableCapacity(I328,$K$7,$K$8)</f>
        <v>205.28726724000003</v>
      </c>
      <c r="L328" s="59">
        <f t="shared" si="53"/>
        <v>157.65761307893172</v>
      </c>
      <c r="M328" s="7">
        <f t="shared" si="54"/>
        <v>89.22852399893172</v>
      </c>
      <c r="N328" s="7">
        <f t="shared" si="55"/>
        <v>19.323643679999975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49"/>
        <v>315</v>
      </c>
      <c r="C329" s="7">
        <f t="shared" si="50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59" cm="1">
        <f t="array" ref="F329">estimatedTripDuration(C329,$C$7,$C$6)/60</f>
        <v>10.626666667328941</v>
      </c>
      <c r="G329">
        <f t="shared" ref="G329:G350" si="56">B329</f>
        <v>315</v>
      </c>
      <c r="H329" s="50">
        <f t="shared" si="51"/>
        <v>26.25</v>
      </c>
      <c r="I329" s="7" cm="1">
        <f t="array" ref="I329">CurrentCapacity(K$9,K$5,K$6,H329)</f>
        <v>273.71547720000007</v>
      </c>
      <c r="J329" s="48">
        <f t="shared" si="52"/>
        <v>0.42420879355764934</v>
      </c>
      <c r="K329" s="5" cm="1">
        <f t="array" ref="K329">UseableCapacity(I329,$K$7,$K$8)</f>
        <v>205.28660790000004</v>
      </c>
      <c r="L329" s="59">
        <f t="shared" si="53"/>
        <v>157.60296483893177</v>
      </c>
      <c r="M329" s="7">
        <f t="shared" si="54"/>
        <v>89.174095538931738</v>
      </c>
      <c r="N329" s="7">
        <f t="shared" si="55"/>
        <v>19.324522799999954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35">
      <c r="B330">
        <f t="shared" si="49"/>
        <v>316</v>
      </c>
      <c r="C330" s="7">
        <f t="shared" si="50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59" cm="1">
        <f t="array" ref="F330">estimatedTripDuration(C330,$C$7,$C$6)/60</f>
        <v>10.660000000662274</v>
      </c>
      <c r="G330">
        <f t="shared" si="56"/>
        <v>316</v>
      </c>
      <c r="H330" s="50">
        <f t="shared" si="51"/>
        <v>26.333333333333332</v>
      </c>
      <c r="I330" s="7" cm="1">
        <f t="array" ref="I330">CurrentCapacity(K$9,K$5,K$6,H330)</f>
        <v>273.71459808000003</v>
      </c>
      <c r="J330" s="48">
        <f t="shared" si="52"/>
        <v>0.42440659831784255</v>
      </c>
      <c r="K330" s="5" cm="1">
        <f t="array" ref="K330">UseableCapacity(I330,$K$7,$K$8)</f>
        <v>205.28594856000001</v>
      </c>
      <c r="L330" s="59">
        <f t="shared" si="53"/>
        <v>157.54831659893173</v>
      </c>
      <c r="M330" s="7">
        <f t="shared" si="54"/>
        <v>89.119667078931712</v>
      </c>
      <c r="N330" s="7">
        <f t="shared" si="55"/>
        <v>19.32540191999999</v>
      </c>
      <c r="O330" t="str">
        <f t="shared" si="57"/>
        <v>no</v>
      </c>
      <c r="P330" t="str">
        <f t="shared" si="58"/>
        <v>no</v>
      </c>
    </row>
    <row r="331" spans="2:16" x14ac:dyDescent="0.35">
      <c r="B331">
        <f t="shared" si="49"/>
        <v>317</v>
      </c>
      <c r="C331" s="7">
        <f t="shared" si="50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59" cm="1">
        <f t="array" ref="F331">estimatedTripDuration(C331,$C$7,$C$6)/60</f>
        <v>10.693333333995607</v>
      </c>
      <c r="G331">
        <f t="shared" si="56"/>
        <v>317</v>
      </c>
      <c r="H331" s="50">
        <f t="shared" si="51"/>
        <v>26.416666666666668</v>
      </c>
      <c r="I331" s="7" cm="1">
        <f t="array" ref="I331">CurrentCapacity(K$9,K$5,K$6,H331)</f>
        <v>273.71371896000005</v>
      </c>
      <c r="J331" s="48">
        <f t="shared" si="52"/>
        <v>0.42460440434866348</v>
      </c>
      <c r="K331" s="5" cm="1">
        <f t="array" ref="K331">UseableCapacity(I331,$K$7,$K$8)</f>
        <v>205.28528922000004</v>
      </c>
      <c r="L331" s="59">
        <f t="shared" si="53"/>
        <v>157.49366835893176</v>
      </c>
      <c r="M331" s="7">
        <f t="shared" si="54"/>
        <v>89.065238618931744</v>
      </c>
      <c r="N331" s="7">
        <f t="shared" si="55"/>
        <v>19.326281039999969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49"/>
        <v>318</v>
      </c>
      <c r="C332" s="7">
        <f t="shared" si="50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59" cm="1">
        <f t="array" ref="F332">estimatedTripDuration(C332,$C$7,$C$6)/60</f>
        <v>10.72666666732894</v>
      </c>
      <c r="G332">
        <f t="shared" si="56"/>
        <v>318</v>
      </c>
      <c r="H332" s="50">
        <f t="shared" si="51"/>
        <v>26.5</v>
      </c>
      <c r="I332" s="7" cm="1">
        <f t="array" ref="I332">CurrentCapacity(K$9,K$5,K$6,H332)</f>
        <v>273.71283984000002</v>
      </c>
      <c r="J332" s="48">
        <f t="shared" si="52"/>
        <v>0.42480221165012438</v>
      </c>
      <c r="K332" s="5" cm="1">
        <f t="array" ref="K332">UseableCapacity(I332,$K$7,$K$8)</f>
        <v>205.28462988000001</v>
      </c>
      <c r="L332" s="59">
        <f t="shared" si="53"/>
        <v>157.43902011893175</v>
      </c>
      <c r="M332" s="7">
        <f t="shared" si="54"/>
        <v>89.010810158931733</v>
      </c>
      <c r="N332" s="7">
        <f t="shared" si="55"/>
        <v>19.327160160000005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49"/>
        <v>319</v>
      </c>
      <c r="C333" s="7">
        <f t="shared" si="50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59" cm="1">
        <f t="array" ref="F333">estimatedTripDuration(C333,$C$7,$C$6)/60</f>
        <v>10.760000000662274</v>
      </c>
      <c r="G333">
        <f t="shared" si="56"/>
        <v>319</v>
      </c>
      <c r="H333" s="50">
        <f t="shared" si="51"/>
        <v>26.583333333333332</v>
      </c>
      <c r="I333" s="7" cm="1">
        <f t="array" ref="I333">CurrentCapacity(K$9,K$5,K$6,H333)</f>
        <v>273.71196072000004</v>
      </c>
      <c r="J333" s="48">
        <f t="shared" si="52"/>
        <v>0.42500002022223754</v>
      </c>
      <c r="K333" s="5" cm="1">
        <f t="array" ref="K333">UseableCapacity(I333,$K$7,$K$8)</f>
        <v>205.28397054000004</v>
      </c>
      <c r="L333" s="59">
        <f t="shared" si="53"/>
        <v>157.38437187893174</v>
      </c>
      <c r="M333" s="7">
        <f t="shared" si="54"/>
        <v>88.956381698931736</v>
      </c>
      <c r="N333" s="7">
        <f t="shared" si="55"/>
        <v>19.328039279999985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49"/>
        <v>320</v>
      </c>
      <c r="C334" s="7">
        <f t="shared" si="50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59" cm="1">
        <f t="array" ref="F334">estimatedTripDuration(C334,$C$7,$C$6)/60</f>
        <v>10.793333333995607</v>
      </c>
      <c r="G334">
        <f t="shared" si="56"/>
        <v>320</v>
      </c>
      <c r="H334" s="50">
        <f t="shared" si="51"/>
        <v>26.666666666666668</v>
      </c>
      <c r="I334" s="7" cm="1">
        <f t="array" ref="I334">CurrentCapacity(K$9,K$5,K$6,H334)</f>
        <v>273.71108160000006</v>
      </c>
      <c r="J334" s="48">
        <f t="shared" si="52"/>
        <v>0.42519783006501505</v>
      </c>
      <c r="K334" s="5" cm="1">
        <f t="array" ref="K334">UseableCapacity(I334,$K$7,$K$8)</f>
        <v>205.28331120000004</v>
      </c>
      <c r="L334" s="59">
        <f t="shared" si="53"/>
        <v>157.32972363893177</v>
      </c>
      <c r="M334" s="7">
        <f t="shared" si="54"/>
        <v>88.901953238931753</v>
      </c>
      <c r="N334" s="7">
        <f t="shared" si="55"/>
        <v>19.328918399999964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ref="B335:B398" si="59">B334+$G$12</f>
        <v>321</v>
      </c>
      <c r="C335" s="7">
        <f t="shared" ref="C335:C398" si="60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59" cm="1">
        <f t="array" ref="F335">estimatedTripDuration(C335,$C$7,$C$6)/60</f>
        <v>10.82666666732894</v>
      </c>
      <c r="G335">
        <f t="shared" si="56"/>
        <v>321</v>
      </c>
      <c r="H335" s="50">
        <f t="shared" ref="H335:H398" si="61">G335/$G$3</f>
        <v>26.75</v>
      </c>
      <c r="I335" s="7" cm="1">
        <f t="array" ref="I335">CurrentCapacity(K$9,K$5,K$6,H335)</f>
        <v>273.71020248000002</v>
      </c>
      <c r="J335" s="48">
        <f t="shared" ref="J335:J398" si="62">E335/I335</f>
        <v>0.4253956411784694</v>
      </c>
      <c r="K335" s="5" cm="1">
        <f t="array" ref="K335">UseableCapacity(I335,$K$7,$K$8)</f>
        <v>205.28265186000002</v>
      </c>
      <c r="L335" s="59">
        <f t="shared" ref="L335:L398" si="63">(K$7*I335)-E335</f>
        <v>157.27507539893173</v>
      </c>
      <c r="M335" s="7">
        <f t="shared" ref="M335:M398" si="64">K335-E335</f>
        <v>88.847524778931728</v>
      </c>
      <c r="N335" s="7">
        <f t="shared" ref="N335:N398" si="65">$K$9-I335</f>
        <v>19.32979752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si="59"/>
        <v>322</v>
      </c>
      <c r="C336" s="7">
        <f t="shared" si="60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59" cm="1">
        <f t="array" ref="F336">estimatedTripDuration(C336,$C$7,$C$6)/60</f>
        <v>10.860000000662273</v>
      </c>
      <c r="G336">
        <f t="shared" si="56"/>
        <v>322</v>
      </c>
      <c r="H336" s="50">
        <f t="shared" si="61"/>
        <v>26.833333333333332</v>
      </c>
      <c r="I336" s="7" cm="1">
        <f t="array" ref="I336">CurrentCapacity(K$9,K$5,K$6,H336)</f>
        <v>273.70932336000004</v>
      </c>
      <c r="J336" s="48">
        <f t="shared" si="62"/>
        <v>0.42559345356261263</v>
      </c>
      <c r="K336" s="5" cm="1">
        <f t="array" ref="K336">UseableCapacity(I336,$K$7,$K$8)</f>
        <v>205.28199252000002</v>
      </c>
      <c r="L336" s="59">
        <f t="shared" si="63"/>
        <v>157.22042715893173</v>
      </c>
      <c r="M336" s="7">
        <f t="shared" si="64"/>
        <v>88.793096318931717</v>
      </c>
      <c r="N336" s="7">
        <f t="shared" si="65"/>
        <v>19.330676639999979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si="59"/>
        <v>323</v>
      </c>
      <c r="C337" s="7">
        <f t="shared" si="60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59" cm="1">
        <f t="array" ref="F337">estimatedTripDuration(C337,$C$7,$C$6)/60</f>
        <v>10.893333333995606</v>
      </c>
      <c r="G337">
        <f t="shared" si="56"/>
        <v>323</v>
      </c>
      <c r="H337" s="50">
        <f t="shared" si="61"/>
        <v>26.916666666666668</v>
      </c>
      <c r="I337" s="7" cm="1">
        <f t="array" ref="I337">CurrentCapacity(K$9,K$5,K$6,H337)</f>
        <v>273.70844424000006</v>
      </c>
      <c r="J337" s="48">
        <f t="shared" si="62"/>
        <v>0.42579126721745703</v>
      </c>
      <c r="K337" s="5" cm="1">
        <f t="array" ref="K337">UseableCapacity(I337,$K$7,$K$8)</f>
        <v>205.28133318000005</v>
      </c>
      <c r="L337" s="59">
        <f t="shared" si="63"/>
        <v>157.16577891893178</v>
      </c>
      <c r="M337" s="7">
        <f t="shared" si="64"/>
        <v>88.738667858931748</v>
      </c>
      <c r="N337" s="7">
        <f t="shared" si="65"/>
        <v>19.331555759999958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59"/>
        <v>324</v>
      </c>
      <c r="C338" s="7">
        <f t="shared" si="60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59" cm="1">
        <f t="array" ref="F338">estimatedTripDuration(C338,$C$7,$C$6)/60</f>
        <v>10.92666666732894</v>
      </c>
      <c r="G338">
        <f t="shared" si="56"/>
        <v>324</v>
      </c>
      <c r="H338" s="50">
        <f t="shared" si="61"/>
        <v>27</v>
      </c>
      <c r="I338" s="7" cm="1">
        <f t="array" ref="I338">CurrentCapacity(K$9,K$5,K$6,H338)</f>
        <v>273.70756512000003</v>
      </c>
      <c r="J338" s="48">
        <f t="shared" si="62"/>
        <v>0.4259890821430149</v>
      </c>
      <c r="K338" s="5" cm="1">
        <f t="array" ref="K338">UseableCapacity(I338,$K$7,$K$8)</f>
        <v>205.28067384000002</v>
      </c>
      <c r="L338" s="59">
        <f t="shared" si="63"/>
        <v>157.11113067893172</v>
      </c>
      <c r="M338" s="7">
        <f t="shared" si="64"/>
        <v>88.684239398931723</v>
      </c>
      <c r="N338" s="7">
        <f t="shared" si="65"/>
        <v>19.332434879999994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59"/>
        <v>325</v>
      </c>
      <c r="C339" s="7">
        <f t="shared" si="60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59" cm="1">
        <f t="array" ref="F339">estimatedTripDuration(C339,$C$7,$C$6)/60</f>
        <v>10.960000000662273</v>
      </c>
      <c r="G339">
        <f t="shared" si="56"/>
        <v>325</v>
      </c>
      <c r="H339" s="50">
        <f t="shared" si="61"/>
        <v>27.083333333333332</v>
      </c>
      <c r="I339" s="7" cm="1">
        <f t="array" ref="I339">CurrentCapacity(K$9,K$5,K$6,H339)</f>
        <v>273.70668600000005</v>
      </c>
      <c r="J339" s="48">
        <f t="shared" si="62"/>
        <v>0.4261868983392984</v>
      </c>
      <c r="K339" s="5" cm="1">
        <f t="array" ref="K339">UseableCapacity(I339,$K$7,$K$8)</f>
        <v>205.28001450000005</v>
      </c>
      <c r="L339" s="59">
        <f t="shared" si="63"/>
        <v>157.05648243893177</v>
      </c>
      <c r="M339" s="7">
        <f t="shared" si="64"/>
        <v>88.629810938931755</v>
      </c>
      <c r="N339" s="7">
        <f t="shared" si="65"/>
        <v>19.333313999999973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59"/>
        <v>326</v>
      </c>
      <c r="C340" s="7">
        <f t="shared" si="60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59" cm="1">
        <f t="array" ref="F340">estimatedTripDuration(C340,$C$7,$C$6)/60</f>
        <v>10.993333333995606</v>
      </c>
      <c r="G340">
        <f t="shared" si="56"/>
        <v>326</v>
      </c>
      <c r="H340" s="50">
        <f t="shared" si="61"/>
        <v>27.166666666666668</v>
      </c>
      <c r="I340" s="7" cm="1">
        <f t="array" ref="I340">CurrentCapacity(K$9,K$5,K$6,H340)</f>
        <v>273.70580688000001</v>
      </c>
      <c r="J340" s="48">
        <f t="shared" si="62"/>
        <v>0.42638471580631987</v>
      </c>
      <c r="K340" s="5" cm="1">
        <f t="array" ref="K340">UseableCapacity(I340,$K$7,$K$8)</f>
        <v>205.27935516000002</v>
      </c>
      <c r="L340" s="59">
        <f t="shared" si="63"/>
        <v>157.00183419893173</v>
      </c>
      <c r="M340" s="7">
        <f t="shared" si="64"/>
        <v>88.575382478931743</v>
      </c>
      <c r="N340" s="7">
        <f t="shared" si="65"/>
        <v>19.334193120000009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59"/>
        <v>327</v>
      </c>
      <c r="C341" s="7">
        <f t="shared" si="60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59" cm="1">
        <f t="array" ref="F341">estimatedTripDuration(C341,$C$7,$C$6)/60</f>
        <v>11.026666667328941</v>
      </c>
      <c r="G341">
        <f t="shared" si="56"/>
        <v>327</v>
      </c>
      <c r="H341" s="50">
        <f t="shared" si="61"/>
        <v>27.25</v>
      </c>
      <c r="I341" s="7" cm="1">
        <f t="array" ref="I341">CurrentCapacity(K$9,K$5,K$6,H341)</f>
        <v>273.70492776000003</v>
      </c>
      <c r="J341" s="48">
        <f t="shared" si="62"/>
        <v>0.42658253454409151</v>
      </c>
      <c r="K341" s="5" cm="1">
        <f t="array" ref="K341">UseableCapacity(I341,$K$7,$K$8)</f>
        <v>205.27869582000002</v>
      </c>
      <c r="L341" s="59">
        <f t="shared" si="63"/>
        <v>156.94718595893175</v>
      </c>
      <c r="M341" s="7">
        <f t="shared" si="64"/>
        <v>88.520954018931732</v>
      </c>
      <c r="N341" s="7">
        <f t="shared" si="65"/>
        <v>19.335072239999988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59"/>
        <v>328</v>
      </c>
      <c r="C342" s="7">
        <f t="shared" si="60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59" cm="1">
        <f t="array" ref="F342">estimatedTripDuration(C342,$C$7,$C$6)/60</f>
        <v>11.060000000662274</v>
      </c>
      <c r="G342">
        <f t="shared" si="56"/>
        <v>328</v>
      </c>
      <c r="H342" s="50">
        <f t="shared" si="61"/>
        <v>27.333333333333332</v>
      </c>
      <c r="I342" s="7" cm="1">
        <f t="array" ref="I342">CurrentCapacity(K$9,K$5,K$6,H342)</f>
        <v>273.70404864000005</v>
      </c>
      <c r="J342" s="48">
        <f t="shared" si="62"/>
        <v>0.42678035455262558</v>
      </c>
      <c r="K342" s="5" cm="1">
        <f t="array" ref="K342">UseableCapacity(I342,$K$7,$K$8)</f>
        <v>205.27803648000003</v>
      </c>
      <c r="L342" s="59">
        <f t="shared" si="63"/>
        <v>156.89253771893175</v>
      </c>
      <c r="M342" s="7">
        <f t="shared" si="64"/>
        <v>88.466525558931721</v>
      </c>
      <c r="N342" s="7">
        <f t="shared" si="65"/>
        <v>19.335951359999967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59"/>
        <v>329</v>
      </c>
      <c r="C343" s="7">
        <f t="shared" si="60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59" cm="1">
        <f t="array" ref="F343">estimatedTripDuration(C343,$C$7,$C$6)/60</f>
        <v>11.093333333995608</v>
      </c>
      <c r="G343">
        <f t="shared" si="56"/>
        <v>329</v>
      </c>
      <c r="H343" s="50">
        <f t="shared" si="61"/>
        <v>27.416666666666668</v>
      </c>
      <c r="I343" s="7" cm="1">
        <f t="array" ref="I343">CurrentCapacity(K$9,K$5,K$6,H343)</f>
        <v>273.70316952000007</v>
      </c>
      <c r="J343" s="48">
        <f t="shared" si="62"/>
        <v>0.42697817583193431</v>
      </c>
      <c r="K343" s="5" cm="1">
        <f t="array" ref="K343">UseableCapacity(I343,$K$7,$K$8)</f>
        <v>205.27737714000006</v>
      </c>
      <c r="L343" s="59">
        <f t="shared" si="63"/>
        <v>156.83788947893174</v>
      </c>
      <c r="M343" s="7">
        <f t="shared" si="64"/>
        <v>88.412097098931739</v>
      </c>
      <c r="N343" s="7">
        <f t="shared" si="65"/>
        <v>19.336830479999946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59"/>
        <v>330</v>
      </c>
      <c r="C344" s="7">
        <f t="shared" si="60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59" cm="1">
        <f t="array" ref="F344">estimatedTripDuration(C344,$C$7,$C$6)/60</f>
        <v>11.126666667328941</v>
      </c>
      <c r="G344">
        <f t="shared" si="56"/>
        <v>330</v>
      </c>
      <c r="H344" s="50">
        <f t="shared" si="61"/>
        <v>27.5</v>
      </c>
      <c r="I344" s="7" cm="1">
        <f t="array" ref="I344">CurrentCapacity(K$9,K$5,K$6,H344)</f>
        <v>273.70229040000004</v>
      </c>
      <c r="J344" s="48">
        <f t="shared" si="62"/>
        <v>0.42717599838202991</v>
      </c>
      <c r="K344" s="5" cm="1">
        <f t="array" ref="K344">UseableCapacity(I344,$K$7,$K$8)</f>
        <v>205.27671780000003</v>
      </c>
      <c r="L344" s="59">
        <f t="shared" si="63"/>
        <v>156.78324123893174</v>
      </c>
      <c r="M344" s="7">
        <f t="shared" si="64"/>
        <v>88.357668638931727</v>
      </c>
      <c r="N344" s="7">
        <f t="shared" si="65"/>
        <v>19.337709599999982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59"/>
        <v>331</v>
      </c>
      <c r="C345" s="7">
        <f t="shared" si="60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59" cm="1">
        <f t="array" ref="F345">estimatedTripDuration(C345,$C$7,$C$6)/60</f>
        <v>11.160000000662274</v>
      </c>
      <c r="G345">
        <f t="shared" si="56"/>
        <v>331</v>
      </c>
      <c r="H345" s="50">
        <f t="shared" si="61"/>
        <v>27.583333333333332</v>
      </c>
      <c r="I345" s="7" cm="1">
        <f t="array" ref="I345">CurrentCapacity(K$9,K$5,K$6,H345)</f>
        <v>273.70141128</v>
      </c>
      <c r="J345" s="48">
        <f t="shared" si="62"/>
        <v>0.42737382220292469</v>
      </c>
      <c r="K345" s="5" cm="1">
        <f t="array" ref="K345">UseableCapacity(I345,$K$7,$K$8)</f>
        <v>205.27605846</v>
      </c>
      <c r="L345" s="59">
        <f t="shared" si="63"/>
        <v>156.72859299893173</v>
      </c>
      <c r="M345" s="7">
        <f t="shared" si="64"/>
        <v>88.303240178931716</v>
      </c>
      <c r="N345" s="7">
        <f t="shared" si="65"/>
        <v>19.338588720000018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59"/>
        <v>332</v>
      </c>
      <c r="C346" s="7">
        <f t="shared" si="60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59" cm="1">
        <f t="array" ref="F346">estimatedTripDuration(C346,$C$7,$C$6)/60</f>
        <v>11.193333333995607</v>
      </c>
      <c r="G346">
        <f t="shared" si="56"/>
        <v>332</v>
      </c>
      <c r="H346" s="50">
        <f t="shared" si="61"/>
        <v>27.666666666666668</v>
      </c>
      <c r="I346" s="7" cm="1">
        <f t="array" ref="I346">CurrentCapacity(K$9,K$5,K$6,H346)</f>
        <v>273.70053216000002</v>
      </c>
      <c r="J346" s="48">
        <f t="shared" si="62"/>
        <v>0.42757164729463087</v>
      </c>
      <c r="K346" s="5" cm="1">
        <f t="array" ref="K346">UseableCapacity(I346,$K$7,$K$8)</f>
        <v>205.27539912000003</v>
      </c>
      <c r="L346" s="59">
        <f t="shared" si="63"/>
        <v>156.67394475893173</v>
      </c>
      <c r="M346" s="7">
        <f t="shared" si="64"/>
        <v>88.248811718931734</v>
      </c>
      <c r="N346" s="7">
        <f t="shared" si="65"/>
        <v>19.339467839999998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59"/>
        <v>333</v>
      </c>
      <c r="C347" s="7">
        <f t="shared" si="60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59" cm="1">
        <f t="array" ref="F347">estimatedTripDuration(C347,$C$7,$C$6)/60</f>
        <v>11.22666666732894</v>
      </c>
      <c r="G347">
        <f t="shared" si="56"/>
        <v>333</v>
      </c>
      <c r="H347" s="50">
        <f t="shared" si="61"/>
        <v>27.75</v>
      </c>
      <c r="I347" s="7" cm="1">
        <f t="array" ref="I347">CurrentCapacity(K$9,K$5,K$6,H347)</f>
        <v>273.69965304000004</v>
      </c>
      <c r="J347" s="48">
        <f t="shared" si="62"/>
        <v>0.42776947365716056</v>
      </c>
      <c r="K347" s="5" cm="1">
        <f t="array" ref="K347">UseableCapacity(I347,$K$7,$K$8)</f>
        <v>205.27473978000003</v>
      </c>
      <c r="L347" s="59">
        <f t="shared" si="63"/>
        <v>156.61929651893178</v>
      </c>
      <c r="M347" s="7">
        <f t="shared" si="64"/>
        <v>88.194383258931751</v>
      </c>
      <c r="N347" s="7">
        <f t="shared" si="65"/>
        <v>19.340346959999977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59"/>
        <v>334</v>
      </c>
      <c r="C348" s="7">
        <f t="shared" si="60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59" cm="1">
        <f t="array" ref="F348">estimatedTripDuration(C348,$C$7,$C$6)/60</f>
        <v>11.260000000662274</v>
      </c>
      <c r="G348">
        <f t="shared" si="56"/>
        <v>334</v>
      </c>
      <c r="H348" s="50">
        <f t="shared" si="61"/>
        <v>27.833333333333332</v>
      </c>
      <c r="I348" s="7" cm="1">
        <f t="array" ref="I348">CurrentCapacity(K$9,K$5,K$6,H348)</f>
        <v>273.69877392000006</v>
      </c>
      <c r="J348" s="48">
        <f t="shared" si="62"/>
        <v>0.42796730129052624</v>
      </c>
      <c r="K348" s="5" cm="1">
        <f t="array" ref="K348">UseableCapacity(I348,$K$7,$K$8)</f>
        <v>205.27408044000003</v>
      </c>
      <c r="L348" s="59">
        <f t="shared" si="63"/>
        <v>156.56464827893177</v>
      </c>
      <c r="M348" s="7">
        <f t="shared" si="64"/>
        <v>88.13995479893174</v>
      </c>
      <c r="N348" s="7">
        <f t="shared" si="65"/>
        <v>19.341226079999956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59"/>
        <v>335</v>
      </c>
      <c r="C349" s="7">
        <f t="shared" si="60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59" cm="1">
        <f t="array" ref="F349">estimatedTripDuration(C349,$C$7,$C$6)/60</f>
        <v>11.293333333995607</v>
      </c>
      <c r="G349">
        <f t="shared" si="56"/>
        <v>335</v>
      </c>
      <c r="H349" s="50">
        <f t="shared" si="61"/>
        <v>27.916666666666668</v>
      </c>
      <c r="I349" s="7" cm="1">
        <f t="array" ref="I349">CurrentCapacity(K$9,K$5,K$6,H349)</f>
        <v>273.69789480000003</v>
      </c>
      <c r="J349" s="48">
        <f t="shared" si="62"/>
        <v>0.42816513019474012</v>
      </c>
      <c r="K349" s="5" cm="1">
        <f t="array" ref="K349">UseableCapacity(I349,$K$7,$K$8)</f>
        <v>205.27342110000001</v>
      </c>
      <c r="L349" s="59">
        <f t="shared" si="63"/>
        <v>156.51000003893174</v>
      </c>
      <c r="M349" s="7">
        <f t="shared" si="64"/>
        <v>88.085526338931714</v>
      </c>
      <c r="N349" s="7">
        <f t="shared" si="65"/>
        <v>19.342105199999992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59"/>
        <v>336</v>
      </c>
      <c r="C350" s="7">
        <f t="shared" si="60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59" cm="1">
        <f t="array" ref="F350">estimatedTripDuration(C350,$C$7,$C$6)/60</f>
        <v>11.32666666732894</v>
      </c>
      <c r="G350">
        <f t="shared" si="56"/>
        <v>336</v>
      </c>
      <c r="H350" s="50">
        <f t="shared" si="61"/>
        <v>28</v>
      </c>
      <c r="I350" s="7" cm="1">
        <f t="array" ref="I350">CurrentCapacity(K$9,K$5,K$6,H350)</f>
        <v>273.69701568000005</v>
      </c>
      <c r="J350" s="48">
        <f t="shared" si="62"/>
        <v>0.42836296036981419</v>
      </c>
      <c r="K350" s="5" cm="1">
        <f t="array" ref="K350">UseableCapacity(I350,$K$7,$K$8)</f>
        <v>205.27276176000004</v>
      </c>
      <c r="L350" s="59">
        <f t="shared" si="63"/>
        <v>156.45535179893176</v>
      </c>
      <c r="M350" s="7">
        <f t="shared" si="64"/>
        <v>88.03109787893176</v>
      </c>
      <c r="N350" s="7">
        <f t="shared" si="65"/>
        <v>19.342984319999971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59"/>
        <v>337</v>
      </c>
      <c r="C351" s="7">
        <f t="shared" si="60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59" cm="1">
        <f t="array" ref="F351">estimatedTripDuration(C351,$C$7,$C$6)/60</f>
        <v>11.360000000662273</v>
      </c>
      <c r="G351">
        <f t="shared" ref="G351:G414" si="66">B351</f>
        <v>337</v>
      </c>
      <c r="H351" s="50">
        <f t="shared" si="61"/>
        <v>28.083333333333332</v>
      </c>
      <c r="I351" s="7" cm="1">
        <f t="array" ref="I351">CurrentCapacity(K$9,K$5,K$6,H351)</f>
        <v>273.69613656000001</v>
      </c>
      <c r="J351" s="48">
        <f t="shared" si="62"/>
        <v>0.42856079181576118</v>
      </c>
      <c r="K351" s="5" cm="1">
        <f t="array" ref="K351">UseableCapacity(I351,$K$7,$K$8)</f>
        <v>205.27210242000001</v>
      </c>
      <c r="L351" s="59">
        <f t="shared" si="63"/>
        <v>156.4007035589317</v>
      </c>
      <c r="M351" s="7">
        <f t="shared" si="64"/>
        <v>87.976669418931706</v>
      </c>
      <c r="N351" s="7">
        <f t="shared" si="65"/>
        <v>19.343863440000007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35">
      <c r="B352">
        <f t="shared" si="59"/>
        <v>338</v>
      </c>
      <c r="C352" s="7">
        <f t="shared" si="60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59" cm="1">
        <f t="array" ref="F352">estimatedTripDuration(C352,$C$7,$C$6)/60</f>
        <v>11.393333333995606</v>
      </c>
      <c r="G352">
        <f t="shared" si="66"/>
        <v>338</v>
      </c>
      <c r="H352" s="50">
        <f t="shared" si="61"/>
        <v>28.166666666666668</v>
      </c>
      <c r="I352" s="7" cm="1">
        <f t="array" ref="I352">CurrentCapacity(K$9,K$5,K$6,H352)</f>
        <v>273.69525744000003</v>
      </c>
      <c r="J352" s="48">
        <f t="shared" si="62"/>
        <v>0.42875862453259272</v>
      </c>
      <c r="K352" s="5" cm="1">
        <f t="array" ref="K352">UseableCapacity(I352,$K$7,$K$8)</f>
        <v>205.27144308000004</v>
      </c>
      <c r="L352" s="59">
        <f t="shared" si="63"/>
        <v>156.34605531893175</v>
      </c>
      <c r="M352" s="7">
        <f t="shared" si="64"/>
        <v>87.922240958931766</v>
      </c>
      <c r="N352" s="7">
        <f t="shared" si="65"/>
        <v>19.344742559999986</v>
      </c>
      <c r="O352" t="str">
        <f t="shared" si="67"/>
        <v>no</v>
      </c>
      <c r="P352" t="str">
        <f t="shared" si="68"/>
        <v>no</v>
      </c>
    </row>
    <row r="353" spans="2:16" x14ac:dyDescent="0.35">
      <c r="B353">
        <f t="shared" si="59"/>
        <v>339</v>
      </c>
      <c r="C353" s="7">
        <f t="shared" si="60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59" cm="1">
        <f t="array" ref="F353">estimatedTripDuration(C353,$C$7,$C$6)/60</f>
        <v>11.42666666732894</v>
      </c>
      <c r="G353">
        <f t="shared" si="66"/>
        <v>339</v>
      </c>
      <c r="H353" s="50">
        <f t="shared" si="61"/>
        <v>28.25</v>
      </c>
      <c r="I353" s="7" cm="1">
        <f t="array" ref="I353">CurrentCapacity(K$9,K$5,K$6,H353)</f>
        <v>273.69437832</v>
      </c>
      <c r="J353" s="48">
        <f t="shared" si="62"/>
        <v>0.42895645852032166</v>
      </c>
      <c r="K353" s="5" cm="1">
        <f t="array" ref="K353">UseableCapacity(I353,$K$7,$K$8)</f>
        <v>205.27078374000001</v>
      </c>
      <c r="L353" s="59">
        <f t="shared" si="63"/>
        <v>156.29140707893168</v>
      </c>
      <c r="M353" s="7">
        <f t="shared" si="64"/>
        <v>87.867812498931713</v>
      </c>
      <c r="N353" s="7">
        <f t="shared" si="65"/>
        <v>19.345621680000022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59"/>
        <v>340</v>
      </c>
      <c r="C354" s="7">
        <f t="shared" si="60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59" cm="1">
        <f t="array" ref="F354">estimatedTripDuration(C354,$C$7,$C$6)/60</f>
        <v>11.460000000662273</v>
      </c>
      <c r="G354">
        <f t="shared" si="66"/>
        <v>340</v>
      </c>
      <c r="H354" s="50">
        <f t="shared" si="61"/>
        <v>28.333333333333332</v>
      </c>
      <c r="I354" s="7" cm="1">
        <f t="array" ref="I354">CurrentCapacity(K$9,K$5,K$6,H354)</f>
        <v>273.69349920000002</v>
      </c>
      <c r="J354" s="48">
        <f t="shared" si="62"/>
        <v>0.42915429377895975</v>
      </c>
      <c r="K354" s="5" cm="1">
        <f t="array" ref="K354">UseableCapacity(I354,$K$7,$K$8)</f>
        <v>205.27012440000001</v>
      </c>
      <c r="L354" s="59">
        <f t="shared" si="63"/>
        <v>156.23675883893173</v>
      </c>
      <c r="M354" s="7">
        <f t="shared" si="64"/>
        <v>87.813384038931716</v>
      </c>
      <c r="N354" s="7">
        <f t="shared" si="65"/>
        <v>19.346500800000001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59"/>
        <v>341</v>
      </c>
      <c r="C355" s="7">
        <f t="shared" si="60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59" cm="1">
        <f t="array" ref="F355">estimatedTripDuration(C355,$C$7,$C$6)/60</f>
        <v>11.493333333995606</v>
      </c>
      <c r="G355">
        <f t="shared" si="66"/>
        <v>341</v>
      </c>
      <c r="H355" s="50">
        <f t="shared" si="61"/>
        <v>28.416666666666668</v>
      </c>
      <c r="I355" s="7" cm="1">
        <f t="array" ref="I355">CurrentCapacity(K$9,K$5,K$6,H355)</f>
        <v>273.69262008000004</v>
      </c>
      <c r="J355" s="48">
        <f t="shared" si="62"/>
        <v>0.42935213030851943</v>
      </c>
      <c r="K355" s="5" cm="1">
        <f t="array" ref="K355">UseableCapacity(I355,$K$7,$K$8)</f>
        <v>205.26946506000002</v>
      </c>
      <c r="L355" s="59">
        <f t="shared" si="63"/>
        <v>156.18211059893176</v>
      </c>
      <c r="M355" s="7">
        <f t="shared" si="64"/>
        <v>87.758955578931733</v>
      </c>
      <c r="N355" s="7">
        <f t="shared" si="65"/>
        <v>19.34737991999998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59"/>
        <v>342</v>
      </c>
      <c r="C356" s="7">
        <f t="shared" si="60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59" cm="1">
        <f t="array" ref="F356">estimatedTripDuration(C356,$C$7,$C$6)/60</f>
        <v>11.526666667328941</v>
      </c>
      <c r="G356">
        <f t="shared" si="66"/>
        <v>342</v>
      </c>
      <c r="H356" s="50">
        <f t="shared" si="61"/>
        <v>28.5</v>
      </c>
      <c r="I356" s="7" cm="1">
        <f t="array" ref="I356">CurrentCapacity(K$9,K$5,K$6,H356)</f>
        <v>273.69174096000006</v>
      </c>
      <c r="J356" s="48">
        <f t="shared" si="62"/>
        <v>0.42954996810901308</v>
      </c>
      <c r="K356" s="5" cm="1">
        <f t="array" ref="K356">UseableCapacity(I356,$K$7,$K$8)</f>
        <v>205.26880572000005</v>
      </c>
      <c r="L356" s="59">
        <f t="shared" si="63"/>
        <v>156.12746235893178</v>
      </c>
      <c r="M356" s="7">
        <f t="shared" si="64"/>
        <v>87.70452711893175</v>
      </c>
      <c r="N356" s="7">
        <f t="shared" si="65"/>
        <v>19.348259039999959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59"/>
        <v>343</v>
      </c>
      <c r="C357" s="7">
        <f t="shared" si="60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59" cm="1">
        <f t="array" ref="F357">estimatedTripDuration(C357,$C$7,$C$6)/60</f>
        <v>11.560000000662274</v>
      </c>
      <c r="G357">
        <f t="shared" si="66"/>
        <v>343</v>
      </c>
      <c r="H357" s="50">
        <f t="shared" si="61"/>
        <v>28.583333333333332</v>
      </c>
      <c r="I357" s="7" cm="1">
        <f t="array" ref="I357">CurrentCapacity(K$9,K$5,K$6,H357)</f>
        <v>273.69086184000003</v>
      </c>
      <c r="J357" s="48">
        <f t="shared" si="62"/>
        <v>0.42974780718045286</v>
      </c>
      <c r="K357" s="5" cm="1">
        <f t="array" ref="K357">UseableCapacity(I357,$K$7,$K$8)</f>
        <v>205.26814638000002</v>
      </c>
      <c r="L357" s="59">
        <f t="shared" si="63"/>
        <v>156.07281411893172</v>
      </c>
      <c r="M357" s="7">
        <f t="shared" si="64"/>
        <v>87.650098658931725</v>
      </c>
      <c r="N357" s="7">
        <f t="shared" si="65"/>
        <v>19.349138159999995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59"/>
        <v>344</v>
      </c>
      <c r="C358" s="7">
        <f t="shared" si="60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59" cm="1">
        <f t="array" ref="F358">estimatedTripDuration(C358,$C$7,$C$6)/60</f>
        <v>11.593333333995608</v>
      </c>
      <c r="G358">
        <f t="shared" si="66"/>
        <v>344</v>
      </c>
      <c r="H358" s="50">
        <f t="shared" si="61"/>
        <v>28.666666666666668</v>
      </c>
      <c r="I358" s="7" cm="1">
        <f t="array" ref="I358">CurrentCapacity(K$9,K$5,K$6,H358)</f>
        <v>273.68998272000005</v>
      </c>
      <c r="J358" s="48">
        <f t="shared" si="62"/>
        <v>0.42994564752285103</v>
      </c>
      <c r="K358" s="5" cm="1">
        <f t="array" ref="K358">UseableCapacity(I358,$K$7,$K$8)</f>
        <v>205.26748704000005</v>
      </c>
      <c r="L358" s="59">
        <f t="shared" si="63"/>
        <v>156.01816587893171</v>
      </c>
      <c r="M358" s="7">
        <f t="shared" si="64"/>
        <v>87.595670198931728</v>
      </c>
      <c r="N358" s="7">
        <f t="shared" si="65"/>
        <v>19.350017279999975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59"/>
        <v>345</v>
      </c>
      <c r="C359" s="7">
        <f t="shared" si="60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59" cm="1">
        <f t="array" ref="F359">estimatedTripDuration(C359,$C$7,$C$6)/60</f>
        <v>11.626666667328941</v>
      </c>
      <c r="G359">
        <f t="shared" si="66"/>
        <v>345</v>
      </c>
      <c r="H359" s="50">
        <f t="shared" si="61"/>
        <v>28.75</v>
      </c>
      <c r="I359" s="7" cm="1">
        <f t="array" ref="I359">CurrentCapacity(K$9,K$5,K$6,H359)</f>
        <v>273.68910360000001</v>
      </c>
      <c r="J359" s="48">
        <f t="shared" si="62"/>
        <v>0.43014348913621958</v>
      </c>
      <c r="K359" s="5" cm="1">
        <f t="array" ref="K359">UseableCapacity(I359,$K$7,$K$8)</f>
        <v>205.26682770000002</v>
      </c>
      <c r="L359" s="59">
        <f t="shared" si="63"/>
        <v>155.96351763893173</v>
      </c>
      <c r="M359" s="7">
        <f t="shared" si="64"/>
        <v>87.541241738931745</v>
      </c>
      <c r="N359" s="7">
        <f t="shared" si="65"/>
        <v>19.350896400000011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59"/>
        <v>346</v>
      </c>
      <c r="C360" s="7">
        <f t="shared" si="60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59" cm="1">
        <f t="array" ref="F360">estimatedTripDuration(C360,$C$7,$C$6)/60</f>
        <v>11.660000000662274</v>
      </c>
      <c r="G360">
        <f t="shared" si="66"/>
        <v>346</v>
      </c>
      <c r="H360" s="50">
        <f t="shared" si="61"/>
        <v>28.833333333333332</v>
      </c>
      <c r="I360" s="7" cm="1">
        <f t="array" ref="I360">CurrentCapacity(K$9,K$5,K$6,H360)</f>
        <v>273.68822448000003</v>
      </c>
      <c r="J360" s="48">
        <f t="shared" si="62"/>
        <v>0.43034133202057112</v>
      </c>
      <c r="K360" s="5" cm="1">
        <f t="array" ref="K360">UseableCapacity(I360,$K$7,$K$8)</f>
        <v>205.26616836000002</v>
      </c>
      <c r="L360" s="59">
        <f t="shared" si="63"/>
        <v>155.90886939893176</v>
      </c>
      <c r="M360" s="7">
        <f t="shared" si="64"/>
        <v>87.486813278931734</v>
      </c>
      <c r="N360" s="7">
        <f t="shared" si="65"/>
        <v>19.35177551999999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59"/>
        <v>347</v>
      </c>
      <c r="C361" s="7">
        <f t="shared" si="60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59" cm="1">
        <f t="array" ref="F361">estimatedTripDuration(C361,$C$7,$C$6)/60</f>
        <v>11.693333333995607</v>
      </c>
      <c r="G361">
        <f t="shared" si="66"/>
        <v>347</v>
      </c>
      <c r="H361" s="50">
        <f t="shared" si="61"/>
        <v>28.916666666666668</v>
      </c>
      <c r="I361" s="7" cm="1">
        <f t="array" ref="I361">CurrentCapacity(K$9,K$5,K$6,H361)</f>
        <v>273.68734536000005</v>
      </c>
      <c r="J361" s="48">
        <f t="shared" si="62"/>
        <v>0.43053917617591775</v>
      </c>
      <c r="K361" s="5" cm="1">
        <f t="array" ref="K361">UseableCapacity(I361,$K$7,$K$8)</f>
        <v>205.26550902000002</v>
      </c>
      <c r="L361" s="59">
        <f t="shared" si="63"/>
        <v>155.85422115893175</v>
      </c>
      <c r="M361" s="7">
        <f t="shared" si="64"/>
        <v>87.432384818931723</v>
      </c>
      <c r="N361" s="7">
        <f t="shared" si="65"/>
        <v>19.352654639999969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59"/>
        <v>348</v>
      </c>
      <c r="C362" s="7">
        <f t="shared" si="60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59" cm="1">
        <f t="array" ref="F362">estimatedTripDuration(C362,$C$7,$C$6)/60</f>
        <v>11.72666666732894</v>
      </c>
      <c r="G362">
        <f t="shared" si="66"/>
        <v>348</v>
      </c>
      <c r="H362" s="50">
        <f t="shared" si="61"/>
        <v>29</v>
      </c>
      <c r="I362" s="7" cm="1">
        <f t="array" ref="I362">CurrentCapacity(K$9,K$5,K$6,H362)</f>
        <v>273.68646624000002</v>
      </c>
      <c r="J362" s="48">
        <f t="shared" si="62"/>
        <v>0.43073702160227167</v>
      </c>
      <c r="K362" s="5" cm="1">
        <f t="array" ref="K362">UseableCapacity(I362,$K$7,$K$8)</f>
        <v>205.26484968</v>
      </c>
      <c r="L362" s="59">
        <f t="shared" si="63"/>
        <v>155.79957291893174</v>
      </c>
      <c r="M362" s="7">
        <f t="shared" si="64"/>
        <v>87.377956358931712</v>
      </c>
      <c r="N362" s="7">
        <f t="shared" si="65"/>
        <v>19.353533760000005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59"/>
        <v>349</v>
      </c>
      <c r="C363" s="7">
        <f t="shared" si="60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59" cm="1">
        <f t="array" ref="F363">estimatedTripDuration(C363,$C$7,$C$6)/60</f>
        <v>11.760000000662274</v>
      </c>
      <c r="G363">
        <f t="shared" si="66"/>
        <v>349</v>
      </c>
      <c r="H363" s="50">
        <f t="shared" si="61"/>
        <v>29.083333333333332</v>
      </c>
      <c r="I363" s="7" cm="1">
        <f t="array" ref="I363">CurrentCapacity(K$9,K$5,K$6,H363)</f>
        <v>273.68558712000004</v>
      </c>
      <c r="J363" s="48">
        <f t="shared" si="62"/>
        <v>0.43093486829964522</v>
      </c>
      <c r="K363" s="5" cm="1">
        <f t="array" ref="K363">UseableCapacity(I363,$K$7,$K$8)</f>
        <v>205.26419034000003</v>
      </c>
      <c r="L363" s="59">
        <f t="shared" si="63"/>
        <v>155.74492467893174</v>
      </c>
      <c r="M363" s="7">
        <f t="shared" si="64"/>
        <v>87.323527898931729</v>
      </c>
      <c r="N363" s="7">
        <f t="shared" si="65"/>
        <v>19.354412879999984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59"/>
        <v>350</v>
      </c>
      <c r="C364" s="7">
        <f t="shared" si="60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59" cm="1">
        <f t="array" ref="F364">estimatedTripDuration(C364,$C$7,$C$6)/60</f>
        <v>11.793333333995607</v>
      </c>
      <c r="G364">
        <f t="shared" si="66"/>
        <v>350</v>
      </c>
      <c r="H364" s="50">
        <f t="shared" si="61"/>
        <v>29.166666666666668</v>
      </c>
      <c r="I364" s="7" cm="1">
        <f t="array" ref="I364">CurrentCapacity(K$9,K$5,K$6,H364)</f>
        <v>273.68470800000006</v>
      </c>
      <c r="J364" s="48">
        <f t="shared" si="62"/>
        <v>0.43113271626805055</v>
      </c>
      <c r="K364" s="5" cm="1">
        <f t="array" ref="K364">UseableCapacity(I364,$K$7,$K$8)</f>
        <v>205.26353100000006</v>
      </c>
      <c r="L364" s="59">
        <f t="shared" si="63"/>
        <v>155.69027643893176</v>
      </c>
      <c r="M364" s="7">
        <f t="shared" si="64"/>
        <v>87.269099438931761</v>
      </c>
      <c r="N364" s="7">
        <f t="shared" si="65"/>
        <v>19.355291999999963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59"/>
        <v>351</v>
      </c>
      <c r="C365" s="7">
        <f t="shared" si="60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59" cm="1">
        <f t="array" ref="F365">estimatedTripDuration(C365,$C$7,$C$6)/60</f>
        <v>11.82666666732894</v>
      </c>
      <c r="G365">
        <f t="shared" si="66"/>
        <v>351</v>
      </c>
      <c r="H365" s="50">
        <f t="shared" si="61"/>
        <v>29.25</v>
      </c>
      <c r="I365" s="7" cm="1">
        <f t="array" ref="I365">CurrentCapacity(K$9,K$5,K$6,H365)</f>
        <v>273.68382888000002</v>
      </c>
      <c r="J365" s="48">
        <f t="shared" si="62"/>
        <v>0.43133056550750004</v>
      </c>
      <c r="K365" s="5" cm="1">
        <f t="array" ref="K365">UseableCapacity(I365,$K$7,$K$8)</f>
        <v>205.26287166000003</v>
      </c>
      <c r="L365" s="59">
        <f t="shared" si="63"/>
        <v>155.63562819893173</v>
      </c>
      <c r="M365" s="7">
        <f t="shared" si="64"/>
        <v>87.21467097893175</v>
      </c>
      <c r="N365" s="7">
        <f t="shared" si="65"/>
        <v>19.356171119999999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59"/>
        <v>352</v>
      </c>
      <c r="C366" s="7">
        <f t="shared" si="60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59" cm="1">
        <f t="array" ref="F366">estimatedTripDuration(C366,$C$7,$C$6)/60</f>
        <v>11.860000000662273</v>
      </c>
      <c r="G366">
        <f t="shared" si="66"/>
        <v>352</v>
      </c>
      <c r="H366" s="50">
        <f t="shared" si="61"/>
        <v>29.333333333333332</v>
      </c>
      <c r="I366" s="7" cm="1">
        <f t="array" ref="I366">CurrentCapacity(K$9,K$5,K$6,H366)</f>
        <v>273.68294976000004</v>
      </c>
      <c r="J366" s="48">
        <f t="shared" si="62"/>
        <v>0.43152841601800584</v>
      </c>
      <c r="K366" s="5" cm="1">
        <f t="array" ref="K366">UseableCapacity(I366,$K$7,$K$8)</f>
        <v>205.26221232000003</v>
      </c>
      <c r="L366" s="59">
        <f t="shared" si="63"/>
        <v>155.58097995893175</v>
      </c>
      <c r="M366" s="7">
        <f t="shared" si="64"/>
        <v>87.160242518931739</v>
      </c>
      <c r="N366" s="7">
        <f t="shared" si="65"/>
        <v>19.357050239999978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59"/>
        <v>353</v>
      </c>
      <c r="C367" s="7">
        <f t="shared" si="60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59" cm="1">
        <f t="array" ref="F367">estimatedTripDuration(C367,$C$7,$C$6)/60</f>
        <v>11.893333333995606</v>
      </c>
      <c r="G367">
        <f t="shared" si="66"/>
        <v>353</v>
      </c>
      <c r="H367" s="50">
        <f t="shared" si="61"/>
        <v>29.416666666666668</v>
      </c>
      <c r="I367" s="7" cm="1">
        <f t="array" ref="I367">CurrentCapacity(K$9,K$5,K$6,H367)</f>
        <v>273.68207064000001</v>
      </c>
      <c r="J367" s="48">
        <f t="shared" si="62"/>
        <v>0.43172626779958034</v>
      </c>
      <c r="K367" s="5" cm="1">
        <f t="array" ref="K367">UseableCapacity(I367,$K$7,$K$8)</f>
        <v>205.26155298</v>
      </c>
      <c r="L367" s="59">
        <f t="shared" si="63"/>
        <v>155.52633171893171</v>
      </c>
      <c r="M367" s="7">
        <f t="shared" si="64"/>
        <v>87.105814058931699</v>
      </c>
      <c r="N367" s="7">
        <f t="shared" si="65"/>
        <v>19.357929360000014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59"/>
        <v>354</v>
      </c>
      <c r="C368" s="7">
        <f t="shared" si="60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59" cm="1">
        <f t="array" ref="F368">estimatedTripDuration(C368,$C$7,$C$6)/60</f>
        <v>11.92666666732894</v>
      </c>
      <c r="G368">
        <f t="shared" si="66"/>
        <v>354</v>
      </c>
      <c r="H368" s="50">
        <f t="shared" si="61"/>
        <v>29.5</v>
      </c>
      <c r="I368" s="7" cm="1">
        <f t="array" ref="I368">CurrentCapacity(K$9,K$5,K$6,H368)</f>
        <v>273.68119152000003</v>
      </c>
      <c r="J368" s="48">
        <f t="shared" si="62"/>
        <v>0.43192412085223553</v>
      </c>
      <c r="K368" s="5" cm="1">
        <f t="array" ref="K368">UseableCapacity(I368,$K$7,$K$8)</f>
        <v>205.26089364000001</v>
      </c>
      <c r="L368" s="59">
        <f t="shared" si="63"/>
        <v>155.47168347893171</v>
      </c>
      <c r="M368" s="7">
        <f t="shared" si="64"/>
        <v>87.051385598931702</v>
      </c>
      <c r="N368" s="7">
        <f t="shared" si="65"/>
        <v>19.358808479999993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59"/>
        <v>355</v>
      </c>
      <c r="C369" s="7">
        <f t="shared" si="60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59" cm="1">
        <f t="array" ref="F369">estimatedTripDuration(C369,$C$7,$C$6)/60</f>
        <v>11.960000000662273</v>
      </c>
      <c r="G369">
        <f t="shared" si="66"/>
        <v>355</v>
      </c>
      <c r="H369" s="50">
        <f t="shared" si="61"/>
        <v>29.583333333333332</v>
      </c>
      <c r="I369" s="7" cm="1">
        <f t="array" ref="I369">CurrentCapacity(K$9,K$5,K$6,H369)</f>
        <v>273.68031240000005</v>
      </c>
      <c r="J369" s="48">
        <f t="shared" si="62"/>
        <v>0.43212197517598377</v>
      </c>
      <c r="K369" s="5" cm="1">
        <f t="array" ref="K369">UseableCapacity(I369,$K$7,$K$8)</f>
        <v>205.26023430000004</v>
      </c>
      <c r="L369" s="59">
        <f t="shared" si="63"/>
        <v>155.41703523893176</v>
      </c>
      <c r="M369" s="7">
        <f t="shared" si="64"/>
        <v>86.996957138931734</v>
      </c>
      <c r="N369" s="7">
        <f t="shared" si="65"/>
        <v>19.359687599999972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59"/>
        <v>356</v>
      </c>
      <c r="C370" s="7">
        <f t="shared" si="60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59" cm="1">
        <f t="array" ref="F370">estimatedTripDuration(C370,$C$7,$C$6)/60</f>
        <v>11.993333333995606</v>
      </c>
      <c r="G370">
        <f t="shared" si="66"/>
        <v>356</v>
      </c>
      <c r="H370" s="50">
        <f t="shared" si="61"/>
        <v>29.666666666666668</v>
      </c>
      <c r="I370" s="7" cm="1">
        <f t="array" ref="I370">CurrentCapacity(K$9,K$5,K$6,H370)</f>
        <v>273.67943328000007</v>
      </c>
      <c r="J370" s="48">
        <f t="shared" si="62"/>
        <v>0.43231983077083735</v>
      </c>
      <c r="K370" s="5" cm="1">
        <f t="array" ref="K370">UseableCapacity(I370,$K$7,$K$8)</f>
        <v>205.25957496000007</v>
      </c>
      <c r="L370" s="59">
        <f t="shared" si="63"/>
        <v>155.36238699893175</v>
      </c>
      <c r="M370" s="7">
        <f t="shared" si="64"/>
        <v>86.942528678931765</v>
      </c>
      <c r="N370" s="7">
        <f t="shared" si="65"/>
        <v>19.360566719999952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59"/>
        <v>357</v>
      </c>
      <c r="C371" s="7">
        <f t="shared" si="60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59" cm="1">
        <f t="array" ref="F371">estimatedTripDuration(C371,$C$7,$C$6)/60</f>
        <v>12.026666667328941</v>
      </c>
      <c r="G371">
        <f t="shared" si="66"/>
        <v>357</v>
      </c>
      <c r="H371" s="50">
        <f t="shared" si="61"/>
        <v>29.75</v>
      </c>
      <c r="I371" s="7" cm="1">
        <f t="array" ref="I371">CurrentCapacity(K$9,K$5,K$6,H371)</f>
        <v>273.67855416000003</v>
      </c>
      <c r="J371" s="48">
        <f t="shared" si="62"/>
        <v>0.43251768763680859</v>
      </c>
      <c r="K371" s="5" cm="1">
        <f t="array" ref="K371">UseableCapacity(I371,$K$7,$K$8)</f>
        <v>205.25891562000004</v>
      </c>
      <c r="L371" s="59">
        <f t="shared" si="63"/>
        <v>155.30773875893175</v>
      </c>
      <c r="M371" s="7">
        <f t="shared" si="64"/>
        <v>86.88810021893174</v>
      </c>
      <c r="N371" s="7">
        <f t="shared" si="65"/>
        <v>19.361445839999988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59"/>
        <v>358</v>
      </c>
      <c r="C372" s="7">
        <f t="shared" si="60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59" cm="1">
        <f t="array" ref="F372">estimatedTripDuration(C372,$C$7,$C$6)/60</f>
        <v>12.060000000662274</v>
      </c>
      <c r="G372">
        <f t="shared" si="66"/>
        <v>358</v>
      </c>
      <c r="H372" s="50">
        <f t="shared" si="61"/>
        <v>29.833333333333332</v>
      </c>
      <c r="I372" s="7" cm="1">
        <f t="array" ref="I372">CurrentCapacity(K$9,K$5,K$6,H372)</f>
        <v>273.67767504000005</v>
      </c>
      <c r="J372" s="48">
        <f t="shared" si="62"/>
        <v>0.43271554577390953</v>
      </c>
      <c r="K372" s="5" cm="1">
        <f t="array" ref="K372">UseableCapacity(I372,$K$7,$K$8)</f>
        <v>205.25825628000004</v>
      </c>
      <c r="L372" s="59">
        <f t="shared" si="63"/>
        <v>155.25309051893177</v>
      </c>
      <c r="M372" s="7">
        <f t="shared" si="64"/>
        <v>86.833671758931757</v>
      </c>
      <c r="N372" s="7">
        <f t="shared" si="65"/>
        <v>19.362324959999967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59"/>
        <v>359</v>
      </c>
      <c r="C373" s="7">
        <f t="shared" si="60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59" cm="1">
        <f t="array" ref="F373">estimatedTripDuration(C373,$C$7,$C$6)/60</f>
        <v>12.093333333995608</v>
      </c>
      <c r="G373">
        <f t="shared" si="66"/>
        <v>359</v>
      </c>
      <c r="H373" s="50">
        <f t="shared" si="61"/>
        <v>29.916666666666668</v>
      </c>
      <c r="I373" s="7" cm="1">
        <f t="array" ref="I373">CurrentCapacity(K$9,K$5,K$6,H373)</f>
        <v>273.67679592000002</v>
      </c>
      <c r="J373" s="48">
        <f t="shared" si="62"/>
        <v>0.43291340518215277</v>
      </c>
      <c r="K373" s="5" cm="1">
        <f t="array" ref="K373">UseableCapacity(I373,$K$7,$K$8)</f>
        <v>205.25759694000001</v>
      </c>
      <c r="L373" s="59">
        <f t="shared" si="63"/>
        <v>155.19844227893174</v>
      </c>
      <c r="M373" s="7">
        <f t="shared" si="64"/>
        <v>86.779243298931718</v>
      </c>
      <c r="N373" s="7">
        <f t="shared" si="65"/>
        <v>19.363204080000003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59"/>
        <v>360</v>
      </c>
      <c r="C374" s="7">
        <f t="shared" si="60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59" cm="1">
        <f t="array" ref="F374">estimatedTripDuration(C374,$C$7,$C$6)/60</f>
        <v>12.126666667328941</v>
      </c>
      <c r="G374">
        <f t="shared" si="66"/>
        <v>360</v>
      </c>
      <c r="H374" s="50">
        <f t="shared" si="61"/>
        <v>30</v>
      </c>
      <c r="I374" s="7" cm="1">
        <f t="array" ref="I374">CurrentCapacity(K$9,K$5,K$6,H374)</f>
        <v>273.67591680000004</v>
      </c>
      <c r="J374" s="48">
        <f t="shared" si="62"/>
        <v>0.43311126586155013</v>
      </c>
      <c r="K374" s="5" cm="1">
        <f t="array" ref="K374">UseableCapacity(I374,$K$7,$K$8)</f>
        <v>205.25693760000001</v>
      </c>
      <c r="L374" s="59">
        <f t="shared" si="63"/>
        <v>155.14379403893173</v>
      </c>
      <c r="M374" s="7">
        <f t="shared" si="64"/>
        <v>86.724814838931721</v>
      </c>
      <c r="N374" s="7">
        <f t="shared" si="65"/>
        <v>19.364083199999982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59"/>
        <v>361</v>
      </c>
      <c r="C375" s="7">
        <f t="shared" si="60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59" cm="1">
        <f t="array" ref="F375">estimatedTripDuration(C375,$C$7,$C$6)/60</f>
        <v>12.160000000662274</v>
      </c>
      <c r="G375">
        <f t="shared" si="66"/>
        <v>361</v>
      </c>
      <c r="H375" s="50">
        <f t="shared" si="61"/>
        <v>30.083333333333332</v>
      </c>
      <c r="I375" s="7" cm="1">
        <f t="array" ref="I375">CurrentCapacity(K$9,K$5,K$6,H375)</f>
        <v>273.67503768000006</v>
      </c>
      <c r="J375" s="48">
        <f t="shared" si="62"/>
        <v>0.43330912781211406</v>
      </c>
      <c r="K375" s="5" cm="1">
        <f t="array" ref="K375">UseableCapacity(I375,$K$7,$K$8)</f>
        <v>205.25627826000004</v>
      </c>
      <c r="L375" s="59">
        <f t="shared" si="63"/>
        <v>155.08914579893178</v>
      </c>
      <c r="M375" s="7">
        <f t="shared" si="64"/>
        <v>86.670386378931767</v>
      </c>
      <c r="N375" s="7">
        <f t="shared" si="65"/>
        <v>19.364962319999961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59"/>
        <v>362</v>
      </c>
      <c r="C376" s="7">
        <f t="shared" si="60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59" cm="1">
        <f t="array" ref="F376">estimatedTripDuration(C376,$C$7,$C$6)/60</f>
        <v>12.193333333995607</v>
      </c>
      <c r="G376">
        <f t="shared" si="66"/>
        <v>362</v>
      </c>
      <c r="H376" s="50">
        <f t="shared" si="61"/>
        <v>30.166666666666668</v>
      </c>
      <c r="I376" s="7" cm="1">
        <f t="array" ref="I376">CurrentCapacity(K$9,K$5,K$6,H376)</f>
        <v>273.67415856000002</v>
      </c>
      <c r="J376" s="48">
        <f t="shared" si="62"/>
        <v>0.43350699103385704</v>
      </c>
      <c r="K376" s="5" cm="1">
        <f t="array" ref="K376">UseableCapacity(I376,$K$7,$K$8)</f>
        <v>205.25561892000002</v>
      </c>
      <c r="L376" s="59">
        <f t="shared" si="63"/>
        <v>155.03449755893172</v>
      </c>
      <c r="M376" s="7">
        <f t="shared" si="64"/>
        <v>86.615957918931713</v>
      </c>
      <c r="N376" s="7">
        <f t="shared" si="65"/>
        <v>19.365841439999997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59"/>
        <v>363</v>
      </c>
      <c r="C377" s="7">
        <f t="shared" si="60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59" cm="1">
        <f t="array" ref="F377">estimatedTripDuration(C377,$C$7,$C$6)/60</f>
        <v>12.22666666732894</v>
      </c>
      <c r="G377">
        <f t="shared" si="66"/>
        <v>363</v>
      </c>
      <c r="H377" s="50">
        <f t="shared" si="61"/>
        <v>30.25</v>
      </c>
      <c r="I377" s="7" cm="1">
        <f t="array" ref="I377">CurrentCapacity(K$9,K$5,K$6,H377)</f>
        <v>273.67327944000004</v>
      </c>
      <c r="J377" s="48">
        <f t="shared" si="62"/>
        <v>0.43370485552679083</v>
      </c>
      <c r="K377" s="5" cm="1">
        <f t="array" ref="K377">UseableCapacity(I377,$K$7,$K$8)</f>
        <v>205.25495958000005</v>
      </c>
      <c r="L377" s="59">
        <f t="shared" si="63"/>
        <v>154.97984931893177</v>
      </c>
      <c r="M377" s="7">
        <f t="shared" si="64"/>
        <v>86.561529458931773</v>
      </c>
      <c r="N377" s="7">
        <f t="shared" si="65"/>
        <v>19.366720559999976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59"/>
        <v>364</v>
      </c>
      <c r="C378" s="7">
        <f t="shared" si="60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59" cm="1">
        <f t="array" ref="F378">estimatedTripDuration(C378,$C$7,$C$6)/60</f>
        <v>12.260000000662274</v>
      </c>
      <c r="G378">
        <f t="shared" si="66"/>
        <v>364</v>
      </c>
      <c r="H378" s="50">
        <f t="shared" si="61"/>
        <v>30.333333333333332</v>
      </c>
      <c r="I378" s="7" cm="1">
        <f t="array" ref="I378">CurrentCapacity(K$9,K$5,K$6,H378)</f>
        <v>273.67240032000007</v>
      </c>
      <c r="J378" s="48">
        <f t="shared" si="62"/>
        <v>0.43390272129092816</v>
      </c>
      <c r="K378" s="5" cm="1">
        <f t="array" ref="K378">UseableCapacity(I378,$K$7,$K$8)</f>
        <v>205.25430024000005</v>
      </c>
      <c r="L378" s="59">
        <f t="shared" si="63"/>
        <v>154.92520107893176</v>
      </c>
      <c r="M378" s="7">
        <f t="shared" si="64"/>
        <v>86.507100998931747</v>
      </c>
      <c r="N378" s="7">
        <f t="shared" si="65"/>
        <v>19.367599679999955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59"/>
        <v>365</v>
      </c>
      <c r="C379" s="7">
        <f t="shared" si="60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59" cm="1">
        <f t="array" ref="F379">estimatedTripDuration(C379,$C$7,$C$6)/60</f>
        <v>12.293333333995607</v>
      </c>
      <c r="G379">
        <f t="shared" si="66"/>
        <v>365</v>
      </c>
      <c r="H379" s="50">
        <f t="shared" si="61"/>
        <v>30.416666666666668</v>
      </c>
      <c r="I379" s="7" cm="1">
        <f t="array" ref="I379">CurrentCapacity(K$9,K$5,K$6,H379)</f>
        <v>273.67152120000003</v>
      </c>
      <c r="J379" s="48">
        <f t="shared" si="62"/>
        <v>0.43410058832628101</v>
      </c>
      <c r="K379" s="5" cm="1">
        <f t="array" ref="K379">UseableCapacity(I379,$K$7,$K$8)</f>
        <v>205.25364090000002</v>
      </c>
      <c r="L379" s="59">
        <f t="shared" si="63"/>
        <v>154.87055283893173</v>
      </c>
      <c r="M379" s="7">
        <f t="shared" si="64"/>
        <v>86.452672538931722</v>
      </c>
      <c r="N379" s="7">
        <f t="shared" si="65"/>
        <v>19.368478799999991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59"/>
        <v>366</v>
      </c>
      <c r="C380" s="7">
        <f t="shared" si="60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59" cm="1">
        <f t="array" ref="F380">estimatedTripDuration(C380,$C$7,$C$6)/60</f>
        <v>12.32666666732894</v>
      </c>
      <c r="G380">
        <f t="shared" si="66"/>
        <v>366</v>
      </c>
      <c r="H380" s="50">
        <f t="shared" si="61"/>
        <v>30.5</v>
      </c>
      <c r="I380" s="7" cm="1">
        <f t="array" ref="I380">CurrentCapacity(K$9,K$5,K$6,H380)</f>
        <v>273.67064208000005</v>
      </c>
      <c r="J380" s="48">
        <f t="shared" si="62"/>
        <v>0.4342984566328616</v>
      </c>
      <c r="K380" s="5" cm="1">
        <f t="array" ref="K380">UseableCapacity(I380,$K$7,$K$8)</f>
        <v>205.25298156000002</v>
      </c>
      <c r="L380" s="59">
        <f t="shared" si="63"/>
        <v>154.81590459893175</v>
      </c>
      <c r="M380" s="7">
        <f t="shared" si="64"/>
        <v>86.398244078931739</v>
      </c>
      <c r="N380" s="7">
        <f t="shared" si="65"/>
        <v>19.36935791999997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59"/>
        <v>367</v>
      </c>
      <c r="C381" s="7">
        <f t="shared" si="60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59" cm="1">
        <f t="array" ref="F381">estimatedTripDuration(C381,$C$7,$C$6)/60</f>
        <v>12.360000000662273</v>
      </c>
      <c r="G381">
        <f t="shared" si="66"/>
        <v>367</v>
      </c>
      <c r="H381" s="50">
        <f t="shared" si="61"/>
        <v>30.583333333333332</v>
      </c>
      <c r="I381" s="7" cm="1">
        <f t="array" ref="I381">CurrentCapacity(K$9,K$5,K$6,H381)</f>
        <v>273.66976296000001</v>
      </c>
      <c r="J381" s="48">
        <f t="shared" si="62"/>
        <v>0.4344963262106824</v>
      </c>
      <c r="K381" s="5" cm="1">
        <f t="array" ref="K381">UseableCapacity(I381,$K$7,$K$8)</f>
        <v>205.25232222</v>
      </c>
      <c r="L381" s="59">
        <f t="shared" si="63"/>
        <v>154.76125635893172</v>
      </c>
      <c r="M381" s="7">
        <f t="shared" si="64"/>
        <v>86.3438156189317</v>
      </c>
      <c r="N381" s="7">
        <f t="shared" si="65"/>
        <v>19.370237040000006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59"/>
        <v>368</v>
      </c>
      <c r="C382" s="7">
        <f t="shared" si="60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59" cm="1">
        <f t="array" ref="F382">estimatedTripDuration(C382,$C$7,$C$6)/60</f>
        <v>12.393333333995606</v>
      </c>
      <c r="G382">
        <f t="shared" si="66"/>
        <v>368</v>
      </c>
      <c r="H382" s="50">
        <f t="shared" si="61"/>
        <v>30.666666666666668</v>
      </c>
      <c r="I382" s="7" cm="1">
        <f t="array" ref="I382">CurrentCapacity(K$9,K$5,K$6,H382)</f>
        <v>273.66888384000003</v>
      </c>
      <c r="J382" s="48">
        <f t="shared" si="62"/>
        <v>0.43469419705975543</v>
      </c>
      <c r="K382" s="5" cm="1">
        <f t="array" ref="K382">UseableCapacity(I382,$K$7,$K$8)</f>
        <v>205.25166288000003</v>
      </c>
      <c r="L382" s="59">
        <f t="shared" si="63"/>
        <v>154.70660811893174</v>
      </c>
      <c r="M382" s="7">
        <f t="shared" si="64"/>
        <v>86.289387158931731</v>
      </c>
      <c r="N382" s="7">
        <f t="shared" si="65"/>
        <v>19.371116159999985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59"/>
        <v>369</v>
      </c>
      <c r="C383" s="7">
        <f t="shared" si="60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59" cm="1">
        <f t="array" ref="F383">estimatedTripDuration(C383,$C$7,$C$6)/60</f>
        <v>12.42666666732894</v>
      </c>
      <c r="G383">
        <f t="shared" si="66"/>
        <v>369</v>
      </c>
      <c r="H383" s="50">
        <f t="shared" si="61"/>
        <v>30.75</v>
      </c>
      <c r="I383" s="7" cm="1">
        <f t="array" ref="I383">CurrentCapacity(K$9,K$5,K$6,H383)</f>
        <v>273.66800472000006</v>
      </c>
      <c r="J383" s="48">
        <f t="shared" si="62"/>
        <v>0.43489206918009315</v>
      </c>
      <c r="K383" s="5" cm="1">
        <f t="array" ref="K383">UseableCapacity(I383,$K$7,$K$8)</f>
        <v>205.25100354000006</v>
      </c>
      <c r="L383" s="59">
        <f t="shared" si="63"/>
        <v>154.65195987893173</v>
      </c>
      <c r="M383" s="7">
        <f t="shared" si="64"/>
        <v>86.234958698931734</v>
      </c>
      <c r="N383" s="7">
        <f t="shared" si="65"/>
        <v>19.371995279999965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59"/>
        <v>370</v>
      </c>
      <c r="C384" s="7">
        <f t="shared" si="60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59" cm="1">
        <f t="array" ref="F384">estimatedTripDuration(C384,$C$7,$C$6)/60</f>
        <v>12.460000000662273</v>
      </c>
      <c r="G384">
        <f t="shared" si="66"/>
        <v>370</v>
      </c>
      <c r="H384" s="50">
        <f t="shared" si="61"/>
        <v>30.833333333333332</v>
      </c>
      <c r="I384" s="7" cm="1">
        <f t="array" ref="I384">CurrentCapacity(K$9,K$5,K$6,H384)</f>
        <v>273.66712560000002</v>
      </c>
      <c r="J384" s="48">
        <f t="shared" si="62"/>
        <v>0.43508994257170758</v>
      </c>
      <c r="K384" s="5" cm="1">
        <f t="array" ref="K384">UseableCapacity(I384,$K$7,$K$8)</f>
        <v>205.25034420000003</v>
      </c>
      <c r="L384" s="59">
        <f t="shared" si="63"/>
        <v>154.59731163893173</v>
      </c>
      <c r="M384" s="7">
        <f t="shared" si="64"/>
        <v>86.180530238931738</v>
      </c>
      <c r="N384" s="7">
        <f t="shared" si="65"/>
        <v>19.372874400000001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59"/>
        <v>371</v>
      </c>
      <c r="C385" s="7">
        <f t="shared" si="60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59" cm="1">
        <f t="array" ref="F385">estimatedTripDuration(C385,$C$7,$C$6)/60</f>
        <v>12.493333333995606</v>
      </c>
      <c r="G385">
        <f t="shared" si="66"/>
        <v>371</v>
      </c>
      <c r="H385" s="50">
        <f t="shared" si="61"/>
        <v>30.916666666666668</v>
      </c>
      <c r="I385" s="7" cm="1">
        <f t="array" ref="I385">CurrentCapacity(K$9,K$5,K$6,H385)</f>
        <v>273.66624648000004</v>
      </c>
      <c r="J385" s="48">
        <f t="shared" si="62"/>
        <v>0.43528781723461107</v>
      </c>
      <c r="K385" s="5" cm="1">
        <f t="array" ref="K385">UseableCapacity(I385,$K$7,$K$8)</f>
        <v>205.24968486000003</v>
      </c>
      <c r="L385" s="59">
        <f t="shared" si="63"/>
        <v>154.54266339893175</v>
      </c>
      <c r="M385" s="7">
        <f t="shared" si="64"/>
        <v>86.126101778931741</v>
      </c>
      <c r="N385" s="7">
        <f t="shared" si="65"/>
        <v>19.37375351999998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59"/>
        <v>372</v>
      </c>
      <c r="C386" s="7">
        <f t="shared" si="60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59" cm="1">
        <f t="array" ref="F386">estimatedTripDuration(C386,$C$7,$C$6)/60</f>
        <v>12.526666667328941</v>
      </c>
      <c r="G386">
        <f t="shared" si="66"/>
        <v>372</v>
      </c>
      <c r="H386" s="50">
        <f t="shared" si="61"/>
        <v>31</v>
      </c>
      <c r="I386" s="7" cm="1">
        <f t="array" ref="I386">CurrentCapacity(K$9,K$5,K$6,H386)</f>
        <v>273.66536736</v>
      </c>
      <c r="J386" s="48">
        <f t="shared" si="62"/>
        <v>0.43548569316881602</v>
      </c>
      <c r="K386" s="5" cm="1">
        <f t="array" ref="K386">UseableCapacity(I386,$K$7,$K$8)</f>
        <v>205.24902552</v>
      </c>
      <c r="L386" s="59">
        <f t="shared" si="63"/>
        <v>154.48801515893172</v>
      </c>
      <c r="M386" s="7">
        <f t="shared" si="64"/>
        <v>86.071673318931715</v>
      </c>
      <c r="N386" s="7">
        <f t="shared" si="65"/>
        <v>19.374632640000016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59"/>
        <v>373</v>
      </c>
      <c r="C387" s="7">
        <f t="shared" si="60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59" cm="1">
        <f t="array" ref="F387">estimatedTripDuration(C387,$C$7,$C$6)/60</f>
        <v>12.560000000662274</v>
      </c>
      <c r="G387">
        <f t="shared" si="66"/>
        <v>373</v>
      </c>
      <c r="H387" s="50">
        <f t="shared" si="61"/>
        <v>31.083333333333332</v>
      </c>
      <c r="I387" s="7" cm="1">
        <f t="array" ref="I387">CurrentCapacity(K$9,K$5,K$6,H387)</f>
        <v>273.66448824000003</v>
      </c>
      <c r="J387" s="48">
        <f t="shared" si="62"/>
        <v>0.43568357037433447</v>
      </c>
      <c r="K387" s="5" cm="1">
        <f t="array" ref="K387">UseableCapacity(I387,$K$7,$K$8)</f>
        <v>205.24836618</v>
      </c>
      <c r="L387" s="59">
        <f t="shared" si="63"/>
        <v>154.43336691893174</v>
      </c>
      <c r="M387" s="7">
        <f t="shared" si="64"/>
        <v>86.017244858931718</v>
      </c>
      <c r="N387" s="7">
        <f t="shared" si="65"/>
        <v>19.375511759999995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59"/>
        <v>374</v>
      </c>
      <c r="C388" s="7">
        <f t="shared" si="60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59" cm="1">
        <f t="array" ref="F388">estimatedTripDuration(C388,$C$7,$C$6)/60</f>
        <v>12.593333333995608</v>
      </c>
      <c r="G388">
        <f t="shared" si="66"/>
        <v>374</v>
      </c>
      <c r="H388" s="50">
        <f t="shared" si="61"/>
        <v>31.166666666666668</v>
      </c>
      <c r="I388" s="7" cm="1">
        <f t="array" ref="I388">CurrentCapacity(K$9,K$5,K$6,H388)</f>
        <v>273.66360912000005</v>
      </c>
      <c r="J388" s="48">
        <f t="shared" si="62"/>
        <v>0.43588144885117885</v>
      </c>
      <c r="K388" s="5" cm="1">
        <f t="array" ref="K388">UseableCapacity(I388,$K$7,$K$8)</f>
        <v>205.24770684000003</v>
      </c>
      <c r="L388" s="59">
        <f t="shared" si="63"/>
        <v>154.37871867893176</v>
      </c>
      <c r="M388" s="7">
        <f t="shared" si="64"/>
        <v>85.962816398931736</v>
      </c>
      <c r="N388" s="7">
        <f t="shared" si="65"/>
        <v>19.376390879999974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59"/>
        <v>375</v>
      </c>
      <c r="C389" s="7">
        <f t="shared" si="60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59" cm="1">
        <f t="array" ref="F389">estimatedTripDuration(C389,$C$7,$C$6)/60</f>
        <v>12.626666667328941</v>
      </c>
      <c r="G389">
        <f t="shared" si="66"/>
        <v>375</v>
      </c>
      <c r="H389" s="50">
        <f t="shared" si="61"/>
        <v>31.25</v>
      </c>
      <c r="I389" s="7" cm="1">
        <f t="array" ref="I389">CurrentCapacity(K$9,K$5,K$6,H389)</f>
        <v>273.66273000000001</v>
      </c>
      <c r="J389" s="48">
        <f t="shared" si="62"/>
        <v>0.43607932859936133</v>
      </c>
      <c r="K389" s="5" cm="1">
        <f t="array" ref="K389">UseableCapacity(I389,$K$7,$K$8)</f>
        <v>205.24704750000001</v>
      </c>
      <c r="L389" s="59">
        <f t="shared" si="63"/>
        <v>154.3240704389317</v>
      </c>
      <c r="M389" s="7">
        <f t="shared" si="64"/>
        <v>85.90838793893171</v>
      </c>
      <c r="N389" s="7">
        <f t="shared" si="65"/>
        <v>19.37727000000001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59"/>
        <v>376</v>
      </c>
      <c r="C390" s="7">
        <f t="shared" si="60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59" cm="1">
        <f t="array" ref="F390">estimatedTripDuration(C390,$C$7,$C$6)/60</f>
        <v>12.660000000662274</v>
      </c>
      <c r="G390">
        <f t="shared" si="66"/>
        <v>376</v>
      </c>
      <c r="H390" s="50">
        <f t="shared" si="61"/>
        <v>31.333333333333332</v>
      </c>
      <c r="I390" s="7" cm="1">
        <f t="array" ref="I390">CurrentCapacity(K$9,K$5,K$6,H390)</f>
        <v>273.66185088000003</v>
      </c>
      <c r="J390" s="48">
        <f t="shared" si="62"/>
        <v>0.43627720961889399</v>
      </c>
      <c r="K390" s="5" cm="1">
        <f t="array" ref="K390">UseableCapacity(I390,$K$7,$K$8)</f>
        <v>205.24638816000004</v>
      </c>
      <c r="L390" s="59">
        <f t="shared" si="63"/>
        <v>154.26942219893175</v>
      </c>
      <c r="M390" s="7">
        <f t="shared" si="64"/>
        <v>85.853959478931756</v>
      </c>
      <c r="N390" s="7">
        <f t="shared" si="65"/>
        <v>19.378149119999989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59"/>
        <v>377</v>
      </c>
      <c r="C391" s="7">
        <f t="shared" si="60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59" cm="1">
        <f t="array" ref="F391">estimatedTripDuration(C391,$C$7,$C$6)/60</f>
        <v>12.693333333995607</v>
      </c>
      <c r="G391">
        <f t="shared" si="66"/>
        <v>377</v>
      </c>
      <c r="H391" s="50">
        <f t="shared" si="61"/>
        <v>31.416666666666668</v>
      </c>
      <c r="I391" s="7" cm="1">
        <f t="array" ref="I391">CurrentCapacity(K$9,K$5,K$6,H391)</f>
        <v>273.66097176000005</v>
      </c>
      <c r="J391" s="48">
        <f t="shared" si="62"/>
        <v>0.43647509190978934</v>
      </c>
      <c r="K391" s="5" cm="1">
        <f t="array" ref="K391">UseableCapacity(I391,$K$7,$K$8)</f>
        <v>205.24572882000004</v>
      </c>
      <c r="L391" s="59">
        <f t="shared" si="63"/>
        <v>154.21477395893174</v>
      </c>
      <c r="M391" s="7">
        <f t="shared" si="64"/>
        <v>85.799531018931745</v>
      </c>
      <c r="N391" s="7">
        <f t="shared" si="65"/>
        <v>19.379028239999968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59"/>
        <v>378</v>
      </c>
      <c r="C392" s="7">
        <f t="shared" si="60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59" cm="1">
        <f t="array" ref="F392">estimatedTripDuration(C392,$C$7,$C$6)/60</f>
        <v>12.72666666732894</v>
      </c>
      <c r="G392">
        <f t="shared" si="66"/>
        <v>378</v>
      </c>
      <c r="H392" s="50">
        <f t="shared" si="61"/>
        <v>31.5</v>
      </c>
      <c r="I392" s="7" cm="1">
        <f t="array" ref="I392">CurrentCapacity(K$9,K$5,K$6,H392)</f>
        <v>273.66009264000002</v>
      </c>
      <c r="J392" s="48">
        <f t="shared" si="62"/>
        <v>0.43667297547205969</v>
      </c>
      <c r="K392" s="5" cm="1">
        <f t="array" ref="K392">UseableCapacity(I392,$K$7,$K$8)</f>
        <v>205.24506948000001</v>
      </c>
      <c r="L392" s="59">
        <f t="shared" si="63"/>
        <v>154.16012571893171</v>
      </c>
      <c r="M392" s="7">
        <f t="shared" si="64"/>
        <v>85.745102558931706</v>
      </c>
      <c r="N392" s="7">
        <f t="shared" si="65"/>
        <v>19.379907360000004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59"/>
        <v>379</v>
      </c>
      <c r="C393" s="7">
        <f t="shared" si="60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59" cm="1">
        <f t="array" ref="F393">estimatedTripDuration(C393,$C$7,$C$6)/60</f>
        <v>12.760000000662274</v>
      </c>
      <c r="G393">
        <f t="shared" si="66"/>
        <v>379</v>
      </c>
      <c r="H393" s="50">
        <f t="shared" si="61"/>
        <v>31.583333333333332</v>
      </c>
      <c r="I393" s="7" cm="1">
        <f t="array" ref="I393">CurrentCapacity(K$9,K$5,K$6,H393)</f>
        <v>273.65921352000004</v>
      </c>
      <c r="J393" s="48">
        <f t="shared" si="62"/>
        <v>0.43687086030571698</v>
      </c>
      <c r="K393" s="5" cm="1">
        <f t="array" ref="K393">UseableCapacity(I393,$K$7,$K$8)</f>
        <v>205.24441014000001</v>
      </c>
      <c r="L393" s="59">
        <f t="shared" si="63"/>
        <v>154.10547747893173</v>
      </c>
      <c r="M393" s="7">
        <f t="shared" si="64"/>
        <v>85.690674098931709</v>
      </c>
      <c r="N393" s="7">
        <f t="shared" si="65"/>
        <v>19.380786479999983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59"/>
        <v>380</v>
      </c>
      <c r="C394" s="7">
        <f t="shared" si="60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59" cm="1">
        <f t="array" ref="F394">estimatedTripDuration(C394,$C$7,$C$6)/60</f>
        <v>12.793333333995607</v>
      </c>
      <c r="G394">
        <f t="shared" si="66"/>
        <v>380</v>
      </c>
      <c r="H394" s="50">
        <f t="shared" si="61"/>
        <v>31.666666666666668</v>
      </c>
      <c r="I394" s="7" cm="1">
        <f t="array" ref="I394">CurrentCapacity(K$9,K$5,K$6,H394)</f>
        <v>273.6583344</v>
      </c>
      <c r="J394" s="48">
        <f t="shared" si="62"/>
        <v>0.4370687464107737</v>
      </c>
      <c r="K394" s="5" cm="1">
        <f t="array" ref="K394">UseableCapacity(I394,$K$7,$K$8)</f>
        <v>205.24375079999999</v>
      </c>
      <c r="L394" s="59">
        <f t="shared" si="63"/>
        <v>154.0508292389317</v>
      </c>
      <c r="M394" s="7">
        <f t="shared" si="64"/>
        <v>85.636245638931683</v>
      </c>
      <c r="N394" s="7">
        <f t="shared" si="65"/>
        <v>19.381665600000019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59"/>
        <v>381</v>
      </c>
      <c r="C395" s="7">
        <f t="shared" si="60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59" cm="1">
        <f t="array" ref="F395">estimatedTripDuration(C395,$C$7,$C$6)/60</f>
        <v>12.82666666732894</v>
      </c>
      <c r="G395">
        <f t="shared" si="66"/>
        <v>381</v>
      </c>
      <c r="H395" s="50">
        <f t="shared" si="61"/>
        <v>31.75</v>
      </c>
      <c r="I395" s="7" cm="1">
        <f t="array" ref="I395">CurrentCapacity(K$9,K$5,K$6,H395)</f>
        <v>273.65745528000002</v>
      </c>
      <c r="J395" s="48">
        <f t="shared" si="62"/>
        <v>0.43726663378724184</v>
      </c>
      <c r="K395" s="5" cm="1">
        <f t="array" ref="K395">UseableCapacity(I395,$K$7,$K$8)</f>
        <v>205.24309146000002</v>
      </c>
      <c r="L395" s="59">
        <f t="shared" si="63"/>
        <v>153.99618099893172</v>
      </c>
      <c r="M395" s="7">
        <f t="shared" si="64"/>
        <v>85.581817178931729</v>
      </c>
      <c r="N395" s="7">
        <f t="shared" si="65"/>
        <v>19.382544719999999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59"/>
        <v>382</v>
      </c>
      <c r="C396" s="7">
        <f t="shared" si="60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59" cm="1">
        <f t="array" ref="F396">estimatedTripDuration(C396,$C$7,$C$6)/60</f>
        <v>12.860000000662273</v>
      </c>
      <c r="G396">
        <f t="shared" si="66"/>
        <v>382</v>
      </c>
      <c r="H396" s="50">
        <f t="shared" si="61"/>
        <v>31.833333333333332</v>
      </c>
      <c r="I396" s="7" cm="1">
        <f t="array" ref="I396">CurrentCapacity(K$9,K$5,K$6,H396)</f>
        <v>273.65657616000004</v>
      </c>
      <c r="J396" s="48">
        <f t="shared" si="62"/>
        <v>0.43746452243513401</v>
      </c>
      <c r="K396" s="5" cm="1">
        <f t="array" ref="K396">UseableCapacity(I396,$K$7,$K$8)</f>
        <v>205.24243212000005</v>
      </c>
      <c r="L396" s="59">
        <f t="shared" si="63"/>
        <v>153.94153275893174</v>
      </c>
      <c r="M396" s="7">
        <f t="shared" si="64"/>
        <v>85.527388718931746</v>
      </c>
      <c r="N396" s="7">
        <f t="shared" si="65"/>
        <v>19.383423839999978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59"/>
        <v>383</v>
      </c>
      <c r="C397" s="7">
        <f t="shared" si="60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59" cm="1">
        <f t="array" ref="F397">estimatedTripDuration(C397,$C$7,$C$6)/60</f>
        <v>12.893333333995606</v>
      </c>
      <c r="G397">
        <f t="shared" si="66"/>
        <v>383</v>
      </c>
      <c r="H397" s="50">
        <f t="shared" si="61"/>
        <v>31.916666666666668</v>
      </c>
      <c r="I397" s="7" cm="1">
        <f t="array" ref="I397">CurrentCapacity(K$9,K$5,K$6,H397)</f>
        <v>273.65569704000006</v>
      </c>
      <c r="J397" s="48">
        <f t="shared" si="62"/>
        <v>0.43766241235446224</v>
      </c>
      <c r="K397" s="5" cm="1">
        <f t="array" ref="K397">UseableCapacity(I397,$K$7,$K$8)</f>
        <v>205.24177278000005</v>
      </c>
      <c r="L397" s="59">
        <f t="shared" si="63"/>
        <v>153.88688451893177</v>
      </c>
      <c r="M397" s="7">
        <f t="shared" si="64"/>
        <v>85.472960258931749</v>
      </c>
      <c r="N397" s="7">
        <f t="shared" si="65"/>
        <v>19.384302959999957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59"/>
        <v>384</v>
      </c>
      <c r="C398" s="7">
        <f t="shared" si="60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59" cm="1">
        <f t="array" ref="F398">estimatedTripDuration(C398,$C$7,$C$6)/60</f>
        <v>12.92666666732894</v>
      </c>
      <c r="G398">
        <f t="shared" si="66"/>
        <v>384</v>
      </c>
      <c r="H398" s="50">
        <f t="shared" si="61"/>
        <v>32</v>
      </c>
      <c r="I398" s="7" cm="1">
        <f t="array" ref="I398">CurrentCapacity(K$9,K$5,K$6,H398)</f>
        <v>273.65481792000003</v>
      </c>
      <c r="J398" s="48">
        <f t="shared" si="62"/>
        <v>0.43786030354523886</v>
      </c>
      <c r="K398" s="5" cm="1">
        <f t="array" ref="K398">UseableCapacity(I398,$K$7,$K$8)</f>
        <v>205.24111344000002</v>
      </c>
      <c r="L398" s="59">
        <f t="shared" si="63"/>
        <v>153.83223627893176</v>
      </c>
      <c r="M398" s="7">
        <f t="shared" si="64"/>
        <v>85.418531798931738</v>
      </c>
      <c r="N398" s="7">
        <f t="shared" si="65"/>
        <v>19.385182079999993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ref="B399:B462" si="69">B398+$G$12</f>
        <v>385</v>
      </c>
      <c r="C399" s="7">
        <f t="shared" ref="C399:C462" si="70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59" cm="1">
        <f t="array" ref="F399">estimatedTripDuration(C399,$C$7,$C$6)/60</f>
        <v>12.960000000662273</v>
      </c>
      <c r="G399">
        <f t="shared" si="66"/>
        <v>385</v>
      </c>
      <c r="H399" s="50">
        <f t="shared" ref="H399:H462" si="71">G399/$G$3</f>
        <v>32.083333333333336</v>
      </c>
      <c r="I399" s="7" cm="1">
        <f t="array" ref="I399">CurrentCapacity(K$9,K$5,K$6,H399)</f>
        <v>273.65393880000005</v>
      </c>
      <c r="J399" s="48">
        <f t="shared" ref="J399:J462" si="72">E399/I399</f>
        <v>0.43805819600747609</v>
      </c>
      <c r="K399" s="5" cm="1">
        <f t="array" ref="K399">UseableCapacity(I399,$K$7,$K$8)</f>
        <v>205.24045410000002</v>
      </c>
      <c r="L399" s="59">
        <f t="shared" ref="L399:L462" si="73">(K$7*I399)-E399</f>
        <v>153.77758803893175</v>
      </c>
      <c r="M399" s="7">
        <f t="shared" ref="M399:M462" si="74">K399-E399</f>
        <v>85.364103338931741</v>
      </c>
      <c r="N399" s="7">
        <f t="shared" ref="N399:N462" si="75">$K$9-I399</f>
        <v>19.386061199999972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si="69"/>
        <v>386</v>
      </c>
      <c r="C400" s="7">
        <f t="shared" si="70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59" cm="1">
        <f t="array" ref="F400">estimatedTripDuration(C400,$C$7,$C$6)/60</f>
        <v>12.993333333995606</v>
      </c>
      <c r="G400">
        <f t="shared" si="66"/>
        <v>386</v>
      </c>
      <c r="H400" s="50">
        <f t="shared" si="71"/>
        <v>32.166666666666664</v>
      </c>
      <c r="I400" s="7" cm="1">
        <f t="array" ref="I400">CurrentCapacity(K$9,K$5,K$6,H400)</f>
        <v>273.65305968000001</v>
      </c>
      <c r="J400" s="48">
        <f t="shared" si="72"/>
        <v>0.43825608974118624</v>
      </c>
      <c r="K400" s="5" cm="1">
        <f t="array" ref="K400">UseableCapacity(I400,$K$7,$K$8)</f>
        <v>205.23979476</v>
      </c>
      <c r="L400" s="59">
        <f t="shared" si="73"/>
        <v>153.72293979893175</v>
      </c>
      <c r="M400" s="7">
        <f t="shared" si="74"/>
        <v>85.309674878931716</v>
      </c>
      <c r="N400" s="7">
        <f t="shared" si="75"/>
        <v>19.386940320000008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si="69"/>
        <v>387</v>
      </c>
      <c r="C401" s="7">
        <f t="shared" si="70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59" cm="1">
        <f t="array" ref="F401">estimatedTripDuration(C401,$C$7,$C$6)/60</f>
        <v>13.026666667328941</v>
      </c>
      <c r="G401">
        <f t="shared" si="66"/>
        <v>387</v>
      </c>
      <c r="H401" s="50">
        <f t="shared" si="71"/>
        <v>32.25</v>
      </c>
      <c r="I401" s="7" cm="1">
        <f t="array" ref="I401">CurrentCapacity(K$9,K$5,K$6,H401)</f>
        <v>273.65218056000003</v>
      </c>
      <c r="J401" s="48">
        <f t="shared" si="72"/>
        <v>0.43845398474638153</v>
      </c>
      <c r="K401" s="5" cm="1">
        <f t="array" ref="K401">UseableCapacity(I401,$K$7,$K$8)</f>
        <v>205.23913542000003</v>
      </c>
      <c r="L401" s="59">
        <f t="shared" si="73"/>
        <v>153.66829155893174</v>
      </c>
      <c r="M401" s="7">
        <f t="shared" si="74"/>
        <v>85.255246418931733</v>
      </c>
      <c r="N401" s="7">
        <f t="shared" si="75"/>
        <v>19.387819439999987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69"/>
        <v>388</v>
      </c>
      <c r="C402" s="7">
        <f t="shared" si="70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59" cm="1">
        <f t="array" ref="F402">estimatedTripDuration(C402,$C$7,$C$6)/60</f>
        <v>13.060000000662274</v>
      </c>
      <c r="G402">
        <f t="shared" si="66"/>
        <v>388</v>
      </c>
      <c r="H402" s="50">
        <f t="shared" si="71"/>
        <v>32.333333333333336</v>
      </c>
      <c r="I402" s="7" cm="1">
        <f t="array" ref="I402">CurrentCapacity(K$9,K$5,K$6,H402)</f>
        <v>273.65130144</v>
      </c>
      <c r="J402" s="48">
        <f t="shared" si="72"/>
        <v>0.43865188102307412</v>
      </c>
      <c r="K402" s="5" cm="1">
        <f t="array" ref="K402">UseableCapacity(I402,$K$7,$K$8)</f>
        <v>205.23847608</v>
      </c>
      <c r="L402" s="59">
        <f t="shared" si="73"/>
        <v>153.61364331893174</v>
      </c>
      <c r="M402" s="7">
        <f t="shared" si="74"/>
        <v>85.200817958931722</v>
      </c>
      <c r="N402" s="7">
        <f t="shared" si="75"/>
        <v>19.388698560000023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69"/>
        <v>389</v>
      </c>
      <c r="C403" s="7">
        <f t="shared" si="70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59" cm="1">
        <f t="array" ref="F403">estimatedTripDuration(C403,$C$7,$C$6)/60</f>
        <v>13.093333333995608</v>
      </c>
      <c r="G403">
        <f t="shared" si="66"/>
        <v>389</v>
      </c>
      <c r="H403" s="50">
        <f t="shared" si="71"/>
        <v>32.416666666666664</v>
      </c>
      <c r="I403" s="7" cm="1">
        <f t="array" ref="I403">CurrentCapacity(K$9,K$5,K$6,H403)</f>
        <v>273.65042232000002</v>
      </c>
      <c r="J403" s="48">
        <f t="shared" si="72"/>
        <v>0.43884977857127649</v>
      </c>
      <c r="K403" s="5" cm="1">
        <f t="array" ref="K403">UseableCapacity(I403,$K$7,$K$8)</f>
        <v>205.23781674000003</v>
      </c>
      <c r="L403" s="59">
        <f t="shared" si="73"/>
        <v>153.55899507893173</v>
      </c>
      <c r="M403" s="7">
        <f t="shared" si="74"/>
        <v>85.146389498931725</v>
      </c>
      <c r="N403" s="7">
        <f t="shared" si="75"/>
        <v>19.389577680000002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69"/>
        <v>390</v>
      </c>
      <c r="C404" s="7">
        <f t="shared" si="70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59" cm="1">
        <f t="array" ref="F404">estimatedTripDuration(C404,$C$7,$C$6)/60</f>
        <v>13.126666667328941</v>
      </c>
      <c r="G404">
        <f t="shared" si="66"/>
        <v>390</v>
      </c>
      <c r="H404" s="50">
        <f t="shared" si="71"/>
        <v>32.5</v>
      </c>
      <c r="I404" s="7" cm="1">
        <f t="array" ref="I404">CurrentCapacity(K$9,K$5,K$6,H404)</f>
        <v>273.64954320000004</v>
      </c>
      <c r="J404" s="48">
        <f t="shared" si="72"/>
        <v>0.43904767739100059</v>
      </c>
      <c r="K404" s="5" cm="1">
        <f t="array" ref="K404">UseableCapacity(I404,$K$7,$K$8)</f>
        <v>205.23715740000003</v>
      </c>
      <c r="L404" s="59">
        <f t="shared" si="73"/>
        <v>153.50434683893172</v>
      </c>
      <c r="M404" s="7">
        <f t="shared" si="74"/>
        <v>85.091961038931728</v>
      </c>
      <c r="N404" s="7">
        <f t="shared" si="75"/>
        <v>19.390456799999981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69"/>
        <v>391</v>
      </c>
      <c r="C405" s="7">
        <f t="shared" si="70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59" cm="1">
        <f t="array" ref="F405">estimatedTripDuration(C405,$C$7,$C$6)/60</f>
        <v>13.160000000662274</v>
      </c>
      <c r="G405">
        <f t="shared" si="66"/>
        <v>391</v>
      </c>
      <c r="H405" s="50">
        <f t="shared" si="71"/>
        <v>32.583333333333336</v>
      </c>
      <c r="I405" s="7" cm="1">
        <f t="array" ref="I405">CurrentCapacity(K$9,K$5,K$6,H405)</f>
        <v>273.64866408000006</v>
      </c>
      <c r="J405" s="48">
        <f t="shared" si="72"/>
        <v>0.43924557748225884</v>
      </c>
      <c r="K405" s="5" cm="1">
        <f t="array" ref="K405">UseableCapacity(I405,$K$7,$K$8)</f>
        <v>205.23649806000003</v>
      </c>
      <c r="L405" s="59">
        <f t="shared" si="73"/>
        <v>153.44969859893177</v>
      </c>
      <c r="M405" s="7">
        <f t="shared" si="74"/>
        <v>85.037532578931746</v>
      </c>
      <c r="N405" s="7">
        <f t="shared" si="75"/>
        <v>19.39133591999996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69"/>
        <v>392</v>
      </c>
      <c r="C406" s="7">
        <f t="shared" si="70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59" cm="1">
        <f t="array" ref="F406">estimatedTripDuration(C406,$C$7,$C$6)/60</f>
        <v>13.193333333995607</v>
      </c>
      <c r="G406">
        <f t="shared" si="66"/>
        <v>392</v>
      </c>
      <c r="H406" s="50">
        <f t="shared" si="71"/>
        <v>32.666666666666664</v>
      </c>
      <c r="I406" s="7" cm="1">
        <f t="array" ref="I406">CurrentCapacity(K$9,K$5,K$6,H406)</f>
        <v>273.64778496000002</v>
      </c>
      <c r="J406" s="48">
        <f t="shared" si="72"/>
        <v>0.43944347884506363</v>
      </c>
      <c r="K406" s="5" cm="1">
        <f t="array" ref="K406">UseableCapacity(I406,$K$7,$K$8)</f>
        <v>205.23583872</v>
      </c>
      <c r="L406" s="59">
        <f t="shared" si="73"/>
        <v>153.39505035893171</v>
      </c>
      <c r="M406" s="7">
        <f t="shared" si="74"/>
        <v>84.983104118931706</v>
      </c>
      <c r="N406" s="7">
        <f t="shared" si="75"/>
        <v>19.392215039999996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69"/>
        <v>393</v>
      </c>
      <c r="C407" s="7">
        <f t="shared" si="70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59" cm="1">
        <f t="array" ref="F407">estimatedTripDuration(C407,$C$7,$C$6)/60</f>
        <v>13.22666666732894</v>
      </c>
      <c r="G407">
        <f t="shared" si="66"/>
        <v>393</v>
      </c>
      <c r="H407" s="50">
        <f t="shared" si="71"/>
        <v>32.75</v>
      </c>
      <c r="I407" s="7" cm="1">
        <f t="array" ref="I407">CurrentCapacity(K$9,K$5,K$6,H407)</f>
        <v>273.64690584000004</v>
      </c>
      <c r="J407" s="48">
        <f t="shared" si="72"/>
        <v>0.43964138147942694</v>
      </c>
      <c r="K407" s="5" cm="1">
        <f t="array" ref="K407">UseableCapacity(I407,$K$7,$K$8)</f>
        <v>205.23517938000003</v>
      </c>
      <c r="L407" s="59">
        <f t="shared" si="73"/>
        <v>153.34040211893176</v>
      </c>
      <c r="M407" s="7">
        <f t="shared" si="74"/>
        <v>84.928675658931752</v>
      </c>
      <c r="N407" s="7">
        <f t="shared" si="75"/>
        <v>19.393094159999976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69"/>
        <v>394</v>
      </c>
      <c r="C408" s="7">
        <f t="shared" si="70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59" cm="1">
        <f t="array" ref="F408">estimatedTripDuration(C408,$C$7,$C$6)/60</f>
        <v>13.260000000662274</v>
      </c>
      <c r="G408">
        <f t="shared" si="66"/>
        <v>394</v>
      </c>
      <c r="H408" s="50">
        <f t="shared" si="71"/>
        <v>32.833333333333336</v>
      </c>
      <c r="I408" s="7" cm="1">
        <f t="array" ref="I408">CurrentCapacity(K$9,K$5,K$6,H408)</f>
        <v>273.64602672000001</v>
      </c>
      <c r="J408" s="48">
        <f t="shared" si="72"/>
        <v>0.43983928538536138</v>
      </c>
      <c r="K408" s="5" cm="1">
        <f t="array" ref="K408">UseableCapacity(I408,$K$7,$K$8)</f>
        <v>205.23452004000001</v>
      </c>
      <c r="L408" s="59">
        <f t="shared" si="73"/>
        <v>153.2857538789317</v>
      </c>
      <c r="M408" s="7">
        <f t="shared" si="74"/>
        <v>84.874247198931698</v>
      </c>
      <c r="N408" s="7">
        <f t="shared" si="75"/>
        <v>19.393973280000012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69"/>
        <v>395</v>
      </c>
      <c r="C409" s="7">
        <f t="shared" si="70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59" cm="1">
        <f t="array" ref="F409">estimatedTripDuration(C409,$C$7,$C$6)/60</f>
        <v>13.293333333995607</v>
      </c>
      <c r="G409">
        <f t="shared" si="66"/>
        <v>395</v>
      </c>
      <c r="H409" s="50">
        <f t="shared" si="71"/>
        <v>32.916666666666664</v>
      </c>
      <c r="I409" s="7" cm="1">
        <f t="array" ref="I409">CurrentCapacity(K$9,K$5,K$6,H409)</f>
        <v>273.64514760000003</v>
      </c>
      <c r="J409" s="48">
        <f t="shared" si="72"/>
        <v>0.44003719056287877</v>
      </c>
      <c r="K409" s="5" cm="1">
        <f t="array" ref="K409">UseableCapacity(I409,$K$7,$K$8)</f>
        <v>205.23386070000004</v>
      </c>
      <c r="L409" s="59">
        <f t="shared" si="73"/>
        <v>153.23110563893175</v>
      </c>
      <c r="M409" s="7">
        <f t="shared" si="74"/>
        <v>84.819818738931744</v>
      </c>
      <c r="N409" s="7">
        <f t="shared" si="75"/>
        <v>19.394852399999991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69"/>
        <v>396</v>
      </c>
      <c r="C410" s="7">
        <f t="shared" si="70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59" cm="1">
        <f t="array" ref="F410">estimatedTripDuration(C410,$C$7,$C$6)/60</f>
        <v>13.32666666732894</v>
      </c>
      <c r="G410">
        <f t="shared" si="66"/>
        <v>396</v>
      </c>
      <c r="H410" s="50">
        <f t="shared" si="71"/>
        <v>33</v>
      </c>
      <c r="I410" s="7" cm="1">
        <f t="array" ref="I410">CurrentCapacity(K$9,K$5,K$6,H410)</f>
        <v>273.64426848000005</v>
      </c>
      <c r="J410" s="48">
        <f t="shared" si="72"/>
        <v>0.44023509701199159</v>
      </c>
      <c r="K410" s="5" cm="1">
        <f t="array" ref="K410">UseableCapacity(I410,$K$7,$K$8)</f>
        <v>205.23320136000004</v>
      </c>
      <c r="L410" s="59">
        <f t="shared" si="73"/>
        <v>153.17645739893175</v>
      </c>
      <c r="M410" s="7">
        <f t="shared" si="74"/>
        <v>84.765390278931747</v>
      </c>
      <c r="N410" s="7">
        <f t="shared" si="75"/>
        <v>19.39573151999997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69"/>
        <v>397</v>
      </c>
      <c r="C411" s="7">
        <f t="shared" si="70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59" cm="1">
        <f t="array" ref="F411">estimatedTripDuration(C411,$C$7,$C$6)/60</f>
        <v>13.360000000662273</v>
      </c>
      <c r="G411">
        <f t="shared" si="66"/>
        <v>397</v>
      </c>
      <c r="H411" s="50">
        <f t="shared" si="71"/>
        <v>33.083333333333336</v>
      </c>
      <c r="I411" s="7" cm="1">
        <f t="array" ref="I411">CurrentCapacity(K$9,K$5,K$6,H411)</f>
        <v>273.64338936000001</v>
      </c>
      <c r="J411" s="48">
        <f t="shared" si="72"/>
        <v>0.44043300473271224</v>
      </c>
      <c r="K411" s="5" cm="1">
        <f t="array" ref="K411">UseableCapacity(I411,$K$7,$K$8)</f>
        <v>205.23254202000001</v>
      </c>
      <c r="L411" s="59">
        <f t="shared" si="73"/>
        <v>153.12180915893171</v>
      </c>
      <c r="M411" s="7">
        <f t="shared" si="74"/>
        <v>84.710961818931708</v>
      </c>
      <c r="N411" s="7">
        <f t="shared" si="75"/>
        <v>19.396610640000006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69"/>
        <v>398</v>
      </c>
      <c r="C412" s="7">
        <f t="shared" si="70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59" cm="1">
        <f t="array" ref="F412">estimatedTripDuration(C412,$C$7,$C$6)/60</f>
        <v>13.393333333995606</v>
      </c>
      <c r="G412">
        <f t="shared" si="66"/>
        <v>398</v>
      </c>
      <c r="H412" s="50">
        <f t="shared" si="71"/>
        <v>33.166666666666664</v>
      </c>
      <c r="I412" s="7" cm="1">
        <f t="array" ref="I412">CurrentCapacity(K$9,K$5,K$6,H412)</f>
        <v>273.64251024000004</v>
      </c>
      <c r="J412" s="48">
        <f t="shared" si="72"/>
        <v>0.44063091372505264</v>
      </c>
      <c r="K412" s="5" cm="1">
        <f t="array" ref="K412">UseableCapacity(I412,$K$7,$K$8)</f>
        <v>205.23188268000001</v>
      </c>
      <c r="L412" s="59">
        <f t="shared" si="73"/>
        <v>153.06716091893173</v>
      </c>
      <c r="M412" s="7">
        <f t="shared" si="74"/>
        <v>84.656533358931725</v>
      </c>
      <c r="N412" s="7">
        <f t="shared" si="75"/>
        <v>19.397489759999985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69"/>
        <v>399</v>
      </c>
      <c r="C413" s="7">
        <f t="shared" si="70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59" cm="1">
        <f t="array" ref="F413">estimatedTripDuration(C413,$C$7,$C$6)/60</f>
        <v>13.42666666732894</v>
      </c>
      <c r="G413">
        <f t="shared" si="66"/>
        <v>399</v>
      </c>
      <c r="H413" s="50">
        <f t="shared" si="71"/>
        <v>33.25</v>
      </c>
      <c r="I413" s="7" cm="1">
        <f t="array" ref="I413">CurrentCapacity(K$9,K$5,K$6,H413)</f>
        <v>273.64163112000006</v>
      </c>
      <c r="J413" s="48">
        <f t="shared" si="72"/>
        <v>0.44082882398902534</v>
      </c>
      <c r="K413" s="5" cm="1">
        <f t="array" ref="K413">UseableCapacity(I413,$K$7,$K$8)</f>
        <v>205.23122334000004</v>
      </c>
      <c r="L413" s="59">
        <f t="shared" si="73"/>
        <v>153.01251267893176</v>
      </c>
      <c r="M413" s="7">
        <f t="shared" si="74"/>
        <v>84.602104898931742</v>
      </c>
      <c r="N413" s="7">
        <f t="shared" si="75"/>
        <v>19.398368879999964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69"/>
        <v>400</v>
      </c>
      <c r="C414" s="7">
        <f t="shared" si="70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59" cm="1">
        <f t="array" ref="F414">estimatedTripDuration(C414,$C$7,$C$6)/60</f>
        <v>13.460000000662273</v>
      </c>
      <c r="G414">
        <f t="shared" si="66"/>
        <v>400</v>
      </c>
      <c r="H414" s="50">
        <f t="shared" si="71"/>
        <v>33.333333333333336</v>
      </c>
      <c r="I414" s="7" cm="1">
        <f t="array" ref="I414">CurrentCapacity(K$9,K$5,K$6,H414)</f>
        <v>273.64075200000002</v>
      </c>
      <c r="J414" s="48">
        <f t="shared" si="72"/>
        <v>0.44102673552464244</v>
      </c>
      <c r="K414" s="5" cm="1">
        <f t="array" ref="K414">UseableCapacity(I414,$K$7,$K$8)</f>
        <v>205.23056400000002</v>
      </c>
      <c r="L414" s="59">
        <f t="shared" si="73"/>
        <v>152.95786443893172</v>
      </c>
      <c r="M414" s="7">
        <f t="shared" si="74"/>
        <v>84.547676438931731</v>
      </c>
      <c r="N414" s="7">
        <f t="shared" si="75"/>
        <v>19.399248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69"/>
        <v>401</v>
      </c>
      <c r="C415" s="7">
        <f t="shared" si="70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59" cm="1">
        <f t="array" ref="F415">estimatedTripDuration(C415,$C$7,$C$6)/60</f>
        <v>13.493333333995606</v>
      </c>
      <c r="G415">
        <f t="shared" ref="G415:G478" si="76">B415</f>
        <v>401</v>
      </c>
      <c r="H415" s="50">
        <f t="shared" si="71"/>
        <v>33.416666666666664</v>
      </c>
      <c r="I415" s="7" cm="1">
        <f t="array" ref="I415">CurrentCapacity(K$9,K$5,K$6,H415)</f>
        <v>273.63987288000004</v>
      </c>
      <c r="J415" s="48">
        <f t="shared" si="72"/>
        <v>0.44122464833191627</v>
      </c>
      <c r="K415" s="5" cm="1">
        <f t="array" ref="K415">UseableCapacity(I415,$K$7,$K$8)</f>
        <v>205.22990466000005</v>
      </c>
      <c r="L415" s="59">
        <f t="shared" si="73"/>
        <v>152.90321619893177</v>
      </c>
      <c r="M415" s="7">
        <f t="shared" si="74"/>
        <v>84.493247978931763</v>
      </c>
      <c r="N415" s="7">
        <f t="shared" si="75"/>
        <v>19.400127119999979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35">
      <c r="B416">
        <f t="shared" si="69"/>
        <v>402</v>
      </c>
      <c r="C416" s="7">
        <f t="shared" si="70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59" cm="1">
        <f t="array" ref="F416">estimatedTripDuration(C416,$C$7,$C$6)/60</f>
        <v>13.526666667328941</v>
      </c>
      <c r="G416">
        <f t="shared" si="76"/>
        <v>402</v>
      </c>
      <c r="H416" s="50">
        <f t="shared" si="71"/>
        <v>33.5</v>
      </c>
      <c r="I416" s="7" cm="1">
        <f t="array" ref="I416">CurrentCapacity(K$9,K$5,K$6,H416)</f>
        <v>273.63899376000001</v>
      </c>
      <c r="J416" s="48">
        <f t="shared" si="72"/>
        <v>0.44142256241085914</v>
      </c>
      <c r="K416" s="5" cm="1">
        <f t="array" ref="K416">UseableCapacity(I416,$K$7,$K$8)</f>
        <v>205.22924532000002</v>
      </c>
      <c r="L416" s="59">
        <f t="shared" si="73"/>
        <v>152.84856795893171</v>
      </c>
      <c r="M416" s="7">
        <f t="shared" si="74"/>
        <v>84.438819518931723</v>
      </c>
      <c r="N416" s="7">
        <f t="shared" si="75"/>
        <v>19.401006240000015</v>
      </c>
      <c r="O416" t="str">
        <f t="shared" si="77"/>
        <v>no</v>
      </c>
      <c r="P416" t="str">
        <f t="shared" si="78"/>
        <v>no</v>
      </c>
    </row>
    <row r="417" spans="2:16" x14ac:dyDescent="0.35">
      <c r="B417">
        <f t="shared" si="69"/>
        <v>403</v>
      </c>
      <c r="C417" s="7">
        <f t="shared" si="70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59" cm="1">
        <f t="array" ref="F417">estimatedTripDuration(C417,$C$7,$C$6)/60</f>
        <v>13.560000000662274</v>
      </c>
      <c r="G417">
        <f t="shared" si="76"/>
        <v>403</v>
      </c>
      <c r="H417" s="50">
        <f t="shared" si="71"/>
        <v>33.583333333333336</v>
      </c>
      <c r="I417" s="7" cm="1">
        <f t="array" ref="I417">CurrentCapacity(K$9,K$5,K$6,H417)</f>
        <v>273.63811464000003</v>
      </c>
      <c r="J417" s="48">
        <f t="shared" si="72"/>
        <v>0.44162047776148311</v>
      </c>
      <c r="K417" s="5" cm="1">
        <f t="array" ref="K417">UseableCapacity(I417,$K$7,$K$8)</f>
        <v>205.22858598000002</v>
      </c>
      <c r="L417" s="59">
        <f t="shared" si="73"/>
        <v>152.79391971893173</v>
      </c>
      <c r="M417" s="7">
        <f t="shared" si="74"/>
        <v>84.384391058931726</v>
      </c>
      <c r="N417" s="7">
        <f t="shared" si="75"/>
        <v>19.401885359999994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69"/>
        <v>404</v>
      </c>
      <c r="C418" s="7">
        <f t="shared" si="70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59" cm="1">
        <f t="array" ref="F418">estimatedTripDuration(C418,$C$7,$C$6)/60</f>
        <v>13.593333333995608</v>
      </c>
      <c r="G418">
        <f t="shared" si="76"/>
        <v>404</v>
      </c>
      <c r="H418" s="50">
        <f t="shared" si="71"/>
        <v>33.666666666666664</v>
      </c>
      <c r="I418" s="7" cm="1">
        <f t="array" ref="I418">CurrentCapacity(K$9,K$5,K$6,H418)</f>
        <v>273.63723552000005</v>
      </c>
      <c r="J418" s="48">
        <f t="shared" si="72"/>
        <v>0.44181839438380061</v>
      </c>
      <c r="K418" s="5" cm="1">
        <f t="array" ref="K418">UseableCapacity(I418,$K$7,$K$8)</f>
        <v>205.22792664000002</v>
      </c>
      <c r="L418" s="59">
        <f t="shared" si="73"/>
        <v>152.73927147893176</v>
      </c>
      <c r="M418" s="7">
        <f t="shared" si="74"/>
        <v>84.329962598931715</v>
      </c>
      <c r="N418" s="7">
        <f t="shared" si="75"/>
        <v>19.402764479999973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69"/>
        <v>405</v>
      </c>
      <c r="C419" s="7">
        <f t="shared" si="70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59" cm="1">
        <f t="array" ref="F419">estimatedTripDuration(C419,$C$7,$C$6)/60</f>
        <v>13.626666667328941</v>
      </c>
      <c r="G419">
        <f t="shared" si="76"/>
        <v>405</v>
      </c>
      <c r="H419" s="50">
        <f t="shared" si="71"/>
        <v>33.75</v>
      </c>
      <c r="I419" s="7" cm="1">
        <f t="array" ref="I419">CurrentCapacity(K$9,K$5,K$6,H419)</f>
        <v>273.63635640000007</v>
      </c>
      <c r="J419" s="48">
        <f t="shared" si="72"/>
        <v>0.44201631227782373</v>
      </c>
      <c r="K419" s="5" cm="1">
        <f t="array" ref="K419">UseableCapacity(I419,$K$7,$K$8)</f>
        <v>205.22726730000005</v>
      </c>
      <c r="L419" s="59">
        <f t="shared" si="73"/>
        <v>152.68462323893175</v>
      </c>
      <c r="M419" s="7">
        <f t="shared" si="74"/>
        <v>84.275534138931746</v>
      </c>
      <c r="N419" s="7">
        <f t="shared" si="75"/>
        <v>19.403643599999953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69"/>
        <v>406</v>
      </c>
      <c r="C420" s="7">
        <f t="shared" si="70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59" cm="1">
        <f t="array" ref="F420">estimatedTripDuration(C420,$C$7,$C$6)/60</f>
        <v>13.660000000662274</v>
      </c>
      <c r="G420">
        <f t="shared" si="76"/>
        <v>406</v>
      </c>
      <c r="H420" s="50">
        <f t="shared" si="71"/>
        <v>33.833333333333336</v>
      </c>
      <c r="I420" s="7" cm="1">
        <f t="array" ref="I420">CurrentCapacity(K$9,K$5,K$6,H420)</f>
        <v>273.63547728000003</v>
      </c>
      <c r="J420" s="48">
        <f t="shared" si="72"/>
        <v>0.44221423144356492</v>
      </c>
      <c r="K420" s="5" cm="1">
        <f t="array" ref="K420">UseableCapacity(I420,$K$7,$K$8)</f>
        <v>205.22660796000002</v>
      </c>
      <c r="L420" s="59">
        <f t="shared" si="73"/>
        <v>152.62997499893174</v>
      </c>
      <c r="M420" s="7">
        <f t="shared" si="74"/>
        <v>84.221105678931735</v>
      </c>
      <c r="N420" s="7">
        <f t="shared" si="75"/>
        <v>19.404522719999989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69"/>
        <v>407</v>
      </c>
      <c r="C421" s="7">
        <f t="shared" si="70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59" cm="1">
        <f t="array" ref="F421">estimatedTripDuration(C421,$C$7,$C$6)/60</f>
        <v>13.693333333995607</v>
      </c>
      <c r="G421">
        <f t="shared" si="76"/>
        <v>407</v>
      </c>
      <c r="H421" s="50">
        <f t="shared" si="71"/>
        <v>33.916666666666664</v>
      </c>
      <c r="I421" s="7" cm="1">
        <f t="array" ref="I421">CurrentCapacity(K$9,K$5,K$6,H421)</f>
        <v>273.63459816000005</v>
      </c>
      <c r="J421" s="48">
        <f t="shared" si="72"/>
        <v>0.44241215188103639</v>
      </c>
      <c r="K421" s="5" cm="1">
        <f t="array" ref="K421">UseableCapacity(I421,$K$7,$K$8)</f>
        <v>205.22594862000005</v>
      </c>
      <c r="L421" s="59">
        <f t="shared" si="73"/>
        <v>152.57532675893174</v>
      </c>
      <c r="M421" s="7">
        <f t="shared" si="74"/>
        <v>84.166677218931753</v>
      </c>
      <c r="N421" s="7">
        <f t="shared" si="75"/>
        <v>19.405401839999968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69"/>
        <v>408</v>
      </c>
      <c r="C422" s="7">
        <f t="shared" si="70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59" cm="1">
        <f t="array" ref="F422">estimatedTripDuration(C422,$C$7,$C$6)/60</f>
        <v>13.72666666732894</v>
      </c>
      <c r="G422">
        <f t="shared" si="76"/>
        <v>408</v>
      </c>
      <c r="H422" s="50">
        <f t="shared" si="71"/>
        <v>34</v>
      </c>
      <c r="I422" s="7" cm="1">
        <f t="array" ref="I422">CurrentCapacity(K$9,K$5,K$6,H422)</f>
        <v>273.63371904000002</v>
      </c>
      <c r="J422" s="48">
        <f t="shared" si="72"/>
        <v>0.44261007359025029</v>
      </c>
      <c r="K422" s="5" cm="1">
        <f t="array" ref="K422">UseableCapacity(I422,$K$7,$K$8)</f>
        <v>205.22528928000003</v>
      </c>
      <c r="L422" s="59">
        <f t="shared" si="73"/>
        <v>152.52067851893173</v>
      </c>
      <c r="M422" s="7">
        <f t="shared" si="74"/>
        <v>84.112248758931742</v>
      </c>
      <c r="N422" s="7">
        <f t="shared" si="75"/>
        <v>19.406280960000004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69"/>
        <v>409</v>
      </c>
      <c r="C423" s="7">
        <f t="shared" si="70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59" cm="1">
        <f t="array" ref="F423">estimatedTripDuration(C423,$C$7,$C$6)/60</f>
        <v>13.760000000662274</v>
      </c>
      <c r="G423">
        <f t="shared" si="76"/>
        <v>409</v>
      </c>
      <c r="H423" s="50">
        <f t="shared" si="71"/>
        <v>34.083333333333336</v>
      </c>
      <c r="I423" s="7" cm="1">
        <f t="array" ref="I423">CurrentCapacity(K$9,K$5,K$6,H423)</f>
        <v>273.63283992000004</v>
      </c>
      <c r="J423" s="48">
        <f t="shared" si="72"/>
        <v>0.442807996571219</v>
      </c>
      <c r="K423" s="5" cm="1">
        <f t="array" ref="K423">UseableCapacity(I423,$K$7,$K$8)</f>
        <v>205.22462994000003</v>
      </c>
      <c r="L423" s="59">
        <f t="shared" si="73"/>
        <v>152.46603027893173</v>
      </c>
      <c r="M423" s="7">
        <f t="shared" si="74"/>
        <v>84.05782029893173</v>
      </c>
      <c r="N423" s="7">
        <f t="shared" si="75"/>
        <v>19.407160079999983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69"/>
        <v>410</v>
      </c>
      <c r="C424" s="7">
        <f t="shared" si="70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59" cm="1">
        <f t="array" ref="F424">estimatedTripDuration(C424,$C$7,$C$6)/60</f>
        <v>13.793333333995607</v>
      </c>
      <c r="G424">
        <f t="shared" si="76"/>
        <v>410</v>
      </c>
      <c r="H424" s="50">
        <f t="shared" si="71"/>
        <v>34.166666666666664</v>
      </c>
      <c r="I424" s="7" cm="1">
        <f t="array" ref="I424">CurrentCapacity(K$9,K$5,K$6,H424)</f>
        <v>273.63196080000006</v>
      </c>
      <c r="J424" s="48">
        <f t="shared" si="72"/>
        <v>0.44300592082395468</v>
      </c>
      <c r="K424" s="5" cm="1">
        <f t="array" ref="K424">UseableCapacity(I424,$K$7,$K$8)</f>
        <v>205.22397060000003</v>
      </c>
      <c r="L424" s="59">
        <f t="shared" si="73"/>
        <v>152.41138203893178</v>
      </c>
      <c r="M424" s="7">
        <f t="shared" si="74"/>
        <v>84.003391838931734</v>
      </c>
      <c r="N424" s="7">
        <f t="shared" si="75"/>
        <v>19.408039199999962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69"/>
        <v>411</v>
      </c>
      <c r="C425" s="7">
        <f t="shared" si="70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59" cm="1">
        <f t="array" ref="F425">estimatedTripDuration(C425,$C$7,$C$6)/60</f>
        <v>13.82666666732894</v>
      </c>
      <c r="G425">
        <f t="shared" si="76"/>
        <v>411</v>
      </c>
      <c r="H425" s="50">
        <f t="shared" si="71"/>
        <v>34.25</v>
      </c>
      <c r="I425" s="7" cm="1">
        <f t="array" ref="I425">CurrentCapacity(K$9,K$5,K$6,H425)</f>
        <v>273.63108168000002</v>
      </c>
      <c r="J425" s="48">
        <f t="shared" si="72"/>
        <v>0.44320384634846965</v>
      </c>
      <c r="K425" s="5" cm="1">
        <f t="array" ref="K425">UseableCapacity(I425,$K$7,$K$8)</f>
        <v>205.22331126</v>
      </c>
      <c r="L425" s="59">
        <f t="shared" si="73"/>
        <v>152.35673379893174</v>
      </c>
      <c r="M425" s="7">
        <f t="shared" si="74"/>
        <v>83.948963378931722</v>
      </c>
      <c r="N425" s="7">
        <f t="shared" si="75"/>
        <v>19.408918319999998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69"/>
        <v>412</v>
      </c>
      <c r="C426" s="7">
        <f t="shared" si="70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59" cm="1">
        <f t="array" ref="F426">estimatedTripDuration(C426,$C$7,$C$6)/60</f>
        <v>13.860000000662273</v>
      </c>
      <c r="G426">
        <f t="shared" si="76"/>
        <v>412</v>
      </c>
      <c r="H426" s="50">
        <f t="shared" si="71"/>
        <v>34.333333333333336</v>
      </c>
      <c r="I426" s="7" cm="1">
        <f t="array" ref="I426">CurrentCapacity(K$9,K$5,K$6,H426)</f>
        <v>273.63020256000004</v>
      </c>
      <c r="J426" s="48">
        <f t="shared" si="72"/>
        <v>0.44340177314477619</v>
      </c>
      <c r="K426" s="5" cm="1">
        <f t="array" ref="K426">UseableCapacity(I426,$K$7,$K$8)</f>
        <v>205.22265192000003</v>
      </c>
      <c r="L426" s="59">
        <f t="shared" si="73"/>
        <v>152.30208555893176</v>
      </c>
      <c r="M426" s="7">
        <f t="shared" si="74"/>
        <v>83.89453491893174</v>
      </c>
      <c r="N426" s="7">
        <f t="shared" si="75"/>
        <v>19.409797439999977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69"/>
        <v>413</v>
      </c>
      <c r="C427" s="7">
        <f t="shared" si="70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59" cm="1">
        <f t="array" ref="F427">estimatedTripDuration(C427,$C$7,$C$6)/60</f>
        <v>13.893333333995606</v>
      </c>
      <c r="G427">
        <f t="shared" si="76"/>
        <v>413</v>
      </c>
      <c r="H427" s="50">
        <f t="shared" si="71"/>
        <v>34.416666666666664</v>
      </c>
      <c r="I427" s="7" cm="1">
        <f t="array" ref="I427">CurrentCapacity(K$9,K$5,K$6,H427)</f>
        <v>273.62932344000006</v>
      </c>
      <c r="J427" s="48">
        <f t="shared" si="72"/>
        <v>0.44359970121288639</v>
      </c>
      <c r="K427" s="5" cm="1">
        <f t="array" ref="K427">UseableCapacity(I427,$K$7,$K$8)</f>
        <v>205.22199258000006</v>
      </c>
      <c r="L427" s="59">
        <f t="shared" si="73"/>
        <v>152.24743731893179</v>
      </c>
      <c r="M427" s="7">
        <f t="shared" si="74"/>
        <v>83.840106458931785</v>
      </c>
      <c r="N427" s="7">
        <f t="shared" si="75"/>
        <v>19.410676559999956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69"/>
        <v>414</v>
      </c>
      <c r="C428" s="7">
        <f t="shared" si="70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59" cm="1">
        <f t="array" ref="F428">estimatedTripDuration(C428,$C$7,$C$6)/60</f>
        <v>13.92666666732894</v>
      </c>
      <c r="G428">
        <f t="shared" si="76"/>
        <v>414</v>
      </c>
      <c r="H428" s="50">
        <f t="shared" si="71"/>
        <v>34.5</v>
      </c>
      <c r="I428" s="7" cm="1">
        <f t="array" ref="I428">CurrentCapacity(K$9,K$5,K$6,H428)</f>
        <v>273.62844432000003</v>
      </c>
      <c r="J428" s="48">
        <f t="shared" si="72"/>
        <v>0.44379763055281291</v>
      </c>
      <c r="K428" s="5" cm="1">
        <f t="array" ref="K428">UseableCapacity(I428,$K$7,$K$8)</f>
        <v>205.22133324000004</v>
      </c>
      <c r="L428" s="59">
        <f t="shared" si="73"/>
        <v>152.19278907893172</v>
      </c>
      <c r="M428" s="7">
        <f t="shared" si="74"/>
        <v>83.785677998931732</v>
      </c>
      <c r="N428" s="7">
        <f t="shared" si="75"/>
        <v>19.411555679999992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69"/>
        <v>415</v>
      </c>
      <c r="C429" s="7">
        <f t="shared" si="70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59" cm="1">
        <f t="array" ref="F429">estimatedTripDuration(C429,$C$7,$C$6)/60</f>
        <v>13.960000000662273</v>
      </c>
      <c r="G429">
        <f t="shared" si="76"/>
        <v>415</v>
      </c>
      <c r="H429" s="50">
        <f t="shared" si="71"/>
        <v>34.583333333333336</v>
      </c>
      <c r="I429" s="7" cm="1">
        <f t="array" ref="I429">CurrentCapacity(K$9,K$5,K$6,H429)</f>
        <v>273.62756519999999</v>
      </c>
      <c r="J429" s="48">
        <f t="shared" si="72"/>
        <v>0.44399556116456751</v>
      </c>
      <c r="K429" s="5" cm="1">
        <f t="array" ref="K429">UseableCapacity(I429,$K$7,$K$8)</f>
        <v>205.22067390000001</v>
      </c>
      <c r="L429" s="59">
        <f t="shared" si="73"/>
        <v>152.13814083893169</v>
      </c>
      <c r="M429" s="7">
        <f t="shared" si="74"/>
        <v>83.731249538931721</v>
      </c>
      <c r="N429" s="7">
        <f t="shared" si="75"/>
        <v>19.412434800000028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69"/>
        <v>416</v>
      </c>
      <c r="C430" s="7">
        <f t="shared" si="70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59" cm="1">
        <f t="array" ref="F430">estimatedTripDuration(C430,$C$7,$C$6)/60</f>
        <v>13.993333333995606</v>
      </c>
      <c r="G430">
        <f t="shared" si="76"/>
        <v>416</v>
      </c>
      <c r="H430" s="50">
        <f t="shared" si="71"/>
        <v>34.666666666666664</v>
      </c>
      <c r="I430" s="7" cm="1">
        <f t="array" ref="I430">CurrentCapacity(K$9,K$5,K$6,H430)</f>
        <v>273.62668608000001</v>
      </c>
      <c r="J430" s="48">
        <f t="shared" si="72"/>
        <v>0.44419349304816269</v>
      </c>
      <c r="K430" s="5" cm="1">
        <f t="array" ref="K430">UseableCapacity(I430,$K$7,$K$8)</f>
        <v>205.22001456000001</v>
      </c>
      <c r="L430" s="59">
        <f t="shared" si="73"/>
        <v>152.08349259893174</v>
      </c>
      <c r="M430" s="7">
        <f t="shared" si="74"/>
        <v>83.676821078931724</v>
      </c>
      <c r="N430" s="7">
        <f t="shared" si="75"/>
        <v>19.413313920000007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69"/>
        <v>417</v>
      </c>
      <c r="C431" s="7">
        <f t="shared" si="70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59" cm="1">
        <f t="array" ref="F431">estimatedTripDuration(C431,$C$7,$C$6)/60</f>
        <v>14.026666667328941</v>
      </c>
      <c r="G431">
        <f t="shared" si="76"/>
        <v>417</v>
      </c>
      <c r="H431" s="50">
        <f t="shared" si="71"/>
        <v>34.75</v>
      </c>
      <c r="I431" s="7" cm="1">
        <f t="array" ref="I431">CurrentCapacity(K$9,K$5,K$6,H431)</f>
        <v>273.62580696000003</v>
      </c>
      <c r="J431" s="48">
        <f t="shared" si="72"/>
        <v>0.44439142620361077</v>
      </c>
      <c r="K431" s="5" cm="1">
        <f t="array" ref="K431">UseableCapacity(I431,$K$7,$K$8)</f>
        <v>205.21935522000001</v>
      </c>
      <c r="L431" s="59">
        <f t="shared" si="73"/>
        <v>152.02884435893174</v>
      </c>
      <c r="M431" s="7">
        <f t="shared" si="74"/>
        <v>83.622392618931713</v>
      </c>
      <c r="N431" s="7">
        <f t="shared" si="75"/>
        <v>19.414193039999986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69"/>
        <v>418</v>
      </c>
      <c r="C432" s="7">
        <f t="shared" si="70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59" cm="1">
        <f t="array" ref="F432">estimatedTripDuration(C432,$C$7,$C$6)/60</f>
        <v>14.060000000662274</v>
      </c>
      <c r="G432">
        <f t="shared" si="76"/>
        <v>418</v>
      </c>
      <c r="H432" s="50">
        <f t="shared" si="71"/>
        <v>34.833333333333336</v>
      </c>
      <c r="I432" s="7" cm="1">
        <f t="array" ref="I432">CurrentCapacity(K$9,K$5,K$6,H432)</f>
        <v>273.62492784000005</v>
      </c>
      <c r="J432" s="48">
        <f t="shared" si="72"/>
        <v>0.4445893606309238</v>
      </c>
      <c r="K432" s="5" cm="1">
        <f t="array" ref="K432">UseableCapacity(I432,$K$7,$K$8)</f>
        <v>205.21869588000004</v>
      </c>
      <c r="L432" s="59">
        <f t="shared" si="73"/>
        <v>151.97419611893179</v>
      </c>
      <c r="M432" s="7">
        <f t="shared" si="74"/>
        <v>83.567964158931758</v>
      </c>
      <c r="N432" s="7">
        <f t="shared" si="75"/>
        <v>19.415072159999966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69"/>
        <v>419</v>
      </c>
      <c r="C433" s="7">
        <f t="shared" si="70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59" cm="1">
        <f t="array" ref="F433">estimatedTripDuration(C433,$C$7,$C$6)/60</f>
        <v>14.093333333995608</v>
      </c>
      <c r="G433">
        <f t="shared" si="76"/>
        <v>419</v>
      </c>
      <c r="H433" s="50">
        <f t="shared" si="71"/>
        <v>34.916666666666664</v>
      </c>
      <c r="I433" s="7" cm="1">
        <f t="array" ref="I433">CurrentCapacity(K$9,K$5,K$6,H433)</f>
        <v>273.62404872000008</v>
      </c>
      <c r="J433" s="48">
        <f t="shared" si="72"/>
        <v>0.44478729633011432</v>
      </c>
      <c r="K433" s="5" cm="1">
        <f t="array" ref="K433">UseableCapacity(I433,$K$7,$K$8)</f>
        <v>205.21803654000007</v>
      </c>
      <c r="L433" s="59">
        <f t="shared" si="73"/>
        <v>151.91954787893178</v>
      </c>
      <c r="M433" s="7">
        <f t="shared" si="74"/>
        <v>83.513535698931761</v>
      </c>
      <c r="N433" s="7">
        <f t="shared" si="75"/>
        <v>19.415951279999945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69"/>
        <v>420</v>
      </c>
      <c r="C434" s="7">
        <f t="shared" si="70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59" cm="1">
        <f t="array" ref="F434">estimatedTripDuration(C434,$C$7,$C$6)/60</f>
        <v>14.126666667328941</v>
      </c>
      <c r="G434">
        <f t="shared" si="76"/>
        <v>420</v>
      </c>
      <c r="H434" s="50">
        <f t="shared" si="71"/>
        <v>35</v>
      </c>
      <c r="I434" s="7" cm="1">
        <f t="array" ref="I434">CurrentCapacity(K$9,K$5,K$6,H434)</f>
        <v>273.62316960000004</v>
      </c>
      <c r="J434" s="48">
        <f t="shared" si="72"/>
        <v>0.44498523330119438</v>
      </c>
      <c r="K434" s="5" cm="1">
        <f t="array" ref="K434">UseableCapacity(I434,$K$7,$K$8)</f>
        <v>205.21737720000004</v>
      </c>
      <c r="L434" s="59">
        <f t="shared" si="73"/>
        <v>151.86489963893175</v>
      </c>
      <c r="M434" s="7">
        <f t="shared" si="74"/>
        <v>83.45910723893175</v>
      </c>
      <c r="N434" s="7">
        <f t="shared" si="75"/>
        <v>19.416830399999981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69"/>
        <v>421</v>
      </c>
      <c r="C435" s="7">
        <f t="shared" si="70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59" cm="1">
        <f t="array" ref="F435">estimatedTripDuration(C435,$C$7,$C$6)/60</f>
        <v>14.160000000662274</v>
      </c>
      <c r="G435">
        <f t="shared" si="76"/>
        <v>421</v>
      </c>
      <c r="H435" s="50">
        <f t="shared" si="71"/>
        <v>35.083333333333336</v>
      </c>
      <c r="I435" s="7" cm="1">
        <f t="array" ref="I435">CurrentCapacity(K$9,K$5,K$6,H435)</f>
        <v>273.62229048</v>
      </c>
      <c r="J435" s="48">
        <f t="shared" si="72"/>
        <v>0.44518317154417636</v>
      </c>
      <c r="K435" s="5" cm="1">
        <f t="array" ref="K435">UseableCapacity(I435,$K$7,$K$8)</f>
        <v>205.21671786000002</v>
      </c>
      <c r="L435" s="59">
        <f t="shared" si="73"/>
        <v>151.81025139893171</v>
      </c>
      <c r="M435" s="7">
        <f t="shared" si="74"/>
        <v>83.404678778931725</v>
      </c>
      <c r="N435" s="7">
        <f t="shared" si="75"/>
        <v>19.417709520000017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69"/>
        <v>422</v>
      </c>
      <c r="C436" s="7">
        <f t="shared" si="70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59" cm="1">
        <f t="array" ref="F436">estimatedTripDuration(C436,$C$7,$C$6)/60</f>
        <v>14.193333333995607</v>
      </c>
      <c r="G436">
        <f t="shared" si="76"/>
        <v>422</v>
      </c>
      <c r="H436" s="50">
        <f t="shared" si="71"/>
        <v>35.166666666666664</v>
      </c>
      <c r="I436" s="7" cm="1">
        <f t="array" ref="I436">CurrentCapacity(K$9,K$5,K$6,H436)</f>
        <v>273.62141136000002</v>
      </c>
      <c r="J436" s="48">
        <f t="shared" si="72"/>
        <v>0.44538111105907241</v>
      </c>
      <c r="K436" s="5" cm="1">
        <f t="array" ref="K436">UseableCapacity(I436,$K$7,$K$8)</f>
        <v>205.21605852000002</v>
      </c>
      <c r="L436" s="59">
        <f t="shared" si="73"/>
        <v>151.75560315893171</v>
      </c>
      <c r="M436" s="7">
        <f t="shared" si="74"/>
        <v>83.350250318931714</v>
      </c>
      <c r="N436" s="7">
        <f t="shared" si="75"/>
        <v>19.418588639999996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69"/>
        <v>423</v>
      </c>
      <c r="C437" s="7">
        <f t="shared" si="70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59" cm="1">
        <f t="array" ref="F437">estimatedTripDuration(C437,$C$7,$C$6)/60</f>
        <v>14.22666666732894</v>
      </c>
      <c r="G437">
        <f t="shared" si="76"/>
        <v>423</v>
      </c>
      <c r="H437" s="50">
        <f t="shared" si="71"/>
        <v>35.25</v>
      </c>
      <c r="I437" s="7" cm="1">
        <f t="array" ref="I437">CurrentCapacity(K$9,K$5,K$6,H437)</f>
        <v>273.62053224000005</v>
      </c>
      <c r="J437" s="48">
        <f t="shared" si="72"/>
        <v>0.44557905184589475</v>
      </c>
      <c r="K437" s="5" cm="1">
        <f t="array" ref="K437">UseableCapacity(I437,$K$7,$K$8)</f>
        <v>205.21539918000002</v>
      </c>
      <c r="L437" s="59">
        <f t="shared" si="73"/>
        <v>151.70095491893176</v>
      </c>
      <c r="M437" s="7">
        <f t="shared" si="74"/>
        <v>83.295821858931717</v>
      </c>
      <c r="N437" s="7">
        <f t="shared" si="75"/>
        <v>19.419467759999975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69"/>
        <v>424</v>
      </c>
      <c r="C438" s="7">
        <f t="shared" si="70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59" cm="1">
        <f t="array" ref="F438">estimatedTripDuration(C438,$C$7,$C$6)/60</f>
        <v>14.260000000662274</v>
      </c>
      <c r="G438">
        <f t="shared" si="76"/>
        <v>424</v>
      </c>
      <c r="H438" s="50">
        <f t="shared" si="71"/>
        <v>35.333333333333336</v>
      </c>
      <c r="I438" s="7" cm="1">
        <f t="array" ref="I438">CurrentCapacity(K$9,K$5,K$6,H438)</f>
        <v>273.61965312000001</v>
      </c>
      <c r="J438" s="48">
        <f t="shared" si="72"/>
        <v>0.4457769939046558</v>
      </c>
      <c r="K438" s="5" cm="1">
        <f t="array" ref="K438">UseableCapacity(I438,$K$7,$K$8)</f>
        <v>205.21473983999999</v>
      </c>
      <c r="L438" s="59">
        <f t="shared" si="73"/>
        <v>151.64630667893172</v>
      </c>
      <c r="M438" s="7">
        <f t="shared" si="74"/>
        <v>83.241393398931706</v>
      </c>
      <c r="N438" s="7">
        <f t="shared" si="75"/>
        <v>19.420346880000011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69"/>
        <v>425</v>
      </c>
      <c r="C439" s="7">
        <f t="shared" si="70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59" cm="1">
        <f t="array" ref="F439">estimatedTripDuration(C439,$C$7,$C$6)/60</f>
        <v>14.293333333995607</v>
      </c>
      <c r="G439">
        <f t="shared" si="76"/>
        <v>425</v>
      </c>
      <c r="H439" s="50">
        <f t="shared" si="71"/>
        <v>35.416666666666664</v>
      </c>
      <c r="I439" s="7" cm="1">
        <f t="array" ref="I439">CurrentCapacity(K$9,K$5,K$6,H439)</f>
        <v>273.61877400000003</v>
      </c>
      <c r="J439" s="48">
        <f t="shared" si="72"/>
        <v>0.44597493723536774</v>
      </c>
      <c r="K439" s="5" cm="1">
        <f t="array" ref="K439">UseableCapacity(I439,$K$7,$K$8)</f>
        <v>205.21408050000002</v>
      </c>
      <c r="L439" s="59">
        <f t="shared" si="73"/>
        <v>151.59165843893174</v>
      </c>
      <c r="M439" s="7">
        <f t="shared" si="74"/>
        <v>83.186964938931737</v>
      </c>
      <c r="N439" s="7">
        <f t="shared" si="75"/>
        <v>19.42122599999999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69"/>
        <v>426</v>
      </c>
      <c r="C440" s="7">
        <f t="shared" si="70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59" cm="1">
        <f t="array" ref="F440">estimatedTripDuration(C440,$C$7,$C$6)/60</f>
        <v>14.32666666732894</v>
      </c>
      <c r="G440">
        <f t="shared" si="76"/>
        <v>426</v>
      </c>
      <c r="H440" s="50">
        <f t="shared" si="71"/>
        <v>35.5</v>
      </c>
      <c r="I440" s="7" cm="1">
        <f t="array" ref="I440">CurrentCapacity(K$9,K$5,K$6,H440)</f>
        <v>273.61789488000005</v>
      </c>
      <c r="J440" s="48">
        <f t="shared" si="72"/>
        <v>0.44617288183804282</v>
      </c>
      <c r="K440" s="5" cm="1">
        <f t="array" ref="K440">UseableCapacity(I440,$K$7,$K$8)</f>
        <v>205.21342116000005</v>
      </c>
      <c r="L440" s="59">
        <f t="shared" si="73"/>
        <v>151.53701019893177</v>
      </c>
      <c r="M440" s="7">
        <f t="shared" si="74"/>
        <v>83.132536478931769</v>
      </c>
      <c r="N440" s="7">
        <f t="shared" si="75"/>
        <v>19.422105119999969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69"/>
        <v>427</v>
      </c>
      <c r="C441" s="7">
        <f t="shared" si="70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59" cm="1">
        <f t="array" ref="F441">estimatedTripDuration(C441,$C$7,$C$6)/60</f>
        <v>14.360000000662273</v>
      </c>
      <c r="G441">
        <f t="shared" si="76"/>
        <v>427</v>
      </c>
      <c r="H441" s="50">
        <f t="shared" si="71"/>
        <v>35.583333333333336</v>
      </c>
      <c r="I441" s="7" cm="1">
        <f t="array" ref="I441">CurrentCapacity(K$9,K$5,K$6,H441)</f>
        <v>273.61701576000002</v>
      </c>
      <c r="J441" s="48">
        <f t="shared" si="72"/>
        <v>0.44637082771269343</v>
      </c>
      <c r="K441" s="5" cm="1">
        <f t="array" ref="K441">UseableCapacity(I441,$K$7,$K$8)</f>
        <v>205.21276182000003</v>
      </c>
      <c r="L441" s="59">
        <f t="shared" si="73"/>
        <v>151.48236195893173</v>
      </c>
      <c r="M441" s="7">
        <f t="shared" si="74"/>
        <v>83.078108018931729</v>
      </c>
      <c r="N441" s="7">
        <f t="shared" si="75"/>
        <v>19.422984240000005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69"/>
        <v>428</v>
      </c>
      <c r="C442" s="7">
        <f t="shared" si="70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59" cm="1">
        <f t="array" ref="F442">estimatedTripDuration(C442,$C$7,$C$6)/60</f>
        <v>14.393333333995608</v>
      </c>
      <c r="G442">
        <f t="shared" si="76"/>
        <v>428</v>
      </c>
      <c r="H442" s="50">
        <f t="shared" si="71"/>
        <v>35.666666666666664</v>
      </c>
      <c r="I442" s="7" cm="1">
        <f t="array" ref="I442">CurrentCapacity(K$9,K$5,K$6,H442)</f>
        <v>273.61613664000004</v>
      </c>
      <c r="J442" s="48">
        <f t="shared" si="72"/>
        <v>0.44656877485933161</v>
      </c>
      <c r="K442" s="5" cm="1">
        <f t="array" ref="K442">UseableCapacity(I442,$K$7,$K$8)</f>
        <v>205.21210248000003</v>
      </c>
      <c r="L442" s="59">
        <f t="shared" si="73"/>
        <v>151.42771371893173</v>
      </c>
      <c r="M442" s="7">
        <f t="shared" si="74"/>
        <v>83.023679558931732</v>
      </c>
      <c r="N442" s="7">
        <f t="shared" si="75"/>
        <v>19.423863359999984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69"/>
        <v>429</v>
      </c>
      <c r="C443" s="7">
        <f t="shared" si="70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59" cm="1">
        <f t="array" ref="F443">estimatedTripDuration(C443,$C$7,$C$6)/60</f>
        <v>14.42666666732894</v>
      </c>
      <c r="G443">
        <f t="shared" si="76"/>
        <v>429</v>
      </c>
      <c r="H443" s="50">
        <f t="shared" si="71"/>
        <v>35.75</v>
      </c>
      <c r="I443" s="7" cm="1">
        <f t="array" ref="I443">CurrentCapacity(K$9,K$5,K$6,H443)</f>
        <v>273.61525752</v>
      </c>
      <c r="J443" s="48">
        <f t="shared" si="72"/>
        <v>0.4467667232779699</v>
      </c>
      <c r="K443" s="5" cm="1">
        <f t="array" ref="K443">UseableCapacity(I443,$K$7,$K$8)</f>
        <v>205.21144314</v>
      </c>
      <c r="L443" s="59">
        <f t="shared" si="73"/>
        <v>151.37306547893169</v>
      </c>
      <c r="M443" s="7">
        <f t="shared" si="74"/>
        <v>82.969251098931693</v>
      </c>
      <c r="N443" s="7">
        <f t="shared" si="75"/>
        <v>19.42474248000002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69"/>
        <v>430</v>
      </c>
      <c r="C444" s="7">
        <f t="shared" si="70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59" cm="1">
        <f t="array" ref="F444">estimatedTripDuration(C444,$C$7,$C$6)/60</f>
        <v>14.460000000662273</v>
      </c>
      <c r="G444">
        <f t="shared" si="76"/>
        <v>430</v>
      </c>
      <c r="H444" s="50">
        <f t="shared" si="71"/>
        <v>35.833333333333336</v>
      </c>
      <c r="I444" s="7" cm="1">
        <f t="array" ref="I444">CurrentCapacity(K$9,K$5,K$6,H444)</f>
        <v>273.61437840000002</v>
      </c>
      <c r="J444" s="48">
        <f t="shared" si="72"/>
        <v>0.44696467296862019</v>
      </c>
      <c r="K444" s="5" cm="1">
        <f t="array" ref="K444">UseableCapacity(I444,$K$7,$K$8)</f>
        <v>205.2107838</v>
      </c>
      <c r="L444" s="59">
        <f t="shared" si="73"/>
        <v>151.31841723893172</v>
      </c>
      <c r="M444" s="7">
        <f t="shared" si="74"/>
        <v>82.914822638931696</v>
      </c>
      <c r="N444" s="7">
        <f t="shared" si="75"/>
        <v>19.425621599999999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69"/>
        <v>431</v>
      </c>
      <c r="C445" s="7">
        <f t="shared" si="70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59" cm="1">
        <f t="array" ref="F445">estimatedTripDuration(C445,$C$7,$C$6)/60</f>
        <v>14.493333333995604</v>
      </c>
      <c r="G445">
        <f t="shared" si="76"/>
        <v>431</v>
      </c>
      <c r="H445" s="50">
        <f t="shared" si="71"/>
        <v>35.916666666666664</v>
      </c>
      <c r="I445" s="7" cm="1">
        <f t="array" ref="I445">CurrentCapacity(K$9,K$5,K$6,H445)</f>
        <v>273.61349928000004</v>
      </c>
      <c r="J445" s="48">
        <f t="shared" si="72"/>
        <v>0.44716262393129491</v>
      </c>
      <c r="K445" s="5" cm="1">
        <f t="array" ref="K445">UseableCapacity(I445,$K$7,$K$8)</f>
        <v>205.21012446000003</v>
      </c>
      <c r="L445" s="59">
        <f t="shared" si="73"/>
        <v>151.26376899893177</v>
      </c>
      <c r="M445" s="7">
        <f t="shared" si="74"/>
        <v>82.860394178931742</v>
      </c>
      <c r="N445" s="7">
        <f t="shared" si="75"/>
        <v>19.426500719999979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69"/>
        <v>432</v>
      </c>
      <c r="C446" s="7">
        <f t="shared" si="70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59" cm="1">
        <f t="array" ref="F446">estimatedTripDuration(C446,$C$7,$C$6)/60</f>
        <v>14.526666667328941</v>
      </c>
      <c r="G446">
        <f t="shared" si="76"/>
        <v>432</v>
      </c>
      <c r="H446" s="50">
        <f t="shared" si="71"/>
        <v>36</v>
      </c>
      <c r="I446" s="7" cm="1">
        <f t="array" ref="I446">CurrentCapacity(K$9,K$5,K$6,H446)</f>
        <v>273.61262016000006</v>
      </c>
      <c r="J446" s="48">
        <f t="shared" si="72"/>
        <v>0.44736057616600644</v>
      </c>
      <c r="K446" s="5" cm="1">
        <f t="array" ref="K446">UseableCapacity(I446,$K$7,$K$8)</f>
        <v>205.20946512000006</v>
      </c>
      <c r="L446" s="59">
        <f t="shared" si="73"/>
        <v>151.20912075893176</v>
      </c>
      <c r="M446" s="7">
        <f t="shared" si="74"/>
        <v>82.805965718931759</v>
      </c>
      <c r="N446" s="7">
        <f t="shared" si="75"/>
        <v>19.427379839999958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69"/>
        <v>433</v>
      </c>
      <c r="C447" s="7">
        <f t="shared" si="70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59" cm="1">
        <f t="array" ref="F447">estimatedTripDuration(C447,$C$7,$C$6)/60</f>
        <v>14.560000000662276</v>
      </c>
      <c r="G447">
        <f t="shared" si="76"/>
        <v>433</v>
      </c>
      <c r="H447" s="50">
        <f t="shared" si="71"/>
        <v>36.083333333333336</v>
      </c>
      <c r="I447" s="7" cm="1">
        <f t="array" ref="I447">CurrentCapacity(K$9,K$5,K$6,H447)</f>
        <v>273.61174104000003</v>
      </c>
      <c r="J447" s="48">
        <f t="shared" si="72"/>
        <v>0.44755852967276699</v>
      </c>
      <c r="K447" s="5" cm="1">
        <f t="array" ref="K447">UseableCapacity(I447,$K$7,$K$8)</f>
        <v>205.20880578000003</v>
      </c>
      <c r="L447" s="59">
        <f t="shared" si="73"/>
        <v>151.15447251893175</v>
      </c>
      <c r="M447" s="7">
        <f t="shared" si="74"/>
        <v>82.751537258931748</v>
      </c>
      <c r="N447" s="7">
        <f t="shared" si="75"/>
        <v>19.428258959999994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69"/>
        <v>434</v>
      </c>
      <c r="C448" s="7">
        <f t="shared" si="70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59" cm="1">
        <f t="array" ref="F448">estimatedTripDuration(C448,$C$7,$C$6)/60</f>
        <v>14.593333333995608</v>
      </c>
      <c r="G448">
        <f t="shared" si="76"/>
        <v>434</v>
      </c>
      <c r="H448" s="50">
        <f t="shared" si="71"/>
        <v>36.166666666666664</v>
      </c>
      <c r="I448" s="7" cm="1">
        <f t="array" ref="I448">CurrentCapacity(K$9,K$5,K$6,H448)</f>
        <v>273.61086192000005</v>
      </c>
      <c r="J448" s="48">
        <f t="shared" si="72"/>
        <v>0.44775648445158878</v>
      </c>
      <c r="K448" s="5" cm="1">
        <f t="array" ref="K448">UseableCapacity(I448,$K$7,$K$8)</f>
        <v>205.20814644000004</v>
      </c>
      <c r="L448" s="59">
        <f t="shared" si="73"/>
        <v>151.09982427893175</v>
      </c>
      <c r="M448" s="7">
        <f t="shared" si="74"/>
        <v>82.697108798931737</v>
      </c>
      <c r="N448" s="7">
        <f t="shared" si="75"/>
        <v>19.429138079999973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69"/>
        <v>435</v>
      </c>
      <c r="C449" s="7">
        <f t="shared" si="70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59" cm="1">
        <f t="array" ref="F449">estimatedTripDuration(C449,$C$7,$C$6)/60</f>
        <v>14.626666667328941</v>
      </c>
      <c r="G449">
        <f t="shared" si="76"/>
        <v>435</v>
      </c>
      <c r="H449" s="50">
        <f t="shared" si="71"/>
        <v>36.25</v>
      </c>
      <c r="I449" s="7" cm="1">
        <f t="array" ref="I449">CurrentCapacity(K$9,K$5,K$6,H449)</f>
        <v>273.60998280000001</v>
      </c>
      <c r="J449" s="48">
        <f t="shared" si="72"/>
        <v>0.44795444050248406</v>
      </c>
      <c r="K449" s="5" cm="1">
        <f t="array" ref="K449">UseableCapacity(I449,$K$7,$K$8)</f>
        <v>205.20748710000001</v>
      </c>
      <c r="L449" s="59">
        <f t="shared" si="73"/>
        <v>151.04517603893171</v>
      </c>
      <c r="M449" s="7">
        <f t="shared" si="74"/>
        <v>82.642680338931712</v>
      </c>
      <c r="N449" s="7">
        <f t="shared" si="75"/>
        <v>19.430017200000009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69"/>
        <v>436</v>
      </c>
      <c r="C450" s="7">
        <f t="shared" si="70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59" cm="1">
        <f t="array" ref="F450">estimatedTripDuration(C450,$C$7,$C$6)/60</f>
        <v>14.660000000662272</v>
      </c>
      <c r="G450">
        <f t="shared" si="76"/>
        <v>436</v>
      </c>
      <c r="H450" s="50">
        <f t="shared" si="71"/>
        <v>36.333333333333336</v>
      </c>
      <c r="I450" s="7" cm="1">
        <f t="array" ref="I450">CurrentCapacity(K$9,K$5,K$6,H450)</f>
        <v>273.60910368000003</v>
      </c>
      <c r="J450" s="48">
        <f t="shared" si="72"/>
        <v>0.44815239782546507</v>
      </c>
      <c r="K450" s="5" cm="1">
        <f t="array" ref="K450">UseableCapacity(I450,$K$7,$K$8)</f>
        <v>205.20682776000001</v>
      </c>
      <c r="L450" s="59">
        <f t="shared" si="73"/>
        <v>150.99052779893174</v>
      </c>
      <c r="M450" s="7">
        <f t="shared" si="74"/>
        <v>82.588251878931715</v>
      </c>
      <c r="N450" s="7">
        <f t="shared" si="75"/>
        <v>19.430896319999988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69"/>
        <v>437</v>
      </c>
      <c r="C451" s="7">
        <f t="shared" si="70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59" cm="1">
        <f t="array" ref="F451">estimatedTripDuration(C451,$C$7,$C$6)/60</f>
        <v>14.693333333995607</v>
      </c>
      <c r="G451">
        <f t="shared" si="76"/>
        <v>437</v>
      </c>
      <c r="H451" s="50">
        <f t="shared" si="71"/>
        <v>36.416666666666664</v>
      </c>
      <c r="I451" s="7" cm="1">
        <f t="array" ref="I451">CurrentCapacity(K$9,K$5,K$6,H451)</f>
        <v>273.60822456000005</v>
      </c>
      <c r="J451" s="48">
        <f t="shared" si="72"/>
        <v>0.4483503564205441</v>
      </c>
      <c r="K451" s="5" cm="1">
        <f t="array" ref="K451">UseableCapacity(I451,$K$7,$K$8)</f>
        <v>205.20616842000004</v>
      </c>
      <c r="L451" s="59">
        <f t="shared" si="73"/>
        <v>150.93587955893176</v>
      </c>
      <c r="M451" s="7">
        <f t="shared" si="74"/>
        <v>82.533823418931746</v>
      </c>
      <c r="N451" s="7">
        <f t="shared" si="75"/>
        <v>19.431775439999967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69"/>
        <v>438</v>
      </c>
      <c r="C452" s="7">
        <f t="shared" si="70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59" cm="1">
        <f t="array" ref="F452">estimatedTripDuration(C452,$C$7,$C$6)/60</f>
        <v>14.726666667328942</v>
      </c>
      <c r="G452">
        <f t="shared" si="76"/>
        <v>438</v>
      </c>
      <c r="H452" s="50">
        <f t="shared" si="71"/>
        <v>36.5</v>
      </c>
      <c r="I452" s="7" cm="1">
        <f t="array" ref="I452">CurrentCapacity(K$9,K$5,K$6,H452)</f>
        <v>273.60734544000002</v>
      </c>
      <c r="J452" s="48">
        <f t="shared" si="72"/>
        <v>0.44854831628773345</v>
      </c>
      <c r="K452" s="5" cm="1">
        <f t="array" ref="K452">UseableCapacity(I452,$K$7,$K$8)</f>
        <v>205.20550908000001</v>
      </c>
      <c r="L452" s="59">
        <f t="shared" si="73"/>
        <v>150.88123131893173</v>
      </c>
      <c r="M452" s="7">
        <f t="shared" si="74"/>
        <v>82.479394958931735</v>
      </c>
      <c r="N452" s="7">
        <f t="shared" si="75"/>
        <v>19.432654560000003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69"/>
        <v>439</v>
      </c>
      <c r="C453" s="7">
        <f t="shared" si="70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59" cm="1">
        <f t="array" ref="F453">estimatedTripDuration(C453,$C$7,$C$6)/60</f>
        <v>14.760000000662274</v>
      </c>
      <c r="G453">
        <f t="shared" si="76"/>
        <v>439</v>
      </c>
      <c r="H453" s="50">
        <f t="shared" si="71"/>
        <v>36.583333333333336</v>
      </c>
      <c r="I453" s="7" cm="1">
        <f t="array" ref="I453">CurrentCapacity(K$9,K$5,K$6,H453)</f>
        <v>273.60646632000004</v>
      </c>
      <c r="J453" s="48">
        <f t="shared" si="72"/>
        <v>0.44874627742704543</v>
      </c>
      <c r="K453" s="5" cm="1">
        <f t="array" ref="K453">UseableCapacity(I453,$K$7,$K$8)</f>
        <v>205.20484974000004</v>
      </c>
      <c r="L453" s="59">
        <f t="shared" si="73"/>
        <v>150.82658307893175</v>
      </c>
      <c r="M453" s="7">
        <f t="shared" si="74"/>
        <v>82.424966498931752</v>
      </c>
      <c r="N453" s="7">
        <f t="shared" si="75"/>
        <v>19.433533679999982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69"/>
        <v>440</v>
      </c>
      <c r="C454" s="7">
        <f t="shared" si="70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59" cm="1">
        <f t="array" ref="F454">estimatedTripDuration(C454,$C$7,$C$6)/60</f>
        <v>14.793333333995607</v>
      </c>
      <c r="G454">
        <f t="shared" si="76"/>
        <v>440</v>
      </c>
      <c r="H454" s="50">
        <f t="shared" si="71"/>
        <v>36.666666666666664</v>
      </c>
      <c r="I454" s="7" cm="1">
        <f t="array" ref="I454">CurrentCapacity(K$9,K$5,K$6,H454)</f>
        <v>273.60558720000006</v>
      </c>
      <c r="J454" s="48">
        <f t="shared" si="72"/>
        <v>0.44894423983849208</v>
      </c>
      <c r="K454" s="5" cm="1">
        <f t="array" ref="K454">UseableCapacity(I454,$K$7,$K$8)</f>
        <v>205.20419040000004</v>
      </c>
      <c r="L454" s="59">
        <f t="shared" si="73"/>
        <v>150.77193483893177</v>
      </c>
      <c r="M454" s="7">
        <f t="shared" si="74"/>
        <v>82.370538038931755</v>
      </c>
      <c r="N454" s="7">
        <f t="shared" si="75"/>
        <v>19.434412799999961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69"/>
        <v>441</v>
      </c>
      <c r="C455" s="7">
        <f t="shared" si="70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59" cm="1">
        <f t="array" ref="F455">estimatedTripDuration(C455,$C$7,$C$6)/60</f>
        <v>14.826666667328938</v>
      </c>
      <c r="G455">
        <f t="shared" si="76"/>
        <v>441</v>
      </c>
      <c r="H455" s="50">
        <f t="shared" si="71"/>
        <v>36.75</v>
      </c>
      <c r="I455" s="7" cm="1">
        <f t="array" ref="I455">CurrentCapacity(K$9,K$5,K$6,H455)</f>
        <v>273.60470808000002</v>
      </c>
      <c r="J455" s="48">
        <f t="shared" si="72"/>
        <v>0.44914220352208595</v>
      </c>
      <c r="K455" s="5" cm="1">
        <f t="array" ref="K455">UseableCapacity(I455,$K$7,$K$8)</f>
        <v>205.20353106000002</v>
      </c>
      <c r="L455" s="59">
        <f t="shared" si="73"/>
        <v>150.71728659893174</v>
      </c>
      <c r="M455" s="7">
        <f t="shared" si="74"/>
        <v>82.31610957893173</v>
      </c>
      <c r="N455" s="7">
        <f t="shared" si="75"/>
        <v>19.435291919999997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69"/>
        <v>442</v>
      </c>
      <c r="C456" s="7">
        <f t="shared" si="70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59" cm="1">
        <f t="array" ref="F456">estimatedTripDuration(C456,$C$7,$C$6)/60</f>
        <v>14.860000000662273</v>
      </c>
      <c r="G456">
        <f t="shared" si="76"/>
        <v>442</v>
      </c>
      <c r="H456" s="50">
        <f t="shared" si="71"/>
        <v>36.833333333333336</v>
      </c>
      <c r="I456" s="7" cm="1">
        <f t="array" ref="I456">CurrentCapacity(K$9,K$5,K$6,H456)</f>
        <v>273.60382896000004</v>
      </c>
      <c r="J456" s="48">
        <f t="shared" si="72"/>
        <v>0.44934016847783914</v>
      </c>
      <c r="K456" s="5" cm="1">
        <f t="array" ref="K456">UseableCapacity(I456,$K$7,$K$8)</f>
        <v>205.20287172000002</v>
      </c>
      <c r="L456" s="59">
        <f t="shared" si="73"/>
        <v>150.66263835893176</v>
      </c>
      <c r="M456" s="7">
        <f t="shared" si="74"/>
        <v>82.261681118931719</v>
      </c>
      <c r="N456" s="7">
        <f t="shared" si="75"/>
        <v>19.436171039999977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69"/>
        <v>443</v>
      </c>
      <c r="C457" s="7">
        <f t="shared" si="70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59" cm="1">
        <f t="array" ref="F457">estimatedTripDuration(C457,$C$7,$C$6)/60</f>
        <v>14.893333333995608</v>
      </c>
      <c r="G457">
        <f t="shared" si="76"/>
        <v>443</v>
      </c>
      <c r="H457" s="50">
        <f t="shared" si="71"/>
        <v>36.916666666666664</v>
      </c>
      <c r="I457" s="7" cm="1">
        <f t="array" ref="I457">CurrentCapacity(K$9,K$5,K$6,H457)</f>
        <v>273.60294984000001</v>
      </c>
      <c r="J457" s="48">
        <f t="shared" si="72"/>
        <v>0.44953813470576387</v>
      </c>
      <c r="K457" s="5" cm="1">
        <f t="array" ref="K457">UseableCapacity(I457,$K$7,$K$8)</f>
        <v>205.20221237999999</v>
      </c>
      <c r="L457" s="59">
        <f t="shared" si="73"/>
        <v>150.60799011893172</v>
      </c>
      <c r="M457" s="7">
        <f t="shared" si="74"/>
        <v>82.207252658931708</v>
      </c>
      <c r="N457" s="7">
        <f t="shared" si="75"/>
        <v>19.437050160000013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69"/>
        <v>444</v>
      </c>
      <c r="C458" s="7">
        <f t="shared" si="70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59" cm="1">
        <f t="array" ref="F458">estimatedTripDuration(C458,$C$7,$C$6)/60</f>
        <v>14.92666666732894</v>
      </c>
      <c r="G458">
        <f t="shared" si="76"/>
        <v>444</v>
      </c>
      <c r="H458" s="50">
        <f t="shared" si="71"/>
        <v>37</v>
      </c>
      <c r="I458" s="7" cm="1">
        <f t="array" ref="I458">CurrentCapacity(K$9,K$5,K$6,H458)</f>
        <v>273.60207072000003</v>
      </c>
      <c r="J458" s="48">
        <f t="shared" si="72"/>
        <v>0.44973610220587257</v>
      </c>
      <c r="K458" s="5" cm="1">
        <f t="array" ref="K458">UseableCapacity(I458,$K$7,$K$8)</f>
        <v>205.20155304000002</v>
      </c>
      <c r="L458" s="59">
        <f t="shared" si="73"/>
        <v>150.55334187893172</v>
      </c>
      <c r="M458" s="7">
        <f t="shared" si="74"/>
        <v>82.152824198931711</v>
      </c>
      <c r="N458" s="7">
        <f t="shared" si="75"/>
        <v>19.437929279999992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69"/>
        <v>445</v>
      </c>
      <c r="C459" s="7">
        <f t="shared" si="70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59" cm="1">
        <f t="array" ref="F459">estimatedTripDuration(C459,$C$7,$C$6)/60</f>
        <v>14.960000000662273</v>
      </c>
      <c r="G459">
        <f t="shared" si="76"/>
        <v>445</v>
      </c>
      <c r="H459" s="50">
        <f t="shared" si="71"/>
        <v>37.083333333333336</v>
      </c>
      <c r="I459" s="7" cm="1">
        <f t="array" ref="I459">CurrentCapacity(K$9,K$5,K$6,H459)</f>
        <v>273.60119160000005</v>
      </c>
      <c r="J459" s="48">
        <f t="shared" si="72"/>
        <v>0.44993407097817717</v>
      </c>
      <c r="K459" s="5" cm="1">
        <f t="array" ref="K459">UseableCapacity(I459,$K$7,$K$8)</f>
        <v>205.20089370000005</v>
      </c>
      <c r="L459" s="59">
        <f t="shared" si="73"/>
        <v>150.49869363893177</v>
      </c>
      <c r="M459" s="7">
        <f t="shared" si="74"/>
        <v>82.098395738931771</v>
      </c>
      <c r="N459" s="7">
        <f t="shared" si="75"/>
        <v>19.438808399999971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69"/>
        <v>446</v>
      </c>
      <c r="C460" s="7">
        <f t="shared" si="70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59" cm="1">
        <f t="array" ref="F460">estimatedTripDuration(C460,$C$7,$C$6)/60</f>
        <v>14.993333333995604</v>
      </c>
      <c r="G460">
        <f t="shared" si="76"/>
        <v>446</v>
      </c>
      <c r="H460" s="50">
        <f t="shared" si="71"/>
        <v>37.166666666666664</v>
      </c>
      <c r="I460" s="7" cm="1">
        <f t="array" ref="I460">CurrentCapacity(K$9,K$5,K$6,H460)</f>
        <v>273.60031248000007</v>
      </c>
      <c r="J460" s="48">
        <f t="shared" si="72"/>
        <v>0.45013204102269039</v>
      </c>
      <c r="K460" s="5" cm="1">
        <f t="array" ref="K460">UseableCapacity(I460,$K$7,$K$8)</f>
        <v>205.20023436000005</v>
      </c>
      <c r="L460" s="59">
        <f t="shared" si="73"/>
        <v>150.44404539893179</v>
      </c>
      <c r="M460" s="7">
        <f t="shared" si="74"/>
        <v>82.04396727893176</v>
      </c>
      <c r="N460" s="7">
        <f t="shared" si="75"/>
        <v>19.43968751999995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69"/>
        <v>447</v>
      </c>
      <c r="C461" s="7">
        <f t="shared" si="70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59" cm="1">
        <f t="array" ref="F461">estimatedTripDuration(C461,$C$7,$C$6)/60</f>
        <v>15.026666667328941</v>
      </c>
      <c r="G461">
        <f t="shared" si="76"/>
        <v>447</v>
      </c>
      <c r="H461" s="50">
        <f t="shared" si="71"/>
        <v>37.25</v>
      </c>
      <c r="I461" s="7" cm="1">
        <f t="array" ref="I461">CurrentCapacity(K$9,K$5,K$6,H461)</f>
        <v>273.59943336000003</v>
      </c>
      <c r="J461" s="48">
        <f t="shared" si="72"/>
        <v>0.45033001233942427</v>
      </c>
      <c r="K461" s="5" cm="1">
        <f t="array" ref="K461">UseableCapacity(I461,$K$7,$K$8)</f>
        <v>205.19957502000003</v>
      </c>
      <c r="L461" s="59">
        <f t="shared" si="73"/>
        <v>150.38939715893173</v>
      </c>
      <c r="M461" s="7">
        <f t="shared" si="74"/>
        <v>81.98953881893172</v>
      </c>
      <c r="N461" s="7">
        <f t="shared" si="75"/>
        <v>19.440566639999986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69"/>
        <v>448</v>
      </c>
      <c r="C462" s="7">
        <f t="shared" si="70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59" cm="1">
        <f t="array" ref="F462">estimatedTripDuration(C462,$C$7,$C$6)/60</f>
        <v>15.060000000662276</v>
      </c>
      <c r="G462">
        <f t="shared" si="76"/>
        <v>448</v>
      </c>
      <c r="H462" s="50">
        <f t="shared" si="71"/>
        <v>37.333333333333336</v>
      </c>
      <c r="I462" s="7" cm="1">
        <f t="array" ref="I462">CurrentCapacity(K$9,K$5,K$6,H462)</f>
        <v>273.59855424000006</v>
      </c>
      <c r="J462" s="48">
        <f t="shared" si="72"/>
        <v>0.45052798492839091</v>
      </c>
      <c r="K462" s="5" cm="1">
        <f t="array" ref="K462">UseableCapacity(I462,$K$7,$K$8)</f>
        <v>205.19891568000003</v>
      </c>
      <c r="L462" s="59">
        <f t="shared" si="73"/>
        <v>150.33474891893178</v>
      </c>
      <c r="M462" s="7">
        <f t="shared" si="74"/>
        <v>81.935110358931738</v>
      </c>
      <c r="N462" s="7">
        <f t="shared" si="75"/>
        <v>19.441445759999965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ref="B463:B526" si="79">B462+$G$12</f>
        <v>449</v>
      </c>
      <c r="C463" s="7">
        <f t="shared" ref="C463:C526" si="80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59" cm="1">
        <f t="array" ref="F463">estimatedTripDuration(C463,$C$7,$C$6)/60</f>
        <v>15.093333333995608</v>
      </c>
      <c r="G463">
        <f t="shared" si="76"/>
        <v>449</v>
      </c>
      <c r="H463" s="50">
        <f t="shared" ref="H463:H526" si="81">G463/$G$3</f>
        <v>37.416666666666664</v>
      </c>
      <c r="I463" s="7" cm="1">
        <f t="array" ref="I463">CurrentCapacity(K$9,K$5,K$6,H463)</f>
        <v>273.59767512000002</v>
      </c>
      <c r="J463" s="48">
        <f t="shared" ref="J463:J526" si="82">E463/I463</f>
        <v>0.45072595878960292</v>
      </c>
      <c r="K463" s="5" cm="1">
        <f t="array" ref="K463">UseableCapacity(I463,$K$7,$K$8)</f>
        <v>205.19825634</v>
      </c>
      <c r="L463" s="59">
        <f t="shared" ref="L463:L526" si="83">(K$7*I463)-E463</f>
        <v>150.28010067893172</v>
      </c>
      <c r="M463" s="7">
        <f t="shared" ref="M463:M526" si="84">K463-E463</f>
        <v>81.880681898931698</v>
      </c>
      <c r="N463" s="7">
        <f t="shared" ref="N463:N526" si="85">$K$9-I463</f>
        <v>19.442324880000001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si="79"/>
        <v>450</v>
      </c>
      <c r="C464" s="7">
        <f t="shared" si="80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59" cm="1">
        <f t="array" ref="F464">estimatedTripDuration(C464,$C$7,$C$6)/60</f>
        <v>15.126666667328941</v>
      </c>
      <c r="G464">
        <f t="shared" si="76"/>
        <v>450</v>
      </c>
      <c r="H464" s="50">
        <f t="shared" si="81"/>
        <v>37.5</v>
      </c>
      <c r="I464" s="7" cm="1">
        <f t="array" ref="I464">CurrentCapacity(K$9,K$5,K$6,H464)</f>
        <v>273.59679600000004</v>
      </c>
      <c r="J464" s="48">
        <f t="shared" si="82"/>
        <v>0.45092393392307228</v>
      </c>
      <c r="K464" s="5" cm="1">
        <f t="array" ref="K464">UseableCapacity(I464,$K$7,$K$8)</f>
        <v>205.19759700000003</v>
      </c>
      <c r="L464" s="59">
        <f t="shared" si="83"/>
        <v>150.22545243893174</v>
      </c>
      <c r="M464" s="7">
        <f t="shared" si="84"/>
        <v>81.82625343893173</v>
      </c>
      <c r="N464" s="7">
        <f t="shared" si="85"/>
        <v>19.44320399999998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si="79"/>
        <v>451</v>
      </c>
      <c r="C465" s="7">
        <f t="shared" si="80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59" cm="1">
        <f t="array" ref="F465">estimatedTripDuration(C465,$C$7,$C$6)/60</f>
        <v>15.160000000662272</v>
      </c>
      <c r="G465">
        <f t="shared" si="76"/>
        <v>451</v>
      </c>
      <c r="H465" s="50">
        <f t="shared" si="81"/>
        <v>37.583333333333336</v>
      </c>
      <c r="I465" s="7" cm="1">
        <f t="array" ref="I465">CurrentCapacity(K$9,K$5,K$6,H465)</f>
        <v>273.59591688</v>
      </c>
      <c r="J465" s="48">
        <f t="shared" si="82"/>
        <v>0.45112191032881133</v>
      </c>
      <c r="K465" s="5" cm="1">
        <f t="array" ref="K465">UseableCapacity(I465,$K$7,$K$8)</f>
        <v>205.19693766</v>
      </c>
      <c r="L465" s="59">
        <f t="shared" si="83"/>
        <v>150.17080419893171</v>
      </c>
      <c r="M465" s="7">
        <f t="shared" si="84"/>
        <v>81.771824978931718</v>
      </c>
      <c r="N465" s="7">
        <f t="shared" si="85"/>
        <v>19.444083120000016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79"/>
        <v>452</v>
      </c>
      <c r="C466" s="7">
        <f t="shared" si="80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59" cm="1">
        <f t="array" ref="F466">estimatedTripDuration(C466,$C$7,$C$6)/60</f>
        <v>15.193333333995607</v>
      </c>
      <c r="G466">
        <f t="shared" si="76"/>
        <v>452</v>
      </c>
      <c r="H466" s="50">
        <f t="shared" si="81"/>
        <v>37.666666666666664</v>
      </c>
      <c r="I466" s="7" cm="1">
        <f t="array" ref="I466">CurrentCapacity(K$9,K$5,K$6,H466)</f>
        <v>273.59503776000003</v>
      </c>
      <c r="J466" s="48">
        <f t="shared" si="82"/>
        <v>0.45131988800683237</v>
      </c>
      <c r="K466" s="5" cm="1">
        <f t="array" ref="K466">UseableCapacity(I466,$K$7,$K$8)</f>
        <v>205.19627832000003</v>
      </c>
      <c r="L466" s="59">
        <f t="shared" si="83"/>
        <v>150.11615595893176</v>
      </c>
      <c r="M466" s="7">
        <f t="shared" si="84"/>
        <v>81.71739651893175</v>
      </c>
      <c r="N466" s="7">
        <f t="shared" si="85"/>
        <v>19.444962239999995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79"/>
        <v>453</v>
      </c>
      <c r="C467" s="7">
        <f t="shared" si="80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59" cm="1">
        <f t="array" ref="F467">estimatedTripDuration(C467,$C$7,$C$6)/60</f>
        <v>15.226666667328942</v>
      </c>
      <c r="G467">
        <f t="shared" si="76"/>
        <v>453</v>
      </c>
      <c r="H467" s="50">
        <f t="shared" si="81"/>
        <v>37.75</v>
      </c>
      <c r="I467" s="7" cm="1">
        <f t="array" ref="I467">CurrentCapacity(K$9,K$5,K$6,H467)</f>
        <v>273.59415864000005</v>
      </c>
      <c r="J467" s="48">
        <f t="shared" si="82"/>
        <v>0.45151786695714768</v>
      </c>
      <c r="K467" s="5" cm="1">
        <f t="array" ref="K467">UseableCapacity(I467,$K$7,$K$8)</f>
        <v>205.19561898000003</v>
      </c>
      <c r="L467" s="59">
        <f t="shared" si="83"/>
        <v>150.06150771893175</v>
      </c>
      <c r="M467" s="7">
        <f t="shared" si="84"/>
        <v>81.662968058931739</v>
      </c>
      <c r="N467" s="7">
        <f t="shared" si="85"/>
        <v>19.445841359999974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79"/>
        <v>454</v>
      </c>
      <c r="C468" s="7">
        <f t="shared" si="80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59" cm="1">
        <f t="array" ref="F468">estimatedTripDuration(C468,$C$7,$C$6)/60</f>
        <v>15.260000000662274</v>
      </c>
      <c r="G468">
        <f t="shared" si="76"/>
        <v>454</v>
      </c>
      <c r="H468" s="50">
        <f t="shared" si="81"/>
        <v>37.833333333333336</v>
      </c>
      <c r="I468" s="7" cm="1">
        <f t="array" ref="I468">CurrentCapacity(K$9,K$5,K$6,H468)</f>
        <v>273.59327952000007</v>
      </c>
      <c r="J468" s="48">
        <f t="shared" si="82"/>
        <v>0.45171584717976948</v>
      </c>
      <c r="K468" s="5" cm="1">
        <f t="array" ref="K468">UseableCapacity(I468,$K$7,$K$8)</f>
        <v>205.19495964000004</v>
      </c>
      <c r="L468" s="59">
        <f t="shared" si="83"/>
        <v>150.00685947893174</v>
      </c>
      <c r="M468" s="7">
        <f t="shared" si="84"/>
        <v>81.608539598931728</v>
      </c>
      <c r="N468" s="7">
        <f t="shared" si="85"/>
        <v>19.446720479999954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79"/>
        <v>455</v>
      </c>
      <c r="C469" s="7">
        <f t="shared" si="80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59" cm="1">
        <f t="array" ref="F469">estimatedTripDuration(C469,$C$7,$C$6)/60</f>
        <v>15.293333333995607</v>
      </c>
      <c r="G469">
        <f t="shared" si="76"/>
        <v>455</v>
      </c>
      <c r="H469" s="50">
        <f t="shared" si="81"/>
        <v>37.916666666666664</v>
      </c>
      <c r="I469" s="7" cm="1">
        <f t="array" ref="I469">CurrentCapacity(K$9,K$5,K$6,H469)</f>
        <v>273.59240040000003</v>
      </c>
      <c r="J469" s="48">
        <f t="shared" si="82"/>
        <v>0.45191382867471008</v>
      </c>
      <c r="K469" s="5" cm="1">
        <f t="array" ref="K469">UseableCapacity(I469,$K$7,$K$8)</f>
        <v>205.19430030000001</v>
      </c>
      <c r="L469" s="59">
        <f t="shared" si="83"/>
        <v>149.95221123893174</v>
      </c>
      <c r="M469" s="7">
        <f t="shared" si="84"/>
        <v>81.554111138931717</v>
      </c>
      <c r="N469" s="7">
        <f t="shared" si="85"/>
        <v>19.44759959999999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79"/>
        <v>456</v>
      </c>
      <c r="C470" s="7">
        <f t="shared" si="80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59" cm="1">
        <f t="array" ref="F470">estimatedTripDuration(C470,$C$7,$C$6)/60</f>
        <v>15.326666667328938</v>
      </c>
      <c r="G470">
        <f t="shared" si="76"/>
        <v>456</v>
      </c>
      <c r="H470" s="50">
        <f t="shared" si="81"/>
        <v>38</v>
      </c>
      <c r="I470" s="7" cm="1">
        <f t="array" ref="I470">CurrentCapacity(K$9,K$5,K$6,H470)</f>
        <v>273.59152128000005</v>
      </c>
      <c r="J470" s="48">
        <f t="shared" si="82"/>
        <v>0.45211181144198165</v>
      </c>
      <c r="K470" s="5" cm="1">
        <f t="array" ref="K470">UseableCapacity(I470,$K$7,$K$8)</f>
        <v>205.19364096000004</v>
      </c>
      <c r="L470" s="59">
        <f t="shared" si="83"/>
        <v>149.89756299893176</v>
      </c>
      <c r="M470" s="7">
        <f t="shared" si="84"/>
        <v>81.499682678931748</v>
      </c>
      <c r="N470" s="7">
        <f t="shared" si="85"/>
        <v>19.448478719999969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79"/>
        <v>457</v>
      </c>
      <c r="C471" s="7">
        <f t="shared" si="80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59" cm="1">
        <f t="array" ref="F471">estimatedTripDuration(C471,$C$7,$C$6)/60</f>
        <v>15.360000000662273</v>
      </c>
      <c r="G471">
        <f t="shared" si="76"/>
        <v>457</v>
      </c>
      <c r="H471" s="50">
        <f t="shared" si="81"/>
        <v>38.083333333333336</v>
      </c>
      <c r="I471" s="7" cm="1">
        <f t="array" ref="I471">CurrentCapacity(K$9,K$5,K$6,H471)</f>
        <v>273.59064216000002</v>
      </c>
      <c r="J471" s="48">
        <f t="shared" si="82"/>
        <v>0.45230979548159667</v>
      </c>
      <c r="K471" s="5" cm="1">
        <f t="array" ref="K471">UseableCapacity(I471,$K$7,$K$8)</f>
        <v>205.19298162000001</v>
      </c>
      <c r="L471" s="59">
        <f t="shared" si="83"/>
        <v>149.84291475893173</v>
      </c>
      <c r="M471" s="7">
        <f t="shared" si="84"/>
        <v>81.445254218931709</v>
      </c>
      <c r="N471" s="7">
        <f t="shared" si="85"/>
        <v>19.449357840000005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79"/>
        <v>458</v>
      </c>
      <c r="C472" s="7">
        <f t="shared" si="80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59" cm="1">
        <f t="array" ref="F472">estimatedTripDuration(C472,$C$7,$C$6)/60</f>
        <v>15.393333333995608</v>
      </c>
      <c r="G472">
        <f t="shared" si="76"/>
        <v>458</v>
      </c>
      <c r="H472" s="50">
        <f t="shared" si="81"/>
        <v>38.166666666666664</v>
      </c>
      <c r="I472" s="7" cm="1">
        <f t="array" ref="I472">CurrentCapacity(K$9,K$5,K$6,H472)</f>
        <v>273.58976304000004</v>
      </c>
      <c r="J472" s="48">
        <f t="shared" si="82"/>
        <v>0.45250778079356707</v>
      </c>
      <c r="K472" s="5" cm="1">
        <f t="array" ref="K472">UseableCapacity(I472,$K$7,$K$8)</f>
        <v>205.19232228000004</v>
      </c>
      <c r="L472" s="59">
        <f t="shared" si="83"/>
        <v>149.78826651893175</v>
      </c>
      <c r="M472" s="7">
        <f t="shared" si="84"/>
        <v>81.390825758931754</v>
      </c>
      <c r="N472" s="7">
        <f t="shared" si="85"/>
        <v>19.450236959999984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79"/>
        <v>459</v>
      </c>
      <c r="C473" s="7">
        <f t="shared" si="80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59" cm="1">
        <f t="array" ref="F473">estimatedTripDuration(C473,$C$7,$C$6)/60</f>
        <v>15.42666666732894</v>
      </c>
      <c r="G473">
        <f t="shared" si="76"/>
        <v>459</v>
      </c>
      <c r="H473" s="50">
        <f t="shared" si="81"/>
        <v>38.25</v>
      </c>
      <c r="I473" s="7" cm="1">
        <f t="array" ref="I473">CurrentCapacity(K$9,K$5,K$6,H473)</f>
        <v>273.58888392000006</v>
      </c>
      <c r="J473" s="48">
        <f t="shared" si="82"/>
        <v>0.45270576737790535</v>
      </c>
      <c r="K473" s="5" cm="1">
        <f t="array" ref="K473">UseableCapacity(I473,$K$7,$K$8)</f>
        <v>205.19166294000004</v>
      </c>
      <c r="L473" s="59">
        <f t="shared" si="83"/>
        <v>149.73361827893177</v>
      </c>
      <c r="M473" s="7">
        <f t="shared" si="84"/>
        <v>81.336397298931743</v>
      </c>
      <c r="N473" s="7">
        <f t="shared" si="85"/>
        <v>19.451116079999963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79"/>
        <v>460</v>
      </c>
      <c r="C474" s="7">
        <f t="shared" si="80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59" cm="1">
        <f t="array" ref="F474">estimatedTripDuration(C474,$C$7,$C$6)/60</f>
        <v>15.460000000662273</v>
      </c>
      <c r="G474">
        <f t="shared" si="76"/>
        <v>460</v>
      </c>
      <c r="H474" s="50">
        <f t="shared" si="81"/>
        <v>38.333333333333336</v>
      </c>
      <c r="I474" s="7" cm="1">
        <f t="array" ref="I474">CurrentCapacity(K$9,K$5,K$6,H474)</f>
        <v>273.58800480000002</v>
      </c>
      <c r="J474" s="48">
        <f t="shared" si="82"/>
        <v>0.45290375523462378</v>
      </c>
      <c r="K474" s="5" cm="1">
        <f t="array" ref="K474">UseableCapacity(I474,$K$7,$K$8)</f>
        <v>205.19100360000002</v>
      </c>
      <c r="L474" s="59">
        <f t="shared" si="83"/>
        <v>149.67897003893174</v>
      </c>
      <c r="M474" s="7">
        <f t="shared" si="84"/>
        <v>81.281968838931732</v>
      </c>
      <c r="N474" s="7">
        <f t="shared" si="85"/>
        <v>19.451995199999999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79"/>
        <v>461</v>
      </c>
      <c r="C475" s="7">
        <f t="shared" si="80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59" cm="1">
        <f t="array" ref="F475">estimatedTripDuration(C475,$C$7,$C$6)/60</f>
        <v>15.493333333995604</v>
      </c>
      <c r="G475">
        <f t="shared" si="76"/>
        <v>461</v>
      </c>
      <c r="H475" s="50">
        <f t="shared" si="81"/>
        <v>38.416666666666664</v>
      </c>
      <c r="I475" s="7" cm="1">
        <f t="array" ref="I475">CurrentCapacity(K$9,K$5,K$6,H475)</f>
        <v>273.58712568000004</v>
      </c>
      <c r="J475" s="48">
        <f t="shared" si="82"/>
        <v>0.45310174436373452</v>
      </c>
      <c r="K475" s="5" cm="1">
        <f t="array" ref="K475">UseableCapacity(I475,$K$7,$K$8)</f>
        <v>205.19034426000002</v>
      </c>
      <c r="L475" s="59">
        <f t="shared" si="83"/>
        <v>149.62432179893176</v>
      </c>
      <c r="M475" s="7">
        <f t="shared" si="84"/>
        <v>81.227540378931735</v>
      </c>
      <c r="N475" s="7">
        <f t="shared" si="85"/>
        <v>19.452874319999978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79"/>
        <v>462</v>
      </c>
      <c r="C476" s="7">
        <f t="shared" si="80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59" cm="1">
        <f t="array" ref="F476">estimatedTripDuration(C476,$C$7,$C$6)/60</f>
        <v>15.526666667328941</v>
      </c>
      <c r="G476">
        <f t="shared" si="76"/>
        <v>462</v>
      </c>
      <c r="H476" s="50">
        <f t="shared" si="81"/>
        <v>38.5</v>
      </c>
      <c r="I476" s="7" cm="1">
        <f t="array" ref="I476">CurrentCapacity(K$9,K$5,K$6,H476)</f>
        <v>273.58624656000006</v>
      </c>
      <c r="J476" s="48">
        <f t="shared" si="82"/>
        <v>0.45329973476524998</v>
      </c>
      <c r="K476" s="5" cm="1">
        <f t="array" ref="K476">UseableCapacity(I476,$K$7,$K$8)</f>
        <v>205.18968492000005</v>
      </c>
      <c r="L476" s="59">
        <f t="shared" si="83"/>
        <v>149.56967355893175</v>
      </c>
      <c r="M476" s="7">
        <f t="shared" si="84"/>
        <v>81.173111918931738</v>
      </c>
      <c r="N476" s="7">
        <f t="shared" si="85"/>
        <v>19.453753439999957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79"/>
        <v>463</v>
      </c>
      <c r="C477" s="7">
        <f t="shared" si="80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59" cm="1">
        <f t="array" ref="F477">estimatedTripDuration(C477,$C$7,$C$6)/60</f>
        <v>15.560000000662276</v>
      </c>
      <c r="G477">
        <f t="shared" si="76"/>
        <v>463</v>
      </c>
      <c r="H477" s="50">
        <f t="shared" si="81"/>
        <v>38.583333333333336</v>
      </c>
      <c r="I477" s="7" cm="1">
        <f t="array" ref="I477">CurrentCapacity(K$9,K$5,K$6,H477)</f>
        <v>273.58536744000003</v>
      </c>
      <c r="J477" s="48">
        <f t="shared" si="82"/>
        <v>0.45349772643918224</v>
      </c>
      <c r="K477" s="5" cm="1">
        <f t="array" ref="K477">UseableCapacity(I477,$K$7,$K$8)</f>
        <v>205.18902558000002</v>
      </c>
      <c r="L477" s="59">
        <f t="shared" si="83"/>
        <v>149.51502531893175</v>
      </c>
      <c r="M477" s="7">
        <f t="shared" si="84"/>
        <v>81.118683458931727</v>
      </c>
      <c r="N477" s="7">
        <f t="shared" si="85"/>
        <v>19.454632559999993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79"/>
        <v>464</v>
      </c>
      <c r="C478" s="7">
        <f t="shared" si="80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59" cm="1">
        <f t="array" ref="F478">estimatedTripDuration(C478,$C$7,$C$6)/60</f>
        <v>15.593333333995608</v>
      </c>
      <c r="G478">
        <f t="shared" si="76"/>
        <v>464</v>
      </c>
      <c r="H478" s="50">
        <f t="shared" si="81"/>
        <v>38.666666666666664</v>
      </c>
      <c r="I478" s="7" cm="1">
        <f t="array" ref="I478">CurrentCapacity(K$9,K$5,K$6,H478)</f>
        <v>273.58448832000005</v>
      </c>
      <c r="J478" s="48">
        <f t="shared" si="82"/>
        <v>0.45369571938554365</v>
      </c>
      <c r="K478" s="5" cm="1">
        <f t="array" ref="K478">UseableCapacity(I478,$K$7,$K$8)</f>
        <v>205.18836624000005</v>
      </c>
      <c r="L478" s="59">
        <f t="shared" si="83"/>
        <v>149.46037707893174</v>
      </c>
      <c r="M478" s="7">
        <f t="shared" si="84"/>
        <v>81.064254998931759</v>
      </c>
      <c r="N478" s="7">
        <f t="shared" si="85"/>
        <v>19.455511679999972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79"/>
        <v>465</v>
      </c>
      <c r="C479" s="7">
        <f t="shared" si="80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59" cm="1">
        <f t="array" ref="F479">estimatedTripDuration(C479,$C$7,$C$6)/60</f>
        <v>15.626666667328941</v>
      </c>
      <c r="G479">
        <f t="shared" ref="G479:G542" si="86">B479</f>
        <v>465</v>
      </c>
      <c r="H479" s="50">
        <f t="shared" si="81"/>
        <v>38.75</v>
      </c>
      <c r="I479" s="7" cm="1">
        <f t="array" ref="I479">CurrentCapacity(K$9,K$5,K$6,H479)</f>
        <v>273.58360920000001</v>
      </c>
      <c r="J479" s="48">
        <f t="shared" si="82"/>
        <v>0.4538937136043466</v>
      </c>
      <c r="K479" s="5" cm="1">
        <f t="array" ref="K479">UseableCapacity(I479,$K$7,$K$8)</f>
        <v>205.18770690000002</v>
      </c>
      <c r="L479" s="59">
        <f t="shared" si="83"/>
        <v>149.40572883893174</v>
      </c>
      <c r="M479" s="7">
        <f t="shared" si="84"/>
        <v>81.009826538931733</v>
      </c>
      <c r="N479" s="7">
        <f t="shared" si="85"/>
        <v>19.456390800000008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35">
      <c r="B480">
        <f t="shared" si="79"/>
        <v>466</v>
      </c>
      <c r="C480" s="7">
        <f t="shared" si="80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59" cm="1">
        <f t="array" ref="F480">estimatedTripDuration(C480,$C$7,$C$6)/60</f>
        <v>15.660000000662272</v>
      </c>
      <c r="G480">
        <f t="shared" si="86"/>
        <v>466</v>
      </c>
      <c r="H480" s="50">
        <f t="shared" si="81"/>
        <v>38.833333333333336</v>
      </c>
      <c r="I480" s="7" cm="1">
        <f t="array" ref="I480">CurrentCapacity(K$9,K$5,K$6,H480)</f>
        <v>273.58273008000003</v>
      </c>
      <c r="J480" s="48">
        <f t="shared" si="82"/>
        <v>0.45409170909560315</v>
      </c>
      <c r="K480" s="5" cm="1">
        <f t="array" ref="K480">UseableCapacity(I480,$K$7,$K$8)</f>
        <v>205.18704756000002</v>
      </c>
      <c r="L480" s="59">
        <f t="shared" si="83"/>
        <v>149.35108059893173</v>
      </c>
      <c r="M480" s="7">
        <f t="shared" si="84"/>
        <v>80.955398078931736</v>
      </c>
      <c r="N480" s="7">
        <f t="shared" si="85"/>
        <v>19.457269919999987</v>
      </c>
      <c r="O480" t="str">
        <f t="shared" si="87"/>
        <v>no</v>
      </c>
      <c r="P480" t="str">
        <f t="shared" si="88"/>
        <v>no</v>
      </c>
    </row>
    <row r="481" spans="2:16" x14ac:dyDescent="0.35">
      <c r="B481">
        <f t="shared" si="79"/>
        <v>467</v>
      </c>
      <c r="C481" s="7">
        <f t="shared" si="80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59" cm="1">
        <f t="array" ref="F481">estimatedTripDuration(C481,$C$7,$C$6)/60</f>
        <v>15.693333333995607</v>
      </c>
      <c r="G481">
        <f t="shared" si="86"/>
        <v>467</v>
      </c>
      <c r="H481" s="50">
        <f t="shared" si="81"/>
        <v>38.916666666666664</v>
      </c>
      <c r="I481" s="7" cm="1">
        <f t="array" ref="I481">CurrentCapacity(K$9,K$5,K$6,H481)</f>
        <v>273.58185096000005</v>
      </c>
      <c r="J481" s="48">
        <f t="shared" si="82"/>
        <v>0.4542897058593256</v>
      </c>
      <c r="K481" s="5" cm="1">
        <f t="array" ref="K481">UseableCapacity(I481,$K$7,$K$8)</f>
        <v>205.18638822000003</v>
      </c>
      <c r="L481" s="59">
        <f t="shared" si="83"/>
        <v>149.29643235893178</v>
      </c>
      <c r="M481" s="7">
        <f t="shared" si="84"/>
        <v>80.90096961893174</v>
      </c>
      <c r="N481" s="7">
        <f t="shared" si="85"/>
        <v>19.458149039999967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79"/>
        <v>468</v>
      </c>
      <c r="C482" s="7">
        <f t="shared" si="80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59" cm="1">
        <f t="array" ref="F482">estimatedTripDuration(C482,$C$7,$C$6)/60</f>
        <v>15.726666667328942</v>
      </c>
      <c r="G482">
        <f t="shared" si="86"/>
        <v>468</v>
      </c>
      <c r="H482" s="50">
        <f t="shared" si="81"/>
        <v>39</v>
      </c>
      <c r="I482" s="7" cm="1">
        <f t="array" ref="I482">CurrentCapacity(K$9,K$5,K$6,H482)</f>
        <v>273.58097184000002</v>
      </c>
      <c r="J482" s="48">
        <f t="shared" si="82"/>
        <v>0.45448770389552645</v>
      </c>
      <c r="K482" s="5" cm="1">
        <f t="array" ref="K482">UseableCapacity(I482,$K$7,$K$8)</f>
        <v>205.18572888</v>
      </c>
      <c r="L482" s="59">
        <f t="shared" si="83"/>
        <v>149.24178411893172</v>
      </c>
      <c r="M482" s="7">
        <f t="shared" si="84"/>
        <v>80.846541158931714</v>
      </c>
      <c r="N482" s="7">
        <f t="shared" si="85"/>
        <v>19.459028160000003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79"/>
        <v>469</v>
      </c>
      <c r="C483" s="7">
        <f t="shared" si="80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59" cm="1">
        <f t="array" ref="F483">estimatedTripDuration(C483,$C$7,$C$6)/60</f>
        <v>15.760000000662274</v>
      </c>
      <c r="G483">
        <f t="shared" si="86"/>
        <v>469</v>
      </c>
      <c r="H483" s="50">
        <f t="shared" si="81"/>
        <v>39.083333333333336</v>
      </c>
      <c r="I483" s="7" cm="1">
        <f t="array" ref="I483">CurrentCapacity(K$9,K$5,K$6,H483)</f>
        <v>273.58009272000004</v>
      </c>
      <c r="J483" s="48">
        <f t="shared" si="82"/>
        <v>0.45468570320421775</v>
      </c>
      <c r="K483" s="5" cm="1">
        <f t="array" ref="K483">UseableCapacity(I483,$K$7,$K$8)</f>
        <v>205.18506954000003</v>
      </c>
      <c r="L483" s="59">
        <f t="shared" si="83"/>
        <v>149.18713587893171</v>
      </c>
      <c r="M483" s="7">
        <f t="shared" si="84"/>
        <v>80.792112698931717</v>
      </c>
      <c r="N483" s="7">
        <f t="shared" si="85"/>
        <v>19.459907279999982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79"/>
        <v>470</v>
      </c>
      <c r="C484" s="7">
        <f t="shared" si="80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59" cm="1">
        <f t="array" ref="F484">estimatedTripDuration(C484,$C$7,$C$6)/60</f>
        <v>15.793333333995607</v>
      </c>
      <c r="G484">
        <f t="shared" si="86"/>
        <v>470</v>
      </c>
      <c r="H484" s="50">
        <f t="shared" si="81"/>
        <v>39.166666666666664</v>
      </c>
      <c r="I484" s="7" cm="1">
        <f t="array" ref="I484">CurrentCapacity(K$9,K$5,K$6,H484)</f>
        <v>273.5792136</v>
      </c>
      <c r="J484" s="48">
        <f t="shared" si="82"/>
        <v>0.45488370378541171</v>
      </c>
      <c r="K484" s="5" cm="1">
        <f t="array" ref="K484">UseableCapacity(I484,$K$7,$K$8)</f>
        <v>205.1844102</v>
      </c>
      <c r="L484" s="59">
        <f t="shared" si="83"/>
        <v>149.13248763893171</v>
      </c>
      <c r="M484" s="7">
        <f t="shared" si="84"/>
        <v>80.73768423893172</v>
      </c>
      <c r="N484" s="7">
        <f t="shared" si="85"/>
        <v>19.460786400000018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79"/>
        <v>471</v>
      </c>
      <c r="C485" s="7">
        <f t="shared" si="80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59" cm="1">
        <f t="array" ref="F485">estimatedTripDuration(C485,$C$7,$C$6)/60</f>
        <v>15.826666667328938</v>
      </c>
      <c r="G485">
        <f t="shared" si="86"/>
        <v>471</v>
      </c>
      <c r="H485" s="50">
        <f t="shared" si="81"/>
        <v>39.25</v>
      </c>
      <c r="I485" s="7" cm="1">
        <f t="array" ref="I485">CurrentCapacity(K$9,K$5,K$6,H485)</f>
        <v>273.57833448000002</v>
      </c>
      <c r="J485" s="48">
        <f t="shared" si="82"/>
        <v>0.45508170563912076</v>
      </c>
      <c r="K485" s="5" cm="1">
        <f t="array" ref="K485">UseableCapacity(I485,$K$7,$K$8)</f>
        <v>205.18375086000003</v>
      </c>
      <c r="L485" s="59">
        <f t="shared" si="83"/>
        <v>149.07783939893173</v>
      </c>
      <c r="M485" s="7">
        <f t="shared" si="84"/>
        <v>80.683255778931738</v>
      </c>
      <c r="N485" s="7">
        <f t="shared" si="85"/>
        <v>19.461665519999997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79"/>
        <v>472</v>
      </c>
      <c r="C486" s="7">
        <f t="shared" si="80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59" cm="1">
        <f t="array" ref="F486">estimatedTripDuration(C486,$C$7,$C$6)/60</f>
        <v>15.860000000662273</v>
      </c>
      <c r="G486">
        <f t="shared" si="86"/>
        <v>472</v>
      </c>
      <c r="H486" s="50">
        <f t="shared" si="81"/>
        <v>39.333333333333336</v>
      </c>
      <c r="I486" s="7" cm="1">
        <f t="array" ref="I486">CurrentCapacity(K$9,K$5,K$6,H486)</f>
        <v>273.57745536000004</v>
      </c>
      <c r="J486" s="48">
        <f t="shared" si="82"/>
        <v>0.45527970876535712</v>
      </c>
      <c r="K486" s="5" cm="1">
        <f t="array" ref="K486">UseableCapacity(I486,$K$7,$K$8)</f>
        <v>205.18309152000003</v>
      </c>
      <c r="L486" s="59">
        <f t="shared" si="83"/>
        <v>149.02319115893175</v>
      </c>
      <c r="M486" s="7">
        <f t="shared" si="84"/>
        <v>80.628827318931727</v>
      </c>
      <c r="N486" s="7">
        <f t="shared" si="85"/>
        <v>19.462544639999976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79"/>
        <v>473</v>
      </c>
      <c r="C487" s="7">
        <f t="shared" si="80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59" cm="1">
        <f t="array" ref="F487">estimatedTripDuration(C487,$C$7,$C$6)/60</f>
        <v>15.893333333995608</v>
      </c>
      <c r="G487">
        <f t="shared" si="86"/>
        <v>473</v>
      </c>
      <c r="H487" s="50">
        <f t="shared" si="81"/>
        <v>39.416666666666664</v>
      </c>
      <c r="I487" s="7" cm="1">
        <f t="array" ref="I487">CurrentCapacity(K$9,K$5,K$6,H487)</f>
        <v>273.57657624000007</v>
      </c>
      <c r="J487" s="48">
        <f t="shared" si="82"/>
        <v>0.45547771316413294</v>
      </c>
      <c r="K487" s="5" cm="1">
        <f t="array" ref="K487">UseableCapacity(I487,$K$7,$K$8)</f>
        <v>205.18243218000003</v>
      </c>
      <c r="L487" s="59">
        <f t="shared" si="83"/>
        <v>148.96854291893177</v>
      </c>
      <c r="M487" s="7">
        <f t="shared" si="84"/>
        <v>80.574398858931744</v>
      </c>
      <c r="N487" s="7">
        <f t="shared" si="85"/>
        <v>19.463423759999955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79"/>
        <v>474</v>
      </c>
      <c r="C488" s="7">
        <f t="shared" si="80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59" cm="1">
        <f t="array" ref="F488">estimatedTripDuration(C488,$C$7,$C$6)/60</f>
        <v>15.92666666732894</v>
      </c>
      <c r="G488">
        <f t="shared" si="86"/>
        <v>474</v>
      </c>
      <c r="H488" s="50">
        <f t="shared" si="81"/>
        <v>39.5</v>
      </c>
      <c r="I488" s="7" cm="1">
        <f t="array" ref="I488">CurrentCapacity(K$9,K$5,K$6,H488)</f>
        <v>273.57569712000003</v>
      </c>
      <c r="J488" s="48">
        <f t="shared" si="82"/>
        <v>0.45567571883546076</v>
      </c>
      <c r="K488" s="5" cm="1">
        <f t="array" ref="K488">UseableCapacity(I488,$K$7,$K$8)</f>
        <v>205.18177284000001</v>
      </c>
      <c r="L488" s="59">
        <f t="shared" si="83"/>
        <v>148.91389467893174</v>
      </c>
      <c r="M488" s="7">
        <f t="shared" si="84"/>
        <v>80.519970398931704</v>
      </c>
      <c r="N488" s="7">
        <f t="shared" si="85"/>
        <v>19.464302879999991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79"/>
        <v>475</v>
      </c>
      <c r="C489" s="7">
        <f t="shared" si="80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59" cm="1">
        <f t="array" ref="F489">estimatedTripDuration(C489,$C$7,$C$6)/60</f>
        <v>15.960000000662273</v>
      </c>
      <c r="G489">
        <f t="shared" si="86"/>
        <v>475</v>
      </c>
      <c r="H489" s="50">
        <f t="shared" si="81"/>
        <v>39.583333333333336</v>
      </c>
      <c r="I489" s="7" cm="1">
        <f t="array" ref="I489">CurrentCapacity(K$9,K$5,K$6,H489)</f>
        <v>273.57481800000005</v>
      </c>
      <c r="J489" s="48">
        <f t="shared" si="82"/>
        <v>0.45587372577935253</v>
      </c>
      <c r="K489" s="5" cm="1">
        <f t="array" ref="K489">UseableCapacity(I489,$K$7,$K$8)</f>
        <v>205.18111350000004</v>
      </c>
      <c r="L489" s="59">
        <f t="shared" si="83"/>
        <v>148.85924643893173</v>
      </c>
      <c r="M489" s="7">
        <f t="shared" si="84"/>
        <v>80.465541938931736</v>
      </c>
      <c r="N489" s="7">
        <f t="shared" si="85"/>
        <v>19.46518199999997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79"/>
        <v>476</v>
      </c>
      <c r="C490" s="7">
        <f t="shared" si="80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59" cm="1">
        <f t="array" ref="F490">estimatedTripDuration(C490,$C$7,$C$6)/60</f>
        <v>15.993333333995604</v>
      </c>
      <c r="G490">
        <f t="shared" si="86"/>
        <v>476</v>
      </c>
      <c r="H490" s="50">
        <f t="shared" si="81"/>
        <v>39.666666666666664</v>
      </c>
      <c r="I490" s="7" cm="1">
        <f t="array" ref="I490">CurrentCapacity(K$9,K$5,K$6,H490)</f>
        <v>273.57393888000001</v>
      </c>
      <c r="J490" s="48">
        <f t="shared" si="82"/>
        <v>0.45607173399582074</v>
      </c>
      <c r="K490" s="5" cm="1">
        <f t="array" ref="K490">UseableCapacity(I490,$K$7,$K$8)</f>
        <v>205.18045416000001</v>
      </c>
      <c r="L490" s="59">
        <f t="shared" si="83"/>
        <v>148.80459819893173</v>
      </c>
      <c r="M490" s="7">
        <f t="shared" si="84"/>
        <v>80.411113478931725</v>
      </c>
      <c r="N490" s="7">
        <f t="shared" si="85"/>
        <v>19.466061120000006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79"/>
        <v>477</v>
      </c>
      <c r="C491" s="7">
        <f t="shared" si="80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59" cm="1">
        <f t="array" ref="F491">estimatedTripDuration(C491,$C$7,$C$6)/60</f>
        <v>16.026666667328939</v>
      </c>
      <c r="G491">
        <f t="shared" si="86"/>
        <v>477</v>
      </c>
      <c r="H491" s="50">
        <f t="shared" si="81"/>
        <v>39.75</v>
      </c>
      <c r="I491" s="7" cm="1">
        <f t="array" ref="I491">CurrentCapacity(K$9,K$5,K$6,H491)</f>
        <v>273.57305976000004</v>
      </c>
      <c r="J491" s="48">
        <f t="shared" si="82"/>
        <v>0.45626974348487753</v>
      </c>
      <c r="K491" s="5" cm="1">
        <f t="array" ref="K491">UseableCapacity(I491,$K$7,$K$8)</f>
        <v>205.17979482000004</v>
      </c>
      <c r="L491" s="59">
        <f t="shared" si="83"/>
        <v>148.74994995893175</v>
      </c>
      <c r="M491" s="7">
        <f t="shared" si="84"/>
        <v>80.356685018931756</v>
      </c>
      <c r="N491" s="7">
        <f t="shared" si="85"/>
        <v>19.466940239999985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79"/>
        <v>478</v>
      </c>
      <c r="C492" s="7">
        <f t="shared" si="80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59" cm="1">
        <f t="array" ref="F492">estimatedTripDuration(C492,$C$7,$C$6)/60</f>
        <v>16.060000000662274</v>
      </c>
      <c r="G492">
        <f t="shared" si="86"/>
        <v>478</v>
      </c>
      <c r="H492" s="50">
        <f t="shared" si="81"/>
        <v>39.833333333333336</v>
      </c>
      <c r="I492" s="7" cm="1">
        <f t="array" ref="I492">CurrentCapacity(K$9,K$5,K$6,H492)</f>
        <v>273.57218064</v>
      </c>
      <c r="J492" s="48">
        <f t="shared" si="82"/>
        <v>0.45646775424653535</v>
      </c>
      <c r="K492" s="5" cm="1">
        <f t="array" ref="K492">UseableCapacity(I492,$K$7,$K$8)</f>
        <v>205.17913548000001</v>
      </c>
      <c r="L492" s="59">
        <f t="shared" si="83"/>
        <v>148.69530171893172</v>
      </c>
      <c r="M492" s="7">
        <f t="shared" si="84"/>
        <v>80.302256558931717</v>
      </c>
      <c r="N492" s="7">
        <f t="shared" si="85"/>
        <v>19.467819360000021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79"/>
        <v>479</v>
      </c>
      <c r="C493" s="7">
        <f t="shared" si="80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59" cm="1">
        <f t="array" ref="F493">estimatedTripDuration(C493,$C$7,$C$6)/60</f>
        <v>16.093333333995606</v>
      </c>
      <c r="G493">
        <f t="shared" si="86"/>
        <v>479</v>
      </c>
      <c r="H493" s="50">
        <f t="shared" si="81"/>
        <v>39.916666666666664</v>
      </c>
      <c r="I493" s="7" cm="1">
        <f t="array" ref="I493">CurrentCapacity(K$9,K$5,K$6,H493)</f>
        <v>273.57130152000002</v>
      </c>
      <c r="J493" s="48">
        <f t="shared" si="82"/>
        <v>0.45666576628080624</v>
      </c>
      <c r="K493" s="5" cm="1">
        <f t="array" ref="K493">UseableCapacity(I493,$K$7,$K$8)</f>
        <v>205.17847614000001</v>
      </c>
      <c r="L493" s="59">
        <f t="shared" si="83"/>
        <v>148.64065347893171</v>
      </c>
      <c r="M493" s="7">
        <f t="shared" si="84"/>
        <v>80.24782809893172</v>
      </c>
      <c r="N493" s="7">
        <f t="shared" si="85"/>
        <v>19.46869848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79"/>
        <v>480</v>
      </c>
      <c r="C494" s="7">
        <f t="shared" si="80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59" cm="1">
        <f t="array" ref="F494">estimatedTripDuration(C494,$C$7,$C$6)/60</f>
        <v>16.126666667328941</v>
      </c>
      <c r="G494">
        <f t="shared" si="86"/>
        <v>480</v>
      </c>
      <c r="H494" s="50">
        <f t="shared" si="81"/>
        <v>40</v>
      </c>
      <c r="I494" s="7" cm="1">
        <f t="array" ref="I494">CurrentCapacity(K$9,K$5,K$6,H494)</f>
        <v>273.57042240000004</v>
      </c>
      <c r="J494" s="48">
        <f t="shared" si="82"/>
        <v>0.45686377958770252</v>
      </c>
      <c r="K494" s="5" cm="1">
        <f t="array" ref="K494">UseableCapacity(I494,$K$7,$K$8)</f>
        <v>205.17781680000002</v>
      </c>
      <c r="L494" s="59">
        <f t="shared" si="83"/>
        <v>148.58600523893176</v>
      </c>
      <c r="M494" s="7">
        <f t="shared" si="84"/>
        <v>80.193399638931723</v>
      </c>
      <c r="N494" s="7">
        <f t="shared" si="85"/>
        <v>19.46957759999998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79"/>
        <v>481</v>
      </c>
      <c r="C495" s="7">
        <f t="shared" si="80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59" cm="1">
        <f t="array" ref="F495">estimatedTripDuration(C495,$C$7,$C$6)/60</f>
        <v>16.160000000662272</v>
      </c>
      <c r="G495">
        <f t="shared" si="86"/>
        <v>481</v>
      </c>
      <c r="H495" s="50">
        <f t="shared" si="81"/>
        <v>40.083333333333336</v>
      </c>
      <c r="I495" s="7" cm="1">
        <f t="array" ref="I495">CurrentCapacity(K$9,K$5,K$6,H495)</f>
        <v>273.56954328000006</v>
      </c>
      <c r="J495" s="48">
        <f t="shared" si="82"/>
        <v>0.45706179416723652</v>
      </c>
      <c r="K495" s="5" cm="1">
        <f t="array" ref="K495">UseableCapacity(I495,$K$7,$K$8)</f>
        <v>205.17715746000005</v>
      </c>
      <c r="L495" s="59">
        <f t="shared" si="83"/>
        <v>148.53135699893176</v>
      </c>
      <c r="M495" s="7">
        <f t="shared" si="84"/>
        <v>80.138971178931754</v>
      </c>
      <c r="N495" s="7">
        <f t="shared" si="85"/>
        <v>19.470456719999959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79"/>
        <v>482</v>
      </c>
      <c r="C496" s="7">
        <f t="shared" si="80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59" cm="1">
        <f t="array" ref="F496">estimatedTripDuration(C496,$C$7,$C$6)/60</f>
        <v>16.193333333995607</v>
      </c>
      <c r="G496">
        <f t="shared" si="86"/>
        <v>482</v>
      </c>
      <c r="H496" s="50">
        <f t="shared" si="81"/>
        <v>40.166666666666664</v>
      </c>
      <c r="I496" s="7" cm="1">
        <f t="array" ref="I496">CurrentCapacity(K$9,K$5,K$6,H496)</f>
        <v>273.56866416000003</v>
      </c>
      <c r="J496" s="48">
        <f t="shared" si="82"/>
        <v>0.45725981001942068</v>
      </c>
      <c r="K496" s="5" cm="1">
        <f t="array" ref="K496">UseableCapacity(I496,$K$7,$K$8)</f>
        <v>205.17649812000002</v>
      </c>
      <c r="L496" s="59">
        <f t="shared" si="83"/>
        <v>148.47670875893172</v>
      </c>
      <c r="M496" s="7">
        <f t="shared" si="84"/>
        <v>80.084542718931715</v>
      </c>
      <c r="N496" s="7">
        <f t="shared" si="85"/>
        <v>19.471335839999995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79"/>
        <v>483</v>
      </c>
      <c r="C497" s="7">
        <f t="shared" si="80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59" cm="1">
        <f t="array" ref="F497">estimatedTripDuration(C497,$C$7,$C$6)/60</f>
        <v>16.226666667328942</v>
      </c>
      <c r="G497">
        <f t="shared" si="86"/>
        <v>483</v>
      </c>
      <c r="H497" s="50">
        <f t="shared" si="81"/>
        <v>40.25</v>
      </c>
      <c r="I497" s="7" cm="1">
        <f t="array" ref="I497">CurrentCapacity(K$9,K$5,K$6,H497)</f>
        <v>273.56778504000005</v>
      </c>
      <c r="J497" s="48">
        <f t="shared" si="82"/>
        <v>0.45745782714426686</v>
      </c>
      <c r="K497" s="5" cm="1">
        <f t="array" ref="K497">UseableCapacity(I497,$K$7,$K$8)</f>
        <v>205.17583878000005</v>
      </c>
      <c r="L497" s="59">
        <f t="shared" si="83"/>
        <v>148.42206051893174</v>
      </c>
      <c r="M497" s="7">
        <f t="shared" si="84"/>
        <v>80.030114258931761</v>
      </c>
      <c r="N497" s="7">
        <f t="shared" si="85"/>
        <v>19.472214959999974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79"/>
        <v>484</v>
      </c>
      <c r="C498" s="7">
        <f t="shared" si="80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59" cm="1">
        <f t="array" ref="F498">estimatedTripDuration(C498,$C$7,$C$6)/60</f>
        <v>16.260000000662274</v>
      </c>
      <c r="G498">
        <f t="shared" si="86"/>
        <v>484</v>
      </c>
      <c r="H498" s="50">
        <f t="shared" si="81"/>
        <v>40.333333333333336</v>
      </c>
      <c r="I498" s="7" cm="1">
        <f t="array" ref="I498">CurrentCapacity(K$9,K$5,K$6,H498)</f>
        <v>273.56690592000001</v>
      </c>
      <c r="J498" s="48">
        <f t="shared" si="82"/>
        <v>0.45765584554178773</v>
      </c>
      <c r="K498" s="5" cm="1">
        <f t="array" ref="K498">UseableCapacity(I498,$K$7,$K$8)</f>
        <v>205.17517944000002</v>
      </c>
      <c r="L498" s="59">
        <f t="shared" si="83"/>
        <v>148.36741227893171</v>
      </c>
      <c r="M498" s="7">
        <f t="shared" si="84"/>
        <v>79.975685798931721</v>
      </c>
      <c r="N498" s="7">
        <f t="shared" si="85"/>
        <v>19.47309408000001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79"/>
        <v>485</v>
      </c>
      <c r="C499" s="7">
        <f t="shared" si="80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59" cm="1">
        <f t="array" ref="F499">estimatedTripDuration(C499,$C$7,$C$6)/60</f>
        <v>16.293333333995609</v>
      </c>
      <c r="G499">
        <f t="shared" si="86"/>
        <v>485</v>
      </c>
      <c r="H499" s="50">
        <f t="shared" si="81"/>
        <v>40.416666666666664</v>
      </c>
      <c r="I499" s="7" cm="1">
        <f t="array" ref="I499">CurrentCapacity(K$9,K$5,K$6,H499)</f>
        <v>273.56602680000003</v>
      </c>
      <c r="J499" s="48">
        <f t="shared" si="82"/>
        <v>0.45785386521199523</v>
      </c>
      <c r="K499" s="5" cm="1">
        <f t="array" ref="K499">UseableCapacity(I499,$K$7,$K$8)</f>
        <v>205.17452010000002</v>
      </c>
      <c r="L499" s="59">
        <f t="shared" si="83"/>
        <v>148.31276403893173</v>
      </c>
      <c r="M499" s="7">
        <f t="shared" si="84"/>
        <v>79.921257338931738</v>
      </c>
      <c r="N499" s="7">
        <f t="shared" si="85"/>
        <v>19.473973199999989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79"/>
        <v>486</v>
      </c>
      <c r="C500" s="7">
        <f t="shared" si="80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59" cm="1">
        <f t="array" ref="F500">estimatedTripDuration(C500,$C$7,$C$6)/60</f>
        <v>16.32666666732894</v>
      </c>
      <c r="G500">
        <f t="shared" si="86"/>
        <v>486</v>
      </c>
      <c r="H500" s="50">
        <f t="shared" si="81"/>
        <v>40.5</v>
      </c>
      <c r="I500" s="7" cm="1">
        <f t="array" ref="I500">CurrentCapacity(K$9,K$5,K$6,H500)</f>
        <v>273.56514768000005</v>
      </c>
      <c r="J500" s="48">
        <f t="shared" si="82"/>
        <v>0.45805188615490178</v>
      </c>
      <c r="K500" s="5" cm="1">
        <f t="array" ref="K500">UseableCapacity(I500,$K$7,$K$8)</f>
        <v>205.17386076000003</v>
      </c>
      <c r="L500" s="59">
        <f t="shared" si="83"/>
        <v>148.25811579893178</v>
      </c>
      <c r="M500" s="7">
        <f t="shared" si="84"/>
        <v>79.866828878931742</v>
      </c>
      <c r="N500" s="7">
        <f t="shared" si="85"/>
        <v>19.474852319999968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79"/>
        <v>487</v>
      </c>
      <c r="C501" s="7">
        <f t="shared" si="80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59" cm="1">
        <f t="array" ref="F501">estimatedTripDuration(C501,$C$7,$C$6)/60</f>
        <v>16.360000000662275</v>
      </c>
      <c r="G501">
        <f t="shared" si="86"/>
        <v>487</v>
      </c>
      <c r="H501" s="50">
        <f t="shared" si="81"/>
        <v>40.583333333333336</v>
      </c>
      <c r="I501" s="7" cm="1">
        <f t="array" ref="I501">CurrentCapacity(K$9,K$5,K$6,H501)</f>
        <v>273.56426856000002</v>
      </c>
      <c r="J501" s="48">
        <f t="shared" si="82"/>
        <v>0.45824990837051993</v>
      </c>
      <c r="K501" s="5" cm="1">
        <f t="array" ref="K501">UseableCapacity(I501,$K$7,$K$8)</f>
        <v>205.17320142</v>
      </c>
      <c r="L501" s="59">
        <f t="shared" si="83"/>
        <v>148.20346755893172</v>
      </c>
      <c r="M501" s="7">
        <f t="shared" si="84"/>
        <v>79.812400418931688</v>
      </c>
      <c r="N501" s="7">
        <f t="shared" si="85"/>
        <v>19.475731440000004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79"/>
        <v>488</v>
      </c>
      <c r="C502" s="7">
        <f t="shared" si="80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59" cm="1">
        <f t="array" ref="F502">estimatedTripDuration(C502,$C$7,$C$6)/60</f>
        <v>16.39333333399561</v>
      </c>
      <c r="G502">
        <f t="shared" si="86"/>
        <v>488</v>
      </c>
      <c r="H502" s="50">
        <f t="shared" si="81"/>
        <v>40.666666666666664</v>
      </c>
      <c r="I502" s="7" cm="1">
        <f t="array" ref="I502">CurrentCapacity(K$9,K$5,K$6,H502)</f>
        <v>273.56338944000004</v>
      </c>
      <c r="J502" s="48">
        <f t="shared" si="82"/>
        <v>0.4584479318588614</v>
      </c>
      <c r="K502" s="5" cm="1">
        <f t="array" ref="K502">UseableCapacity(I502,$K$7,$K$8)</f>
        <v>205.17254208000003</v>
      </c>
      <c r="L502" s="59">
        <f t="shared" si="83"/>
        <v>148.14881931893174</v>
      </c>
      <c r="M502" s="7">
        <f t="shared" si="84"/>
        <v>79.757971958931734</v>
      </c>
      <c r="N502" s="7">
        <f t="shared" si="85"/>
        <v>19.476610559999983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79"/>
        <v>489</v>
      </c>
      <c r="C503" s="7">
        <f t="shared" si="80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59" cm="1">
        <f t="array" ref="F503">estimatedTripDuration(C503,$C$7,$C$6)/60</f>
        <v>16.426666667328941</v>
      </c>
      <c r="G503">
        <f t="shared" si="86"/>
        <v>489</v>
      </c>
      <c r="H503" s="50">
        <f t="shared" si="81"/>
        <v>40.75</v>
      </c>
      <c r="I503" s="7" cm="1">
        <f t="array" ref="I503">CurrentCapacity(K$9,K$5,K$6,H503)</f>
        <v>273.56251032000006</v>
      </c>
      <c r="J503" s="48">
        <f t="shared" si="82"/>
        <v>0.45864595661993879</v>
      </c>
      <c r="K503" s="5" cm="1">
        <f t="array" ref="K503">UseableCapacity(I503,$K$7,$K$8)</f>
        <v>205.17188274000006</v>
      </c>
      <c r="L503" s="59">
        <f t="shared" si="83"/>
        <v>148.09417107893177</v>
      </c>
      <c r="M503" s="7">
        <f t="shared" si="84"/>
        <v>79.703543498931751</v>
      </c>
      <c r="N503" s="7">
        <f t="shared" si="85"/>
        <v>19.477489679999962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79"/>
        <v>490</v>
      </c>
      <c r="C504" s="7">
        <f t="shared" si="80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59" cm="1">
        <f t="array" ref="F504">estimatedTripDuration(C504,$C$7,$C$6)/60</f>
        <v>16.460000000662273</v>
      </c>
      <c r="G504">
        <f t="shared" si="86"/>
        <v>490</v>
      </c>
      <c r="H504" s="50">
        <f t="shared" si="81"/>
        <v>40.833333333333336</v>
      </c>
      <c r="I504" s="7" cm="1">
        <f t="array" ref="I504">CurrentCapacity(K$9,K$5,K$6,H504)</f>
        <v>273.56163120000002</v>
      </c>
      <c r="J504" s="48">
        <f t="shared" si="82"/>
        <v>0.45884398265376436</v>
      </c>
      <c r="K504" s="5" cm="1">
        <f t="array" ref="K504">UseableCapacity(I504,$K$7,$K$8)</f>
        <v>205.17122340000003</v>
      </c>
      <c r="L504" s="59">
        <f t="shared" si="83"/>
        <v>148.03952283893173</v>
      </c>
      <c r="M504" s="7">
        <f t="shared" si="84"/>
        <v>79.64911503893174</v>
      </c>
      <c r="N504" s="7">
        <f t="shared" si="85"/>
        <v>19.478368799999998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79"/>
        <v>491</v>
      </c>
      <c r="C505" s="7">
        <f t="shared" si="80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59" cm="1">
        <f t="array" ref="F505">estimatedTripDuration(C505,$C$7,$C$6)/60</f>
        <v>16.493333333995604</v>
      </c>
      <c r="G505">
        <f t="shared" si="86"/>
        <v>491</v>
      </c>
      <c r="H505" s="50">
        <f t="shared" si="81"/>
        <v>40.916666666666664</v>
      </c>
      <c r="I505" s="7" cm="1">
        <f t="array" ref="I505">CurrentCapacity(K$9,K$5,K$6,H505)</f>
        <v>273.56075208000004</v>
      </c>
      <c r="J505" s="48">
        <f t="shared" si="82"/>
        <v>0.45904200996035022</v>
      </c>
      <c r="K505" s="5" cm="1">
        <f t="array" ref="K505">UseableCapacity(I505,$K$7,$K$8)</f>
        <v>205.17056406000003</v>
      </c>
      <c r="L505" s="59">
        <f t="shared" si="83"/>
        <v>147.98487459893175</v>
      </c>
      <c r="M505" s="7">
        <f t="shared" si="84"/>
        <v>79.594686578931757</v>
      </c>
      <c r="N505" s="7">
        <f t="shared" si="85"/>
        <v>19.479247919999978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79"/>
        <v>492</v>
      </c>
      <c r="C506" s="7">
        <f t="shared" si="80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59" cm="1">
        <f t="array" ref="F506">estimatedTripDuration(C506,$C$7,$C$6)/60</f>
        <v>16.526666667328939</v>
      </c>
      <c r="G506">
        <f t="shared" si="86"/>
        <v>492</v>
      </c>
      <c r="H506" s="50">
        <f t="shared" si="81"/>
        <v>41</v>
      </c>
      <c r="I506" s="7" cm="1">
        <f t="array" ref="I506">CurrentCapacity(K$9,K$5,K$6,H506)</f>
        <v>273.55987296000001</v>
      </c>
      <c r="J506" s="48">
        <f t="shared" si="82"/>
        <v>0.45924003853970896</v>
      </c>
      <c r="K506" s="5" cm="1">
        <f t="array" ref="K506">UseableCapacity(I506,$K$7,$K$8)</f>
        <v>205.16990472000001</v>
      </c>
      <c r="L506" s="59">
        <f t="shared" si="83"/>
        <v>147.93022635893172</v>
      </c>
      <c r="M506" s="7">
        <f t="shared" si="84"/>
        <v>79.540258118931717</v>
      </c>
      <c r="N506" s="7">
        <f t="shared" si="85"/>
        <v>19.480127040000013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79"/>
        <v>493</v>
      </c>
      <c r="C507" s="7">
        <f t="shared" si="80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59" cm="1">
        <f t="array" ref="F507">estimatedTripDuration(C507,$C$7,$C$6)/60</f>
        <v>16.560000000662274</v>
      </c>
      <c r="G507">
        <f t="shared" si="86"/>
        <v>493</v>
      </c>
      <c r="H507" s="50">
        <f t="shared" si="81"/>
        <v>41.083333333333336</v>
      </c>
      <c r="I507" s="7" cm="1">
        <f t="array" ref="I507">CurrentCapacity(K$9,K$5,K$6,H507)</f>
        <v>273.55899384000003</v>
      </c>
      <c r="J507" s="48">
        <f t="shared" si="82"/>
        <v>0.45943806839185247</v>
      </c>
      <c r="K507" s="5" cm="1">
        <f t="array" ref="K507">UseableCapacity(I507,$K$7,$K$8)</f>
        <v>205.16924538000001</v>
      </c>
      <c r="L507" s="59">
        <f t="shared" si="83"/>
        <v>147.87557811893174</v>
      </c>
      <c r="M507" s="7">
        <f t="shared" si="84"/>
        <v>79.485829658931721</v>
      </c>
      <c r="N507" s="7">
        <f t="shared" si="85"/>
        <v>19.481006159999993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79"/>
        <v>494</v>
      </c>
      <c r="C508" s="7">
        <f t="shared" si="80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59" cm="1">
        <f t="array" ref="F508">estimatedTripDuration(C508,$C$7,$C$6)/60</f>
        <v>16.593333333995606</v>
      </c>
      <c r="G508">
        <f t="shared" si="86"/>
        <v>494</v>
      </c>
      <c r="H508" s="50">
        <f t="shared" si="81"/>
        <v>41.166666666666664</v>
      </c>
      <c r="I508" s="7" cm="1">
        <f t="array" ref="I508">CurrentCapacity(K$9,K$5,K$6,H508)</f>
        <v>273.55811472000005</v>
      </c>
      <c r="J508" s="48">
        <f t="shared" si="82"/>
        <v>0.4596360995167933</v>
      </c>
      <c r="K508" s="5" cm="1">
        <f t="array" ref="K508">UseableCapacity(I508,$K$7,$K$8)</f>
        <v>205.16858604000004</v>
      </c>
      <c r="L508" s="59">
        <f t="shared" si="83"/>
        <v>147.82092987893174</v>
      </c>
      <c r="M508" s="7">
        <f t="shared" si="84"/>
        <v>79.431401198931738</v>
      </c>
      <c r="N508" s="7">
        <f t="shared" si="85"/>
        <v>19.481885279999972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79"/>
        <v>495</v>
      </c>
      <c r="C509" s="7">
        <f t="shared" si="80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59" cm="1">
        <f t="array" ref="F509">estimatedTripDuration(C509,$C$7,$C$6)/60</f>
        <v>16.626666667328941</v>
      </c>
      <c r="G509">
        <f t="shared" si="86"/>
        <v>495</v>
      </c>
      <c r="H509" s="50">
        <f t="shared" si="81"/>
        <v>41.25</v>
      </c>
      <c r="I509" s="7" cm="1">
        <f t="array" ref="I509">CurrentCapacity(K$9,K$5,K$6,H509)</f>
        <v>273.55723560000007</v>
      </c>
      <c r="J509" s="48">
        <f t="shared" si="82"/>
        <v>0.45983413191454348</v>
      </c>
      <c r="K509" s="5" cm="1">
        <f t="array" ref="K509">UseableCapacity(I509,$K$7,$K$8)</f>
        <v>205.16792670000007</v>
      </c>
      <c r="L509" s="59">
        <f t="shared" si="83"/>
        <v>147.76628163893179</v>
      </c>
      <c r="M509" s="7">
        <f t="shared" si="84"/>
        <v>79.376972738931784</v>
      </c>
      <c r="N509" s="7">
        <f t="shared" si="85"/>
        <v>19.482764399999951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79"/>
        <v>496</v>
      </c>
      <c r="C510" s="7">
        <f t="shared" si="80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59" cm="1">
        <f t="array" ref="F510">estimatedTripDuration(C510,$C$7,$C$6)/60</f>
        <v>16.660000000662272</v>
      </c>
      <c r="G510">
        <f t="shared" si="86"/>
        <v>496</v>
      </c>
      <c r="H510" s="50">
        <f t="shared" si="81"/>
        <v>41.333333333333336</v>
      </c>
      <c r="I510" s="7" cm="1">
        <f t="array" ref="I510">CurrentCapacity(K$9,K$5,K$6,H510)</f>
        <v>273.55635648000003</v>
      </c>
      <c r="J510" s="48">
        <f t="shared" si="82"/>
        <v>0.46003216558511562</v>
      </c>
      <c r="K510" s="5" cm="1">
        <f t="array" ref="K510">UseableCapacity(I510,$K$7,$K$8)</f>
        <v>205.16726736000004</v>
      </c>
      <c r="L510" s="59">
        <f t="shared" si="83"/>
        <v>147.71163339893172</v>
      </c>
      <c r="M510" s="7">
        <f t="shared" si="84"/>
        <v>79.322544278931744</v>
      </c>
      <c r="N510" s="7">
        <f t="shared" si="85"/>
        <v>19.483643519999987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79"/>
        <v>497</v>
      </c>
      <c r="C511" s="7">
        <f t="shared" si="80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59" cm="1">
        <f t="array" ref="F511">estimatedTripDuration(C511,$C$7,$C$6)/60</f>
        <v>16.693333333995607</v>
      </c>
      <c r="G511">
        <f t="shared" si="86"/>
        <v>497</v>
      </c>
      <c r="H511" s="50">
        <f t="shared" si="81"/>
        <v>41.416666666666664</v>
      </c>
      <c r="I511" s="7" cm="1">
        <f t="array" ref="I511">CurrentCapacity(K$9,K$5,K$6,H511)</f>
        <v>273.55547736000005</v>
      </c>
      <c r="J511" s="48">
        <f t="shared" si="82"/>
        <v>0.4602302005285217</v>
      </c>
      <c r="K511" s="5" cm="1">
        <f t="array" ref="K511">UseableCapacity(I511,$K$7,$K$8)</f>
        <v>205.16660802000004</v>
      </c>
      <c r="L511" s="59">
        <f t="shared" si="83"/>
        <v>147.65698515893175</v>
      </c>
      <c r="M511" s="7">
        <f t="shared" si="84"/>
        <v>79.268115818931733</v>
      </c>
      <c r="N511" s="7">
        <f t="shared" si="85"/>
        <v>19.484522639999966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79"/>
        <v>498</v>
      </c>
      <c r="C512" s="7">
        <f t="shared" si="80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59" cm="1">
        <f t="array" ref="F512">estimatedTripDuration(C512,$C$7,$C$6)/60</f>
        <v>16.726666667328942</v>
      </c>
      <c r="G512">
        <f t="shared" si="86"/>
        <v>498</v>
      </c>
      <c r="H512" s="50">
        <f t="shared" si="81"/>
        <v>41.5</v>
      </c>
      <c r="I512" s="7" cm="1">
        <f t="array" ref="I512">CurrentCapacity(K$9,K$5,K$6,H512)</f>
        <v>273.55459824000002</v>
      </c>
      <c r="J512" s="48">
        <f t="shared" si="82"/>
        <v>0.46042823674477412</v>
      </c>
      <c r="K512" s="5" cm="1">
        <f t="array" ref="K512">UseableCapacity(I512,$K$7,$K$8)</f>
        <v>205.16594868000001</v>
      </c>
      <c r="L512" s="59">
        <f t="shared" si="83"/>
        <v>147.60233691893171</v>
      </c>
      <c r="M512" s="7">
        <f t="shared" si="84"/>
        <v>79.213687358931722</v>
      </c>
      <c r="N512" s="7">
        <f t="shared" si="85"/>
        <v>19.485401760000002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79"/>
        <v>499</v>
      </c>
      <c r="C513" s="7">
        <f t="shared" si="80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59" cm="1">
        <f t="array" ref="F513">estimatedTripDuration(C513,$C$7,$C$6)/60</f>
        <v>16.760000000662274</v>
      </c>
      <c r="G513">
        <f t="shared" si="86"/>
        <v>499</v>
      </c>
      <c r="H513" s="50">
        <f t="shared" si="81"/>
        <v>41.583333333333336</v>
      </c>
      <c r="I513" s="7" cm="1">
        <f t="array" ref="I513">CurrentCapacity(K$9,K$5,K$6,H513)</f>
        <v>273.55371912000004</v>
      </c>
      <c r="J513" s="48">
        <f t="shared" si="82"/>
        <v>0.46062627423388508</v>
      </c>
      <c r="K513" s="5" cm="1">
        <f t="array" ref="K513">UseableCapacity(I513,$K$7,$K$8)</f>
        <v>205.16528934000002</v>
      </c>
      <c r="L513" s="59">
        <f t="shared" si="83"/>
        <v>147.54768867893173</v>
      </c>
      <c r="M513" s="7">
        <f t="shared" si="84"/>
        <v>79.159258898931711</v>
      </c>
      <c r="N513" s="7">
        <f t="shared" si="85"/>
        <v>19.486280879999981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79"/>
        <v>500</v>
      </c>
      <c r="C514" s="7">
        <f t="shared" si="80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59" cm="1">
        <f t="array" ref="F514">estimatedTripDuration(C514,$C$7,$C$6)/60</f>
        <v>16.793333333995609</v>
      </c>
      <c r="G514">
        <f t="shared" si="86"/>
        <v>500</v>
      </c>
      <c r="H514" s="50">
        <f t="shared" si="81"/>
        <v>41.666666666666664</v>
      </c>
      <c r="I514" s="7" cm="1">
        <f t="array" ref="I514">CurrentCapacity(K$9,K$5,K$6,H514)</f>
        <v>273.55284000000006</v>
      </c>
      <c r="J514" s="48">
        <f t="shared" si="82"/>
        <v>0.46082431299586674</v>
      </c>
      <c r="K514" s="5" cm="1">
        <f t="array" ref="K514">UseableCapacity(I514,$K$7,$K$8)</f>
        <v>205.16463000000005</v>
      </c>
      <c r="L514" s="59">
        <f t="shared" si="83"/>
        <v>147.49304043893176</v>
      </c>
      <c r="M514" s="7">
        <f t="shared" si="84"/>
        <v>79.104830438931756</v>
      </c>
      <c r="N514" s="7">
        <f t="shared" si="85"/>
        <v>19.48715999999996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79"/>
        <v>501</v>
      </c>
      <c r="C515" s="7">
        <f t="shared" si="80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59" cm="1">
        <f t="array" ref="F515">estimatedTripDuration(C515,$C$7,$C$6)/60</f>
        <v>16.82666666732894</v>
      </c>
      <c r="G515">
        <f t="shared" si="86"/>
        <v>501</v>
      </c>
      <c r="H515" s="50">
        <f t="shared" si="81"/>
        <v>41.75</v>
      </c>
      <c r="I515" s="7" cm="1">
        <f t="array" ref="I515">CurrentCapacity(K$9,K$5,K$6,H515)</f>
        <v>273.55196088000002</v>
      </c>
      <c r="J515" s="48">
        <f t="shared" si="82"/>
        <v>0.46102235303073175</v>
      </c>
      <c r="K515" s="5" cm="1">
        <f t="array" ref="K515">UseableCapacity(I515,$K$7,$K$8)</f>
        <v>205.16397066000002</v>
      </c>
      <c r="L515" s="59">
        <f t="shared" si="83"/>
        <v>147.43839219893175</v>
      </c>
      <c r="M515" s="7">
        <f t="shared" si="84"/>
        <v>79.050401978931731</v>
      </c>
      <c r="N515" s="7">
        <f t="shared" si="85"/>
        <v>19.488039119999996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79"/>
        <v>502</v>
      </c>
      <c r="C516" s="7">
        <f t="shared" si="80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59" cm="1">
        <f t="array" ref="F516">estimatedTripDuration(C516,$C$7,$C$6)/60</f>
        <v>16.860000000662275</v>
      </c>
      <c r="G516">
        <f t="shared" si="86"/>
        <v>502</v>
      </c>
      <c r="H516" s="50">
        <f t="shared" si="81"/>
        <v>41.833333333333336</v>
      </c>
      <c r="I516" s="7" cm="1">
        <f t="array" ref="I516">CurrentCapacity(K$9,K$5,K$6,H516)</f>
        <v>273.55108176000005</v>
      </c>
      <c r="J516" s="48">
        <f t="shared" si="82"/>
        <v>0.46122039433849205</v>
      </c>
      <c r="K516" s="5" cm="1">
        <f t="array" ref="K516">UseableCapacity(I516,$K$7,$K$8)</f>
        <v>205.16331132000005</v>
      </c>
      <c r="L516" s="59">
        <f t="shared" si="83"/>
        <v>147.38374395893175</v>
      </c>
      <c r="M516" s="7">
        <f t="shared" si="84"/>
        <v>78.995973518931748</v>
      </c>
      <c r="N516" s="7">
        <f t="shared" si="85"/>
        <v>19.488918239999975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79"/>
        <v>503</v>
      </c>
      <c r="C517" s="7">
        <f t="shared" si="80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59" cm="1">
        <f t="array" ref="F517">estimatedTripDuration(C517,$C$7,$C$6)/60</f>
        <v>16.89333333399561</v>
      </c>
      <c r="G517">
        <f t="shared" si="86"/>
        <v>503</v>
      </c>
      <c r="H517" s="50">
        <f t="shared" si="81"/>
        <v>41.916666666666664</v>
      </c>
      <c r="I517" s="7" cm="1">
        <f t="array" ref="I517">CurrentCapacity(K$9,K$5,K$6,H517)</f>
        <v>273.55020264000007</v>
      </c>
      <c r="J517" s="48">
        <f t="shared" si="82"/>
        <v>0.46141843691915996</v>
      </c>
      <c r="K517" s="5" cm="1">
        <f t="array" ref="K517">UseableCapacity(I517,$K$7,$K$8)</f>
        <v>205.16265198000005</v>
      </c>
      <c r="L517" s="59">
        <f t="shared" si="83"/>
        <v>147.32909571893177</v>
      </c>
      <c r="M517" s="7">
        <f t="shared" si="84"/>
        <v>78.941545058931752</v>
      </c>
      <c r="N517" s="7">
        <f t="shared" si="85"/>
        <v>19.489797359999955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79"/>
        <v>504</v>
      </c>
      <c r="C518" s="7">
        <f t="shared" si="80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59" cm="1">
        <f t="array" ref="F518">estimatedTripDuration(C518,$C$7,$C$6)/60</f>
        <v>16.926666667328941</v>
      </c>
      <c r="G518">
        <f t="shared" si="86"/>
        <v>504</v>
      </c>
      <c r="H518" s="50">
        <f t="shared" si="81"/>
        <v>42</v>
      </c>
      <c r="I518" s="7" cm="1">
        <f t="array" ref="I518">CurrentCapacity(K$9,K$5,K$6,H518)</f>
        <v>273.54932352000003</v>
      </c>
      <c r="J518" s="48">
        <f t="shared" si="82"/>
        <v>0.46161648077274792</v>
      </c>
      <c r="K518" s="5" cm="1">
        <f t="array" ref="K518">UseableCapacity(I518,$K$7,$K$8)</f>
        <v>205.16199264000002</v>
      </c>
      <c r="L518" s="59">
        <f t="shared" si="83"/>
        <v>147.27444747893173</v>
      </c>
      <c r="M518" s="7">
        <f t="shared" si="84"/>
        <v>78.887116598931726</v>
      </c>
      <c r="N518" s="7">
        <f t="shared" si="85"/>
        <v>19.490676479999991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79"/>
        <v>505</v>
      </c>
      <c r="C519" s="7">
        <f t="shared" si="80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59" cm="1">
        <f t="array" ref="F519">estimatedTripDuration(C519,$C$7,$C$6)/60</f>
        <v>16.960000000662273</v>
      </c>
      <c r="G519">
        <f t="shared" si="86"/>
        <v>505</v>
      </c>
      <c r="H519" s="50">
        <f t="shared" si="81"/>
        <v>42.083333333333336</v>
      </c>
      <c r="I519" s="7" cm="1">
        <f t="array" ref="I519">CurrentCapacity(K$9,K$5,K$6,H519)</f>
        <v>273.54844439999999</v>
      </c>
      <c r="J519" s="48">
        <f t="shared" si="82"/>
        <v>0.46181452589926808</v>
      </c>
      <c r="K519" s="5" cm="1">
        <f t="array" ref="K519">UseableCapacity(I519,$K$7,$K$8)</f>
        <v>205.1613333</v>
      </c>
      <c r="L519" s="59">
        <f t="shared" si="83"/>
        <v>147.2197992389317</v>
      </c>
      <c r="M519" s="7">
        <f t="shared" si="84"/>
        <v>78.832688138931701</v>
      </c>
      <c r="N519" s="7">
        <f t="shared" si="85"/>
        <v>19.491555600000027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79"/>
        <v>506</v>
      </c>
      <c r="C520" s="7">
        <f t="shared" si="80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59" cm="1">
        <f t="array" ref="F520">estimatedTripDuration(C520,$C$7,$C$6)/60</f>
        <v>16.993333333995604</v>
      </c>
      <c r="G520">
        <f t="shared" si="86"/>
        <v>506</v>
      </c>
      <c r="H520" s="50">
        <f t="shared" si="81"/>
        <v>42.166666666666664</v>
      </c>
      <c r="I520" s="7" cm="1">
        <f t="array" ref="I520">CurrentCapacity(K$9,K$5,K$6,H520)</f>
        <v>273.54756528000001</v>
      </c>
      <c r="J520" s="48">
        <f t="shared" si="82"/>
        <v>0.46201257229873266</v>
      </c>
      <c r="K520" s="5" cm="1">
        <f t="array" ref="K520">UseableCapacity(I520,$K$7,$K$8)</f>
        <v>205.16067396</v>
      </c>
      <c r="L520" s="59">
        <f t="shared" si="83"/>
        <v>147.16515099893172</v>
      </c>
      <c r="M520" s="7">
        <f t="shared" si="84"/>
        <v>78.778259678931704</v>
      </c>
      <c r="N520" s="7">
        <f t="shared" si="85"/>
        <v>19.492434720000006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79"/>
        <v>507</v>
      </c>
      <c r="C521" s="7">
        <f t="shared" si="80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59" cm="1">
        <f t="array" ref="F521">estimatedTripDuration(C521,$C$7,$C$6)/60</f>
        <v>17.026666667328939</v>
      </c>
      <c r="G521">
        <f t="shared" si="86"/>
        <v>507</v>
      </c>
      <c r="H521" s="50">
        <f t="shared" si="81"/>
        <v>42.25</v>
      </c>
      <c r="I521" s="7" cm="1">
        <f t="array" ref="I521">CurrentCapacity(K$9,K$5,K$6,H521)</f>
        <v>273.54668616000004</v>
      </c>
      <c r="J521" s="48">
        <f t="shared" si="82"/>
        <v>0.46221061997115392</v>
      </c>
      <c r="K521" s="5" cm="1">
        <f t="array" ref="K521">UseableCapacity(I521,$K$7,$K$8)</f>
        <v>205.16001462000003</v>
      </c>
      <c r="L521" s="59">
        <f t="shared" si="83"/>
        <v>147.11050275893174</v>
      </c>
      <c r="M521" s="7">
        <f t="shared" si="84"/>
        <v>78.723831218931736</v>
      </c>
      <c r="N521" s="7">
        <f t="shared" si="85"/>
        <v>19.493313839999985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79"/>
        <v>508</v>
      </c>
      <c r="C522" s="7">
        <f t="shared" si="80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59" cm="1">
        <f t="array" ref="F522">estimatedTripDuration(C522,$C$7,$C$6)/60</f>
        <v>17.060000000662274</v>
      </c>
      <c r="G522">
        <f t="shared" si="86"/>
        <v>508</v>
      </c>
      <c r="H522" s="50">
        <f t="shared" si="81"/>
        <v>42.333333333333336</v>
      </c>
      <c r="I522" s="7" cm="1">
        <f t="array" ref="I522">CurrentCapacity(K$9,K$5,K$6,H522)</f>
        <v>273.54580704000006</v>
      </c>
      <c r="J522" s="48">
        <f t="shared" si="82"/>
        <v>0.46240866891654425</v>
      </c>
      <c r="K522" s="5" cm="1">
        <f t="array" ref="K522">UseableCapacity(I522,$K$7,$K$8)</f>
        <v>205.15935528000006</v>
      </c>
      <c r="L522" s="59">
        <f t="shared" si="83"/>
        <v>147.05585451893177</v>
      </c>
      <c r="M522" s="7">
        <f t="shared" si="84"/>
        <v>78.669402758931767</v>
      </c>
      <c r="N522" s="7">
        <f t="shared" si="85"/>
        <v>19.494192959999964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79"/>
        <v>509</v>
      </c>
      <c r="C523" s="7">
        <f t="shared" si="80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59" cm="1">
        <f t="array" ref="F523">estimatedTripDuration(C523,$C$7,$C$6)/60</f>
        <v>17.093333333995606</v>
      </c>
      <c r="G523">
        <f t="shared" si="86"/>
        <v>509</v>
      </c>
      <c r="H523" s="50">
        <f t="shared" si="81"/>
        <v>42.416666666666664</v>
      </c>
      <c r="I523" s="7" cm="1">
        <f t="array" ref="I523">CurrentCapacity(K$9,K$5,K$6,H523)</f>
        <v>273.54492792000008</v>
      </c>
      <c r="J523" s="48">
        <f t="shared" si="82"/>
        <v>0.46260671913491597</v>
      </c>
      <c r="K523" s="5" cm="1">
        <f t="array" ref="K523">UseableCapacity(I523,$K$7,$K$8)</f>
        <v>205.15869594000006</v>
      </c>
      <c r="L523" s="59">
        <f t="shared" si="83"/>
        <v>147.00120627893176</v>
      </c>
      <c r="M523" s="7">
        <f t="shared" si="84"/>
        <v>78.614974298931756</v>
      </c>
      <c r="N523" s="7">
        <f t="shared" si="85"/>
        <v>19.495072079999943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79"/>
        <v>510</v>
      </c>
      <c r="C524" s="7">
        <f t="shared" si="80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59" cm="1">
        <f t="array" ref="F524">estimatedTripDuration(C524,$C$7,$C$6)/60</f>
        <v>17.126666667328941</v>
      </c>
      <c r="G524">
        <f t="shared" si="86"/>
        <v>510</v>
      </c>
      <c r="H524" s="50">
        <f t="shared" si="81"/>
        <v>42.5</v>
      </c>
      <c r="I524" s="7" cm="1">
        <f t="array" ref="I524">CurrentCapacity(K$9,K$5,K$6,H524)</f>
        <v>273.54404880000004</v>
      </c>
      <c r="J524" s="48">
        <f t="shared" si="82"/>
        <v>0.46280477062628117</v>
      </c>
      <c r="K524" s="5" cm="1">
        <f t="array" ref="K524">UseableCapacity(I524,$K$7,$K$8)</f>
        <v>205.15803660000003</v>
      </c>
      <c r="L524" s="59">
        <f t="shared" si="83"/>
        <v>146.94655803893176</v>
      </c>
      <c r="M524" s="7">
        <f t="shared" si="84"/>
        <v>78.560545838931745</v>
      </c>
      <c r="N524" s="7">
        <f t="shared" si="85"/>
        <v>19.495951199999979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79"/>
        <v>511</v>
      </c>
      <c r="C525" s="7">
        <f t="shared" si="80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59" cm="1">
        <f t="array" ref="F525">estimatedTripDuration(C525,$C$7,$C$6)/60</f>
        <v>17.160000000662269</v>
      </c>
      <c r="G525">
        <f t="shared" si="86"/>
        <v>511</v>
      </c>
      <c r="H525" s="50">
        <f t="shared" si="81"/>
        <v>42.583333333333336</v>
      </c>
      <c r="I525" s="7" cm="1">
        <f t="array" ref="I525">CurrentCapacity(K$9,K$5,K$6,H525)</f>
        <v>273.54316968000001</v>
      </c>
      <c r="J525" s="48">
        <f t="shared" si="82"/>
        <v>0.46300282339065235</v>
      </c>
      <c r="K525" s="5" cm="1">
        <f t="array" ref="K525">UseableCapacity(I525,$K$7,$K$8)</f>
        <v>205.15737726</v>
      </c>
      <c r="L525" s="59">
        <f t="shared" si="83"/>
        <v>146.89190979893172</v>
      </c>
      <c r="M525" s="7">
        <f t="shared" si="84"/>
        <v>78.506117378931719</v>
      </c>
      <c r="N525" s="7">
        <f t="shared" si="85"/>
        <v>19.496830320000015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79"/>
        <v>512</v>
      </c>
      <c r="C526" s="7">
        <f t="shared" si="80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59" cm="1">
        <f t="array" ref="F526">estimatedTripDuration(C526,$C$7,$C$6)/60</f>
        <v>17.193333333995607</v>
      </c>
      <c r="G526">
        <f t="shared" si="86"/>
        <v>512</v>
      </c>
      <c r="H526" s="50">
        <f t="shared" si="81"/>
        <v>42.666666666666664</v>
      </c>
      <c r="I526" s="7" cm="1">
        <f t="array" ref="I526">CurrentCapacity(K$9,K$5,K$6,H526)</f>
        <v>273.54229056000003</v>
      </c>
      <c r="J526" s="48">
        <f t="shared" si="82"/>
        <v>0.46320087742804161</v>
      </c>
      <c r="K526" s="5" cm="1">
        <f t="array" ref="K526">UseableCapacity(I526,$K$7,$K$8)</f>
        <v>205.15671792000001</v>
      </c>
      <c r="L526" s="59">
        <f t="shared" si="83"/>
        <v>146.83726155893171</v>
      </c>
      <c r="M526" s="7">
        <f t="shared" si="84"/>
        <v>78.451688918931694</v>
      </c>
      <c r="N526" s="7">
        <f t="shared" si="85"/>
        <v>19.497709439999994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ref="B527:B590" si="89">B526+$G$12</f>
        <v>513</v>
      </c>
      <c r="C527" s="7">
        <f t="shared" ref="C527:C590" si="90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59" cm="1">
        <f t="array" ref="F527">estimatedTripDuration(C527,$C$7,$C$6)/60</f>
        <v>17.226666667328939</v>
      </c>
      <c r="G527">
        <f t="shared" si="86"/>
        <v>513</v>
      </c>
      <c r="H527" s="50">
        <f t="shared" ref="H527:H590" si="91">G527/$G$3</f>
        <v>42.75</v>
      </c>
      <c r="I527" s="7" cm="1">
        <f t="array" ref="I527">CurrentCapacity(K$9,K$5,K$6,H527)</f>
        <v>273.54141144000005</v>
      </c>
      <c r="J527" s="48">
        <f t="shared" ref="J527:J590" si="92">E527/I527</f>
        <v>0.46339893273846106</v>
      </c>
      <c r="K527" s="5" cm="1">
        <f t="array" ref="K527">UseableCapacity(I527,$K$7,$K$8)</f>
        <v>205.15605858000004</v>
      </c>
      <c r="L527" s="59">
        <f t="shared" ref="L527:L590" si="93">(K$7*I527)-E527</f>
        <v>146.78261331893177</v>
      </c>
      <c r="M527" s="7">
        <f t="shared" ref="M527:M590" si="94">K527-E527</f>
        <v>78.397260458931754</v>
      </c>
      <c r="N527" s="7">
        <f t="shared" ref="N527:N590" si="95">$K$9-I527</f>
        <v>19.498588559999973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si="89"/>
        <v>514</v>
      </c>
      <c r="C528" s="7">
        <f t="shared" si="90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59" cm="1">
        <f t="array" ref="F528">estimatedTripDuration(C528,$C$7,$C$6)/60</f>
        <v>17.260000000662274</v>
      </c>
      <c r="G528">
        <f t="shared" si="86"/>
        <v>514</v>
      </c>
      <c r="H528" s="50">
        <f t="shared" si="91"/>
        <v>42.833333333333336</v>
      </c>
      <c r="I528" s="7" cm="1">
        <f t="array" ref="I528">CurrentCapacity(K$9,K$5,K$6,H528)</f>
        <v>273.54053232000001</v>
      </c>
      <c r="J528" s="48">
        <f t="shared" si="92"/>
        <v>0.46359698932192345</v>
      </c>
      <c r="K528" s="5" cm="1">
        <f t="array" ref="K528">UseableCapacity(I528,$K$7,$K$8)</f>
        <v>205.15539924000001</v>
      </c>
      <c r="L528" s="59">
        <f t="shared" si="93"/>
        <v>146.7279650789317</v>
      </c>
      <c r="M528" s="7">
        <f t="shared" si="94"/>
        <v>78.3428319989317</v>
      </c>
      <c r="N528" s="7">
        <f t="shared" si="95"/>
        <v>19.499467680000009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si="89"/>
        <v>515</v>
      </c>
      <c r="C529" s="7">
        <f t="shared" si="90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59" cm="1">
        <f t="array" ref="F529">estimatedTripDuration(C529,$C$7,$C$6)/60</f>
        <v>17.293333333995609</v>
      </c>
      <c r="G529">
        <f t="shared" si="86"/>
        <v>515</v>
      </c>
      <c r="H529" s="50">
        <f t="shared" si="91"/>
        <v>42.916666666666664</v>
      </c>
      <c r="I529" s="7" cm="1">
        <f t="array" ref="I529">CurrentCapacity(K$9,K$5,K$6,H529)</f>
        <v>273.53965320000003</v>
      </c>
      <c r="J529" s="48">
        <f t="shared" si="92"/>
        <v>0.46379504717844061</v>
      </c>
      <c r="K529" s="5" cm="1">
        <f t="array" ref="K529">UseableCapacity(I529,$K$7,$K$8)</f>
        <v>205.15473990000004</v>
      </c>
      <c r="L529" s="59">
        <f t="shared" si="93"/>
        <v>146.67331683893173</v>
      </c>
      <c r="M529" s="7">
        <f t="shared" si="94"/>
        <v>78.288403538931746</v>
      </c>
      <c r="N529" s="7">
        <f t="shared" si="95"/>
        <v>19.500346799999988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89"/>
        <v>516</v>
      </c>
      <c r="C530" s="7">
        <f t="shared" si="90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59" cm="1">
        <f t="array" ref="F530">estimatedTripDuration(C530,$C$7,$C$6)/60</f>
        <v>17.32666666732894</v>
      </c>
      <c r="G530">
        <f t="shared" si="86"/>
        <v>516</v>
      </c>
      <c r="H530" s="50">
        <f t="shared" si="91"/>
        <v>43</v>
      </c>
      <c r="I530" s="7" cm="1">
        <f t="array" ref="I530">CurrentCapacity(K$9,K$5,K$6,H530)</f>
        <v>273.53877408000005</v>
      </c>
      <c r="J530" s="48">
        <f t="shared" si="92"/>
        <v>0.46399310630802498</v>
      </c>
      <c r="K530" s="5" cm="1">
        <f t="array" ref="K530">UseableCapacity(I530,$K$7,$K$8)</f>
        <v>205.15408056000004</v>
      </c>
      <c r="L530" s="59">
        <f t="shared" si="93"/>
        <v>146.61866859893178</v>
      </c>
      <c r="M530" s="7">
        <f t="shared" si="94"/>
        <v>78.233975078931749</v>
      </c>
      <c r="N530" s="7">
        <f t="shared" si="95"/>
        <v>19.501225919999968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89"/>
        <v>517</v>
      </c>
      <c r="C531" s="7">
        <f t="shared" si="90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59" cm="1">
        <f t="array" ref="F531">estimatedTripDuration(C531,$C$7,$C$6)/60</f>
        <v>17.360000000662275</v>
      </c>
      <c r="G531">
        <f t="shared" si="86"/>
        <v>517</v>
      </c>
      <c r="H531" s="50">
        <f t="shared" si="91"/>
        <v>43.083333333333336</v>
      </c>
      <c r="I531" s="7" cm="1">
        <f t="array" ref="I531">CurrentCapacity(K$9,K$5,K$6,H531)</f>
        <v>273.53789496000002</v>
      </c>
      <c r="J531" s="48">
        <f t="shared" si="92"/>
        <v>0.46419116671068894</v>
      </c>
      <c r="K531" s="5" cm="1">
        <f t="array" ref="K531">UseableCapacity(I531,$K$7,$K$8)</f>
        <v>205.15342122000001</v>
      </c>
      <c r="L531" s="59">
        <f t="shared" si="93"/>
        <v>146.56402035893171</v>
      </c>
      <c r="M531" s="7">
        <f t="shared" si="94"/>
        <v>78.179546618931724</v>
      </c>
      <c r="N531" s="7">
        <f t="shared" si="95"/>
        <v>19.502105040000004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89"/>
        <v>518</v>
      </c>
      <c r="C532" s="7">
        <f t="shared" si="90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59" cm="1">
        <f t="array" ref="F532">estimatedTripDuration(C532,$C$7,$C$6)/60</f>
        <v>17.393333333995606</v>
      </c>
      <c r="G532">
        <f t="shared" si="86"/>
        <v>518</v>
      </c>
      <c r="H532" s="50">
        <f t="shared" si="91"/>
        <v>43.166666666666664</v>
      </c>
      <c r="I532" s="7" cm="1">
        <f t="array" ref="I532">CurrentCapacity(K$9,K$5,K$6,H532)</f>
        <v>273.53701584000004</v>
      </c>
      <c r="J532" s="48">
        <f t="shared" si="92"/>
        <v>0.46438922838644459</v>
      </c>
      <c r="K532" s="5" cm="1">
        <f t="array" ref="K532">UseableCapacity(I532,$K$7,$K$8)</f>
        <v>205.15276188000001</v>
      </c>
      <c r="L532" s="59">
        <f t="shared" si="93"/>
        <v>146.50937211893176</v>
      </c>
      <c r="M532" s="7">
        <f t="shared" si="94"/>
        <v>78.125118158931727</v>
      </c>
      <c r="N532" s="7">
        <f t="shared" si="95"/>
        <v>19.502984159999983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89"/>
        <v>519</v>
      </c>
      <c r="C533" s="7">
        <f t="shared" si="90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59" cm="1">
        <f t="array" ref="F533">estimatedTripDuration(C533,$C$7,$C$6)/60</f>
        <v>17.426666667328941</v>
      </c>
      <c r="G533">
        <f t="shared" si="86"/>
        <v>519</v>
      </c>
      <c r="H533" s="50">
        <f t="shared" si="91"/>
        <v>43.25</v>
      </c>
      <c r="I533" s="7" cm="1">
        <f t="array" ref="I533">CurrentCapacity(K$9,K$5,K$6,H533)</f>
        <v>273.53613672</v>
      </c>
      <c r="J533" s="48">
        <f t="shared" si="92"/>
        <v>0.46458729133530441</v>
      </c>
      <c r="K533" s="5" cm="1">
        <f t="array" ref="K533">UseableCapacity(I533,$K$7,$K$8)</f>
        <v>205.15210253999999</v>
      </c>
      <c r="L533" s="59">
        <f t="shared" si="93"/>
        <v>146.4547238789317</v>
      </c>
      <c r="M533" s="7">
        <f t="shared" si="94"/>
        <v>78.070689698931687</v>
      </c>
      <c r="N533" s="7">
        <f t="shared" si="95"/>
        <v>19.503863280000019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89"/>
        <v>520</v>
      </c>
      <c r="C534" s="7">
        <f t="shared" si="90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59" cm="1">
        <f t="array" ref="F534">estimatedTripDuration(C534,$C$7,$C$6)/60</f>
        <v>17.460000000662273</v>
      </c>
      <c r="G534">
        <f t="shared" si="86"/>
        <v>520</v>
      </c>
      <c r="H534" s="50">
        <f t="shared" si="91"/>
        <v>43.333333333333336</v>
      </c>
      <c r="I534" s="7" cm="1">
        <f t="array" ref="I534">CurrentCapacity(K$9,K$5,K$6,H534)</f>
        <v>273.53525760000002</v>
      </c>
      <c r="J534" s="48">
        <f t="shared" si="92"/>
        <v>0.46478535555728034</v>
      </c>
      <c r="K534" s="5" cm="1">
        <f t="array" ref="K534">UseableCapacity(I534,$K$7,$K$8)</f>
        <v>205.15144320000002</v>
      </c>
      <c r="L534" s="59">
        <f t="shared" si="93"/>
        <v>146.40007563893175</v>
      </c>
      <c r="M534" s="7">
        <f t="shared" si="94"/>
        <v>78.016261238931733</v>
      </c>
      <c r="N534" s="7">
        <f t="shared" si="95"/>
        <v>19.504742399999998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89"/>
        <v>521</v>
      </c>
      <c r="C535" s="7">
        <f t="shared" si="90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59" cm="1">
        <f t="array" ref="F535">estimatedTripDuration(C535,$C$7,$C$6)/60</f>
        <v>17.493333333995608</v>
      </c>
      <c r="G535">
        <f t="shared" si="86"/>
        <v>521</v>
      </c>
      <c r="H535" s="50">
        <f t="shared" si="91"/>
        <v>43.416666666666664</v>
      </c>
      <c r="I535" s="7" cm="1">
        <f t="array" ref="I535">CurrentCapacity(K$9,K$5,K$6,H535)</f>
        <v>273.53437848000004</v>
      </c>
      <c r="J535" s="48">
        <f t="shared" si="92"/>
        <v>0.46498342105238499</v>
      </c>
      <c r="K535" s="5" cm="1">
        <f t="array" ref="K535">UseableCapacity(I535,$K$7,$K$8)</f>
        <v>205.15078386000005</v>
      </c>
      <c r="L535" s="59">
        <f t="shared" si="93"/>
        <v>146.34542739893175</v>
      </c>
      <c r="M535" s="7">
        <f t="shared" si="94"/>
        <v>77.96183277893175</v>
      </c>
      <c r="N535" s="7">
        <f t="shared" si="95"/>
        <v>19.505621519999977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89"/>
        <v>522</v>
      </c>
      <c r="C536" s="7">
        <f t="shared" si="90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59" cm="1">
        <f t="array" ref="F536">estimatedTripDuration(C536,$C$7,$C$6)/60</f>
        <v>17.526666667328939</v>
      </c>
      <c r="G536">
        <f t="shared" si="86"/>
        <v>522</v>
      </c>
      <c r="H536" s="50">
        <f t="shared" si="91"/>
        <v>43.5</v>
      </c>
      <c r="I536" s="7" cm="1">
        <f t="array" ref="I536">CurrentCapacity(K$9,K$5,K$6,H536)</f>
        <v>273.53349936000006</v>
      </c>
      <c r="J536" s="48">
        <f t="shared" si="92"/>
        <v>0.46518148782063046</v>
      </c>
      <c r="K536" s="5" cm="1">
        <f t="array" ref="K536">UseableCapacity(I536,$K$7,$K$8)</f>
        <v>205.15012452000005</v>
      </c>
      <c r="L536" s="59">
        <f t="shared" si="93"/>
        <v>146.29077915893177</v>
      </c>
      <c r="M536" s="7">
        <f t="shared" si="94"/>
        <v>77.907404318931754</v>
      </c>
      <c r="N536" s="7">
        <f t="shared" si="95"/>
        <v>19.506500639999956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89"/>
        <v>523</v>
      </c>
      <c r="C537" s="7">
        <f t="shared" si="90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59" cm="1">
        <f t="array" ref="F537">estimatedTripDuration(C537,$C$7,$C$6)/60</f>
        <v>17.560000000662274</v>
      </c>
      <c r="G537">
        <f t="shared" si="86"/>
        <v>523</v>
      </c>
      <c r="H537" s="50">
        <f t="shared" si="91"/>
        <v>43.583333333333336</v>
      </c>
      <c r="I537" s="7" cm="1">
        <f t="array" ref="I537">CurrentCapacity(K$9,K$5,K$6,H537)</f>
        <v>273.53262024000003</v>
      </c>
      <c r="J537" s="48">
        <f t="shared" si="92"/>
        <v>0.46537955586202912</v>
      </c>
      <c r="K537" s="5" cm="1">
        <f t="array" ref="K537">UseableCapacity(I537,$K$7,$K$8)</f>
        <v>205.14946518000002</v>
      </c>
      <c r="L537" s="59">
        <f t="shared" si="93"/>
        <v>146.23613091893174</v>
      </c>
      <c r="M537" s="7">
        <f t="shared" si="94"/>
        <v>77.852975858931728</v>
      </c>
      <c r="N537" s="7">
        <f t="shared" si="95"/>
        <v>19.507379759999992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89"/>
        <v>524</v>
      </c>
      <c r="C538" s="7">
        <f t="shared" si="90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59" cm="1">
        <f t="array" ref="F538">estimatedTripDuration(C538,$C$7,$C$6)/60</f>
        <v>17.593333333995606</v>
      </c>
      <c r="G538">
        <f t="shared" si="86"/>
        <v>524</v>
      </c>
      <c r="H538" s="50">
        <f t="shared" si="91"/>
        <v>43.666666666666664</v>
      </c>
      <c r="I538" s="7" cm="1">
        <f t="array" ref="I538">CurrentCapacity(K$9,K$5,K$6,H538)</f>
        <v>273.53174112000005</v>
      </c>
      <c r="J538" s="48">
        <f t="shared" si="92"/>
        <v>0.46557762517659318</v>
      </c>
      <c r="K538" s="5" cm="1">
        <f t="array" ref="K538">UseableCapacity(I538,$K$7,$K$8)</f>
        <v>205.14880584000002</v>
      </c>
      <c r="L538" s="59">
        <f t="shared" si="93"/>
        <v>146.18148267893173</v>
      </c>
      <c r="M538" s="7">
        <f t="shared" si="94"/>
        <v>77.798547398931717</v>
      </c>
      <c r="N538" s="7">
        <f t="shared" si="95"/>
        <v>19.508258879999971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89"/>
        <v>525</v>
      </c>
      <c r="C539" s="7">
        <f t="shared" si="90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59" cm="1">
        <f t="array" ref="F539">estimatedTripDuration(C539,$C$7,$C$6)/60</f>
        <v>17.626666667328941</v>
      </c>
      <c r="G539">
        <f t="shared" si="86"/>
        <v>525</v>
      </c>
      <c r="H539" s="50">
        <f t="shared" si="91"/>
        <v>43.75</v>
      </c>
      <c r="I539" s="7" cm="1">
        <f t="array" ref="I539">CurrentCapacity(K$9,K$5,K$6,H539)</f>
        <v>273.53086200000001</v>
      </c>
      <c r="J539" s="48">
        <f t="shared" si="92"/>
        <v>0.46577569576433492</v>
      </c>
      <c r="K539" s="5" cm="1">
        <f t="array" ref="K539">UseableCapacity(I539,$K$7,$K$8)</f>
        <v>205.1481465</v>
      </c>
      <c r="L539" s="59">
        <f t="shared" si="93"/>
        <v>146.12683443893172</v>
      </c>
      <c r="M539" s="7">
        <f t="shared" si="94"/>
        <v>77.744118938931706</v>
      </c>
      <c r="N539" s="7">
        <f t="shared" si="95"/>
        <v>19.509138000000007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89"/>
        <v>526</v>
      </c>
      <c r="C540" s="7">
        <f t="shared" si="90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59" cm="1">
        <f t="array" ref="F540">estimatedTripDuration(C540,$C$7,$C$6)/60</f>
        <v>17.660000000662272</v>
      </c>
      <c r="G540">
        <f t="shared" si="86"/>
        <v>526</v>
      </c>
      <c r="H540" s="50">
        <f t="shared" si="91"/>
        <v>43.833333333333336</v>
      </c>
      <c r="I540" s="7" cm="1">
        <f t="array" ref="I540">CurrentCapacity(K$9,K$5,K$6,H540)</f>
        <v>273.52998288000003</v>
      </c>
      <c r="J540" s="48">
        <f t="shared" si="92"/>
        <v>0.4659737676252666</v>
      </c>
      <c r="K540" s="5" cm="1">
        <f t="array" ref="K540">UseableCapacity(I540,$K$7,$K$8)</f>
        <v>205.14748716000003</v>
      </c>
      <c r="L540" s="59">
        <f t="shared" si="93"/>
        <v>146.07218619893175</v>
      </c>
      <c r="M540" s="7">
        <f t="shared" si="94"/>
        <v>77.689690478931738</v>
      </c>
      <c r="N540" s="7">
        <f t="shared" si="95"/>
        <v>19.510017119999986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89"/>
        <v>527</v>
      </c>
      <c r="C541" s="7">
        <f t="shared" si="90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59" cm="1">
        <f t="array" ref="F541">estimatedTripDuration(C541,$C$7,$C$6)/60</f>
        <v>17.693333333995607</v>
      </c>
      <c r="G541">
        <f t="shared" si="86"/>
        <v>527</v>
      </c>
      <c r="H541" s="50">
        <f t="shared" si="91"/>
        <v>43.916666666666664</v>
      </c>
      <c r="I541" s="7" cm="1">
        <f t="array" ref="I541">CurrentCapacity(K$9,K$5,K$6,H541)</f>
        <v>273.52910376</v>
      </c>
      <c r="J541" s="48">
        <f t="shared" si="92"/>
        <v>0.46617184075940066</v>
      </c>
      <c r="K541" s="5" cm="1">
        <f t="array" ref="K541">UseableCapacity(I541,$K$7,$K$8)</f>
        <v>205.14682782</v>
      </c>
      <c r="L541" s="59">
        <f t="shared" si="93"/>
        <v>146.01753795893171</v>
      </c>
      <c r="M541" s="7">
        <f t="shared" si="94"/>
        <v>77.635262018931698</v>
      </c>
      <c r="N541" s="7">
        <f t="shared" si="95"/>
        <v>19.510896240000022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89"/>
        <v>528</v>
      </c>
      <c r="C542" s="7">
        <f t="shared" si="90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59" cm="1">
        <f t="array" ref="F542">estimatedTripDuration(C542,$C$7,$C$6)/60</f>
        <v>17.726666667328939</v>
      </c>
      <c r="G542">
        <f t="shared" si="86"/>
        <v>528</v>
      </c>
      <c r="H542" s="50">
        <f t="shared" si="91"/>
        <v>44</v>
      </c>
      <c r="I542" s="7" cm="1">
        <f t="array" ref="I542">CurrentCapacity(K$9,K$5,K$6,H542)</f>
        <v>273.52822464000002</v>
      </c>
      <c r="J542" s="48">
        <f t="shared" si="92"/>
        <v>0.46636991516674908</v>
      </c>
      <c r="K542" s="5" cm="1">
        <f t="array" ref="K542">UseableCapacity(I542,$K$7,$K$8)</f>
        <v>205.14616848000003</v>
      </c>
      <c r="L542" s="59">
        <f t="shared" si="93"/>
        <v>145.96288971893171</v>
      </c>
      <c r="M542" s="7">
        <f t="shared" si="94"/>
        <v>77.580833558931729</v>
      </c>
      <c r="N542" s="7">
        <f t="shared" si="95"/>
        <v>19.511775360000001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89"/>
        <v>529</v>
      </c>
      <c r="C543" s="7">
        <f t="shared" si="90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59" cm="1">
        <f t="array" ref="F543">estimatedTripDuration(C543,$C$7,$C$6)/60</f>
        <v>17.760000000662274</v>
      </c>
      <c r="G543">
        <f t="shared" ref="G543:G606" si="96">B543</f>
        <v>529</v>
      </c>
      <c r="H543" s="50">
        <f t="shared" si="91"/>
        <v>44.083333333333336</v>
      </c>
      <c r="I543" s="7" cm="1">
        <f t="array" ref="I543">CurrentCapacity(K$9,K$5,K$6,H543)</f>
        <v>273.52734552000004</v>
      </c>
      <c r="J543" s="48">
        <f t="shared" si="92"/>
        <v>0.46656799084732437</v>
      </c>
      <c r="K543" s="5" cm="1">
        <f t="array" ref="K543">UseableCapacity(I543,$K$7,$K$8)</f>
        <v>205.14550914000003</v>
      </c>
      <c r="L543" s="59">
        <f t="shared" si="93"/>
        <v>145.90824147893173</v>
      </c>
      <c r="M543" s="7">
        <f t="shared" si="94"/>
        <v>77.526405098931718</v>
      </c>
      <c r="N543" s="7">
        <f t="shared" si="95"/>
        <v>19.512654479999981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35">
      <c r="B544">
        <f t="shared" si="89"/>
        <v>530</v>
      </c>
      <c r="C544" s="7">
        <f t="shared" si="90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59" cm="1">
        <f t="array" ref="F544">estimatedTripDuration(C544,$C$7,$C$6)/60</f>
        <v>17.793333333995609</v>
      </c>
      <c r="G544">
        <f t="shared" si="96"/>
        <v>530</v>
      </c>
      <c r="H544" s="50">
        <f t="shared" si="91"/>
        <v>44.166666666666664</v>
      </c>
      <c r="I544" s="7" cm="1">
        <f t="array" ref="I544">CurrentCapacity(K$9,K$5,K$6,H544)</f>
        <v>273.52646640000006</v>
      </c>
      <c r="J544" s="48">
        <f t="shared" si="92"/>
        <v>0.46676606780113861</v>
      </c>
      <c r="K544" s="5" cm="1">
        <f t="array" ref="K544">UseableCapacity(I544,$K$7,$K$8)</f>
        <v>205.14484980000003</v>
      </c>
      <c r="L544" s="59">
        <f t="shared" si="93"/>
        <v>145.85359323893175</v>
      </c>
      <c r="M544" s="7">
        <f t="shared" si="94"/>
        <v>77.471976638931736</v>
      </c>
      <c r="N544" s="7">
        <f t="shared" si="95"/>
        <v>19.51353359999996</v>
      </c>
      <c r="O544" t="str">
        <f t="shared" si="97"/>
        <v>no</v>
      </c>
      <c r="P544" t="str">
        <f t="shared" si="98"/>
        <v>no</v>
      </c>
    </row>
    <row r="545" spans="2:16" x14ac:dyDescent="0.35">
      <c r="B545">
        <f t="shared" si="89"/>
        <v>531</v>
      </c>
      <c r="C545" s="7">
        <f t="shared" si="90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59" cm="1">
        <f t="array" ref="F545">estimatedTripDuration(C545,$C$7,$C$6)/60</f>
        <v>17.82666666732894</v>
      </c>
      <c r="G545">
        <f t="shared" si="96"/>
        <v>531</v>
      </c>
      <c r="H545" s="50">
        <f t="shared" si="91"/>
        <v>44.25</v>
      </c>
      <c r="I545" s="7" cm="1">
        <f t="array" ref="I545">CurrentCapacity(K$9,K$5,K$6,H545)</f>
        <v>273.52558728000002</v>
      </c>
      <c r="J545" s="48">
        <f t="shared" si="92"/>
        <v>0.46696414602820435</v>
      </c>
      <c r="K545" s="5" cm="1">
        <f t="array" ref="K545">UseableCapacity(I545,$K$7,$K$8)</f>
        <v>205.14419046</v>
      </c>
      <c r="L545" s="59">
        <f t="shared" si="93"/>
        <v>145.79894499893174</v>
      </c>
      <c r="M545" s="7">
        <f t="shared" si="94"/>
        <v>77.417548178931725</v>
      </c>
      <c r="N545" s="7">
        <f t="shared" si="95"/>
        <v>19.514412719999996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89"/>
        <v>532</v>
      </c>
      <c r="C546" s="7">
        <f t="shared" si="90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59" cm="1">
        <f t="array" ref="F546">estimatedTripDuration(C546,$C$7,$C$6)/60</f>
        <v>17.860000000662275</v>
      </c>
      <c r="G546">
        <f t="shared" si="96"/>
        <v>532</v>
      </c>
      <c r="H546" s="50">
        <f t="shared" si="91"/>
        <v>44.333333333333336</v>
      </c>
      <c r="I546" s="7" cm="1">
        <f t="array" ref="I546">CurrentCapacity(K$9,K$5,K$6,H546)</f>
        <v>273.52470816000005</v>
      </c>
      <c r="J546" s="48">
        <f t="shared" si="92"/>
        <v>0.46716222552853365</v>
      </c>
      <c r="K546" s="5" cm="1">
        <f t="array" ref="K546">UseableCapacity(I546,$K$7,$K$8)</f>
        <v>205.14353112000003</v>
      </c>
      <c r="L546" s="59">
        <f t="shared" si="93"/>
        <v>145.74429675893174</v>
      </c>
      <c r="M546" s="7">
        <f t="shared" si="94"/>
        <v>77.363119718931742</v>
      </c>
      <c r="N546" s="7">
        <f t="shared" si="95"/>
        <v>19.515291839999975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89"/>
        <v>533</v>
      </c>
      <c r="C547" s="7">
        <f t="shared" si="90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59" cm="1">
        <f t="array" ref="F547">estimatedTripDuration(C547,$C$7,$C$6)/60</f>
        <v>17.893333333995606</v>
      </c>
      <c r="G547">
        <f t="shared" si="96"/>
        <v>533</v>
      </c>
      <c r="H547" s="50">
        <f t="shared" si="91"/>
        <v>44.416666666666664</v>
      </c>
      <c r="I547" s="7" cm="1">
        <f t="array" ref="I547">CurrentCapacity(K$9,K$5,K$6,H547)</f>
        <v>273.52382904000001</v>
      </c>
      <c r="J547" s="48">
        <f t="shared" si="92"/>
        <v>0.46736030630213893</v>
      </c>
      <c r="K547" s="5" cm="1">
        <f t="array" ref="K547">UseableCapacity(I547,$K$7,$K$8)</f>
        <v>205.14287178000001</v>
      </c>
      <c r="L547" s="59">
        <f t="shared" si="93"/>
        <v>145.68964851893173</v>
      </c>
      <c r="M547" s="7">
        <f t="shared" si="94"/>
        <v>77.308691258931717</v>
      </c>
      <c r="N547" s="7">
        <f t="shared" si="95"/>
        <v>19.516170960000011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89"/>
        <v>534</v>
      </c>
      <c r="C548" s="7">
        <f t="shared" si="90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59" cm="1">
        <f t="array" ref="F548">estimatedTripDuration(C548,$C$7,$C$6)/60</f>
        <v>17.926666667328941</v>
      </c>
      <c r="G548">
        <f t="shared" si="96"/>
        <v>534</v>
      </c>
      <c r="H548" s="50">
        <f t="shared" si="91"/>
        <v>44.5</v>
      </c>
      <c r="I548" s="7" cm="1">
        <f t="array" ref="I548">CurrentCapacity(K$9,K$5,K$6,H548)</f>
        <v>273.52294992000003</v>
      </c>
      <c r="J548" s="48">
        <f t="shared" si="92"/>
        <v>0.46755838834903235</v>
      </c>
      <c r="K548" s="5" cm="1">
        <f t="array" ref="K548">UseableCapacity(I548,$K$7,$K$8)</f>
        <v>205.14221244000004</v>
      </c>
      <c r="L548" s="59">
        <f t="shared" si="93"/>
        <v>145.63500027893173</v>
      </c>
      <c r="M548" s="7">
        <f t="shared" si="94"/>
        <v>77.254262798931734</v>
      </c>
      <c r="N548" s="7">
        <f t="shared" si="95"/>
        <v>19.51705007999999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89"/>
        <v>535</v>
      </c>
      <c r="C549" s="7">
        <f t="shared" si="90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59" cm="1">
        <f t="array" ref="F549">estimatedTripDuration(C549,$C$7,$C$6)/60</f>
        <v>17.960000000662273</v>
      </c>
      <c r="G549">
        <f t="shared" si="96"/>
        <v>535</v>
      </c>
      <c r="H549" s="50">
        <f t="shared" si="91"/>
        <v>44.583333333333336</v>
      </c>
      <c r="I549" s="7" cm="1">
        <f t="array" ref="I549">CurrentCapacity(K$9,K$5,K$6,H549)</f>
        <v>273.52207080000005</v>
      </c>
      <c r="J549" s="48">
        <f t="shared" si="92"/>
        <v>0.46775647166922613</v>
      </c>
      <c r="K549" s="5" cm="1">
        <f t="array" ref="K549">UseableCapacity(I549,$K$7,$K$8)</f>
        <v>205.14155310000004</v>
      </c>
      <c r="L549" s="59">
        <f t="shared" si="93"/>
        <v>145.58035203893178</v>
      </c>
      <c r="M549" s="7">
        <f t="shared" si="94"/>
        <v>77.199834338931751</v>
      </c>
      <c r="N549" s="7">
        <f t="shared" si="95"/>
        <v>19.517929199999969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89"/>
        <v>536</v>
      </c>
      <c r="C550" s="7">
        <f t="shared" si="90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59" cm="1">
        <f t="array" ref="F550">estimatedTripDuration(C550,$C$7,$C$6)/60</f>
        <v>17.993333333995608</v>
      </c>
      <c r="G550">
        <f t="shared" si="96"/>
        <v>536</v>
      </c>
      <c r="H550" s="50">
        <f t="shared" si="91"/>
        <v>44.666666666666664</v>
      </c>
      <c r="I550" s="7" cm="1">
        <f t="array" ref="I550">CurrentCapacity(K$9,K$5,K$6,H550)</f>
        <v>273.52119168000002</v>
      </c>
      <c r="J550" s="48">
        <f t="shared" si="92"/>
        <v>0.46795455626273275</v>
      </c>
      <c r="K550" s="5" cm="1">
        <f t="array" ref="K550">UseableCapacity(I550,$K$7,$K$8)</f>
        <v>205.14089376000001</v>
      </c>
      <c r="L550" s="59">
        <f t="shared" si="93"/>
        <v>145.52570379893174</v>
      </c>
      <c r="M550" s="7">
        <f t="shared" si="94"/>
        <v>77.14540587893174</v>
      </c>
      <c r="N550" s="7">
        <f t="shared" si="95"/>
        <v>19.518808320000005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89"/>
        <v>537</v>
      </c>
      <c r="C551" s="7">
        <f t="shared" si="90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59" cm="1">
        <f t="array" ref="F551">estimatedTripDuration(C551,$C$7,$C$6)/60</f>
        <v>18.026666667328939</v>
      </c>
      <c r="G551">
        <f t="shared" si="96"/>
        <v>537</v>
      </c>
      <c r="H551" s="50">
        <f t="shared" si="91"/>
        <v>44.75</v>
      </c>
      <c r="I551" s="7" cm="1">
        <f t="array" ref="I551">CurrentCapacity(K$9,K$5,K$6,H551)</f>
        <v>273.52031256000004</v>
      </c>
      <c r="J551" s="48">
        <f t="shared" si="92"/>
        <v>0.46815264212956442</v>
      </c>
      <c r="K551" s="5" cm="1">
        <f t="array" ref="K551">UseableCapacity(I551,$K$7,$K$8)</f>
        <v>205.14023442000001</v>
      </c>
      <c r="L551" s="59">
        <f t="shared" si="93"/>
        <v>145.47105555893174</v>
      </c>
      <c r="M551" s="7">
        <f t="shared" si="94"/>
        <v>77.090977418931715</v>
      </c>
      <c r="N551" s="7">
        <f t="shared" si="95"/>
        <v>19.519687439999984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89"/>
        <v>538</v>
      </c>
      <c r="C552" s="7">
        <f t="shared" si="90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59" cm="1">
        <f t="array" ref="F552">estimatedTripDuration(C552,$C$7,$C$6)/60</f>
        <v>18.060000000662274</v>
      </c>
      <c r="G552">
        <f t="shared" si="96"/>
        <v>538</v>
      </c>
      <c r="H552" s="50">
        <f t="shared" si="91"/>
        <v>44.833333333333336</v>
      </c>
      <c r="I552" s="7" cm="1">
        <f t="array" ref="I552">CurrentCapacity(K$9,K$5,K$6,H552)</f>
        <v>273.51943344000006</v>
      </c>
      <c r="J552" s="48">
        <f t="shared" si="92"/>
        <v>0.46835072926973315</v>
      </c>
      <c r="K552" s="5" cm="1">
        <f t="array" ref="K552">UseableCapacity(I552,$K$7,$K$8)</f>
        <v>205.13957508000004</v>
      </c>
      <c r="L552" s="59">
        <f t="shared" si="93"/>
        <v>145.41640731893179</v>
      </c>
      <c r="M552" s="7">
        <f t="shared" si="94"/>
        <v>77.036548958931775</v>
      </c>
      <c r="N552" s="7">
        <f t="shared" si="95"/>
        <v>19.520566559999963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89"/>
        <v>539</v>
      </c>
      <c r="C553" s="7">
        <f t="shared" si="90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59" cm="1">
        <f t="array" ref="F553">estimatedTripDuration(C553,$C$7,$C$6)/60</f>
        <v>18.093333333995606</v>
      </c>
      <c r="G553">
        <f t="shared" si="96"/>
        <v>539</v>
      </c>
      <c r="H553" s="50">
        <f t="shared" si="91"/>
        <v>44.916666666666664</v>
      </c>
      <c r="I553" s="7" cm="1">
        <f t="array" ref="I553">CurrentCapacity(K$9,K$5,K$6,H553)</f>
        <v>273.51855432000002</v>
      </c>
      <c r="J553" s="48">
        <f t="shared" si="92"/>
        <v>0.46854881768325179</v>
      </c>
      <c r="K553" s="5" cm="1">
        <f t="array" ref="K553">UseableCapacity(I553,$K$7,$K$8)</f>
        <v>205.13891574000002</v>
      </c>
      <c r="L553" s="59">
        <f t="shared" si="93"/>
        <v>145.36175907893173</v>
      </c>
      <c r="M553" s="7">
        <f t="shared" si="94"/>
        <v>76.982120498931721</v>
      </c>
      <c r="N553" s="7">
        <f t="shared" si="95"/>
        <v>19.521445679999999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89"/>
        <v>540</v>
      </c>
      <c r="C554" s="7">
        <f t="shared" si="90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59" cm="1">
        <f t="array" ref="F554">estimatedTripDuration(C554,$C$7,$C$6)/60</f>
        <v>18.126666667328941</v>
      </c>
      <c r="G554">
        <f t="shared" si="96"/>
        <v>540</v>
      </c>
      <c r="H554" s="50">
        <f t="shared" si="91"/>
        <v>45</v>
      </c>
      <c r="I554" s="7" cm="1">
        <f t="array" ref="I554">CurrentCapacity(K$9,K$5,K$6,H554)</f>
        <v>273.51767520000004</v>
      </c>
      <c r="J554" s="48">
        <f t="shared" si="92"/>
        <v>0.46874690737013208</v>
      </c>
      <c r="K554" s="5" cm="1">
        <f t="array" ref="K554">UseableCapacity(I554,$K$7,$K$8)</f>
        <v>205.13825640000005</v>
      </c>
      <c r="L554" s="59">
        <f t="shared" si="93"/>
        <v>145.30711083893175</v>
      </c>
      <c r="M554" s="7">
        <f t="shared" si="94"/>
        <v>76.927692038931752</v>
      </c>
      <c r="N554" s="7">
        <f t="shared" si="95"/>
        <v>19.522324799999978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89"/>
        <v>541</v>
      </c>
      <c r="C555" s="7">
        <f t="shared" si="90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59" cm="1">
        <f t="array" ref="F555">estimatedTripDuration(C555,$C$7,$C$6)/60</f>
        <v>18.160000000662272</v>
      </c>
      <c r="G555">
        <f t="shared" si="96"/>
        <v>541</v>
      </c>
      <c r="H555" s="50">
        <f t="shared" si="91"/>
        <v>45.083333333333336</v>
      </c>
      <c r="I555" s="7" cm="1">
        <f t="array" ref="I555">CurrentCapacity(K$9,K$5,K$6,H555)</f>
        <v>273.51679608000001</v>
      </c>
      <c r="J555" s="48">
        <f t="shared" si="92"/>
        <v>0.46894499833038661</v>
      </c>
      <c r="K555" s="5" cm="1">
        <f t="array" ref="K555">UseableCapacity(I555,$K$7,$K$8)</f>
        <v>205.13759706000002</v>
      </c>
      <c r="L555" s="59">
        <f t="shared" si="93"/>
        <v>145.25246259893171</v>
      </c>
      <c r="M555" s="7">
        <f t="shared" si="94"/>
        <v>76.873263578931727</v>
      </c>
      <c r="N555" s="7">
        <f t="shared" si="95"/>
        <v>19.523203920000014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89"/>
        <v>542</v>
      </c>
      <c r="C556" s="7">
        <f t="shared" si="90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59" cm="1">
        <f t="array" ref="F556">estimatedTripDuration(C556,$C$7,$C$6)/60</f>
        <v>18.193333333995607</v>
      </c>
      <c r="G556">
        <f t="shared" si="96"/>
        <v>542</v>
      </c>
      <c r="H556" s="50">
        <f t="shared" si="91"/>
        <v>45.166666666666664</v>
      </c>
      <c r="I556" s="7" cm="1">
        <f t="array" ref="I556">CurrentCapacity(K$9,K$5,K$6,H556)</f>
        <v>273.51591696000003</v>
      </c>
      <c r="J556" s="48">
        <f t="shared" si="92"/>
        <v>0.46914309056402742</v>
      </c>
      <c r="K556" s="5" cm="1">
        <f t="array" ref="K556">UseableCapacity(I556,$K$7,$K$8)</f>
        <v>205.13693772000002</v>
      </c>
      <c r="L556" s="59">
        <f t="shared" si="93"/>
        <v>145.19781435893174</v>
      </c>
      <c r="M556" s="7">
        <f t="shared" si="94"/>
        <v>76.81883511893173</v>
      </c>
      <c r="N556" s="7">
        <f t="shared" si="95"/>
        <v>19.524083039999994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89"/>
        <v>543</v>
      </c>
      <c r="C557" s="7">
        <f t="shared" si="90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59" cm="1">
        <f t="array" ref="F557">estimatedTripDuration(C557,$C$7,$C$6)/60</f>
        <v>18.226666667328939</v>
      </c>
      <c r="G557">
        <f t="shared" si="96"/>
        <v>543</v>
      </c>
      <c r="H557" s="50">
        <f t="shared" si="91"/>
        <v>45.25</v>
      </c>
      <c r="I557" s="7" cm="1">
        <f t="array" ref="I557">CurrentCapacity(K$9,K$5,K$6,H557)</f>
        <v>273.51503784000005</v>
      </c>
      <c r="J557" s="48">
        <f t="shared" si="92"/>
        <v>0.4693411840710669</v>
      </c>
      <c r="K557" s="5" cm="1">
        <f t="array" ref="K557">UseableCapacity(I557,$K$7,$K$8)</f>
        <v>205.13627838000002</v>
      </c>
      <c r="L557" s="59">
        <f t="shared" si="93"/>
        <v>145.14316611893176</v>
      </c>
      <c r="M557" s="7">
        <f t="shared" si="94"/>
        <v>76.764406658931733</v>
      </c>
      <c r="N557" s="7">
        <f t="shared" si="95"/>
        <v>19.524962159999973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89"/>
        <v>544</v>
      </c>
      <c r="C558" s="7">
        <f t="shared" si="90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59" cm="1">
        <f t="array" ref="F558">estimatedTripDuration(C558,$C$7,$C$6)/60</f>
        <v>18.260000000662274</v>
      </c>
      <c r="G558">
        <f t="shared" si="96"/>
        <v>544</v>
      </c>
      <c r="H558" s="50">
        <f t="shared" si="91"/>
        <v>45.333333333333336</v>
      </c>
      <c r="I558" s="7" cm="1">
        <f t="array" ref="I558">CurrentCapacity(K$9,K$5,K$6,H558)</f>
        <v>273.51415872000007</v>
      </c>
      <c r="J558" s="48">
        <f t="shared" si="92"/>
        <v>0.46953927885151747</v>
      </c>
      <c r="K558" s="5" cm="1">
        <f t="array" ref="K558">UseableCapacity(I558,$K$7,$K$8)</f>
        <v>205.13561904000005</v>
      </c>
      <c r="L558" s="59">
        <f t="shared" si="93"/>
        <v>145.08851787893175</v>
      </c>
      <c r="M558" s="7">
        <f t="shared" si="94"/>
        <v>76.709978198931736</v>
      </c>
      <c r="N558" s="7">
        <f t="shared" si="95"/>
        <v>19.525841279999952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89"/>
        <v>545</v>
      </c>
      <c r="C559" s="7">
        <f t="shared" si="90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59" cm="1">
        <f t="array" ref="F559">estimatedTripDuration(C559,$C$7,$C$6)/60</f>
        <v>18.293333333995609</v>
      </c>
      <c r="G559">
        <f t="shared" si="96"/>
        <v>545</v>
      </c>
      <c r="H559" s="50">
        <f t="shared" si="91"/>
        <v>45.416666666666664</v>
      </c>
      <c r="I559" s="7" cm="1">
        <f t="array" ref="I559">CurrentCapacity(K$9,K$5,K$6,H559)</f>
        <v>273.51327960000003</v>
      </c>
      <c r="J559" s="48">
        <f t="shared" si="92"/>
        <v>0.46973737490539114</v>
      </c>
      <c r="K559" s="5" cm="1">
        <f t="array" ref="K559">UseableCapacity(I559,$K$7,$K$8)</f>
        <v>205.13495970000002</v>
      </c>
      <c r="L559" s="59">
        <f t="shared" si="93"/>
        <v>145.03386963893175</v>
      </c>
      <c r="M559" s="7">
        <f t="shared" si="94"/>
        <v>76.65554973893174</v>
      </c>
      <c r="N559" s="7">
        <f t="shared" si="95"/>
        <v>19.526720399999988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89"/>
        <v>546</v>
      </c>
      <c r="C560" s="7">
        <f t="shared" si="90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59" cm="1">
        <f t="array" ref="F560">estimatedTripDuration(C560,$C$7,$C$6)/60</f>
        <v>18.32666666732894</v>
      </c>
      <c r="G560">
        <f t="shared" si="96"/>
        <v>546</v>
      </c>
      <c r="H560" s="50">
        <f t="shared" si="91"/>
        <v>45.5</v>
      </c>
      <c r="I560" s="7" cm="1">
        <f t="array" ref="I560">CurrentCapacity(K$9,K$5,K$6,H560)</f>
        <v>273.51240048000005</v>
      </c>
      <c r="J560" s="48">
        <f t="shared" si="92"/>
        <v>0.46993547223270032</v>
      </c>
      <c r="K560" s="5" cm="1">
        <f t="array" ref="K560">UseableCapacity(I560,$K$7,$K$8)</f>
        <v>205.13430036000005</v>
      </c>
      <c r="L560" s="59">
        <f t="shared" si="93"/>
        <v>144.97922139893177</v>
      </c>
      <c r="M560" s="7">
        <f t="shared" si="94"/>
        <v>76.601121278931771</v>
      </c>
      <c r="N560" s="7">
        <f t="shared" si="95"/>
        <v>19.527599519999967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89"/>
        <v>547</v>
      </c>
      <c r="C561" s="7">
        <f t="shared" si="90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59" cm="1">
        <f t="array" ref="F561">estimatedTripDuration(C561,$C$7,$C$6)/60</f>
        <v>18.360000000662275</v>
      </c>
      <c r="G561">
        <f t="shared" si="96"/>
        <v>547</v>
      </c>
      <c r="H561" s="50">
        <f t="shared" si="91"/>
        <v>45.583333333333336</v>
      </c>
      <c r="I561" s="7" cm="1">
        <f t="array" ref="I561">CurrentCapacity(K$9,K$5,K$6,H561)</f>
        <v>273.51152136000002</v>
      </c>
      <c r="J561" s="48">
        <f t="shared" si="92"/>
        <v>0.47013357083345758</v>
      </c>
      <c r="K561" s="5" cm="1">
        <f t="array" ref="K561">UseableCapacity(I561,$K$7,$K$8)</f>
        <v>205.13364102000003</v>
      </c>
      <c r="L561" s="59">
        <f t="shared" si="93"/>
        <v>144.92457315893171</v>
      </c>
      <c r="M561" s="7">
        <f t="shared" si="94"/>
        <v>76.546692818931717</v>
      </c>
      <c r="N561" s="7">
        <f t="shared" si="95"/>
        <v>19.528478640000003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89"/>
        <v>548</v>
      </c>
      <c r="C562" s="7">
        <f t="shared" si="90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59" cm="1">
        <f t="array" ref="F562">estimatedTripDuration(C562,$C$7,$C$6)/60</f>
        <v>18.393333333995606</v>
      </c>
      <c r="G562">
        <f t="shared" si="96"/>
        <v>548</v>
      </c>
      <c r="H562" s="50">
        <f t="shared" si="91"/>
        <v>45.666666666666664</v>
      </c>
      <c r="I562" s="7" cm="1">
        <f t="array" ref="I562">CurrentCapacity(K$9,K$5,K$6,H562)</f>
        <v>273.51064224000004</v>
      </c>
      <c r="J562" s="48">
        <f t="shared" si="92"/>
        <v>0.47033167070767468</v>
      </c>
      <c r="K562" s="5" cm="1">
        <f t="array" ref="K562">UseableCapacity(I562,$K$7,$K$8)</f>
        <v>205.13298168000003</v>
      </c>
      <c r="L562" s="59">
        <f t="shared" si="93"/>
        <v>144.86992491893173</v>
      </c>
      <c r="M562" s="7">
        <f t="shared" si="94"/>
        <v>76.49226435893172</v>
      </c>
      <c r="N562" s="7">
        <f t="shared" si="95"/>
        <v>19.529357759999982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89"/>
        <v>549</v>
      </c>
      <c r="C563" s="7">
        <f t="shared" si="90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59" cm="1">
        <f t="array" ref="F563">estimatedTripDuration(C563,$C$7,$C$6)/60</f>
        <v>18.426666667328941</v>
      </c>
      <c r="G563">
        <f t="shared" si="96"/>
        <v>549</v>
      </c>
      <c r="H563" s="50">
        <f t="shared" si="91"/>
        <v>45.75</v>
      </c>
      <c r="I563" s="7" cm="1">
        <f t="array" ref="I563">CurrentCapacity(K$9,K$5,K$6,H563)</f>
        <v>273.50976312000006</v>
      </c>
      <c r="J563" s="48">
        <f t="shared" si="92"/>
        <v>0.4705297718553641</v>
      </c>
      <c r="K563" s="5" cm="1">
        <f t="array" ref="K563">UseableCapacity(I563,$K$7,$K$8)</f>
        <v>205.13232234000003</v>
      </c>
      <c r="L563" s="59">
        <f t="shared" si="93"/>
        <v>144.81527667893175</v>
      </c>
      <c r="M563" s="7">
        <f t="shared" si="94"/>
        <v>76.437835898931723</v>
      </c>
      <c r="N563" s="7">
        <f t="shared" si="95"/>
        <v>19.530236879999961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89"/>
        <v>550</v>
      </c>
      <c r="C564" s="7">
        <f t="shared" si="90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59" cm="1">
        <f t="array" ref="F564">estimatedTripDuration(C564,$C$7,$C$6)/60</f>
        <v>18.460000000662273</v>
      </c>
      <c r="G564">
        <f t="shared" si="96"/>
        <v>550</v>
      </c>
      <c r="H564" s="50">
        <f t="shared" si="91"/>
        <v>45.833333333333336</v>
      </c>
      <c r="I564" s="7" cm="1">
        <f t="array" ref="I564">CurrentCapacity(K$9,K$5,K$6,H564)</f>
        <v>273.50888400000002</v>
      </c>
      <c r="J564" s="48">
        <f t="shared" si="92"/>
        <v>0.47072787427653817</v>
      </c>
      <c r="K564" s="5" cm="1">
        <f t="array" ref="K564">UseableCapacity(I564,$K$7,$K$8)</f>
        <v>205.131663</v>
      </c>
      <c r="L564" s="59">
        <f t="shared" si="93"/>
        <v>144.76062843893175</v>
      </c>
      <c r="M564" s="7">
        <f t="shared" si="94"/>
        <v>76.383407438931727</v>
      </c>
      <c r="N564" s="7">
        <f t="shared" si="95"/>
        <v>19.531115999999997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89"/>
        <v>551</v>
      </c>
      <c r="C565" s="7">
        <f t="shared" si="90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59" cm="1">
        <f t="array" ref="F565">estimatedTripDuration(C565,$C$7,$C$6)/60</f>
        <v>18.493333333995608</v>
      </c>
      <c r="G565">
        <f t="shared" si="96"/>
        <v>551</v>
      </c>
      <c r="H565" s="50">
        <f t="shared" si="91"/>
        <v>45.916666666666664</v>
      </c>
      <c r="I565" s="7" cm="1">
        <f t="array" ref="I565">CurrentCapacity(K$9,K$5,K$6,H565)</f>
        <v>273.50800488000004</v>
      </c>
      <c r="J565" s="48">
        <f t="shared" si="92"/>
        <v>0.47092597797120916</v>
      </c>
      <c r="K565" s="5" cm="1">
        <f t="array" ref="K565">UseableCapacity(I565,$K$7,$K$8)</f>
        <v>205.13100366000003</v>
      </c>
      <c r="L565" s="59">
        <f t="shared" si="93"/>
        <v>144.70598019893177</v>
      </c>
      <c r="M565" s="7">
        <f t="shared" si="94"/>
        <v>76.328978978931758</v>
      </c>
      <c r="N565" s="7">
        <f t="shared" si="95"/>
        <v>19.531995119999976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89"/>
        <v>552</v>
      </c>
      <c r="C566" s="7">
        <f t="shared" si="90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59" cm="1">
        <f t="array" ref="F566">estimatedTripDuration(C566,$C$7,$C$6)/60</f>
        <v>18.526666667328939</v>
      </c>
      <c r="G566">
        <f t="shared" si="96"/>
        <v>552</v>
      </c>
      <c r="H566" s="50">
        <f t="shared" si="91"/>
        <v>46</v>
      </c>
      <c r="I566" s="7" cm="1">
        <f t="array" ref="I566">CurrentCapacity(K$9,K$5,K$6,H566)</f>
        <v>273.50712576000006</v>
      </c>
      <c r="J566" s="48">
        <f t="shared" si="92"/>
        <v>0.4711240829393894</v>
      </c>
      <c r="K566" s="5" cm="1">
        <f t="array" ref="K566">UseableCapacity(I566,$K$7,$K$8)</f>
        <v>205.13034432000006</v>
      </c>
      <c r="L566" s="59">
        <f t="shared" si="93"/>
        <v>144.65133195893179</v>
      </c>
      <c r="M566" s="7">
        <f t="shared" si="94"/>
        <v>76.27455051893179</v>
      </c>
      <c r="N566" s="7">
        <f t="shared" si="95"/>
        <v>19.532874239999956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89"/>
        <v>553</v>
      </c>
      <c r="C567" s="7">
        <f t="shared" si="90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59" cm="1">
        <f t="array" ref="F567">estimatedTripDuration(C567,$C$7,$C$6)/60</f>
        <v>18.560000000662274</v>
      </c>
      <c r="G567">
        <f t="shared" si="96"/>
        <v>553</v>
      </c>
      <c r="H567" s="50">
        <f t="shared" si="91"/>
        <v>46.083333333333336</v>
      </c>
      <c r="I567" s="7" cm="1">
        <f t="array" ref="I567">CurrentCapacity(K$9,K$5,K$6,H567)</f>
        <v>273.50624664000003</v>
      </c>
      <c r="J567" s="48">
        <f t="shared" si="92"/>
        <v>0.47132218918109126</v>
      </c>
      <c r="K567" s="5" cm="1">
        <f t="array" ref="K567">UseableCapacity(I567,$K$7,$K$8)</f>
        <v>205.12968498000004</v>
      </c>
      <c r="L567" s="59">
        <f t="shared" si="93"/>
        <v>144.59668371893173</v>
      </c>
      <c r="M567" s="7">
        <f t="shared" si="94"/>
        <v>76.220122058931736</v>
      </c>
      <c r="N567" s="7">
        <f t="shared" si="95"/>
        <v>19.533753359999992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89"/>
        <v>554</v>
      </c>
      <c r="C568" s="7">
        <f t="shared" si="90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59" cm="1">
        <f t="array" ref="F568">estimatedTripDuration(C568,$C$7,$C$6)/60</f>
        <v>18.593333333995606</v>
      </c>
      <c r="G568">
        <f t="shared" si="96"/>
        <v>554</v>
      </c>
      <c r="H568" s="50">
        <f t="shared" si="91"/>
        <v>46.166666666666664</v>
      </c>
      <c r="I568" s="7" cm="1">
        <f t="array" ref="I568">CurrentCapacity(K$9,K$5,K$6,H568)</f>
        <v>273.50536751999999</v>
      </c>
      <c r="J568" s="48">
        <f t="shared" si="92"/>
        <v>0.47152029669632678</v>
      </c>
      <c r="K568" s="5" cm="1">
        <f t="array" ref="K568">UseableCapacity(I568,$K$7,$K$8)</f>
        <v>205.12902564000001</v>
      </c>
      <c r="L568" s="59">
        <f t="shared" si="93"/>
        <v>144.54203547893169</v>
      </c>
      <c r="M568" s="7">
        <f t="shared" si="94"/>
        <v>76.165693598931711</v>
      </c>
      <c r="N568" s="7">
        <f t="shared" si="95"/>
        <v>19.534632480000027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89"/>
        <v>555</v>
      </c>
      <c r="C569" s="7">
        <f t="shared" si="90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59" cm="1">
        <f t="array" ref="F569">estimatedTripDuration(C569,$C$7,$C$6)/60</f>
        <v>18.626666667328941</v>
      </c>
      <c r="G569">
        <f t="shared" si="96"/>
        <v>555</v>
      </c>
      <c r="H569" s="50">
        <f t="shared" si="91"/>
        <v>46.25</v>
      </c>
      <c r="I569" s="7" cm="1">
        <f t="array" ref="I569">CurrentCapacity(K$9,K$5,K$6,H569)</f>
        <v>273.50448840000001</v>
      </c>
      <c r="J569" s="48">
        <f t="shared" si="92"/>
        <v>0.47171840548510824</v>
      </c>
      <c r="K569" s="5" cm="1">
        <f t="array" ref="K569">UseableCapacity(I569,$K$7,$K$8)</f>
        <v>205.12836630000001</v>
      </c>
      <c r="L569" s="59">
        <f t="shared" si="93"/>
        <v>144.48738723893172</v>
      </c>
      <c r="M569" s="7">
        <f t="shared" si="94"/>
        <v>76.111265138931714</v>
      </c>
      <c r="N569" s="7">
        <f t="shared" si="95"/>
        <v>19.535511600000007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89"/>
        <v>556</v>
      </c>
      <c r="C570" s="7">
        <f t="shared" si="90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59" cm="1">
        <f t="array" ref="F570">estimatedTripDuration(C570,$C$7,$C$6)/60</f>
        <v>18.660000000662272</v>
      </c>
      <c r="G570">
        <f t="shared" si="96"/>
        <v>556</v>
      </c>
      <c r="H570" s="50">
        <f t="shared" si="91"/>
        <v>46.333333333333336</v>
      </c>
      <c r="I570" s="7" cm="1">
        <f t="array" ref="I570">CurrentCapacity(K$9,K$5,K$6,H570)</f>
        <v>273.50360928000003</v>
      </c>
      <c r="J570" s="48">
        <f t="shared" si="92"/>
        <v>0.47191651554744807</v>
      </c>
      <c r="K570" s="5" cm="1">
        <f t="array" ref="K570">UseableCapacity(I570,$K$7,$K$8)</f>
        <v>205.12770696000001</v>
      </c>
      <c r="L570" s="59">
        <f t="shared" si="93"/>
        <v>144.43273899893174</v>
      </c>
      <c r="M570" s="7">
        <f t="shared" si="94"/>
        <v>76.056836678931717</v>
      </c>
      <c r="N570" s="7">
        <f t="shared" si="95"/>
        <v>19.536390719999986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89"/>
        <v>557</v>
      </c>
      <c r="C571" s="7">
        <f t="shared" si="90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59" cm="1">
        <f t="array" ref="F571">estimatedTripDuration(C571,$C$7,$C$6)/60</f>
        <v>18.693333333995607</v>
      </c>
      <c r="G571">
        <f t="shared" si="96"/>
        <v>557</v>
      </c>
      <c r="H571" s="50">
        <f t="shared" si="91"/>
        <v>46.416666666666664</v>
      </c>
      <c r="I571" s="7" cm="1">
        <f t="array" ref="I571">CurrentCapacity(K$9,K$5,K$6,H571)</f>
        <v>273.50273016000006</v>
      </c>
      <c r="J571" s="48">
        <f t="shared" si="92"/>
        <v>0.47211462688335842</v>
      </c>
      <c r="K571" s="5" cm="1">
        <f t="array" ref="K571">UseableCapacity(I571,$K$7,$K$8)</f>
        <v>205.12704762000004</v>
      </c>
      <c r="L571" s="59">
        <f t="shared" si="93"/>
        <v>144.37809075893176</v>
      </c>
      <c r="M571" s="7">
        <f t="shared" si="94"/>
        <v>76.002408218931748</v>
      </c>
      <c r="N571" s="7">
        <f t="shared" si="95"/>
        <v>19.537269839999965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89"/>
        <v>558</v>
      </c>
      <c r="C572" s="7">
        <f t="shared" si="90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59" cm="1">
        <f t="array" ref="F572">estimatedTripDuration(C572,$C$7,$C$6)/60</f>
        <v>18.726666667328939</v>
      </c>
      <c r="G572">
        <f t="shared" si="96"/>
        <v>558</v>
      </c>
      <c r="H572" s="50">
        <f t="shared" si="91"/>
        <v>46.5</v>
      </c>
      <c r="I572" s="7" cm="1">
        <f t="array" ref="I572">CurrentCapacity(K$9,K$5,K$6,H572)</f>
        <v>273.50185104000008</v>
      </c>
      <c r="J572" s="48">
        <f t="shared" si="92"/>
        <v>0.47231273949285174</v>
      </c>
      <c r="K572" s="5" cm="1">
        <f t="array" ref="K572">UseableCapacity(I572,$K$7,$K$8)</f>
        <v>205.12638828000007</v>
      </c>
      <c r="L572" s="59">
        <f t="shared" si="93"/>
        <v>144.32344251893178</v>
      </c>
      <c r="M572" s="7">
        <f t="shared" si="94"/>
        <v>75.94797975893178</v>
      </c>
      <c r="N572" s="7">
        <f t="shared" si="95"/>
        <v>19.538148959999944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89"/>
        <v>559</v>
      </c>
      <c r="C573" s="7">
        <f t="shared" si="90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59" cm="1">
        <f t="array" ref="F573">estimatedTripDuration(C573,$C$7,$C$6)/60</f>
        <v>18.760000000662274</v>
      </c>
      <c r="G573">
        <f t="shared" si="96"/>
        <v>559</v>
      </c>
      <c r="H573" s="50">
        <f t="shared" si="91"/>
        <v>46.583333333333336</v>
      </c>
      <c r="I573" s="7" cm="1">
        <f t="array" ref="I573">CurrentCapacity(K$9,K$5,K$6,H573)</f>
        <v>273.50097192000004</v>
      </c>
      <c r="J573" s="48">
        <f t="shared" si="92"/>
        <v>0.47251085337594023</v>
      </c>
      <c r="K573" s="5" cm="1">
        <f t="array" ref="K573">UseableCapacity(I573,$K$7,$K$8)</f>
        <v>205.12572894000004</v>
      </c>
      <c r="L573" s="59">
        <f t="shared" si="93"/>
        <v>144.26879427893175</v>
      </c>
      <c r="M573" s="7">
        <f t="shared" si="94"/>
        <v>75.893551298931754</v>
      </c>
      <c r="N573" s="7">
        <f t="shared" si="95"/>
        <v>19.53902807999998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89"/>
        <v>560</v>
      </c>
      <c r="C574" s="7">
        <f t="shared" si="90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59" cm="1">
        <f t="array" ref="F574">estimatedTripDuration(C574,$C$7,$C$6)/60</f>
        <v>18.793333333995609</v>
      </c>
      <c r="G574">
        <f t="shared" si="96"/>
        <v>560</v>
      </c>
      <c r="H574" s="50">
        <f t="shared" si="91"/>
        <v>46.666666666666664</v>
      </c>
      <c r="I574" s="7" cm="1">
        <f t="array" ref="I574">CurrentCapacity(K$9,K$5,K$6,H574)</f>
        <v>273.5000928</v>
      </c>
      <c r="J574" s="48">
        <f t="shared" si="92"/>
        <v>0.47270896853263622</v>
      </c>
      <c r="K574" s="5" cm="1">
        <f t="array" ref="K574">UseableCapacity(I574,$K$7,$K$8)</f>
        <v>205.12506960000002</v>
      </c>
      <c r="L574" s="59">
        <f t="shared" si="93"/>
        <v>144.21414603893172</v>
      </c>
      <c r="M574" s="7">
        <f t="shared" si="94"/>
        <v>75.839122838931729</v>
      </c>
      <c r="N574" s="7">
        <f t="shared" si="95"/>
        <v>19.539907200000016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89"/>
        <v>561</v>
      </c>
      <c r="C575" s="7">
        <f t="shared" si="90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59" cm="1">
        <f t="array" ref="F575">estimatedTripDuration(C575,$C$7,$C$6)/60</f>
        <v>18.82666666732894</v>
      </c>
      <c r="G575">
        <f t="shared" si="96"/>
        <v>561</v>
      </c>
      <c r="H575" s="50">
        <f t="shared" si="91"/>
        <v>46.75</v>
      </c>
      <c r="I575" s="7" cm="1">
        <f t="array" ref="I575">CurrentCapacity(K$9,K$5,K$6,H575)</f>
        <v>273.49921368000003</v>
      </c>
      <c r="J575" s="48">
        <f t="shared" si="92"/>
        <v>0.47290708496295181</v>
      </c>
      <c r="K575" s="5" cm="1">
        <f t="array" ref="K575">UseableCapacity(I575,$K$7,$K$8)</f>
        <v>205.12441026000002</v>
      </c>
      <c r="L575" s="59">
        <f t="shared" si="93"/>
        <v>144.15949779893174</v>
      </c>
      <c r="M575" s="7">
        <f t="shared" si="94"/>
        <v>75.784694378931732</v>
      </c>
      <c r="N575" s="7">
        <f t="shared" si="95"/>
        <v>19.540786319999995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89"/>
        <v>562</v>
      </c>
      <c r="C576" s="7">
        <f t="shared" si="90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59" cm="1">
        <f t="array" ref="F576">estimatedTripDuration(C576,$C$7,$C$6)/60</f>
        <v>18.860000000662275</v>
      </c>
      <c r="G576">
        <f t="shared" si="96"/>
        <v>562</v>
      </c>
      <c r="H576" s="50">
        <f t="shared" si="91"/>
        <v>46.833333333333336</v>
      </c>
      <c r="I576" s="7" cm="1">
        <f t="array" ref="I576">CurrentCapacity(K$9,K$5,K$6,H576)</f>
        <v>273.49833456000005</v>
      </c>
      <c r="J576" s="48">
        <f t="shared" si="92"/>
        <v>0.47310520266689954</v>
      </c>
      <c r="K576" s="5" cm="1">
        <f t="array" ref="K576">UseableCapacity(I576,$K$7,$K$8)</f>
        <v>205.12375092000002</v>
      </c>
      <c r="L576" s="59">
        <f t="shared" si="93"/>
        <v>144.10484955893173</v>
      </c>
      <c r="M576" s="7">
        <f t="shared" si="94"/>
        <v>75.730265918931707</v>
      </c>
      <c r="N576" s="7">
        <f t="shared" si="95"/>
        <v>19.541665439999974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89"/>
        <v>563</v>
      </c>
      <c r="C577" s="7">
        <f t="shared" si="90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59" cm="1">
        <f t="array" ref="F577">estimatedTripDuration(C577,$C$7,$C$6)/60</f>
        <v>18.893333333995606</v>
      </c>
      <c r="G577">
        <f t="shared" si="96"/>
        <v>563</v>
      </c>
      <c r="H577" s="50">
        <f t="shared" si="91"/>
        <v>46.916666666666664</v>
      </c>
      <c r="I577" s="7" cm="1">
        <f t="array" ref="I577">CurrentCapacity(K$9,K$5,K$6,H577)</f>
        <v>273.49745544000001</v>
      </c>
      <c r="J577" s="48">
        <f t="shared" si="92"/>
        <v>0.4733033216444914</v>
      </c>
      <c r="K577" s="5" cm="1">
        <f t="array" ref="K577">UseableCapacity(I577,$K$7,$K$8)</f>
        <v>205.12309157999999</v>
      </c>
      <c r="L577" s="59">
        <f t="shared" si="93"/>
        <v>144.05020131893173</v>
      </c>
      <c r="M577" s="7">
        <f t="shared" si="94"/>
        <v>75.67583745893171</v>
      </c>
      <c r="N577" s="7">
        <f t="shared" si="95"/>
        <v>19.54254456000001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89"/>
        <v>564</v>
      </c>
      <c r="C578" s="7">
        <f t="shared" si="90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59" cm="1">
        <f t="array" ref="F578">estimatedTripDuration(C578,$C$7,$C$6)/60</f>
        <v>18.926666667328941</v>
      </c>
      <c r="G578">
        <f t="shared" si="96"/>
        <v>564</v>
      </c>
      <c r="H578" s="50">
        <f t="shared" si="91"/>
        <v>47</v>
      </c>
      <c r="I578" s="7" cm="1">
        <f t="array" ref="I578">CurrentCapacity(K$9,K$5,K$6,H578)</f>
        <v>273.49657632000003</v>
      </c>
      <c r="J578" s="48">
        <f t="shared" si="92"/>
        <v>0.47350144189574001</v>
      </c>
      <c r="K578" s="5" cm="1">
        <f t="array" ref="K578">UseableCapacity(I578,$K$7,$K$8)</f>
        <v>205.12243224000002</v>
      </c>
      <c r="L578" s="59">
        <f t="shared" si="93"/>
        <v>143.99555307893172</v>
      </c>
      <c r="M578" s="7">
        <f t="shared" si="94"/>
        <v>75.621408998931713</v>
      </c>
      <c r="N578" s="7">
        <f t="shared" si="95"/>
        <v>19.543423679999989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89"/>
        <v>565</v>
      </c>
      <c r="C579" s="7">
        <f t="shared" si="90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59" cm="1">
        <f t="array" ref="F579">estimatedTripDuration(C579,$C$7,$C$6)/60</f>
        <v>18.960000000662273</v>
      </c>
      <c r="G579">
        <f t="shared" si="96"/>
        <v>565</v>
      </c>
      <c r="H579" s="50">
        <f t="shared" si="91"/>
        <v>47.083333333333336</v>
      </c>
      <c r="I579" s="7" cm="1">
        <f t="array" ref="I579">CurrentCapacity(K$9,K$5,K$6,H579)</f>
        <v>273.49569720000005</v>
      </c>
      <c r="J579" s="48">
        <f t="shared" si="92"/>
        <v>0.47369956342065717</v>
      </c>
      <c r="K579" s="5" cm="1">
        <f t="array" ref="K579">UseableCapacity(I579,$K$7,$K$8)</f>
        <v>205.12177290000005</v>
      </c>
      <c r="L579" s="59">
        <f t="shared" si="93"/>
        <v>143.94090483893177</v>
      </c>
      <c r="M579" s="7">
        <f t="shared" si="94"/>
        <v>75.566980538931773</v>
      </c>
      <c r="N579" s="7">
        <f t="shared" si="95"/>
        <v>19.544302799999969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89"/>
        <v>566</v>
      </c>
      <c r="C580" s="7">
        <f t="shared" si="90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59" cm="1">
        <f t="array" ref="F580">estimatedTripDuration(C580,$C$7,$C$6)/60</f>
        <v>18.993333333995608</v>
      </c>
      <c r="G580">
        <f t="shared" si="96"/>
        <v>566</v>
      </c>
      <c r="H580" s="50">
        <f t="shared" si="91"/>
        <v>47.166666666666664</v>
      </c>
      <c r="I580" s="7" cm="1">
        <f t="array" ref="I580">CurrentCapacity(K$9,K$5,K$6,H580)</f>
        <v>273.49481808000002</v>
      </c>
      <c r="J580" s="48">
        <f t="shared" si="92"/>
        <v>0.47389768621925576</v>
      </c>
      <c r="K580" s="5" cm="1">
        <f t="array" ref="K580">UseableCapacity(I580,$K$7,$K$8)</f>
        <v>205.12111356000003</v>
      </c>
      <c r="L580" s="59">
        <f t="shared" si="93"/>
        <v>143.88625659893174</v>
      </c>
      <c r="M580" s="7">
        <f t="shared" si="94"/>
        <v>75.512552078931748</v>
      </c>
      <c r="N580" s="7">
        <f t="shared" si="95"/>
        <v>19.545181920000005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89"/>
        <v>567</v>
      </c>
      <c r="C581" s="7">
        <f t="shared" si="90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59" cm="1">
        <f t="array" ref="F581">estimatedTripDuration(C581,$C$7,$C$6)/60</f>
        <v>19.026666667328939</v>
      </c>
      <c r="G581">
        <f t="shared" si="96"/>
        <v>567</v>
      </c>
      <c r="H581" s="50">
        <f t="shared" si="91"/>
        <v>47.25</v>
      </c>
      <c r="I581" s="7" cm="1">
        <f t="array" ref="I581">CurrentCapacity(K$9,K$5,K$6,H581)</f>
        <v>273.49393896000004</v>
      </c>
      <c r="J581" s="48">
        <f t="shared" si="92"/>
        <v>0.47409581029154763</v>
      </c>
      <c r="K581" s="5" cm="1">
        <f t="array" ref="K581">UseableCapacity(I581,$K$7,$K$8)</f>
        <v>205.12045422000003</v>
      </c>
      <c r="L581" s="59">
        <f t="shared" si="93"/>
        <v>143.83160835893176</v>
      </c>
      <c r="M581" s="7">
        <f t="shared" si="94"/>
        <v>75.458123618931751</v>
      </c>
      <c r="N581" s="7">
        <f t="shared" si="95"/>
        <v>19.546061039999984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89"/>
        <v>568</v>
      </c>
      <c r="C582" s="7">
        <f t="shared" si="90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59" cm="1">
        <f t="array" ref="F582">estimatedTripDuration(C582,$C$7,$C$6)/60</f>
        <v>19.060000000662274</v>
      </c>
      <c r="G582">
        <f t="shared" si="96"/>
        <v>568</v>
      </c>
      <c r="H582" s="50">
        <f t="shared" si="91"/>
        <v>47.333333333333336</v>
      </c>
      <c r="I582" s="7" cm="1">
        <f t="array" ref="I582">CurrentCapacity(K$9,K$5,K$6,H582)</f>
        <v>273.49305984</v>
      </c>
      <c r="J582" s="48">
        <f t="shared" si="92"/>
        <v>0.47429393563754524</v>
      </c>
      <c r="K582" s="5" cm="1">
        <f t="array" ref="K582">UseableCapacity(I582,$K$7,$K$8)</f>
        <v>205.11979488</v>
      </c>
      <c r="L582" s="59">
        <f t="shared" si="93"/>
        <v>143.77696011893173</v>
      </c>
      <c r="M582" s="7">
        <f t="shared" si="94"/>
        <v>75.403695158931725</v>
      </c>
      <c r="N582" s="7">
        <f t="shared" si="95"/>
        <v>19.54694016000002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89"/>
        <v>569</v>
      </c>
      <c r="C583" s="7">
        <f t="shared" si="90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59" cm="1">
        <f t="array" ref="F583">estimatedTripDuration(C583,$C$7,$C$6)/60</f>
        <v>19.093333333995606</v>
      </c>
      <c r="G583">
        <f t="shared" si="96"/>
        <v>569</v>
      </c>
      <c r="H583" s="50">
        <f t="shared" si="91"/>
        <v>47.416666666666664</v>
      </c>
      <c r="I583" s="7" cm="1">
        <f t="array" ref="I583">CurrentCapacity(K$9,K$5,K$6,H583)</f>
        <v>273.49218072000002</v>
      </c>
      <c r="J583" s="48">
        <f t="shared" si="92"/>
        <v>0.47449206225726093</v>
      </c>
      <c r="K583" s="5" cm="1">
        <f t="array" ref="K583">UseableCapacity(I583,$K$7,$K$8)</f>
        <v>205.11913554</v>
      </c>
      <c r="L583" s="59">
        <f t="shared" si="93"/>
        <v>143.72231187893172</v>
      </c>
      <c r="M583" s="7">
        <f t="shared" si="94"/>
        <v>75.3492666989317</v>
      </c>
      <c r="N583" s="7">
        <f t="shared" si="95"/>
        <v>19.547819279999999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89"/>
        <v>570</v>
      </c>
      <c r="C584" s="7">
        <f t="shared" si="90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59" cm="1">
        <f t="array" ref="F584">estimatedTripDuration(C584,$C$7,$C$6)/60</f>
        <v>19.126666667328941</v>
      </c>
      <c r="G584">
        <f t="shared" si="96"/>
        <v>570</v>
      </c>
      <c r="H584" s="50">
        <f t="shared" si="91"/>
        <v>47.5</v>
      </c>
      <c r="I584" s="7" cm="1">
        <f t="array" ref="I584">CurrentCapacity(K$9,K$5,K$6,H584)</f>
        <v>273.49130160000004</v>
      </c>
      <c r="J584" s="48">
        <f t="shared" si="92"/>
        <v>0.47469019015070674</v>
      </c>
      <c r="K584" s="5" cm="1">
        <f t="array" ref="K584">UseableCapacity(I584,$K$7,$K$8)</f>
        <v>205.11847620000003</v>
      </c>
      <c r="L584" s="59">
        <f t="shared" si="93"/>
        <v>143.66766363893174</v>
      </c>
      <c r="M584" s="7">
        <f t="shared" si="94"/>
        <v>75.294838238931732</v>
      </c>
      <c r="N584" s="7">
        <f t="shared" si="95"/>
        <v>19.548698399999978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89"/>
        <v>571</v>
      </c>
      <c r="C585" s="7">
        <f t="shared" si="90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59" cm="1">
        <f t="array" ref="F585">estimatedTripDuration(C585,$C$7,$C$6)/60</f>
        <v>19.160000000662272</v>
      </c>
      <c r="G585">
        <f t="shared" si="96"/>
        <v>571</v>
      </c>
      <c r="H585" s="50">
        <f t="shared" si="91"/>
        <v>47.583333333333336</v>
      </c>
      <c r="I585" s="7" cm="1">
        <f t="array" ref="I585">CurrentCapacity(K$9,K$5,K$6,H585)</f>
        <v>273.49042248000006</v>
      </c>
      <c r="J585" s="48">
        <f t="shared" si="92"/>
        <v>0.47488831931789505</v>
      </c>
      <c r="K585" s="5" cm="1">
        <f t="array" ref="K585">UseableCapacity(I585,$K$7,$K$8)</f>
        <v>205.11781686000006</v>
      </c>
      <c r="L585" s="59">
        <f t="shared" si="93"/>
        <v>143.61301539893176</v>
      </c>
      <c r="M585" s="7">
        <f t="shared" si="94"/>
        <v>75.240409778931763</v>
      </c>
      <c r="N585" s="7">
        <f t="shared" si="95"/>
        <v>19.549577519999957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89"/>
        <v>572</v>
      </c>
      <c r="C586" s="7">
        <f t="shared" si="90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59" cm="1">
        <f t="array" ref="F586">estimatedTripDuration(C586,$C$7,$C$6)/60</f>
        <v>19.193333333995607</v>
      </c>
      <c r="G586">
        <f t="shared" si="96"/>
        <v>572</v>
      </c>
      <c r="H586" s="50">
        <f t="shared" si="91"/>
        <v>47.666666666666664</v>
      </c>
      <c r="I586" s="7" cm="1">
        <f t="array" ref="I586">CurrentCapacity(K$9,K$5,K$6,H586)</f>
        <v>273.48954336000003</v>
      </c>
      <c r="J586" s="48">
        <f t="shared" si="92"/>
        <v>0.47508644975883835</v>
      </c>
      <c r="K586" s="5" cm="1">
        <f t="array" ref="K586">UseableCapacity(I586,$K$7,$K$8)</f>
        <v>205.11715752000003</v>
      </c>
      <c r="L586" s="59">
        <f t="shared" si="93"/>
        <v>143.55836715893173</v>
      </c>
      <c r="M586" s="7">
        <f t="shared" si="94"/>
        <v>75.185981318931738</v>
      </c>
      <c r="N586" s="7">
        <f t="shared" si="95"/>
        <v>19.550456639999993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89"/>
        <v>573</v>
      </c>
      <c r="C587" s="7">
        <f t="shared" si="90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59" cm="1">
        <f t="array" ref="F587">estimatedTripDuration(C587,$C$7,$C$6)/60</f>
        <v>19.226666667328939</v>
      </c>
      <c r="G587">
        <f t="shared" si="96"/>
        <v>573</v>
      </c>
      <c r="H587" s="50">
        <f t="shared" si="91"/>
        <v>47.75</v>
      </c>
      <c r="I587" s="7" cm="1">
        <f t="array" ref="I587">CurrentCapacity(K$9,K$5,K$6,H587)</f>
        <v>273.48866424000005</v>
      </c>
      <c r="J587" s="48">
        <f t="shared" si="92"/>
        <v>0.47528458147354863</v>
      </c>
      <c r="K587" s="5" cm="1">
        <f t="array" ref="K587">UseableCapacity(I587,$K$7,$K$8)</f>
        <v>205.11649818000004</v>
      </c>
      <c r="L587" s="59">
        <f t="shared" si="93"/>
        <v>143.50371891893175</v>
      </c>
      <c r="M587" s="7">
        <f t="shared" si="94"/>
        <v>75.131552858931741</v>
      </c>
      <c r="N587" s="7">
        <f t="shared" si="95"/>
        <v>19.551335759999972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89"/>
        <v>574</v>
      </c>
      <c r="C588" s="7">
        <f t="shared" si="90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59" cm="1">
        <f t="array" ref="F588">estimatedTripDuration(C588,$C$7,$C$6)/60</f>
        <v>19.260000000662274</v>
      </c>
      <c r="G588">
        <f t="shared" si="96"/>
        <v>574</v>
      </c>
      <c r="H588" s="50">
        <f t="shared" si="91"/>
        <v>47.833333333333336</v>
      </c>
      <c r="I588" s="7" cm="1">
        <f t="array" ref="I588">CurrentCapacity(K$9,K$5,K$6,H588)</f>
        <v>273.48778512000001</v>
      </c>
      <c r="J588" s="48">
        <f t="shared" si="92"/>
        <v>0.47548271446203844</v>
      </c>
      <c r="K588" s="5" cm="1">
        <f t="array" ref="K588">UseableCapacity(I588,$K$7,$K$8)</f>
        <v>205.11583884000001</v>
      </c>
      <c r="L588" s="59">
        <f t="shared" si="93"/>
        <v>143.44907067893172</v>
      </c>
      <c r="M588" s="7">
        <f t="shared" si="94"/>
        <v>75.077124398931716</v>
      </c>
      <c r="N588" s="7">
        <f t="shared" si="95"/>
        <v>19.552214880000008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89"/>
        <v>575</v>
      </c>
      <c r="C589" s="7">
        <f t="shared" si="90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59" cm="1">
        <f t="array" ref="F589">estimatedTripDuration(C589,$C$7,$C$6)/60</f>
        <v>19.293333333995609</v>
      </c>
      <c r="G589">
        <f t="shared" si="96"/>
        <v>575</v>
      </c>
      <c r="H589" s="50">
        <f t="shared" si="91"/>
        <v>47.916666666666664</v>
      </c>
      <c r="I589" s="7" cm="1">
        <f t="array" ref="I589">CurrentCapacity(K$9,K$5,K$6,H589)</f>
        <v>273.48690600000003</v>
      </c>
      <c r="J589" s="48">
        <f t="shared" si="92"/>
        <v>0.47568084872431982</v>
      </c>
      <c r="K589" s="5" cm="1">
        <f t="array" ref="K589">UseableCapacity(I589,$K$7,$K$8)</f>
        <v>205.11517950000001</v>
      </c>
      <c r="L589" s="59">
        <f t="shared" si="93"/>
        <v>143.39442243893174</v>
      </c>
      <c r="M589" s="7">
        <f t="shared" si="94"/>
        <v>75.022695938931719</v>
      </c>
      <c r="N589" s="7">
        <f t="shared" si="95"/>
        <v>19.553093999999987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89"/>
        <v>576</v>
      </c>
      <c r="C590" s="7">
        <f t="shared" si="90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59" cm="1">
        <f t="array" ref="F590">estimatedTripDuration(C590,$C$7,$C$6)/60</f>
        <v>19.32666666732894</v>
      </c>
      <c r="G590">
        <f t="shared" si="96"/>
        <v>576</v>
      </c>
      <c r="H590" s="50">
        <f t="shared" si="91"/>
        <v>48</v>
      </c>
      <c r="I590" s="7" cm="1">
        <f t="array" ref="I590">CurrentCapacity(K$9,K$5,K$6,H590)</f>
        <v>273.48602688000005</v>
      </c>
      <c r="J590" s="48">
        <f t="shared" si="92"/>
        <v>0.47587898426040509</v>
      </c>
      <c r="K590" s="5" cm="1">
        <f t="array" ref="K590">UseableCapacity(I590,$K$7,$K$8)</f>
        <v>205.11452016000004</v>
      </c>
      <c r="L590" s="59">
        <f t="shared" si="93"/>
        <v>143.33977419893179</v>
      </c>
      <c r="M590" s="7">
        <f t="shared" si="94"/>
        <v>74.968267478931779</v>
      </c>
      <c r="N590" s="7">
        <f t="shared" si="95"/>
        <v>19.553973119999966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ref="B591:B636" si="99">B590+$G$12</f>
        <v>577</v>
      </c>
      <c r="C591" s="7">
        <f t="shared" ref="C591:C636" si="100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59" cm="1">
        <f t="array" ref="F591">estimatedTripDuration(C591,$C$7,$C$6)/60</f>
        <v>19.360000000662275</v>
      </c>
      <c r="G591">
        <f t="shared" si="96"/>
        <v>577</v>
      </c>
      <c r="H591" s="50">
        <f t="shared" ref="H591:H636" si="101">G591/$G$3</f>
        <v>48.083333333333336</v>
      </c>
      <c r="I591" s="7" cm="1">
        <f t="array" ref="I591">CurrentCapacity(K$9,K$5,K$6,H591)</f>
        <v>273.48514776000002</v>
      </c>
      <c r="J591" s="48">
        <f t="shared" ref="J591:J636" si="102">E591/I591</f>
        <v>0.47607712107030686</v>
      </c>
      <c r="K591" s="5" cm="1">
        <f t="array" ref="K591">UseableCapacity(I591,$K$7,$K$8)</f>
        <v>205.11386082000001</v>
      </c>
      <c r="L591" s="59">
        <f t="shared" ref="L591:L636" si="103">(K$7*I591)-E591</f>
        <v>143.28512595893173</v>
      </c>
      <c r="M591" s="7">
        <f t="shared" ref="M591:M636" si="104">K591-E591</f>
        <v>74.913839018931725</v>
      </c>
      <c r="N591" s="7">
        <f t="shared" ref="N591:N636" si="105">$K$9-I591</f>
        <v>19.554852240000002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si="99"/>
        <v>578</v>
      </c>
      <c r="C592" s="7">
        <f t="shared" si="100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59" cm="1">
        <f t="array" ref="F592">estimatedTripDuration(C592,$C$7,$C$6)/60</f>
        <v>19.393333333995606</v>
      </c>
      <c r="G592">
        <f t="shared" si="96"/>
        <v>578</v>
      </c>
      <c r="H592" s="50">
        <f t="shared" si="101"/>
        <v>48.166666666666664</v>
      </c>
      <c r="I592" s="7" cm="1">
        <f t="array" ref="I592">CurrentCapacity(K$9,K$5,K$6,H592)</f>
        <v>273.48426864000004</v>
      </c>
      <c r="J592" s="48">
        <f t="shared" si="102"/>
        <v>0.47627525915403696</v>
      </c>
      <c r="K592" s="5" cm="1">
        <f t="array" ref="K592">UseableCapacity(I592,$K$7,$K$8)</f>
        <v>205.11320148000004</v>
      </c>
      <c r="L592" s="59">
        <f t="shared" si="103"/>
        <v>143.23047771893175</v>
      </c>
      <c r="M592" s="7">
        <f t="shared" si="104"/>
        <v>74.859410558931756</v>
      </c>
      <c r="N592" s="7">
        <f t="shared" si="105"/>
        <v>19.555731359999982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si="99"/>
        <v>579</v>
      </c>
      <c r="C593" s="7">
        <f t="shared" si="100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59" cm="1">
        <f t="array" ref="F593">estimatedTripDuration(C593,$C$7,$C$6)/60</f>
        <v>19.426666667328941</v>
      </c>
      <c r="G593">
        <f t="shared" si="96"/>
        <v>579</v>
      </c>
      <c r="H593" s="50">
        <f t="shared" si="101"/>
        <v>48.25</v>
      </c>
      <c r="I593" s="7" cm="1">
        <f t="array" ref="I593">CurrentCapacity(K$9,K$5,K$6,H593)</f>
        <v>273.48338952000006</v>
      </c>
      <c r="J593" s="48">
        <f t="shared" si="102"/>
        <v>0.47647339851160803</v>
      </c>
      <c r="K593" s="5" cm="1">
        <f t="array" ref="K593">UseableCapacity(I593,$K$7,$K$8)</f>
        <v>205.11254214000004</v>
      </c>
      <c r="L593" s="59">
        <f t="shared" si="103"/>
        <v>143.17582947893175</v>
      </c>
      <c r="M593" s="7">
        <f t="shared" si="104"/>
        <v>74.804982098931731</v>
      </c>
      <c r="N593" s="7">
        <f t="shared" si="105"/>
        <v>19.556610479999961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99"/>
        <v>580</v>
      </c>
      <c r="C594" s="7">
        <f t="shared" si="100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59" cm="1">
        <f t="array" ref="F594">estimatedTripDuration(C594,$C$7,$C$6)/60</f>
        <v>19.460000000662273</v>
      </c>
      <c r="G594">
        <f t="shared" si="96"/>
        <v>580</v>
      </c>
      <c r="H594" s="50">
        <f t="shared" si="101"/>
        <v>48.333333333333336</v>
      </c>
      <c r="I594" s="7" cm="1">
        <f t="array" ref="I594">CurrentCapacity(K$9,K$5,K$6,H594)</f>
        <v>273.48251040000002</v>
      </c>
      <c r="J594" s="48">
        <f t="shared" si="102"/>
        <v>0.47667153914303206</v>
      </c>
      <c r="K594" s="5" cm="1">
        <f t="array" ref="K594">UseableCapacity(I594,$K$7,$K$8)</f>
        <v>205.11188280000002</v>
      </c>
      <c r="L594" s="59">
        <f t="shared" si="103"/>
        <v>143.12118123893174</v>
      </c>
      <c r="M594" s="7">
        <f t="shared" si="104"/>
        <v>74.750553638931734</v>
      </c>
      <c r="N594" s="7">
        <f t="shared" si="105"/>
        <v>19.557489599999997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99"/>
        <v>581</v>
      </c>
      <c r="C595" s="7">
        <f t="shared" si="100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59" cm="1">
        <f t="array" ref="F595">estimatedTripDuration(C595,$C$7,$C$6)/60</f>
        <v>19.493333333995608</v>
      </c>
      <c r="G595">
        <f t="shared" si="96"/>
        <v>581</v>
      </c>
      <c r="H595" s="50">
        <f t="shared" si="101"/>
        <v>48.416666666666664</v>
      </c>
      <c r="I595" s="7" cm="1">
        <f t="array" ref="I595">CurrentCapacity(K$9,K$5,K$6,H595)</f>
        <v>273.48163128000004</v>
      </c>
      <c r="J595" s="48">
        <f t="shared" si="102"/>
        <v>0.4768696810483215</v>
      </c>
      <c r="K595" s="5" cm="1">
        <f t="array" ref="K595">UseableCapacity(I595,$K$7,$K$8)</f>
        <v>205.11122346000002</v>
      </c>
      <c r="L595" s="59">
        <f t="shared" si="103"/>
        <v>143.06653299893176</v>
      </c>
      <c r="M595" s="7">
        <f t="shared" si="104"/>
        <v>74.696125178931737</v>
      </c>
      <c r="N595" s="7">
        <f t="shared" si="105"/>
        <v>19.558368719999976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99"/>
        <v>582</v>
      </c>
      <c r="C596" s="7">
        <f t="shared" si="100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59" cm="1">
        <f t="array" ref="F596">estimatedTripDuration(C596,$C$7,$C$6)/60</f>
        <v>19.526666667328939</v>
      </c>
      <c r="G596">
        <f t="shared" si="96"/>
        <v>582</v>
      </c>
      <c r="H596" s="50">
        <f t="shared" si="101"/>
        <v>48.5</v>
      </c>
      <c r="I596" s="7" cm="1">
        <f t="array" ref="I596">CurrentCapacity(K$9,K$5,K$6,H596)</f>
        <v>273.48075216000001</v>
      </c>
      <c r="J596" s="48">
        <f t="shared" si="102"/>
        <v>0.47706782422748878</v>
      </c>
      <c r="K596" s="5" cm="1">
        <f t="array" ref="K596">UseableCapacity(I596,$K$7,$K$8)</f>
        <v>205.11056411999999</v>
      </c>
      <c r="L596" s="59">
        <f t="shared" si="103"/>
        <v>143.0118847589317</v>
      </c>
      <c r="M596" s="7">
        <f t="shared" si="104"/>
        <v>74.641696718931684</v>
      </c>
      <c r="N596" s="7">
        <f t="shared" si="105"/>
        <v>19.559247840000012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99"/>
        <v>583</v>
      </c>
      <c r="C597" s="7">
        <f t="shared" si="100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59" cm="1">
        <f t="array" ref="F597">estimatedTripDuration(C597,$C$7,$C$6)/60</f>
        <v>19.560000000662274</v>
      </c>
      <c r="G597">
        <f t="shared" si="96"/>
        <v>583</v>
      </c>
      <c r="H597" s="50">
        <f t="shared" si="101"/>
        <v>48.583333333333336</v>
      </c>
      <c r="I597" s="7" cm="1">
        <f t="array" ref="I597">CurrentCapacity(K$9,K$5,K$6,H597)</f>
        <v>273.47987304000003</v>
      </c>
      <c r="J597" s="48">
        <f t="shared" si="102"/>
        <v>0.47726596868054572</v>
      </c>
      <c r="K597" s="5" cm="1">
        <f t="array" ref="K597">UseableCapacity(I597,$K$7,$K$8)</f>
        <v>205.10990478000002</v>
      </c>
      <c r="L597" s="59">
        <f t="shared" si="103"/>
        <v>142.95723651893175</v>
      </c>
      <c r="M597" s="7">
        <f t="shared" si="104"/>
        <v>74.587268258931744</v>
      </c>
      <c r="N597" s="7">
        <f t="shared" si="105"/>
        <v>19.560126959999991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99"/>
        <v>584</v>
      </c>
      <c r="C598" s="7">
        <f t="shared" si="100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59" cm="1">
        <f t="array" ref="F598">estimatedTripDuration(C598,$C$7,$C$6)/60</f>
        <v>19.593333333995606</v>
      </c>
      <c r="G598">
        <f t="shared" si="96"/>
        <v>584</v>
      </c>
      <c r="H598" s="50">
        <f t="shared" si="101"/>
        <v>48.666666666666664</v>
      </c>
      <c r="I598" s="7" cm="1">
        <f t="array" ref="I598">CurrentCapacity(K$9,K$5,K$6,H598)</f>
        <v>273.47899392000005</v>
      </c>
      <c r="J598" s="48">
        <f t="shared" si="102"/>
        <v>0.47746411440750514</v>
      </c>
      <c r="K598" s="5" cm="1">
        <f t="array" ref="K598">UseableCapacity(I598,$K$7,$K$8)</f>
        <v>205.10924544000005</v>
      </c>
      <c r="L598" s="59">
        <f t="shared" si="103"/>
        <v>142.90258827893174</v>
      </c>
      <c r="M598" s="7">
        <f t="shared" si="104"/>
        <v>74.532839798931747</v>
      </c>
      <c r="N598" s="7">
        <f t="shared" si="105"/>
        <v>19.56100607999997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99"/>
        <v>585</v>
      </c>
      <c r="C599" s="7">
        <f t="shared" si="100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59" cm="1">
        <f t="array" ref="F599">estimatedTripDuration(C599,$C$7,$C$6)/60</f>
        <v>19.626666667328941</v>
      </c>
      <c r="G599">
        <f t="shared" si="96"/>
        <v>585</v>
      </c>
      <c r="H599" s="50">
        <f t="shared" si="101"/>
        <v>48.75</v>
      </c>
      <c r="I599" s="7" cm="1">
        <f t="array" ref="I599">CurrentCapacity(K$9,K$5,K$6,H599)</f>
        <v>273.47811480000007</v>
      </c>
      <c r="J599" s="48">
        <f t="shared" si="102"/>
        <v>0.47766226140837897</v>
      </c>
      <c r="K599" s="5" cm="1">
        <f t="array" ref="K599">UseableCapacity(I599,$K$7,$K$8)</f>
        <v>205.10858610000005</v>
      </c>
      <c r="L599" s="59">
        <f t="shared" si="103"/>
        <v>142.84794003893177</v>
      </c>
      <c r="M599" s="7">
        <f t="shared" si="104"/>
        <v>74.47841133893175</v>
      </c>
      <c r="N599" s="7">
        <f t="shared" si="105"/>
        <v>19.561885199999949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99"/>
        <v>586</v>
      </c>
      <c r="C600" s="7">
        <f t="shared" si="100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59" cm="1">
        <f t="array" ref="F600">estimatedTripDuration(C600,$C$7,$C$6)/60</f>
        <v>19.660000000662272</v>
      </c>
      <c r="G600">
        <f t="shared" si="96"/>
        <v>586</v>
      </c>
      <c r="H600" s="50">
        <f t="shared" si="101"/>
        <v>48.833333333333336</v>
      </c>
      <c r="I600" s="7" cm="1">
        <f t="array" ref="I600">CurrentCapacity(K$9,K$5,K$6,H600)</f>
        <v>273.47723568000004</v>
      </c>
      <c r="J600" s="48">
        <f t="shared" si="102"/>
        <v>0.47786040968317961</v>
      </c>
      <c r="K600" s="5" cm="1">
        <f t="array" ref="K600">UseableCapacity(I600,$K$7,$K$8)</f>
        <v>205.10792676000003</v>
      </c>
      <c r="L600" s="59">
        <f t="shared" si="103"/>
        <v>142.79329179893176</v>
      </c>
      <c r="M600" s="7">
        <f t="shared" si="104"/>
        <v>74.423982878931753</v>
      </c>
      <c r="N600" s="7">
        <f t="shared" si="105"/>
        <v>19.562764319999985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99"/>
        <v>587</v>
      </c>
      <c r="C601" s="7">
        <f t="shared" si="100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59" cm="1">
        <f t="array" ref="F601">estimatedTripDuration(C601,$C$7,$C$6)/60</f>
        <v>19.693333333995607</v>
      </c>
      <c r="G601">
        <f t="shared" si="96"/>
        <v>587</v>
      </c>
      <c r="H601" s="50">
        <f t="shared" si="101"/>
        <v>48.916666666666664</v>
      </c>
      <c r="I601" s="7" cm="1">
        <f t="array" ref="I601">CurrentCapacity(K$9,K$5,K$6,H601)</f>
        <v>273.47635656000006</v>
      </c>
      <c r="J601" s="48">
        <f t="shared" si="102"/>
        <v>0.47805855923191942</v>
      </c>
      <c r="K601" s="5" cm="1">
        <f t="array" ref="K601">UseableCapacity(I601,$K$7,$K$8)</f>
        <v>205.10726742000003</v>
      </c>
      <c r="L601" s="59">
        <f t="shared" si="103"/>
        <v>142.73864355893176</v>
      </c>
      <c r="M601" s="7">
        <f t="shared" si="104"/>
        <v>74.369554418931727</v>
      </c>
      <c r="N601" s="7">
        <f t="shared" si="105"/>
        <v>19.563643439999964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99"/>
        <v>588</v>
      </c>
      <c r="C602" s="7">
        <f t="shared" si="100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59" cm="1">
        <f t="array" ref="F602">estimatedTripDuration(C602,$C$7,$C$6)/60</f>
        <v>19.726666667328939</v>
      </c>
      <c r="G602">
        <f t="shared" si="96"/>
        <v>588</v>
      </c>
      <c r="H602" s="50">
        <f t="shared" si="101"/>
        <v>49</v>
      </c>
      <c r="I602" s="7" cm="1">
        <f t="array" ref="I602">CurrentCapacity(K$9,K$5,K$6,H602)</f>
        <v>273.47547744000002</v>
      </c>
      <c r="J602" s="48">
        <f t="shared" si="102"/>
        <v>0.47825671005461062</v>
      </c>
      <c r="K602" s="5" cm="1">
        <f t="array" ref="K602">UseableCapacity(I602,$K$7,$K$8)</f>
        <v>205.10660808</v>
      </c>
      <c r="L602" s="59">
        <f t="shared" si="103"/>
        <v>142.68399531893172</v>
      </c>
      <c r="M602" s="7">
        <f t="shared" si="104"/>
        <v>74.315125958931702</v>
      </c>
      <c r="N602" s="7">
        <f t="shared" si="105"/>
        <v>19.56452256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99"/>
        <v>589</v>
      </c>
      <c r="C603" s="7">
        <f t="shared" si="100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59" cm="1">
        <f t="array" ref="F603">estimatedTripDuration(C603,$C$7,$C$6)/60</f>
        <v>19.760000000662274</v>
      </c>
      <c r="G603">
        <f t="shared" si="96"/>
        <v>589</v>
      </c>
      <c r="H603" s="50">
        <f t="shared" si="101"/>
        <v>49.083333333333336</v>
      </c>
      <c r="I603" s="7" cm="1">
        <f t="array" ref="I603">CurrentCapacity(K$9,K$5,K$6,H603)</f>
        <v>273.47459832000004</v>
      </c>
      <c r="J603" s="48">
        <f t="shared" si="102"/>
        <v>0.47845486215126548</v>
      </c>
      <c r="K603" s="5" cm="1">
        <f t="array" ref="K603">UseableCapacity(I603,$K$7,$K$8)</f>
        <v>205.10594874000003</v>
      </c>
      <c r="L603" s="59">
        <f t="shared" si="103"/>
        <v>142.62934707893172</v>
      </c>
      <c r="M603" s="7">
        <f t="shared" si="104"/>
        <v>74.260697498931705</v>
      </c>
      <c r="N603" s="7">
        <f t="shared" si="105"/>
        <v>19.565401679999979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99"/>
        <v>590</v>
      </c>
      <c r="C604" s="7">
        <f t="shared" si="100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59" cm="1">
        <f t="array" ref="F604">estimatedTripDuration(C604,$C$7,$C$6)/60</f>
        <v>19.793333333995609</v>
      </c>
      <c r="G604">
        <f t="shared" si="96"/>
        <v>590</v>
      </c>
      <c r="H604" s="50">
        <f t="shared" si="101"/>
        <v>49.166666666666664</v>
      </c>
      <c r="I604" s="7" cm="1">
        <f t="array" ref="I604">CurrentCapacity(K$9,K$5,K$6,H604)</f>
        <v>273.47371920000001</v>
      </c>
      <c r="J604" s="48">
        <f t="shared" si="102"/>
        <v>0.47865301552189626</v>
      </c>
      <c r="K604" s="5" cm="1">
        <f t="array" ref="K604">UseableCapacity(I604,$K$7,$K$8)</f>
        <v>205.1052894</v>
      </c>
      <c r="L604" s="59">
        <f t="shared" si="103"/>
        <v>142.57469883893171</v>
      </c>
      <c r="M604" s="7">
        <f t="shared" si="104"/>
        <v>74.206269038931708</v>
      </c>
      <c r="N604" s="7">
        <f t="shared" si="105"/>
        <v>19.566280800000015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99"/>
        <v>591</v>
      </c>
      <c r="C605" s="7">
        <f t="shared" si="100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59" cm="1">
        <f t="array" ref="F605">estimatedTripDuration(C605,$C$7,$C$6)/60</f>
        <v>19.82666666732894</v>
      </c>
      <c r="G605">
        <f t="shared" si="96"/>
        <v>591</v>
      </c>
      <c r="H605" s="50">
        <f t="shared" si="101"/>
        <v>49.25</v>
      </c>
      <c r="I605" s="7" cm="1">
        <f t="array" ref="I605">CurrentCapacity(K$9,K$5,K$6,H605)</f>
        <v>273.47284008000003</v>
      </c>
      <c r="J605" s="48">
        <f t="shared" si="102"/>
        <v>0.47885117016651513</v>
      </c>
      <c r="K605" s="5" cm="1">
        <f t="array" ref="K605">UseableCapacity(I605,$K$7,$K$8)</f>
        <v>205.10463006000003</v>
      </c>
      <c r="L605" s="59">
        <f t="shared" si="103"/>
        <v>142.52005059893176</v>
      </c>
      <c r="M605" s="7">
        <f t="shared" si="104"/>
        <v>74.151840578931768</v>
      </c>
      <c r="N605" s="7">
        <f t="shared" si="105"/>
        <v>19.567159919999995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99"/>
        <v>592</v>
      </c>
      <c r="C606" s="7">
        <f t="shared" si="100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59" cm="1">
        <f t="array" ref="F606">estimatedTripDuration(C606,$C$7,$C$6)/60</f>
        <v>19.860000000662275</v>
      </c>
      <c r="G606">
        <f t="shared" si="96"/>
        <v>592</v>
      </c>
      <c r="H606" s="50">
        <f t="shared" si="101"/>
        <v>49.333333333333336</v>
      </c>
      <c r="I606" s="7" cm="1">
        <f t="array" ref="I606">CurrentCapacity(K$9,K$5,K$6,H606)</f>
        <v>273.47196096000005</v>
      </c>
      <c r="J606" s="48">
        <f t="shared" si="102"/>
        <v>0.47904932608513473</v>
      </c>
      <c r="K606" s="5" cm="1">
        <f t="array" ref="K606">UseableCapacity(I606,$K$7,$K$8)</f>
        <v>205.10397072000004</v>
      </c>
      <c r="L606" s="59">
        <f t="shared" si="103"/>
        <v>142.46540235893175</v>
      </c>
      <c r="M606" s="7">
        <f t="shared" si="104"/>
        <v>74.097412118931743</v>
      </c>
      <c r="N606" s="7">
        <f t="shared" si="105"/>
        <v>19.568039039999974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99"/>
        <v>593</v>
      </c>
      <c r="C607" s="7">
        <f t="shared" si="100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59" cm="1">
        <f t="array" ref="F607">estimatedTripDuration(C607,$C$7,$C$6)/60</f>
        <v>19.893333333995606</v>
      </c>
      <c r="G607">
        <f t="shared" ref="G607:G636" si="106">B607</f>
        <v>593</v>
      </c>
      <c r="H607" s="50">
        <f t="shared" si="101"/>
        <v>49.416666666666664</v>
      </c>
      <c r="I607" s="7" cm="1">
        <f t="array" ref="I607">CurrentCapacity(K$9,K$5,K$6,H607)</f>
        <v>273.47108184000007</v>
      </c>
      <c r="J607" s="48">
        <f t="shared" si="102"/>
        <v>0.47924748327776701</v>
      </c>
      <c r="K607" s="5" cm="1">
        <f t="array" ref="K607">UseableCapacity(I607,$K$7,$K$8)</f>
        <v>205.10331138000004</v>
      </c>
      <c r="L607" s="59">
        <f t="shared" si="103"/>
        <v>142.41075411893178</v>
      </c>
      <c r="M607" s="7">
        <f t="shared" si="104"/>
        <v>74.042983658931746</v>
      </c>
      <c r="N607" s="7">
        <f t="shared" si="105"/>
        <v>19.568918159999953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35">
      <c r="B608">
        <f t="shared" si="99"/>
        <v>594</v>
      </c>
      <c r="C608" s="7">
        <f t="shared" si="100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59" cm="1">
        <f t="array" ref="F608">estimatedTripDuration(C608,$C$7,$C$6)/60</f>
        <v>19.926666667328941</v>
      </c>
      <c r="G608">
        <f t="shared" si="106"/>
        <v>594</v>
      </c>
      <c r="H608" s="50">
        <f t="shared" si="101"/>
        <v>49.5</v>
      </c>
      <c r="I608" s="7" cm="1">
        <f t="array" ref="I608">CurrentCapacity(K$9,K$5,K$6,H608)</f>
        <v>273.47020272000003</v>
      </c>
      <c r="J608" s="48">
        <f t="shared" si="102"/>
        <v>0.47944564174442467</v>
      </c>
      <c r="K608" s="5" cm="1">
        <f t="array" ref="K608">UseableCapacity(I608,$K$7,$K$8)</f>
        <v>205.10265204000001</v>
      </c>
      <c r="L608" s="59">
        <f t="shared" si="103"/>
        <v>142.35610587893171</v>
      </c>
      <c r="M608" s="7">
        <f t="shared" si="104"/>
        <v>73.988555198931692</v>
      </c>
      <c r="N608" s="7">
        <f t="shared" si="105"/>
        <v>19.569797279999989</v>
      </c>
      <c r="O608" t="str">
        <f t="shared" si="107"/>
        <v>no</v>
      </c>
      <c r="P608" t="str">
        <f t="shared" si="108"/>
        <v>no</v>
      </c>
    </row>
    <row r="609" spans="2:16" x14ac:dyDescent="0.35">
      <c r="B609">
        <f t="shared" si="99"/>
        <v>595</v>
      </c>
      <c r="C609" s="7">
        <f t="shared" si="100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59" cm="1">
        <f t="array" ref="F609">estimatedTripDuration(C609,$C$7,$C$6)/60</f>
        <v>19.960000000662273</v>
      </c>
      <c r="G609">
        <f t="shared" si="106"/>
        <v>595</v>
      </c>
      <c r="H609" s="50">
        <f t="shared" si="101"/>
        <v>49.583333333333336</v>
      </c>
      <c r="I609" s="7" cm="1">
        <f t="array" ref="I609">CurrentCapacity(K$9,K$5,K$6,H609)</f>
        <v>273.4693236</v>
      </c>
      <c r="J609" s="48">
        <f t="shared" si="102"/>
        <v>0.47964380148511943</v>
      </c>
      <c r="K609" s="5" cm="1">
        <f t="array" ref="K609">UseableCapacity(I609,$K$7,$K$8)</f>
        <v>205.10199269999998</v>
      </c>
      <c r="L609" s="59">
        <f t="shared" si="103"/>
        <v>142.30145763893171</v>
      </c>
      <c r="M609" s="7">
        <f t="shared" si="104"/>
        <v>73.934126738931695</v>
      </c>
      <c r="N609" s="7">
        <f t="shared" si="105"/>
        <v>19.570676400000025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99"/>
        <v>596</v>
      </c>
      <c r="C610" s="7">
        <f t="shared" si="100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59" cm="1">
        <f t="array" ref="F610">estimatedTripDuration(C610,$C$7,$C$6)/60</f>
        <v>19.993333333995608</v>
      </c>
      <c r="G610">
        <f t="shared" si="106"/>
        <v>596</v>
      </c>
      <c r="H610" s="50">
        <f t="shared" si="101"/>
        <v>49.666666666666664</v>
      </c>
      <c r="I610" s="7" cm="1">
        <f t="array" ref="I610">CurrentCapacity(K$9,K$5,K$6,H610)</f>
        <v>273.46844448000002</v>
      </c>
      <c r="J610" s="48">
        <f t="shared" si="102"/>
        <v>0.47984196249986394</v>
      </c>
      <c r="K610" s="5" cm="1">
        <f t="array" ref="K610">UseableCapacity(I610,$K$7,$K$8)</f>
        <v>205.10133336000001</v>
      </c>
      <c r="L610" s="59">
        <f t="shared" si="103"/>
        <v>142.24680939893173</v>
      </c>
      <c r="M610" s="7">
        <f t="shared" si="104"/>
        <v>73.879698278931727</v>
      </c>
      <c r="N610" s="7">
        <f t="shared" si="105"/>
        <v>19.571555520000004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99"/>
        <v>597</v>
      </c>
      <c r="C611" s="7">
        <f t="shared" si="100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59" cm="1">
        <f t="array" ref="F611">estimatedTripDuration(C611,$C$7,$C$6)/60</f>
        <v>20.026666667328939</v>
      </c>
      <c r="G611">
        <f t="shared" si="106"/>
        <v>597</v>
      </c>
      <c r="H611" s="50">
        <f t="shared" si="101"/>
        <v>49.75</v>
      </c>
      <c r="I611" s="7" cm="1">
        <f t="array" ref="I611">CurrentCapacity(K$9,K$5,K$6,H611)</f>
        <v>273.46756536000004</v>
      </c>
      <c r="J611" s="48">
        <f t="shared" si="102"/>
        <v>0.48004012478867047</v>
      </c>
      <c r="K611" s="5" cm="1">
        <f t="array" ref="K611">UseableCapacity(I611,$K$7,$K$8)</f>
        <v>205.10067402000004</v>
      </c>
      <c r="L611" s="59">
        <f t="shared" si="103"/>
        <v>142.19216115893173</v>
      </c>
      <c r="M611" s="7">
        <f t="shared" si="104"/>
        <v>73.82526981893173</v>
      </c>
      <c r="N611" s="7">
        <f t="shared" si="105"/>
        <v>19.572434639999983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99"/>
        <v>598</v>
      </c>
      <c r="C612" s="7">
        <f t="shared" si="100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59" cm="1">
        <f t="array" ref="F612">estimatedTripDuration(C612,$C$7,$C$6)/60</f>
        <v>20.060000000662274</v>
      </c>
      <c r="G612">
        <f t="shared" si="106"/>
        <v>598</v>
      </c>
      <c r="H612" s="50">
        <f t="shared" si="101"/>
        <v>49.833333333333336</v>
      </c>
      <c r="I612" s="7" cm="1">
        <f t="array" ref="I612">CurrentCapacity(K$9,K$5,K$6,H612)</f>
        <v>273.46668624000006</v>
      </c>
      <c r="J612" s="48">
        <f t="shared" si="102"/>
        <v>0.48023828835155102</v>
      </c>
      <c r="K612" s="5" cm="1">
        <f t="array" ref="K612">UseableCapacity(I612,$K$7,$K$8)</f>
        <v>205.10001468000004</v>
      </c>
      <c r="L612" s="59">
        <f t="shared" si="103"/>
        <v>142.13751291893178</v>
      </c>
      <c r="M612" s="7">
        <f t="shared" si="104"/>
        <v>73.770841358931762</v>
      </c>
      <c r="N612" s="7">
        <f t="shared" si="105"/>
        <v>19.573313759999962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99"/>
        <v>599</v>
      </c>
      <c r="C613" s="7">
        <f t="shared" si="100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59" cm="1">
        <f t="array" ref="F613">estimatedTripDuration(C613,$C$7,$C$6)/60</f>
        <v>20.093333333995606</v>
      </c>
      <c r="G613">
        <f t="shared" si="106"/>
        <v>599</v>
      </c>
      <c r="H613" s="50">
        <f t="shared" si="101"/>
        <v>49.916666666666664</v>
      </c>
      <c r="I613" s="7" cm="1">
        <f t="array" ref="I613">CurrentCapacity(K$9,K$5,K$6,H613)</f>
        <v>273.46580712000002</v>
      </c>
      <c r="J613" s="48">
        <f t="shared" si="102"/>
        <v>0.48043645318851846</v>
      </c>
      <c r="K613" s="5" cm="1">
        <f t="array" ref="K613">UseableCapacity(I613,$K$7,$K$8)</f>
        <v>205.09935534000002</v>
      </c>
      <c r="L613" s="59">
        <f t="shared" si="103"/>
        <v>142.08286467893171</v>
      </c>
      <c r="M613" s="7">
        <f t="shared" si="104"/>
        <v>73.716412898931708</v>
      </c>
      <c r="N613" s="7">
        <f t="shared" si="105"/>
        <v>19.574192879999998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99"/>
        <v>600</v>
      </c>
      <c r="C614" s="7">
        <f t="shared" si="100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59" cm="1">
        <f t="array" ref="F614">estimatedTripDuration(C614,$C$7,$C$6)/60</f>
        <v>20.126666667328941</v>
      </c>
      <c r="G614">
        <f t="shared" si="106"/>
        <v>600</v>
      </c>
      <c r="H614" s="50">
        <f t="shared" si="101"/>
        <v>50</v>
      </c>
      <c r="I614" s="7" cm="1">
        <f t="array" ref="I614">CurrentCapacity(K$9,K$5,K$6,H614)</f>
        <v>273.46492800000004</v>
      </c>
      <c r="J614" s="48">
        <f t="shared" si="102"/>
        <v>0.48063461929958451</v>
      </c>
      <c r="K614" s="5" cm="1">
        <f t="array" ref="K614">UseableCapacity(I614,$K$7,$K$8)</f>
        <v>205.09869600000002</v>
      </c>
      <c r="L614" s="59">
        <f t="shared" si="103"/>
        <v>142.02821643893174</v>
      </c>
      <c r="M614" s="7">
        <f t="shared" si="104"/>
        <v>73.661984438931711</v>
      </c>
      <c r="N614" s="7">
        <f t="shared" si="105"/>
        <v>19.575071999999977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99"/>
        <v>601</v>
      </c>
      <c r="C615" s="7">
        <f t="shared" si="100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59" cm="1">
        <f t="array" ref="F615">estimatedTripDuration(C615,$C$7,$C$6)/60</f>
        <v>20.160000000662272</v>
      </c>
      <c r="G615">
        <f t="shared" si="106"/>
        <v>601</v>
      </c>
      <c r="H615" s="50">
        <f t="shared" si="101"/>
        <v>50.083333333333336</v>
      </c>
      <c r="I615" s="7" cm="1">
        <f t="array" ref="I615">CurrentCapacity(K$9,K$5,K$6,H615)</f>
        <v>273.46404888000001</v>
      </c>
      <c r="J615" s="48">
        <f t="shared" si="102"/>
        <v>0.48083278668476176</v>
      </c>
      <c r="K615" s="5" cm="1">
        <f t="array" ref="K615">UseableCapacity(I615,$K$7,$K$8)</f>
        <v>205.09803665999999</v>
      </c>
      <c r="L615" s="59">
        <f t="shared" si="103"/>
        <v>141.9735681989317</v>
      </c>
      <c r="M615" s="7">
        <f t="shared" si="104"/>
        <v>73.607555978931686</v>
      </c>
      <c r="N615" s="7">
        <f t="shared" si="105"/>
        <v>19.575951120000013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99"/>
        <v>602</v>
      </c>
      <c r="C616" s="7">
        <f t="shared" si="100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59" cm="1">
        <f t="array" ref="F616">estimatedTripDuration(C616,$C$7,$C$6)/60</f>
        <v>20.193333333995607</v>
      </c>
      <c r="G616">
        <f t="shared" si="106"/>
        <v>602</v>
      </c>
      <c r="H616" s="50">
        <f t="shared" si="101"/>
        <v>50.166666666666664</v>
      </c>
      <c r="I616" s="7" cm="1">
        <f t="array" ref="I616">CurrentCapacity(K$9,K$5,K$6,H616)</f>
        <v>273.46316976000003</v>
      </c>
      <c r="J616" s="48">
        <f t="shared" si="102"/>
        <v>0.48103095534406232</v>
      </c>
      <c r="K616" s="5" cm="1">
        <f t="array" ref="K616">UseableCapacity(I616,$K$7,$K$8)</f>
        <v>205.09737732000002</v>
      </c>
      <c r="L616" s="59">
        <f t="shared" si="103"/>
        <v>141.91891995893172</v>
      </c>
      <c r="M616" s="7">
        <f t="shared" si="104"/>
        <v>73.553127518931717</v>
      </c>
      <c r="N616" s="7">
        <f t="shared" si="105"/>
        <v>19.576830239999993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99"/>
        <v>603</v>
      </c>
      <c r="C617" s="7">
        <f t="shared" si="100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59" cm="1">
        <f t="array" ref="F617">estimatedTripDuration(C617,$C$7,$C$6)/60</f>
        <v>20.226666667328939</v>
      </c>
      <c r="G617">
        <f t="shared" si="106"/>
        <v>603</v>
      </c>
      <c r="H617" s="50">
        <f t="shared" si="101"/>
        <v>50.25</v>
      </c>
      <c r="I617" s="7" cm="1">
        <f t="array" ref="I617">CurrentCapacity(K$9,K$5,K$6,H617)</f>
        <v>273.46229064000005</v>
      </c>
      <c r="J617" s="48">
        <f t="shared" si="102"/>
        <v>0.48122912527749867</v>
      </c>
      <c r="K617" s="5" cm="1">
        <f t="array" ref="K617">UseableCapacity(I617,$K$7,$K$8)</f>
        <v>205.09671798000005</v>
      </c>
      <c r="L617" s="59">
        <f t="shared" si="103"/>
        <v>141.86427171893172</v>
      </c>
      <c r="M617" s="7">
        <f t="shared" si="104"/>
        <v>73.49869905893172</v>
      </c>
      <c r="N617" s="7">
        <f t="shared" si="105"/>
        <v>19.577709359999972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99"/>
        <v>604</v>
      </c>
      <c r="C618" s="7">
        <f t="shared" si="100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59" cm="1">
        <f t="array" ref="F618">estimatedTripDuration(C618,$C$7,$C$6)/60</f>
        <v>20.260000000662274</v>
      </c>
      <c r="G618">
        <f t="shared" si="106"/>
        <v>604</v>
      </c>
      <c r="H618" s="50">
        <f t="shared" si="101"/>
        <v>50.333333333333336</v>
      </c>
      <c r="I618" s="7" cm="1">
        <f t="array" ref="I618">CurrentCapacity(K$9,K$5,K$6,H618)</f>
        <v>273.46141152000001</v>
      </c>
      <c r="J618" s="48">
        <f t="shared" si="102"/>
        <v>0.48142729648508298</v>
      </c>
      <c r="K618" s="5" cm="1">
        <f t="array" ref="K618">UseableCapacity(I618,$K$7,$K$8)</f>
        <v>205.09605864000002</v>
      </c>
      <c r="L618" s="59">
        <f t="shared" si="103"/>
        <v>141.80962347893168</v>
      </c>
      <c r="M618" s="7">
        <f t="shared" si="104"/>
        <v>73.444270598931695</v>
      </c>
      <c r="N618" s="7">
        <f t="shared" si="105"/>
        <v>19.578588480000008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99"/>
        <v>605</v>
      </c>
      <c r="C619" s="7">
        <f t="shared" si="100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59" cm="1">
        <f t="array" ref="F619">estimatedTripDuration(C619,$C$7,$C$6)/60</f>
        <v>20.293333333995609</v>
      </c>
      <c r="G619">
        <f t="shared" si="106"/>
        <v>605</v>
      </c>
      <c r="H619" s="50">
        <f t="shared" si="101"/>
        <v>50.416666666666664</v>
      </c>
      <c r="I619" s="7" cm="1">
        <f t="array" ref="I619">CurrentCapacity(K$9,K$5,K$6,H619)</f>
        <v>273.46053240000003</v>
      </c>
      <c r="J619" s="48">
        <f t="shared" si="102"/>
        <v>0.48162546896682734</v>
      </c>
      <c r="K619" s="5" cm="1">
        <f t="array" ref="K619">UseableCapacity(I619,$K$7,$K$8)</f>
        <v>205.09539930000003</v>
      </c>
      <c r="L619" s="59">
        <f t="shared" si="103"/>
        <v>141.75497523893173</v>
      </c>
      <c r="M619" s="7">
        <f t="shared" si="104"/>
        <v>73.389842138931726</v>
      </c>
      <c r="N619" s="7">
        <f t="shared" si="105"/>
        <v>19.579467599999987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99"/>
        <v>606</v>
      </c>
      <c r="C620" s="7">
        <f t="shared" si="100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59" cm="1">
        <f t="array" ref="F620">estimatedTripDuration(C620,$C$7,$C$6)/60</f>
        <v>20.32666666732894</v>
      </c>
      <c r="G620">
        <f t="shared" si="106"/>
        <v>606</v>
      </c>
      <c r="H620" s="50">
        <f t="shared" si="101"/>
        <v>50.5</v>
      </c>
      <c r="I620" s="7" cm="1">
        <f t="array" ref="I620">CurrentCapacity(K$9,K$5,K$6,H620)</f>
        <v>273.45965328000005</v>
      </c>
      <c r="J620" s="48">
        <f t="shared" si="102"/>
        <v>0.48182364272274436</v>
      </c>
      <c r="K620" s="5" cm="1">
        <f t="array" ref="K620">UseableCapacity(I620,$K$7,$K$8)</f>
        <v>205.09473996000003</v>
      </c>
      <c r="L620" s="59">
        <f t="shared" si="103"/>
        <v>141.70032699893176</v>
      </c>
      <c r="M620" s="7">
        <f t="shared" si="104"/>
        <v>73.335413678931729</v>
      </c>
      <c r="N620" s="7">
        <f t="shared" si="105"/>
        <v>19.580346719999966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99"/>
        <v>607</v>
      </c>
      <c r="C621" s="7">
        <f t="shared" si="100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59" cm="1">
        <f t="array" ref="F621">estimatedTripDuration(C621,$C$7,$C$6)/60</f>
        <v>20.360000000662275</v>
      </c>
      <c r="G621">
        <f t="shared" si="106"/>
        <v>607</v>
      </c>
      <c r="H621" s="50">
        <f t="shared" si="101"/>
        <v>50.583333333333336</v>
      </c>
      <c r="I621" s="7" cm="1">
        <f t="array" ref="I621">CurrentCapacity(K$9,K$5,K$6,H621)</f>
        <v>273.45877416000002</v>
      </c>
      <c r="J621" s="48">
        <f t="shared" si="102"/>
        <v>0.48202181775284636</v>
      </c>
      <c r="K621" s="5" cm="1">
        <f t="array" ref="K621">UseableCapacity(I621,$K$7,$K$8)</f>
        <v>205.09408062</v>
      </c>
      <c r="L621" s="59">
        <f t="shared" si="103"/>
        <v>141.64567875893172</v>
      </c>
      <c r="M621" s="7">
        <f t="shared" si="104"/>
        <v>73.280985218931704</v>
      </c>
      <c r="N621" s="7">
        <f t="shared" si="105"/>
        <v>19.581225840000002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99"/>
        <v>608</v>
      </c>
      <c r="C622" s="7">
        <f t="shared" si="100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59" cm="1">
        <f t="array" ref="F622">estimatedTripDuration(C622,$C$7,$C$6)/60</f>
        <v>20.393333333995606</v>
      </c>
      <c r="G622">
        <f t="shared" si="106"/>
        <v>608</v>
      </c>
      <c r="H622" s="50">
        <f t="shared" si="101"/>
        <v>50.666666666666664</v>
      </c>
      <c r="I622" s="7" cm="1">
        <f t="array" ref="I622">CurrentCapacity(K$9,K$5,K$6,H622)</f>
        <v>273.45789504000004</v>
      </c>
      <c r="J622" s="48">
        <f t="shared" si="102"/>
        <v>0.48221999405714533</v>
      </c>
      <c r="K622" s="5" cm="1">
        <f t="array" ref="K622">UseableCapacity(I622,$K$7,$K$8)</f>
        <v>205.09342128000003</v>
      </c>
      <c r="L622" s="59">
        <f t="shared" si="103"/>
        <v>141.59103051893175</v>
      </c>
      <c r="M622" s="7">
        <f t="shared" si="104"/>
        <v>73.226556758931736</v>
      </c>
      <c r="N622" s="7">
        <f t="shared" si="105"/>
        <v>19.582104959999981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99"/>
        <v>609</v>
      </c>
      <c r="C623" s="7">
        <f t="shared" si="100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59" cm="1">
        <f t="array" ref="F623">estimatedTripDuration(C623,$C$7,$C$6)/60</f>
        <v>20.426666667328941</v>
      </c>
      <c r="G623">
        <f t="shared" si="106"/>
        <v>609</v>
      </c>
      <c r="H623" s="50">
        <f t="shared" si="101"/>
        <v>50.75</v>
      </c>
      <c r="I623" s="7" cm="1">
        <f t="array" ref="I623">CurrentCapacity(K$9,K$5,K$6,H623)</f>
        <v>273.45701592</v>
      </c>
      <c r="J623" s="48">
        <f t="shared" si="102"/>
        <v>0.48241817163565387</v>
      </c>
      <c r="K623" s="5" cm="1">
        <f t="array" ref="K623">UseableCapacity(I623,$K$7,$K$8)</f>
        <v>205.09276194</v>
      </c>
      <c r="L623" s="59">
        <f t="shared" si="103"/>
        <v>141.53638227893171</v>
      </c>
      <c r="M623" s="7">
        <f t="shared" si="104"/>
        <v>73.17212829893171</v>
      </c>
      <c r="N623" s="7">
        <f t="shared" si="105"/>
        <v>19.582984080000017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99"/>
        <v>610</v>
      </c>
      <c r="C624" s="7">
        <f t="shared" si="100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59" cm="1">
        <f t="array" ref="F624">estimatedTripDuration(C624,$C$7,$C$6)/60</f>
        <v>20.460000000662273</v>
      </c>
      <c r="G624">
        <f t="shared" si="106"/>
        <v>610</v>
      </c>
      <c r="H624" s="50">
        <f t="shared" si="101"/>
        <v>50.833333333333336</v>
      </c>
      <c r="I624" s="7" cm="1">
        <f t="array" ref="I624">CurrentCapacity(K$9,K$5,K$6,H624)</f>
        <v>273.45613680000002</v>
      </c>
      <c r="J624" s="48">
        <f t="shared" si="102"/>
        <v>0.48261635048838408</v>
      </c>
      <c r="K624" s="5" cm="1">
        <f t="array" ref="K624">UseableCapacity(I624,$K$7,$K$8)</f>
        <v>205.09210260000003</v>
      </c>
      <c r="L624" s="59">
        <f t="shared" si="103"/>
        <v>141.48173403893171</v>
      </c>
      <c r="M624" s="7">
        <f t="shared" si="104"/>
        <v>73.117699838931713</v>
      </c>
      <c r="N624" s="7">
        <f t="shared" si="105"/>
        <v>19.583863199999996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99"/>
        <v>611</v>
      </c>
      <c r="C625" s="7">
        <f t="shared" si="100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59" cm="1">
        <f t="array" ref="F625">estimatedTripDuration(C625,$C$7,$C$6)/60</f>
        <v>20.493333333995608</v>
      </c>
      <c r="G625">
        <f t="shared" si="106"/>
        <v>611</v>
      </c>
      <c r="H625" s="50">
        <f t="shared" si="101"/>
        <v>50.916666666666664</v>
      </c>
      <c r="I625" s="7" cm="1">
        <f t="array" ref="I625">CurrentCapacity(K$9,K$5,K$6,H625)</f>
        <v>273.45525768000005</v>
      </c>
      <c r="J625" s="48">
        <f t="shared" si="102"/>
        <v>0.48281453061534813</v>
      </c>
      <c r="K625" s="5" cm="1">
        <f t="array" ref="K625">UseableCapacity(I625,$K$7,$K$8)</f>
        <v>205.09144326000003</v>
      </c>
      <c r="L625" s="59">
        <f t="shared" si="103"/>
        <v>141.42708579893176</v>
      </c>
      <c r="M625" s="7">
        <f t="shared" si="104"/>
        <v>73.063271378931745</v>
      </c>
      <c r="N625" s="7">
        <f t="shared" si="105"/>
        <v>19.584742319999975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99"/>
        <v>612</v>
      </c>
      <c r="C626" s="7">
        <f t="shared" si="100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59" cm="1">
        <f t="array" ref="F626">estimatedTripDuration(C626,$C$7,$C$6)/60</f>
        <v>20.526666667328939</v>
      </c>
      <c r="G626">
        <f t="shared" si="106"/>
        <v>612</v>
      </c>
      <c r="H626" s="50">
        <f t="shared" si="101"/>
        <v>51</v>
      </c>
      <c r="I626" s="7" cm="1">
        <f t="array" ref="I626">CurrentCapacity(K$9,K$5,K$6,H626)</f>
        <v>273.45437856000007</v>
      </c>
      <c r="J626" s="48">
        <f t="shared" si="102"/>
        <v>0.48301271201655865</v>
      </c>
      <c r="K626" s="5" cm="1">
        <f t="array" ref="K626">UseableCapacity(I626,$K$7,$K$8)</f>
        <v>205.09078392000004</v>
      </c>
      <c r="L626" s="59">
        <f t="shared" si="103"/>
        <v>141.37243755893175</v>
      </c>
      <c r="M626" s="7">
        <f t="shared" si="104"/>
        <v>73.00884291893172</v>
      </c>
      <c r="N626" s="7">
        <f t="shared" si="105"/>
        <v>19.585621439999954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99"/>
        <v>613</v>
      </c>
      <c r="C627" s="7">
        <f t="shared" si="100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59" cm="1">
        <f t="array" ref="F627">estimatedTripDuration(C627,$C$7,$C$6)/60</f>
        <v>20.560000000662274</v>
      </c>
      <c r="G627">
        <f t="shared" si="106"/>
        <v>613</v>
      </c>
      <c r="H627" s="50">
        <f t="shared" si="101"/>
        <v>51.083333333333336</v>
      </c>
      <c r="I627" s="7" cm="1">
        <f t="array" ref="I627">CurrentCapacity(K$9,K$5,K$6,H627)</f>
        <v>273.45349944000003</v>
      </c>
      <c r="J627" s="48">
        <f t="shared" si="102"/>
        <v>0.48321089469202771</v>
      </c>
      <c r="K627" s="5" cm="1">
        <f t="array" ref="K627">UseableCapacity(I627,$K$7,$K$8)</f>
        <v>205.09012458000001</v>
      </c>
      <c r="L627" s="59">
        <f t="shared" si="103"/>
        <v>141.31778931893172</v>
      </c>
      <c r="M627" s="7">
        <f t="shared" si="104"/>
        <v>72.954414458931694</v>
      </c>
      <c r="N627" s="7">
        <f t="shared" si="105"/>
        <v>19.58650055999999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99"/>
        <v>614</v>
      </c>
      <c r="C628" s="7">
        <f t="shared" si="100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59" cm="1">
        <f t="array" ref="F628">estimatedTripDuration(C628,$C$7,$C$6)/60</f>
        <v>20.593333333995606</v>
      </c>
      <c r="G628">
        <f t="shared" si="106"/>
        <v>614</v>
      </c>
      <c r="H628" s="50">
        <f t="shared" si="101"/>
        <v>51.166666666666664</v>
      </c>
      <c r="I628" s="7" cm="1">
        <f t="array" ref="I628">CurrentCapacity(K$9,K$5,K$6,H628)</f>
        <v>273.45262032000005</v>
      </c>
      <c r="J628" s="48">
        <f t="shared" si="102"/>
        <v>0.48340907864176758</v>
      </c>
      <c r="K628" s="5" cm="1">
        <f t="array" ref="K628">UseableCapacity(I628,$K$7,$K$8)</f>
        <v>205.08946524000004</v>
      </c>
      <c r="L628" s="59">
        <f t="shared" si="103"/>
        <v>141.26314107893174</v>
      </c>
      <c r="M628" s="7">
        <f t="shared" si="104"/>
        <v>72.899985998931726</v>
      </c>
      <c r="N628" s="7">
        <f t="shared" si="105"/>
        <v>19.58737967999997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99"/>
        <v>615</v>
      </c>
      <c r="C629" s="7">
        <f t="shared" si="100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59" cm="1">
        <f t="array" ref="F629">estimatedTripDuration(C629,$C$7,$C$6)/60</f>
        <v>20.626666667328941</v>
      </c>
      <c r="G629">
        <f t="shared" si="106"/>
        <v>615</v>
      </c>
      <c r="H629" s="50">
        <f t="shared" si="101"/>
        <v>51.25</v>
      </c>
      <c r="I629" s="7" cm="1">
        <f t="array" ref="I629">CurrentCapacity(K$9,K$5,K$6,H629)</f>
        <v>273.45174120000001</v>
      </c>
      <c r="J629" s="48">
        <f t="shared" si="102"/>
        <v>0.48360726386579067</v>
      </c>
      <c r="K629" s="5" cm="1">
        <f t="array" ref="K629">UseableCapacity(I629,$K$7,$K$8)</f>
        <v>205.08880590000001</v>
      </c>
      <c r="L629" s="59">
        <f t="shared" si="103"/>
        <v>141.2084928389317</v>
      </c>
      <c r="M629" s="7">
        <f t="shared" si="104"/>
        <v>72.8455575389317</v>
      </c>
      <c r="N629" s="7">
        <f t="shared" si="105"/>
        <v>19.588258800000006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99"/>
        <v>616</v>
      </c>
      <c r="C630" s="7">
        <f t="shared" si="100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59" cm="1">
        <f t="array" ref="F630">estimatedTripDuration(C630,$C$7,$C$6)/60</f>
        <v>20.660000000662272</v>
      </c>
      <c r="G630">
        <f t="shared" si="106"/>
        <v>616</v>
      </c>
      <c r="H630" s="50">
        <f t="shared" si="101"/>
        <v>51.333333333333336</v>
      </c>
      <c r="I630" s="7" cm="1">
        <f t="array" ref="I630">CurrentCapacity(K$9,K$5,K$6,H630)</f>
        <v>273.45086208000004</v>
      </c>
      <c r="J630" s="48">
        <f t="shared" si="102"/>
        <v>0.48380545036410905</v>
      </c>
      <c r="K630" s="5" cm="1">
        <f t="array" ref="K630">UseableCapacity(I630,$K$7,$K$8)</f>
        <v>205.08814656000004</v>
      </c>
      <c r="L630" s="59">
        <f t="shared" si="103"/>
        <v>141.15384459893176</v>
      </c>
      <c r="M630" s="7">
        <f t="shared" si="104"/>
        <v>72.79112907893176</v>
      </c>
      <c r="N630" s="7">
        <f t="shared" si="105"/>
        <v>19.589137919999985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99"/>
        <v>617</v>
      </c>
      <c r="C631" s="7">
        <f t="shared" si="100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59" cm="1">
        <f t="array" ref="F631">estimatedTripDuration(C631,$C$7,$C$6)/60</f>
        <v>20.693333333995607</v>
      </c>
      <c r="G631">
        <f t="shared" si="106"/>
        <v>617</v>
      </c>
      <c r="H631" s="50">
        <f t="shared" si="101"/>
        <v>51.416666666666664</v>
      </c>
      <c r="I631" s="7" cm="1">
        <f t="array" ref="I631">CurrentCapacity(K$9,K$5,K$6,H631)</f>
        <v>273.44998296</v>
      </c>
      <c r="J631" s="48">
        <f t="shared" si="102"/>
        <v>0.48400363813673541</v>
      </c>
      <c r="K631" s="5" cm="1">
        <f t="array" ref="K631">UseableCapacity(I631,$K$7,$K$8)</f>
        <v>205.08748722000001</v>
      </c>
      <c r="L631" s="59">
        <f t="shared" si="103"/>
        <v>141.09919635893169</v>
      </c>
      <c r="M631" s="7">
        <f t="shared" si="104"/>
        <v>72.736700618931707</v>
      </c>
      <c r="N631" s="7">
        <f t="shared" si="105"/>
        <v>19.590017040000021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99"/>
        <v>618</v>
      </c>
      <c r="C632" s="7">
        <f t="shared" si="100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59" cm="1">
        <f t="array" ref="F632">estimatedTripDuration(C632,$C$7,$C$6)/60</f>
        <v>20.726666667328939</v>
      </c>
      <c r="G632">
        <f t="shared" si="106"/>
        <v>618</v>
      </c>
      <c r="H632" s="50">
        <f t="shared" si="101"/>
        <v>51.5</v>
      </c>
      <c r="I632" s="7" cm="1">
        <f t="array" ref="I632">CurrentCapacity(K$9,K$5,K$6,H632)</f>
        <v>273.44910384000002</v>
      </c>
      <c r="J632" s="48">
        <f t="shared" si="102"/>
        <v>0.48420182718368154</v>
      </c>
      <c r="K632" s="5" cm="1">
        <f t="array" ref="K632">UseableCapacity(I632,$K$7,$K$8)</f>
        <v>205.08682788000002</v>
      </c>
      <c r="L632" s="59">
        <f t="shared" si="103"/>
        <v>141.04454811893174</v>
      </c>
      <c r="M632" s="7">
        <f t="shared" si="104"/>
        <v>72.682272158931738</v>
      </c>
      <c r="N632" s="7">
        <f t="shared" si="105"/>
        <v>19.59089616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99"/>
        <v>619</v>
      </c>
      <c r="C633" s="7">
        <f t="shared" si="100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59" cm="1">
        <f t="array" ref="F633">estimatedTripDuration(C633,$C$7,$C$6)/60</f>
        <v>20.760000000662274</v>
      </c>
      <c r="G633">
        <f t="shared" si="106"/>
        <v>619</v>
      </c>
      <c r="H633" s="50">
        <f t="shared" si="101"/>
        <v>51.583333333333336</v>
      </c>
      <c r="I633" s="7" cm="1">
        <f t="array" ref="I633">CurrentCapacity(K$9,K$5,K$6,H633)</f>
        <v>273.44822472000004</v>
      </c>
      <c r="J633" s="48">
        <f t="shared" si="102"/>
        <v>0.48440001750496026</v>
      </c>
      <c r="K633" s="5" cm="1">
        <f t="array" ref="K633">UseableCapacity(I633,$K$7,$K$8)</f>
        <v>205.08616854000002</v>
      </c>
      <c r="L633" s="59">
        <f t="shared" si="103"/>
        <v>140.98989987893171</v>
      </c>
      <c r="M633" s="7">
        <f t="shared" si="104"/>
        <v>72.627843698931684</v>
      </c>
      <c r="N633" s="7">
        <f t="shared" si="105"/>
        <v>19.591775279999979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99"/>
        <v>620</v>
      </c>
      <c r="C634" s="7">
        <f t="shared" si="100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59" cm="1">
        <f t="array" ref="F634">estimatedTripDuration(C634,$C$7,$C$6)/60</f>
        <v>20.793333333995609</v>
      </c>
      <c r="G634">
        <f t="shared" si="106"/>
        <v>620</v>
      </c>
      <c r="H634" s="50">
        <f t="shared" si="101"/>
        <v>51.666666666666664</v>
      </c>
      <c r="I634" s="7" cm="1">
        <f t="array" ref="I634">CurrentCapacity(K$9,K$5,K$6,H634)</f>
        <v>273.44734560000006</v>
      </c>
      <c r="J634" s="48">
        <f t="shared" si="102"/>
        <v>0.48459820910058321</v>
      </c>
      <c r="K634" s="5" cm="1">
        <f t="array" ref="K634">UseableCapacity(I634,$K$7,$K$8)</f>
        <v>205.08550920000005</v>
      </c>
      <c r="L634" s="59">
        <f t="shared" si="103"/>
        <v>140.93525163893179</v>
      </c>
      <c r="M634" s="7">
        <f t="shared" si="104"/>
        <v>72.573415238931773</v>
      </c>
      <c r="N634" s="7">
        <f t="shared" si="105"/>
        <v>19.592654399999958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99"/>
        <v>621</v>
      </c>
      <c r="C635" s="7">
        <f t="shared" si="100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59" cm="1">
        <f t="array" ref="F635">estimatedTripDuration(C635,$C$7,$C$6)/60</f>
        <v>20.82666666732894</v>
      </c>
      <c r="G635">
        <f t="shared" si="106"/>
        <v>621</v>
      </c>
      <c r="H635" s="50">
        <f t="shared" si="101"/>
        <v>51.75</v>
      </c>
      <c r="I635" s="7" cm="1">
        <f t="array" ref="I635">CurrentCapacity(K$9,K$5,K$6,H635)</f>
        <v>273.44646648000003</v>
      </c>
      <c r="J635" s="48">
        <f t="shared" si="102"/>
        <v>0.48479640197056345</v>
      </c>
      <c r="K635" s="5" cm="1">
        <f t="array" ref="K635">UseableCapacity(I635,$K$7,$K$8)</f>
        <v>205.08484986000002</v>
      </c>
      <c r="L635" s="59">
        <f t="shared" si="103"/>
        <v>140.88060339893173</v>
      </c>
      <c r="M635" s="7">
        <f t="shared" si="104"/>
        <v>72.518986778931719</v>
      </c>
      <c r="N635" s="7">
        <f t="shared" si="105"/>
        <v>19.593533519999994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99"/>
        <v>622</v>
      </c>
      <c r="C636" s="7">
        <f t="shared" si="100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59" cm="1">
        <f t="array" ref="F636">estimatedTripDuration(C636,$C$7,$C$6)/60</f>
        <v>20.860000000662275</v>
      </c>
      <c r="G636">
        <f t="shared" si="106"/>
        <v>622</v>
      </c>
      <c r="H636" s="50">
        <f t="shared" si="101"/>
        <v>51.833333333333336</v>
      </c>
      <c r="I636" s="7" cm="1">
        <f t="array" ref="I636">CurrentCapacity(K$9,K$5,K$6,H636)</f>
        <v>273.44558736000005</v>
      </c>
      <c r="J636" s="48">
        <f t="shared" si="102"/>
        <v>0.48499459611491269</v>
      </c>
      <c r="K636" s="5" cm="1">
        <f t="array" ref="K636">UseableCapacity(I636,$K$7,$K$8)</f>
        <v>205.08419052000005</v>
      </c>
      <c r="L636" s="59">
        <f t="shared" si="103"/>
        <v>140.82595515893175</v>
      </c>
      <c r="M636" s="7">
        <f t="shared" si="104"/>
        <v>72.464558318931751</v>
      </c>
      <c r="N636" s="7">
        <f t="shared" si="105"/>
        <v>19.594412639999973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6" priority="4" operator="lessThan">
      <formula>0</formula>
    </cfRule>
  </conditionalFormatting>
  <conditionalFormatting sqref="C14:C636">
    <cfRule type="cellIs" dxfId="5" priority="3" operator="greaterThan">
      <formula>50</formula>
    </cfRule>
  </conditionalFormatting>
  <conditionalFormatting sqref="C11">
    <cfRule type="cellIs" dxfId="4" priority="1" operator="greaterThan">
      <formula>$K$12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2"/>
  <sheetViews>
    <sheetView workbookViewId="0">
      <selection activeCell="R10" sqref="R10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0.1796875" customWidth="1"/>
  </cols>
  <sheetData>
    <row r="2" spans="2:20" ht="23.5" x14ac:dyDescent="0.55000000000000004">
      <c r="B2" s="91" t="s">
        <v>80</v>
      </c>
      <c r="C2" s="91"/>
      <c r="D2" s="91"/>
      <c r="E2" s="91"/>
      <c r="F2" s="91"/>
    </row>
    <row r="4" spans="2:20" x14ac:dyDescent="0.35">
      <c r="B4" s="51" t="s">
        <v>66</v>
      </c>
      <c r="C4" s="3">
        <v>3.7207599999999998</v>
      </c>
      <c r="D4" s="3" t="s">
        <v>8</v>
      </c>
      <c r="E4" s="3"/>
      <c r="F4" s="51" t="s">
        <v>71</v>
      </c>
      <c r="G4" s="3">
        <v>12</v>
      </c>
      <c r="H4" s="3" t="s">
        <v>4</v>
      </c>
      <c r="J4" s="51" t="s">
        <v>13</v>
      </c>
      <c r="K4" s="11">
        <f>3.7*5</f>
        <v>18.5</v>
      </c>
      <c r="L4" s="3" t="s">
        <v>15</v>
      </c>
    </row>
    <row r="5" spans="2:20" x14ac:dyDescent="0.35">
      <c r="B5" s="51" t="s">
        <v>93</v>
      </c>
      <c r="C5" s="3">
        <v>10</v>
      </c>
      <c r="D5" s="3" t="s">
        <v>94</v>
      </c>
      <c r="F5" s="51" t="s">
        <v>111</v>
      </c>
      <c r="G5" s="3">
        <v>0</v>
      </c>
      <c r="H5" s="3" t="s">
        <v>22</v>
      </c>
      <c r="J5" s="51" t="s">
        <v>14</v>
      </c>
      <c r="K5" s="3">
        <v>4400</v>
      </c>
      <c r="L5" s="3" t="s">
        <v>0</v>
      </c>
    </row>
    <row r="6" spans="2:20" x14ac:dyDescent="0.35">
      <c r="B6" s="52" t="s">
        <v>106</v>
      </c>
      <c r="C6" s="52">
        <f>C4*C5</f>
        <v>37.207599999999999</v>
      </c>
      <c r="D6" s="52" t="s">
        <v>105</v>
      </c>
      <c r="F6" s="51" t="s">
        <v>112</v>
      </c>
      <c r="G6" s="3">
        <v>2250</v>
      </c>
      <c r="H6" s="3" t="s">
        <v>20</v>
      </c>
      <c r="J6" s="51" t="s">
        <v>1</v>
      </c>
      <c r="K6" s="9">
        <v>-3.6000000000000001E-5</v>
      </c>
      <c r="L6" s="3" t="s">
        <v>3</v>
      </c>
    </row>
    <row r="7" spans="2:20" x14ac:dyDescent="0.35">
      <c r="B7" s="52" t="s">
        <v>115</v>
      </c>
      <c r="C7" s="71">
        <f>xxxxxx!C32+G9</f>
        <v>24.679160599999999</v>
      </c>
      <c r="D7" s="52" t="s">
        <v>7</v>
      </c>
      <c r="F7" s="52" t="s">
        <v>110</v>
      </c>
      <c r="G7" s="70">
        <f>G5/G6</f>
        <v>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20" x14ac:dyDescent="0.35">
      <c r="B8" s="51" t="s">
        <v>10</v>
      </c>
      <c r="C8" s="3">
        <v>0.15</v>
      </c>
      <c r="D8" s="3" t="s">
        <v>5</v>
      </c>
      <c r="J8" s="51" t="s">
        <v>17</v>
      </c>
      <c r="K8" s="12">
        <v>1</v>
      </c>
      <c r="L8" s="3"/>
    </row>
    <row r="9" spans="2:20" x14ac:dyDescent="0.35">
      <c r="B9" s="51" t="s">
        <v>103</v>
      </c>
      <c r="C9" s="3">
        <v>0.25</v>
      </c>
      <c r="D9" s="3" t="s">
        <v>6</v>
      </c>
      <c r="F9" s="51" t="s">
        <v>118</v>
      </c>
      <c r="G9" s="3">
        <v>20</v>
      </c>
      <c r="H9" s="3" t="s">
        <v>59</v>
      </c>
      <c r="J9" s="51" t="s">
        <v>18</v>
      </c>
      <c r="K9" s="12">
        <v>0.25</v>
      </c>
      <c r="L9" s="3"/>
    </row>
    <row r="10" spans="2:20" x14ac:dyDescent="0.35">
      <c r="B10" s="51" t="s">
        <v>104</v>
      </c>
      <c r="C10" s="3">
        <v>4</v>
      </c>
      <c r="D10" s="3" t="s">
        <v>105</v>
      </c>
      <c r="J10" s="52" t="s">
        <v>114</v>
      </c>
      <c r="K10" s="52">
        <f>K5*3.6/1000*K4</f>
        <v>293.04000000000002</v>
      </c>
      <c r="L10" s="52" t="s">
        <v>16</v>
      </c>
    </row>
    <row r="11" spans="2:20" x14ac:dyDescent="0.35">
      <c r="B11" s="51" t="s">
        <v>64</v>
      </c>
      <c r="C11" s="12">
        <v>0.5</v>
      </c>
      <c r="D11" s="3"/>
      <c r="F11" s="52" t="s">
        <v>120</v>
      </c>
      <c r="G11" s="71">
        <f>C7+G7+C12</f>
        <v>44.282960599999996</v>
      </c>
      <c r="H11" s="52" t="s">
        <v>59</v>
      </c>
      <c r="J11" s="52" t="s">
        <v>113</v>
      </c>
      <c r="K11" s="71" cm="1">
        <f t="array" ref="K11">UseableCapacity(K10,K8,K9)</f>
        <v>219.78000000000003</v>
      </c>
      <c r="L11" s="52" t="s">
        <v>16</v>
      </c>
    </row>
    <row r="12" spans="2:20" x14ac:dyDescent="0.35">
      <c r="B12" s="52" t="s">
        <v>19</v>
      </c>
      <c r="C12" s="52" cm="1">
        <f t="array" ref="C12">drivePower(C4,C5,C9,C10,C11)</f>
        <v>19.6038</v>
      </c>
      <c r="D12" s="52" t="s">
        <v>7</v>
      </c>
      <c r="F12" s="52" t="s">
        <v>119</v>
      </c>
      <c r="G12" s="71">
        <f>C12+C7</f>
        <v>44.282960599999996</v>
      </c>
      <c r="H12" s="52" t="s">
        <v>59</v>
      </c>
      <c r="J12" s="52" t="s">
        <v>109</v>
      </c>
      <c r="K12" s="52">
        <f>K5*0.5</f>
        <v>2200</v>
      </c>
      <c r="L12" s="52" t="s">
        <v>107</v>
      </c>
    </row>
    <row r="13" spans="2:20" x14ac:dyDescent="0.35">
      <c r="J13" s="52" t="s">
        <v>108</v>
      </c>
      <c r="K13" s="52">
        <f>K12*K4/1000</f>
        <v>40.700000000000003</v>
      </c>
      <c r="L13" s="52" t="s">
        <v>59</v>
      </c>
    </row>
    <row r="14" spans="2:20" ht="15" thickBot="1" x14ac:dyDescent="0.4">
      <c r="N14" t="s">
        <v>125</v>
      </c>
    </row>
    <row r="15" spans="2:20" x14ac:dyDescent="0.35">
      <c r="B15" s="72" t="s">
        <v>84</v>
      </c>
      <c r="C15" s="63"/>
      <c r="D15" s="63"/>
      <c r="E15" s="64"/>
      <c r="G15" s="65" t="s">
        <v>85</v>
      </c>
      <c r="H15" s="66"/>
      <c r="I15" s="66"/>
      <c r="J15" s="66"/>
      <c r="K15" s="4"/>
      <c r="L15" s="4"/>
      <c r="M15" s="4"/>
      <c r="P15" s="60" t="s">
        <v>87</v>
      </c>
      <c r="Q15" s="61"/>
      <c r="R15" s="62"/>
      <c r="S15" s="4"/>
    </row>
    <row r="16" spans="2:20" x14ac:dyDescent="0.35">
      <c r="B16" s="3"/>
      <c r="C16" s="3"/>
      <c r="D16" s="3"/>
      <c r="E16" s="39"/>
      <c r="G16" s="3"/>
      <c r="H16" s="3"/>
      <c r="I16" s="23"/>
      <c r="J16" s="67"/>
      <c r="P16" s="3"/>
      <c r="Q16" s="3"/>
      <c r="R16" s="3"/>
      <c r="S16" s="67"/>
      <c r="T16" s="39"/>
    </row>
    <row r="17" spans="2:23" ht="58" x14ac:dyDescent="0.35">
      <c r="B17" s="25" t="s">
        <v>81</v>
      </c>
      <c r="C17" s="25" t="s">
        <v>95</v>
      </c>
      <c r="D17" s="25" t="s">
        <v>97</v>
      </c>
      <c r="E17" s="54" t="s">
        <v>96</v>
      </c>
      <c r="G17" s="25" t="s">
        <v>86</v>
      </c>
      <c r="H17" s="25" t="s">
        <v>102</v>
      </c>
      <c r="I17" s="25" t="s">
        <v>126</v>
      </c>
      <c r="J17" s="68" t="s">
        <v>83</v>
      </c>
      <c r="K17" s="68" t="s">
        <v>121</v>
      </c>
      <c r="L17" s="68" t="s">
        <v>122</v>
      </c>
      <c r="M17" s="68" t="s">
        <v>123</v>
      </c>
      <c r="N17" s="68" t="s">
        <v>124</v>
      </c>
      <c r="O17" s="68"/>
      <c r="P17" s="25" t="s">
        <v>88</v>
      </c>
      <c r="Q17" s="25" t="s">
        <v>116</v>
      </c>
      <c r="R17" s="25" t="s">
        <v>117</v>
      </c>
      <c r="S17" s="25" t="s">
        <v>95</v>
      </c>
      <c r="T17" s="25" t="s">
        <v>101</v>
      </c>
      <c r="U17" s="25" t="s">
        <v>82</v>
      </c>
      <c r="V17" s="54" t="s">
        <v>83</v>
      </c>
    </row>
    <row r="18" spans="2:23" x14ac:dyDescent="0.35">
      <c r="B18" s="12">
        <v>0.16</v>
      </c>
      <c r="C18" s="57" cm="1">
        <f t="array" ref="C18">drivePower($C$4,$C$5,$C$9,$C$10,B18)</f>
        <v>59.136874999999996</v>
      </c>
      <c r="D18" s="58" cm="1">
        <f t="array" ref="D18">maxDepthToMinSOC($K$8,0,$K$6,$K$7,$K$10,$G$5,$G$6,C18,$C$7,$C$9,$G$4,$C$8)</f>
        <v>313.20001244544983</v>
      </c>
      <c r="E18" s="58" cm="1">
        <f t="array" ref="E18">maxDepthToMinSOC($K$8,$K$9,$K$6,$K$7,$K$10,$G$5,$G$6,C18,$C$7,$C$9,$G$4,$C$8)</f>
        <v>212.4000084400177</v>
      </c>
      <c r="F18" s="6"/>
      <c r="G18" s="55">
        <v>0.12</v>
      </c>
      <c r="H18" s="57" cm="1">
        <f t="array" ref="H18">drivePower($C$4,$C$5,G18,$C$10,$C$11)</f>
        <v>9.4098240000000004</v>
      </c>
      <c r="I18" s="58">
        <f>$C$7+H18</f>
        <v>34.088984600000003</v>
      </c>
      <c r="J18" s="58" cm="1">
        <f t="array" ref="J18">maxDepthToMinSOC($K$8,$K$9,$K$6,$K$7,$K$10,$G$5,$G$6,$H18,$C$7,$G18,$G$4,$C$8)</f>
        <v>260.1000103354454</v>
      </c>
      <c r="K18" s="58" cm="1">
        <f t="array" ref="K18">maxDepthToMinSOC($K$8,$K$9,$K$6,$K$7,$T$18,$G$5,$G$6,drivePower($C$4,$R$18,$G18,$C$10,$C$11),$C$7,$G18,$G$4,$C$8)</f>
        <v>81.150003224611282</v>
      </c>
      <c r="L18" s="58" cm="1">
        <f t="array" ref="L18">maxDepthToMinSOC($K$8,$K$9,$K$6,$K$7,$T$22,$G$5,$G$6,drivePower($C$4,$R$22,$G18,$C$10,$C$11),$C$7,$G18,$G$4,$C$8)</f>
        <v>782.10003107786179</v>
      </c>
      <c r="M18" s="58" cm="1">
        <f t="array" ref="M18">maxDepthToMinSOC($K$8,$K$9,$K$6,$K$7,$T$20,$G$5,$G$6,drivePower($C$4,$R$20,$G18,$C$10,$C$11),$C$7,$G18,$G$4,$C$8)</f>
        <v>436.50001734495163</v>
      </c>
      <c r="N18" s="58" cm="1">
        <f t="array" ref="N18">maxDepthToMinSOC($K$8,$K$9,$K$6,$K$7,$T$21,$G$5,$G$6,drivePower($C$4,$R$21,$G18,$C$10,$C$11),$C$7,$G18,$G$4,$C$8)</f>
        <v>610.50002425909042</v>
      </c>
      <c r="O18" s="73"/>
      <c r="P18" s="56">
        <v>2200</v>
      </c>
      <c r="Q18" s="55">
        <f>(P18-4400)*(5*0.048)/4400</f>
        <v>-0.12</v>
      </c>
      <c r="R18" s="57">
        <f>$C$5+Q18</f>
        <v>9.8800000000000008</v>
      </c>
      <c r="S18" s="57" cm="1">
        <f t="array" ref="S18">drivePower($C$4,R18,$C$9,$C$10,$C$11)</f>
        <v>19.380554400000001</v>
      </c>
      <c r="T18" s="56">
        <f t="shared" ref="T18:T26" si="0">P18*3.6/1000*$K$4</f>
        <v>146.52000000000001</v>
      </c>
      <c r="U18" s="58" cm="1">
        <f t="array" ref="U18">maxDepthToMinSOC($K$8,0,$K$6,$K$7,T18,$G$5,$G$6,S18,$C$7,$C$9,$G$4,$C$8)</f>
        <v>223.05000886321068</v>
      </c>
      <c r="V18" s="58" cm="1">
        <f t="array" ref="V18">maxDepthToMinSOC($K$8,$K$9,$K$6,$K$7,T18,$G$5,$G$6,S18,$C$7,$C$9,$G$4,$C$8)</f>
        <v>127.05000504851341</v>
      </c>
      <c r="W18" t="s">
        <v>89</v>
      </c>
    </row>
    <row r="19" spans="2:23" x14ac:dyDescent="0.35">
      <c r="B19" s="12">
        <f>B18+0.02</f>
        <v>0.18</v>
      </c>
      <c r="C19" s="57" cm="1">
        <f t="array" ref="C19">drivePower($C$4,$C$5,$C$9,$C$10,B19)</f>
        <v>52.67722222222222</v>
      </c>
      <c r="D19" s="58" cm="1">
        <f t="array" ref="D19">maxDepthToMinSOC($K$8,0,$K$6,$K$7,$K$10,$G$5,$G$6,C19,$C$7,$C$9,$G$4,$C$8)</f>
        <v>340.20001351833344</v>
      </c>
      <c r="E19" s="58" cm="1">
        <f t="array" ref="E19">maxDepthToMinSOC($K$8,$K$9,$K$6,$K$7,$K$10,$G$5,$G$6,C19,$C$7,$C$9,$G$4,$C$8)</f>
        <v>231.15000918507576</v>
      </c>
      <c r="G19" s="55">
        <v>0.16</v>
      </c>
      <c r="H19" s="57" cm="1">
        <f t="array" ref="H19">drivePower($C$4,$C$5,G19,$C$10,$C$11)</f>
        <v>12.546432000000001</v>
      </c>
      <c r="I19" s="58">
        <f t="shared" ref="I19:I31" si="1">$C$7+H19</f>
        <v>37.225592599999999</v>
      </c>
      <c r="J19" s="58" cm="1">
        <f t="array" ref="J19">maxDepthToMinSOC($K$8,$K$9,$K$6,$K$7,$K$10,$G$5,$G$6,$H19,$C$7,$G19,$G$4,$C$8)</f>
        <v>316.20001256465912</v>
      </c>
      <c r="K19" s="58" cm="1">
        <f t="array" ref="K19">maxDepthToMinSOC($K$8,$K$9,$K$6,$K$7,$T$18,$G$5,$G$6,drivePower($C$4,$R$18,$G19,$C$10,$C$11),$C$7,$G19,$G$4,$C$8)</f>
        <v>98.400003910064697</v>
      </c>
      <c r="L19" s="58" cm="1">
        <f t="array" ref="L19">maxDepthToMinSOC($K$8,$K$9,$K$6,$K$7,$T$22,$G$5,$G$6,drivePower($C$4,$R$22,$G19,$C$10,$C$11),$C$7,$G19,$G$4,$C$8)</f>
        <v>948.30003768205643</v>
      </c>
      <c r="M19" s="58" cm="1">
        <f t="array" ref="M19">maxDepthToMinSOC($K$8,$K$9,$K$6,$K$7,$T$20,$G$5,$G$6,drivePower($C$4,$R$20,$G19,$C$10,$C$11),$C$7,$G19,$G$4,$C$8)</f>
        <v>530.55002108216286</v>
      </c>
      <c r="N19" s="58" cm="1">
        <f t="array" ref="N19">maxDepthToMinSOC($K$8,$K$9,$K$6,$K$7,$T$21,$G$5,$G$6,drivePower($C$4,$R$21,$G19,$C$10,$C$11),$C$7,$G19,$G$4,$C$8)</f>
        <v>741.15002945065498</v>
      </c>
      <c r="O19" s="73"/>
      <c r="P19" s="56">
        <v>4400</v>
      </c>
      <c r="Q19" s="55">
        <f t="shared" ref="Q19:Q26" si="2">(P19-4400)*(5*0.048)/4400</f>
        <v>0</v>
      </c>
      <c r="R19" s="57">
        <f t="shared" ref="R19:R26" si="3">$C$5+Q19</f>
        <v>10</v>
      </c>
      <c r="S19" s="57" cm="1">
        <f t="array" ref="S19">drivePower($C$4,R19,$C$9,$C$10,$C$11)</f>
        <v>19.6038</v>
      </c>
      <c r="T19" s="56">
        <f t="shared" si="0"/>
        <v>293.04000000000002</v>
      </c>
      <c r="U19" s="58" cm="1">
        <f t="array" ref="U19">maxDepthToMinSOC($K$8,0,$K$6,$K$7,T19,$G$5,$G$6,S19,$C$7,$C$9,$G$4,$C$8)</f>
        <v>600.4500238597393</v>
      </c>
      <c r="V19" s="58" cm="1">
        <f t="array" ref="V19">maxDepthToMinSOC($K$8,$K$9,$K$6,$K$7,T19,$G$5,$G$6,S19,$C$7,$C$9,$G$4,$C$8)</f>
        <v>412.05001637339592</v>
      </c>
      <c r="W19" t="s">
        <v>90</v>
      </c>
    </row>
    <row r="20" spans="2:23" x14ac:dyDescent="0.35">
      <c r="B20" s="12">
        <f t="shared" ref="B20:B35" si="4">B19+0.02</f>
        <v>0.19999999999999998</v>
      </c>
      <c r="C20" s="57" cm="1">
        <f t="array" ref="C20">drivePower($C$4,$C$5,$C$9,$C$10,B20)</f>
        <v>47.509500000000003</v>
      </c>
      <c r="D20" s="58" cm="1">
        <f t="array" ref="D20">maxDepthToMinSOC($K$8,0,$K$6,$K$7,$K$10,$G$5,$G$6,C20,$C$7,$C$9,$G$4,$C$8)</f>
        <v>365.40001451969147</v>
      </c>
      <c r="E20" s="58" cm="1">
        <f t="array" ref="E20">maxDepthToMinSOC($K$8,$K$9,$K$6,$K$7,$K$10,$G$5,$G$6,C20,$C$7,$C$9,$G$4,$C$8)</f>
        <v>248.55000987648964</v>
      </c>
      <c r="G20" s="55">
        <v>0.2</v>
      </c>
      <c r="H20" s="57" cm="1">
        <f t="array" ref="H20">drivePower($C$4,$C$5,G20,$C$10,$C$11)</f>
        <v>15.683040000000002</v>
      </c>
      <c r="I20" s="58">
        <f t="shared" si="1"/>
        <v>40.362200600000001</v>
      </c>
      <c r="J20" s="58" cm="1">
        <f t="array" ref="J20">maxDepthToMinSOC($K$8,$K$9,$K$6,$K$7,$K$10,$G$5,$G$6,$H20,$C$7,$G20,$G$4,$C$8)</f>
        <v>363.1500144302845</v>
      </c>
      <c r="K20" s="58" cm="1">
        <f t="array" ref="K20">maxDepthToMinSOC($K$8,$K$9,$K$6,$K$7,$T$18,$G$5,$G$6,drivePower($C$4,$R$18,$G20,$C$10,$C$11),$C$7,$G20,$G$4,$C$8)</f>
        <v>112.50000447034836</v>
      </c>
      <c r="L20" s="58" cm="1">
        <f t="array" ref="L20">maxDepthToMinSOC($K$8,$K$9,$K$6,$K$7,$T$22,$G$5,$G$6,drivePower($C$4,$R$22,$G20,$C$10,$C$11),$C$7,$G20,$G$4,$C$8)</f>
        <v>1086.7500431835651</v>
      </c>
      <c r="M20" s="58" cm="1">
        <f t="array" ref="M20">maxDepthToMinSOC($K$8,$K$9,$K$6,$K$7,$T$20,$G$5,$G$6,drivePower($C$4,$R$20,$G20,$C$10,$C$11),$C$7,$G20,$G$4,$C$8)</f>
        <v>609.00002419948578</v>
      </c>
      <c r="N20" s="58" cm="1">
        <f t="array" ref="N20">maxDepthToMinSOC($K$8,$K$9,$K$6,$K$7,$T$21,$G$5,$G$6,drivePower($C$4,$R$21,$G20,$C$10,$C$11),$C$7,$G20,$G$4,$C$8)</f>
        <v>850.20003378391266</v>
      </c>
      <c r="O20" s="73"/>
      <c r="P20" s="56">
        <v>6600</v>
      </c>
      <c r="Q20" s="55">
        <f t="shared" si="2"/>
        <v>0.12</v>
      </c>
      <c r="R20" s="57">
        <f t="shared" si="3"/>
        <v>10.119999999999999</v>
      </c>
      <c r="S20" s="57" cm="1">
        <f t="array" ref="S20">drivePower($C$4,R20,$C$9,$C$10,$C$11)</f>
        <v>19.827045599999998</v>
      </c>
      <c r="T20" s="56">
        <f t="shared" si="0"/>
        <v>439.56</v>
      </c>
      <c r="U20" s="58" cm="1">
        <f t="array" ref="U20">maxDepthToMinSOC($K$8,0,$K$6,$K$7,T20,$G$5,$G$6,S20,$C$7,$C$9,$G$4,$C$8)</f>
        <v>968.2500384747982</v>
      </c>
      <c r="V20" s="58" cm="1">
        <f t="array" ref="V20">maxDepthToMinSOC($K$8,$K$9,$K$6,$K$7,T20,$G$5,$G$6,S20,$C$7,$C$9,$G$4,$C$8)</f>
        <v>690.75002744793892</v>
      </c>
      <c r="W20" t="s">
        <v>91</v>
      </c>
    </row>
    <row r="21" spans="2:23" x14ac:dyDescent="0.35">
      <c r="B21" s="12">
        <f t="shared" si="4"/>
        <v>0.21999999999999997</v>
      </c>
      <c r="C21" s="57" cm="1">
        <f t="array" ref="C21">drivePower($C$4,$C$5,$C$9,$C$10,B21)</f>
        <v>43.281363636363643</v>
      </c>
      <c r="D21" s="58" cm="1">
        <f t="array" ref="D21">maxDepthToMinSOC($K$8,0,$K$6,$K$7,$K$10,$G$5,$G$6,C21,$C$7,$C$9,$G$4,$C$8)</f>
        <v>388.65001544356346</v>
      </c>
      <c r="E21" s="58" cm="1">
        <f t="array" ref="E21">maxDepthToMinSOC($K$8,$K$9,$K$6,$K$7,$K$10,$G$5,$G$6,C21,$C$7,$C$9,$G$4,$C$8)</f>
        <v>264.7500105202198</v>
      </c>
      <c r="G21" s="55">
        <v>0.24</v>
      </c>
      <c r="H21" s="57" cm="1">
        <f t="array" ref="H21">drivePower($C$4,$C$5,G21,$C$10,$C$11)</f>
        <v>18.819648000000001</v>
      </c>
      <c r="I21" s="58">
        <f t="shared" si="1"/>
        <v>43.498808600000004</v>
      </c>
      <c r="J21" s="58" cm="1">
        <f t="array" ref="J21">maxDepthToMinSOC($K$8,$K$9,$K$6,$K$7,$K$10,$G$5,$G$6,$H21,$C$7,$G21,$G$4,$C$8)</f>
        <v>403.05001601576805</v>
      </c>
      <c r="K21" s="58" cm="1">
        <f t="array" ref="K21">maxDepthToMinSOC($K$8,$K$9,$K$6,$K$7,$T$18,$G$5,$G$6,drivePower($C$4,$R$18,$G21,$C$10,$C$11),$C$7,$G21,$G$4,$C$8)</f>
        <v>124.35000494122505</v>
      </c>
      <c r="L21" s="58" cm="1">
        <f t="array" ref="L21">maxDepthToMinSOC($K$8,$K$9,$K$6,$K$7,$T$22,$G$5,$G$6,drivePower($C$4,$R$22,$G21,$C$10,$C$11),$C$7,$G21,$G$4,$C$8)</f>
        <v>1203.7500478327274</v>
      </c>
      <c r="M21" s="58" cm="1">
        <f t="array" ref="M21">maxDepthToMinSOC($K$8,$K$9,$K$6,$K$7,$T$20,$G$5,$G$6,drivePower($C$4,$R$20,$G21,$C$10,$C$11),$C$7,$G21,$G$4,$C$8)</f>
        <v>675.60002684593201</v>
      </c>
      <c r="N21" s="58" cm="1">
        <f t="array" ref="N21">maxDepthToMinSOC($K$8,$K$9,$K$6,$K$7,$T$21,$G$5,$G$6,drivePower($C$4,$R$21,$G21,$C$10,$C$11),$C$7,$G21,$G$4,$C$8)</f>
        <v>942.45003744959831</v>
      </c>
      <c r="O21" s="73"/>
      <c r="P21" s="56">
        <v>8800</v>
      </c>
      <c r="Q21" s="55">
        <f t="shared" si="2"/>
        <v>0.24</v>
      </c>
      <c r="R21" s="57">
        <f t="shared" si="3"/>
        <v>10.24</v>
      </c>
      <c r="S21" s="57" cm="1">
        <f t="array" ref="S21">drivePower($C$4,R21,$C$9,$C$10,$C$11)</f>
        <v>20.0502912</v>
      </c>
      <c r="T21" s="56">
        <f t="shared" si="0"/>
        <v>586.08000000000004</v>
      </c>
      <c r="U21" s="58" cm="1">
        <f t="array" ref="U21">maxDepthToMinSOC($K$8,0,$K$6,$K$7,T21,$G$5,$G$6,S21,$C$7,$C$9,$G$4,$C$8)</f>
        <v>1326.4500527083874</v>
      </c>
      <c r="V21" s="58" cm="1">
        <f t="array" ref="V21">maxDepthToMinSOC($K$8,$K$9,$K$6,$K$7,T21,$G$5,$G$6,S21,$C$7,$C$9,$G$4,$C$8)</f>
        <v>963.45003828406334</v>
      </c>
      <c r="W21" t="s">
        <v>92</v>
      </c>
    </row>
    <row r="22" spans="2:23" x14ac:dyDescent="0.35">
      <c r="B22" s="12">
        <f t="shared" si="4"/>
        <v>0.23999999999999996</v>
      </c>
      <c r="C22" s="57" cm="1">
        <f t="array" ref="C22">drivePower($C$4,$C$5,$C$9,$C$10,B22)</f>
        <v>39.757916666666674</v>
      </c>
      <c r="D22" s="58" cm="1">
        <f t="array" ref="D22">maxDepthToMinSOC($K$8,0,$K$6,$K$7,$K$10,$G$5,$G$6,C22,$C$7,$C$9,$G$4,$C$8)</f>
        <v>410.40001630783081</v>
      </c>
      <c r="E22" s="58" cm="1">
        <f t="array" ref="E22">maxDepthToMinSOC($K$8,$K$9,$K$6,$K$7,$K$10,$G$5,$G$6,C22,$C$7,$C$9,$G$4,$C$8)</f>
        <v>279.90001112222672</v>
      </c>
      <c r="G22" s="55">
        <v>0.28000000000000003</v>
      </c>
      <c r="H22" s="57" cm="1">
        <f t="array" ref="H22">drivePower($C$4,$C$5,G22,$C$10,$C$11)</f>
        <v>21.956256000000003</v>
      </c>
      <c r="I22" s="58">
        <f t="shared" si="1"/>
        <v>46.635416599999999</v>
      </c>
      <c r="J22" s="58" cm="1">
        <f t="array" ref="J22">maxDepthToMinSOC($K$8,$K$9,$K$6,$K$7,$K$10,$G$5,$G$6,$H22,$C$7,$G22,$G$4,$C$8)</f>
        <v>436.95001736283302</v>
      </c>
      <c r="K22" s="58" cm="1">
        <f t="array" ref="K22">maxDepthToMinSOC($K$8,$K$9,$K$6,$K$7,$T$18,$G$5,$G$6,drivePower($C$4,$R$18,$G22,$C$10,$C$11),$C$7,$G22,$G$4,$C$8)</f>
        <v>134.25000533461571</v>
      </c>
      <c r="L22" s="58" cm="1">
        <f t="array" ref="L22">maxDepthToMinSOC($K$8,$K$9,$K$6,$K$7,$T$22,$G$5,$G$6,drivePower($C$4,$R$22,$G22,$C$10,$C$11),$C$7,$G22,$G$4,$C$8)</f>
        <v>1303.9500518143177</v>
      </c>
      <c r="M22" s="58" cm="1">
        <f t="array" ref="M22">maxDepthToMinSOC($K$8,$K$9,$K$6,$K$7,$T$20,$G$5,$G$6,drivePower($C$4,$R$20,$G22,$C$10,$C$11),$C$7,$G22,$G$4,$C$8)</f>
        <v>732.75002911686897</v>
      </c>
      <c r="N22" s="58" cm="1">
        <f t="array" ref="N22">maxDepthToMinSOC($K$8,$K$9,$K$6,$K$7,$T$21,$G$5,$G$6,drivePower($C$4,$R$21,$G22,$C$10,$C$11),$C$7,$G22,$G$4,$C$8)</f>
        <v>1021.6500405967236</v>
      </c>
      <c r="O22" s="73"/>
      <c r="P22" s="56">
        <f>P21+2200</f>
        <v>11000</v>
      </c>
      <c r="Q22" s="55">
        <f t="shared" si="2"/>
        <v>0.36</v>
      </c>
      <c r="R22" s="57">
        <f t="shared" si="3"/>
        <v>10.36</v>
      </c>
      <c r="S22" s="57" cm="1">
        <f t="array" ref="S22">drivePower($C$4,R22,$C$9,$C$10,$C$11)</f>
        <v>20.273536799999999</v>
      </c>
      <c r="T22" s="56">
        <f t="shared" si="0"/>
        <v>732.6</v>
      </c>
      <c r="U22" s="58" cm="1">
        <f t="array" ref="U22">maxDepthToMinSOC($K$8,0,$K$6,$K$7,T22,$G$5,$G$6,S22,$C$7,$C$9,$G$4,$C$8)</f>
        <v>1675.6500665843487</v>
      </c>
      <c r="V22" s="58" cm="1">
        <f t="array" ref="V22">maxDepthToMinSOC($K$8,$K$9,$K$6,$K$7,T22,$G$5,$G$6,S22,$C$7,$C$9,$G$4,$C$8)</f>
        <v>1230.1500488817692</v>
      </c>
    </row>
    <row r="23" spans="2:23" x14ac:dyDescent="0.35">
      <c r="B23" s="12">
        <f t="shared" si="4"/>
        <v>0.25999999999999995</v>
      </c>
      <c r="C23" s="57" cm="1">
        <f t="array" ref="C23">drivePower($C$4,$C$5,$C$9,$C$10,B23)</f>
        <v>36.776538461538465</v>
      </c>
      <c r="D23" s="58" cm="1">
        <f t="array" ref="D23">maxDepthToMinSOC($K$8,0,$K$6,$K$7,$K$10,$G$5,$G$6,C23,$C$7,$C$9,$G$4,$C$8)</f>
        <v>430.80001711845398</v>
      </c>
      <c r="E23" s="58" cm="1">
        <f t="array" ref="E23">maxDepthToMinSOC($K$8,$K$9,$K$6,$K$7,$K$10,$G$5,$G$6,C23,$C$7,$C$9,$G$4,$C$8)</f>
        <v>294.00001168251038</v>
      </c>
      <c r="G23" s="55">
        <v>0.32</v>
      </c>
      <c r="H23" s="57" cm="1">
        <f t="array" ref="H23">drivePower($C$4,$C$5,G23,$C$10,$C$11)</f>
        <v>25.092864000000002</v>
      </c>
      <c r="I23" s="58">
        <f t="shared" si="1"/>
        <v>49.772024600000002</v>
      </c>
      <c r="J23" s="58" cm="1">
        <f t="array" ref="J23">maxDepthToMinSOC($K$8,$K$9,$K$6,$K$7,$K$10,$G$5,$G$6,$H23,$C$7,$G23,$G$4,$C$8)</f>
        <v>466.50001853704453</v>
      </c>
      <c r="K23" s="58" cm="1">
        <f t="array" ref="K23">maxDepthToMinSOC($K$8,$K$9,$K$6,$K$7,$T$18,$G$5,$G$6,drivePower($C$4,$R$18,$G23,$C$10,$C$11),$C$7,$G23,$G$4,$C$8)</f>
        <v>142.65000566840172</v>
      </c>
      <c r="L23" s="58" cm="1">
        <f t="array" ref="L23">maxDepthToMinSOC($K$8,$K$9,$K$6,$K$7,$T$22,$G$5,$G$6,drivePower($C$4,$R$22,$G23,$C$10,$C$11),$C$7,$G23,$G$4,$C$8)</f>
        <v>1390.5000552535057</v>
      </c>
      <c r="M23" s="58" cm="1">
        <f t="array" ref="M23">maxDepthToMinSOC($K$8,$K$9,$K$6,$K$7,$T$20,$G$5,$G$6,drivePower($C$4,$R$20,$G23,$C$10,$C$11),$C$7,$G23,$G$4,$C$8)</f>
        <v>782.10003107786179</v>
      </c>
      <c r="N23" s="58" cm="1">
        <f t="array" ref="N23">maxDepthToMinSOC($K$8,$K$9,$K$6,$K$7,$T$21,$G$5,$G$6,drivePower($C$4,$R$21,$G23,$C$10,$C$11),$C$7,$G23,$G$4,$C$8)</f>
        <v>1090.0500433146954</v>
      </c>
      <c r="O23" s="73"/>
      <c r="P23" s="56">
        <f t="shared" ref="P23:P26" si="5">P22+2200</f>
        <v>13200</v>
      </c>
      <c r="Q23" s="55">
        <f t="shared" si="2"/>
        <v>0.48</v>
      </c>
      <c r="R23" s="57">
        <f t="shared" si="3"/>
        <v>10.48</v>
      </c>
      <c r="S23" s="57" cm="1">
        <f t="array" ref="S23">drivePower($C$4,R23,$C$9,$C$10,$C$11)</f>
        <v>20.496782400000001</v>
      </c>
      <c r="T23" s="56">
        <f t="shared" si="0"/>
        <v>879.12</v>
      </c>
      <c r="U23" s="58" cm="1">
        <f t="array" ref="U23">maxDepthToMinSOC($K$8,0,$K$6,$K$7,T23,$G$5,$G$6,S23,$C$7,$C$9,$G$4,$C$8)</f>
        <v>2016.3000801205635</v>
      </c>
      <c r="V23" s="58" cm="1">
        <f t="array" ref="V23">maxDepthToMinSOC($K$8,$K$9,$K$6,$K$7,T23,$G$5,$G$6,S23,$C$7,$C$9,$G$4,$C$8)</f>
        <v>1491.3000592589378</v>
      </c>
    </row>
    <row r="24" spans="2:23" x14ac:dyDescent="0.35">
      <c r="B24" s="12">
        <f t="shared" si="4"/>
        <v>0.27999999999999997</v>
      </c>
      <c r="C24" s="57" cm="1">
        <f t="array" ref="C24">drivePower($C$4,$C$5,$C$9,$C$10,B24)</f>
        <v>34.221071428571435</v>
      </c>
      <c r="D24" s="58" cm="1">
        <f t="array" ref="D24">maxDepthToMinSOC($K$8,0,$K$6,$K$7,$K$10,$G$5,$G$6,C24,$C$7,$C$9,$G$4,$C$8)</f>
        <v>449.85001787543297</v>
      </c>
      <c r="E24" s="58" cm="1">
        <f t="array" ref="E24">maxDepthToMinSOC($K$8,$K$9,$K$6,$K$7,$K$10,$G$5,$G$6,C24,$C$7,$C$9,$G$4,$C$8)</f>
        <v>307.20001220703125</v>
      </c>
      <c r="G24" s="55">
        <v>0.36</v>
      </c>
      <c r="H24" s="57" cm="1">
        <f t="array" ref="H24">drivePower($C$4,$C$5,G24,$C$10,$C$11)</f>
        <v>28.229472000000001</v>
      </c>
      <c r="I24" s="58">
        <f t="shared" si="1"/>
        <v>52.908632600000004</v>
      </c>
      <c r="J24" s="58" cm="1">
        <f t="array" ref="J24">maxDepthToMinSOC($K$8,$K$9,$K$6,$K$7,$K$10,$G$5,$G$6,$H24,$C$7,$G24,$G$4,$C$8)</f>
        <v>492.00001955032349</v>
      </c>
      <c r="K24" s="58" cm="1">
        <f t="array" ref="K24">maxDepthToMinSOC($K$8,$K$9,$K$6,$K$7,$T$18,$G$5,$G$6,drivePower($C$4,$R$18,$G24,$C$10,$C$11),$C$7,$G24,$G$4,$C$8)</f>
        <v>149.70000594854355</v>
      </c>
      <c r="L24" s="58" cm="1">
        <f t="array" ref="L24">maxDepthToMinSOC($K$8,$K$9,$K$6,$K$7,$T$22,$G$5,$G$6,drivePower($C$4,$R$22,$G24,$C$10,$C$11),$C$7,$G24,$G$4,$C$8)</f>
        <v>1466.1000582575798</v>
      </c>
      <c r="M24" s="58" cm="1">
        <f t="array" ref="M24">maxDepthToMinSOC($K$8,$K$9,$K$6,$K$7,$T$20,$G$5,$G$6,drivePower($C$4,$R$20,$G24,$C$10,$C$11),$C$7,$G24,$G$4,$C$8)</f>
        <v>825.30003279447556</v>
      </c>
      <c r="N24" s="58" cm="1">
        <f t="array" ref="N24">maxDepthToMinSOC($K$8,$K$9,$K$6,$K$7,$T$21,$G$5,$G$6,drivePower($C$4,$R$21,$G24,$C$10,$C$11),$C$7,$G24,$G$4,$C$8)</f>
        <v>1149.9000456929207</v>
      </c>
      <c r="O24" s="73"/>
      <c r="P24" s="56">
        <f t="shared" si="5"/>
        <v>15400</v>
      </c>
      <c r="Q24" s="55">
        <f t="shared" si="2"/>
        <v>0.6</v>
      </c>
      <c r="R24" s="57">
        <f t="shared" si="3"/>
        <v>10.6</v>
      </c>
      <c r="S24" s="57" cm="1">
        <f t="array" ref="S24">drivePower($C$4,R24,$C$9,$C$10,$C$11)</f>
        <v>20.720027999999999</v>
      </c>
      <c r="T24" s="56">
        <f t="shared" si="0"/>
        <v>1025.6399999999999</v>
      </c>
      <c r="U24" s="58" cm="1">
        <f t="array" ref="U24">maxDepthToMinSOC($K$8,0,$K$6,$K$7,T24,$G$5,$G$6,S24,$C$7,$C$9,$G$4,$C$8)</f>
        <v>2348.4000933170319</v>
      </c>
      <c r="V24" s="58" cm="1">
        <f t="array" ref="V24">maxDepthToMinSOC($K$8,$K$9,$K$6,$K$7,T24,$G$5,$G$6,S24,$C$7,$C$9,$G$4,$C$8)</f>
        <v>1747.0500694215298</v>
      </c>
    </row>
    <row r="25" spans="2:23" x14ac:dyDescent="0.35">
      <c r="B25" s="12">
        <f t="shared" si="4"/>
        <v>0.3</v>
      </c>
      <c r="C25" s="57" cm="1">
        <f t="array" ref="C25">drivePower($C$4,$C$5,$C$9,$C$10,B25)</f>
        <v>32.00633333333333</v>
      </c>
      <c r="D25" s="58" cm="1">
        <f t="array" ref="D25">maxDepthToMinSOC($K$8,0,$K$6,$K$7,$K$10,$G$5,$G$6,C25,$C$7,$C$9,$G$4,$C$8)</f>
        <v>467.70001858472824</v>
      </c>
      <c r="E25" s="58" cm="1">
        <f t="array" ref="E25">maxDepthToMinSOC($K$8,$K$9,$K$6,$K$7,$K$10,$G$5,$G$6,C25,$C$7,$C$9,$G$4,$C$8)</f>
        <v>319.6500127017498</v>
      </c>
      <c r="G25" s="55">
        <v>0.4</v>
      </c>
      <c r="H25" s="57" cm="1">
        <f t="array" ref="H25">drivePower($C$4,$C$5,G25,$C$10,$C$11)</f>
        <v>31.366080000000004</v>
      </c>
      <c r="I25" s="58">
        <f t="shared" si="1"/>
        <v>56.0452406</v>
      </c>
      <c r="J25" s="58" cm="1">
        <f t="array" ref="J25">maxDepthToMinSOC($K$8,$K$9,$K$6,$K$7,$K$10,$G$5,$G$6,$H25,$C$7,$G25,$G$4,$C$8)</f>
        <v>514.50002044439316</v>
      </c>
      <c r="K25" s="58" cm="1">
        <f t="array" ref="K25">maxDepthToMinSOC($K$8,$K$9,$K$6,$K$7,$T$18,$G$5,$G$6,drivePower($C$4,$R$18,$G25,$C$10,$C$11),$C$7,$G25,$G$4,$C$8)</f>
        <v>155.85000619292259</v>
      </c>
      <c r="L25" s="58" cm="1">
        <f t="array" ref="L25">maxDepthToMinSOC($K$8,$K$9,$K$6,$K$7,$T$22,$G$5,$G$6,drivePower($C$4,$R$22,$G25,$C$10,$C$11),$C$7,$G25,$G$4,$C$8)</f>
        <v>1532.700060904026</v>
      </c>
      <c r="M25" s="58" cm="1">
        <f t="array" ref="M25">maxDepthToMinSOC($K$8,$K$9,$K$6,$K$7,$T$20,$G$5,$G$6,drivePower($C$4,$R$20,$G25,$C$10,$C$11),$C$7,$G25,$G$4,$C$8)</f>
        <v>863.25003430247307</v>
      </c>
      <c r="N25" s="58" cm="1">
        <f t="array" ref="N25">maxDepthToMinSOC($K$8,$K$9,$K$6,$K$7,$T$21,$G$5,$G$6,drivePower($C$4,$R$21,$G25,$C$10,$C$11),$C$7,$G25,$G$4,$C$8)</f>
        <v>1202.5500477850437</v>
      </c>
      <c r="O25" s="73"/>
      <c r="P25" s="56">
        <f t="shared" si="5"/>
        <v>17600</v>
      </c>
      <c r="Q25" s="55">
        <f t="shared" si="2"/>
        <v>0.72</v>
      </c>
      <c r="R25" s="57">
        <f t="shared" si="3"/>
        <v>10.72</v>
      </c>
      <c r="S25" s="57" cm="1">
        <f t="array" ref="S25">drivePower($C$4,R25,$C$9,$C$10,$C$11)</f>
        <v>20.943273600000001</v>
      </c>
      <c r="T25" s="56">
        <f t="shared" si="0"/>
        <v>1172.1600000000001</v>
      </c>
      <c r="U25" s="58" cm="1">
        <f t="array" ref="U25">maxDepthToMinSOC($K$8,0,$K$6,$K$7,T25,$G$5,$G$6,S25,$C$7,$C$9,$G$4,$C$8)</f>
        <v>2672.5501061975956</v>
      </c>
      <c r="V25" s="58" cm="1">
        <f t="array" ref="V25">maxDepthToMinSOC($K$8,$K$9,$K$6,$K$7,T25,$G$5,$G$6,S25,$C$7,$C$9,$G$4,$C$8)</f>
        <v>1997.2500793635845</v>
      </c>
    </row>
    <row r="26" spans="2:23" x14ac:dyDescent="0.35">
      <c r="B26" s="12">
        <f t="shared" si="4"/>
        <v>0.32</v>
      </c>
      <c r="C26" s="57" cm="1">
        <f t="array" ref="C26">drivePower($C$4,$C$5,$C$9,$C$10,B26)</f>
        <v>30.068437499999998</v>
      </c>
      <c r="D26" s="58" cm="1">
        <f t="array" ref="D26">maxDepthToMinSOC($K$8,0,$K$6,$K$7,$K$10,$G$5,$G$6,C26,$C$7,$C$9,$G$4,$C$8)</f>
        <v>484.65001925826073</v>
      </c>
      <c r="E26" s="58" cm="1">
        <f t="array" ref="E26">maxDepthToMinSOC($K$8,$K$9,$K$6,$K$7,$K$10,$G$5,$G$6,C26,$C$7,$C$9,$G$4,$C$8)</f>
        <v>331.35001316666603</v>
      </c>
      <c r="G26" s="55">
        <v>0.44</v>
      </c>
      <c r="H26" s="57" cm="1">
        <f t="array" ref="H26">drivePower($C$4,$C$5,G26,$C$10,$C$11)</f>
        <v>34.502687999999999</v>
      </c>
      <c r="I26" s="58">
        <f t="shared" si="1"/>
        <v>59.181848599999995</v>
      </c>
      <c r="J26" s="58" cm="1">
        <f t="array" ref="J26">maxDepthToMinSOC($K$8,$K$9,$K$6,$K$7,$K$10,$G$5,$G$6,$H26,$C$7,$G26,$G$4,$C$8)</f>
        <v>534.30002123117447</v>
      </c>
      <c r="K26" s="58" cm="1">
        <f t="array" ref="K26">maxDepthToMinSOC($K$8,$K$9,$K$6,$K$7,$T$18,$G$5,$G$6,drivePower($C$4,$R$18,$G26,$C$10,$C$11),$C$7,$G26,$G$4,$C$8)</f>
        <v>160.95000639557838</v>
      </c>
      <c r="L26" s="58" cm="1">
        <f t="array" ref="L26">maxDepthToMinSOC($K$8,$K$9,$K$6,$K$7,$T$22,$G$5,$G$6,drivePower($C$4,$R$22,$G26,$C$10,$C$11),$C$7,$G26,$G$4,$C$8)</f>
        <v>1591.6500632464886</v>
      </c>
      <c r="M26" s="58" cm="1">
        <f t="array" ref="M26">maxDepthToMinSOC($K$8,$K$9,$K$6,$K$7,$T$20,$G$5,$G$6,drivePower($C$4,$R$20,$G26,$C$10,$C$11),$C$7,$G26,$G$4,$C$8)</f>
        <v>896.85003563761711</v>
      </c>
      <c r="N26" s="58" cm="1">
        <f t="array" ref="N26">maxDepthToMinSOC($K$8,$K$9,$K$6,$K$7,$T$21,$G$5,$G$6,drivePower($C$4,$R$21,$G26,$C$10,$C$11),$C$7,$G26,$G$4,$C$8)</f>
        <v>1249.2000496387482</v>
      </c>
      <c r="O26" s="73"/>
      <c r="P26" s="56">
        <f t="shared" si="5"/>
        <v>19800</v>
      </c>
      <c r="Q26" s="55">
        <f t="shared" si="2"/>
        <v>0.84</v>
      </c>
      <c r="R26" s="57">
        <f t="shared" si="3"/>
        <v>10.84</v>
      </c>
      <c r="S26" s="57" cm="1">
        <f t="array" ref="S26">drivePower($C$4,R26,$C$9,$C$10,$C$11)</f>
        <v>21.1665192</v>
      </c>
      <c r="T26" s="56">
        <f t="shared" si="0"/>
        <v>1318.68</v>
      </c>
      <c r="U26" s="58" cm="1">
        <f t="array" ref="U26">maxDepthToMinSOC($K$8,0,$K$6,$K$7,T26,$G$5,$G$6,S26,$C$7,$C$9,$G$4,$C$8)</f>
        <v>2988.9001187682152</v>
      </c>
      <c r="V26" s="58" cm="1">
        <f t="array" ref="V26">maxDepthToMinSOC($K$8,$K$9,$K$6,$K$7,T26,$G$5,$G$6,S26,$C$7,$C$9,$G$4,$C$8)</f>
        <v>2242.5000891089439</v>
      </c>
    </row>
    <row r="27" spans="2:23" x14ac:dyDescent="0.35">
      <c r="B27" s="12">
        <f t="shared" si="4"/>
        <v>0.34</v>
      </c>
      <c r="C27" s="57" cm="1">
        <f t="array" ref="C27">drivePower($C$4,$C$5,$C$9,$C$10,B27)</f>
        <v>28.358529411764703</v>
      </c>
      <c r="D27" s="58" cm="1">
        <f t="array" ref="D27">maxDepthToMinSOC($K$8,0,$K$6,$K$7,$K$10,$G$5,$G$6,C27,$C$7,$C$9,$G$4,$C$8)</f>
        <v>500.4000198841095</v>
      </c>
      <c r="E27" s="58" cm="1">
        <f t="array" ref="E27">maxDepthToMinSOC($K$8,$K$9,$K$6,$K$7,$K$10,$G$5,$G$6,C27,$C$7,$C$9,$G$4,$C$8)</f>
        <v>342.4500136077404</v>
      </c>
      <c r="G27" s="55">
        <v>0.48</v>
      </c>
      <c r="H27" s="57" cm="1">
        <f t="array" ref="H27">drivePower($C$4,$C$5,G27,$C$10,$C$11)</f>
        <v>37.639296000000002</v>
      </c>
      <c r="I27" s="58">
        <f t="shared" si="1"/>
        <v>62.318456600000005</v>
      </c>
      <c r="J27" s="58" cm="1">
        <f t="array" ref="J27">maxDepthToMinSOC($K$8,$K$9,$K$6,$K$7,$K$10,$G$5,$G$6,$H27,$C$7,$G27,$G$4,$C$8)</f>
        <v>551.85002192854881</v>
      </c>
      <c r="K27" s="58" cm="1">
        <f t="array" ref="K27">maxDepthToMinSOC($K$8,$K$9,$K$6,$K$7,$T$18,$G$5,$G$6,drivePower($C$4,$R$18,$G27,$C$10,$C$11),$C$7,$G27,$G$4,$C$8)</f>
        <v>165.45000657439232</v>
      </c>
      <c r="L27" s="58" cm="1">
        <f t="array" ref="L27">maxDepthToMinSOC($K$8,$K$9,$K$6,$K$7,$T$22,$G$5,$G$6,drivePower($C$4,$R$22,$G27,$C$10,$C$11),$C$7,$G27,$G$4,$C$8)</f>
        <v>1644.3000653386116</v>
      </c>
      <c r="M27" s="58" cm="1">
        <f t="array" ref="M27">maxDepthToMinSOC($K$8,$K$9,$K$6,$K$7,$T$20,$G$5,$G$6,drivePower($C$4,$R$20,$G27,$C$10,$C$11),$C$7,$G27,$G$4,$C$8)</f>
        <v>926.85003682971001</v>
      </c>
      <c r="N27" s="58" cm="1">
        <f t="array" ref="N27">maxDepthToMinSOC($K$8,$K$9,$K$6,$K$7,$T$21,$G$5,$G$6,drivePower($C$4,$R$21,$G27,$C$10,$C$11),$C$7,$G27,$G$4,$C$8)</f>
        <v>1290.7500512897968</v>
      </c>
      <c r="O27" s="7"/>
    </row>
    <row r="28" spans="2:23" x14ac:dyDescent="0.35">
      <c r="B28" s="12">
        <f t="shared" si="4"/>
        <v>0.36000000000000004</v>
      </c>
      <c r="C28" s="57" cm="1">
        <f t="array" ref="C28">drivePower($C$4,$C$5,$C$9,$C$10,B28)</f>
        <v>26.838611111111106</v>
      </c>
      <c r="D28" s="58" cm="1">
        <f t="array" ref="D28">maxDepthToMinSOC($K$8,0,$K$6,$K$7,$K$10,$G$5,$G$6,C28,$C$7,$C$9,$G$4,$C$8)</f>
        <v>515.40002048015594</v>
      </c>
      <c r="E28" s="58" cm="1">
        <f t="array" ref="E28">maxDepthToMinSOC($K$8,$K$9,$K$6,$K$7,$K$10,$G$5,$G$6,C28,$C$7,$C$9,$G$4,$C$8)</f>
        <v>352.80001401901245</v>
      </c>
      <c r="G28" s="55">
        <v>0.52</v>
      </c>
      <c r="H28" s="57" cm="1">
        <f t="array" ref="H28">drivePower($C$4,$C$5,G28,$C$10,$C$11)</f>
        <v>40.775903999999997</v>
      </c>
      <c r="I28" s="58">
        <f t="shared" si="1"/>
        <v>65.4550646</v>
      </c>
      <c r="J28" s="58" cm="1">
        <f t="array" ref="J28">maxDepthToMinSOC($K$8,$K$9,$K$6,$K$7,$K$10,$G$5,$G$6,$H28,$C$7,$G28,$G$4,$C$8)</f>
        <v>567.60002255439758</v>
      </c>
      <c r="K28" s="58" cm="1">
        <f t="array" ref="K28">maxDepthToMinSOC($K$8,$K$9,$K$6,$K$7,$T$18,$G$5,$G$6,drivePower($C$4,$R$18,$G28,$C$10,$C$11),$C$7,$G28,$G$4,$C$8)</f>
        <v>169.20000672340393</v>
      </c>
      <c r="L28" s="58" cm="1">
        <f t="array" ref="L28">maxDepthToMinSOC($K$8,$K$9,$K$6,$K$7,$T$22,$G$5,$G$6,drivePower($C$4,$R$22,$G28,$C$10,$C$11),$C$7,$G28,$G$4,$C$8)</f>
        <v>1691.4000672101974</v>
      </c>
      <c r="M28" s="58" cm="1">
        <f t="array" ref="M28">maxDepthToMinSOC($K$8,$K$9,$K$6,$K$7,$T$20,$G$5,$G$6,drivePower($C$4,$R$20,$G28,$C$10,$C$11),$C$7,$G28,$G$4,$C$8)</f>
        <v>953.70003789663315</v>
      </c>
      <c r="N28" s="58" cm="1">
        <f t="array" ref="N28">maxDepthToMinSOC($K$8,$K$9,$K$6,$K$7,$T$21,$G$5,$G$6,drivePower($C$4,$R$21,$G28,$C$10,$C$11),$C$7,$G28,$G$4,$C$8)</f>
        <v>1328.1000527739525</v>
      </c>
      <c r="O28" s="7"/>
    </row>
    <row r="29" spans="2:23" x14ac:dyDescent="0.35">
      <c r="B29" s="12">
        <f t="shared" si="4"/>
        <v>0.38000000000000006</v>
      </c>
      <c r="C29" s="57" cm="1">
        <f t="array" ref="C29">drivePower($C$4,$C$5,$C$9,$C$10,B29)</f>
        <v>25.47868421052631</v>
      </c>
      <c r="D29" s="58" cm="1">
        <f t="array" ref="D29">maxDepthToMinSOC($K$8,0,$K$6,$K$7,$K$10,$G$5,$G$6,C29,$C$7,$C$9,$G$4,$C$8)</f>
        <v>529.50002104043961</v>
      </c>
      <c r="E29" s="58" cm="1">
        <f t="array" ref="E29">maxDepthToMinSOC($K$8,$K$9,$K$6,$K$7,$K$10,$G$5,$G$6,C29,$C$7,$C$9,$G$4,$C$8)</f>
        <v>362.55001440644264</v>
      </c>
      <c r="G29" s="55">
        <v>0.56000000000000005</v>
      </c>
      <c r="H29" s="57" cm="1">
        <f t="array" ref="H29">drivePower($C$4,$C$5,G29,$C$10,$C$11)</f>
        <v>43.912512000000007</v>
      </c>
      <c r="I29" s="58">
        <f t="shared" si="1"/>
        <v>68.59167260000001</v>
      </c>
      <c r="J29" s="58" cm="1">
        <f t="array" ref="J29">maxDepthToMinSOC($K$8,$K$9,$K$6,$K$7,$K$10,$G$5,$G$6,$H29,$C$7,$G29,$G$4,$C$8)</f>
        <v>581.55002310872078</v>
      </c>
      <c r="K29" s="58" cm="1">
        <f t="array" ref="K29">maxDepthToMinSOC($K$8,$K$9,$K$6,$K$7,$T$18,$G$5,$G$6,drivePower($C$4,$R$18,$G29,$C$10,$C$11),$C$7,$G29,$G$4,$C$8)</f>
        <v>172.50000685453415</v>
      </c>
      <c r="L29" s="58" cm="1">
        <f t="array" ref="L29">maxDepthToMinSOC($K$8,$K$9,$K$6,$K$7,$T$22,$G$5,$G$6,drivePower($C$4,$R$22,$G29,$C$10,$C$11),$C$7,$G29,$G$4,$C$8)</f>
        <v>1733.8500688970089</v>
      </c>
      <c r="M29" s="58" cm="1">
        <f t="array" ref="M29">maxDepthToMinSOC($K$8,$K$9,$K$6,$K$7,$T$20,$G$5,$G$6,drivePower($C$4,$R$20,$G29,$C$10,$C$11),$C$7,$G29,$G$4,$C$8)</f>
        <v>977.70003885030746</v>
      </c>
      <c r="N29" s="58" cm="1">
        <f t="array" ref="N29">maxDepthToMinSOC($K$8,$K$9,$K$6,$K$7,$T$21,$G$5,$G$6,drivePower($C$4,$R$21,$G29,$C$10,$C$11),$C$7,$G29,$G$4,$C$8)</f>
        <v>1361.7000541090965</v>
      </c>
      <c r="O29" s="7"/>
    </row>
    <row r="30" spans="2:23" x14ac:dyDescent="0.35">
      <c r="B30" s="12">
        <f t="shared" si="4"/>
        <v>0.40000000000000008</v>
      </c>
      <c r="C30" s="57" cm="1">
        <f t="array" ref="C30">drivePower($C$4,$C$5,$C$9,$C$10,B30)</f>
        <v>24.254749999999994</v>
      </c>
      <c r="D30" s="58" cm="1">
        <f t="array" ref="D30">maxDepthToMinSOC($K$8,0,$K$6,$K$7,$K$10,$G$5,$G$6,C30,$C$7,$C$9,$G$4,$C$8)</f>
        <v>543.00002157688141</v>
      </c>
      <c r="E30" s="58" cm="1">
        <f t="array" ref="E30">maxDepthToMinSOC($K$8,$K$9,$K$6,$K$7,$K$10,$G$5,$G$6,C30,$C$7,$C$9,$G$4,$C$8)</f>
        <v>372.0000147819519</v>
      </c>
      <c r="G30" s="55">
        <v>0.6</v>
      </c>
      <c r="H30" s="57" cm="1">
        <f t="array" ref="H30">drivePower($C$4,$C$5,G30,$C$10,$C$11)</f>
        <v>47.049119999999995</v>
      </c>
      <c r="I30" s="58">
        <f t="shared" si="1"/>
        <v>71.728280599999991</v>
      </c>
      <c r="J30" s="58" cm="1">
        <f t="array" ref="J30">maxDepthToMinSOC($K$8,$K$9,$K$6,$K$7,$K$10,$G$5,$G$6,$H30,$C$7,$G30,$G$4,$C$8)</f>
        <v>594.1500236093998</v>
      </c>
      <c r="K30" s="58" cm="1">
        <f t="array" ref="K30">maxDepthToMinSOC($K$8,$K$9,$K$6,$K$7,$T$18,$G$5,$G$6,drivePower($C$4,$R$18,$G30,$C$10,$C$11),$C$7,$G30,$G$4,$C$8)</f>
        <v>175.35000696778297</v>
      </c>
      <c r="L30" s="58" cm="1">
        <f t="array" ref="L30">maxDepthToMinSOC($K$8,$K$9,$K$6,$K$7,$T$22,$G$5,$G$6,drivePower($C$4,$R$22,$G30,$C$10,$C$11),$C$7,$G30,$G$4,$C$8)</f>
        <v>1772.4000704288483</v>
      </c>
      <c r="M30" s="58" cm="1">
        <f t="array" ref="M30">maxDepthToMinSOC($K$8,$K$9,$K$6,$K$7,$T$20,$G$5,$G$6,drivePower($C$4,$R$20,$G30,$C$10,$C$11),$C$7,$G30,$G$4,$C$8)</f>
        <v>999.60003972053528</v>
      </c>
      <c r="N30" s="58" cm="1">
        <f t="array" ref="N30">maxDepthToMinSOC($K$8,$K$9,$K$6,$K$7,$T$21,$G$5,$G$6,drivePower($C$4,$R$21,$G30,$C$10,$C$11),$C$7,$G30,$G$4,$C$8)</f>
        <v>1392.0000553131104</v>
      </c>
      <c r="O30" s="7"/>
    </row>
    <row r="31" spans="2:23" x14ac:dyDescent="0.35">
      <c r="B31" s="12">
        <f t="shared" si="4"/>
        <v>0.4200000000000001</v>
      </c>
      <c r="C31" s="57" cm="1">
        <f t="array" ref="C31">drivePower($C$4,$C$5,$C$9,$C$10,B31)</f>
        <v>23.147380952380946</v>
      </c>
      <c r="D31" s="58" cm="1">
        <f t="array" ref="D31">maxDepthToMinSOC($K$8,0,$K$6,$K$7,$K$10,$G$5,$G$6,C31,$C$7,$C$9,$G$4,$C$8)</f>
        <v>555.60002207756042</v>
      </c>
      <c r="E31" s="58" cm="1">
        <f t="array" ref="E31">maxDepthToMinSOC($K$8,$K$9,$K$6,$K$7,$K$10,$G$5,$G$6,C31,$C$7,$C$9,$G$4,$C$8)</f>
        <v>380.70001512765884</v>
      </c>
      <c r="G31" s="55">
        <v>0.64</v>
      </c>
      <c r="H31" s="57" cm="1">
        <f t="array" ref="H31">drivePower($C$4,$C$5,G31,$C$10,$C$11)</f>
        <v>50.185728000000005</v>
      </c>
      <c r="I31" s="58">
        <f t="shared" si="1"/>
        <v>74.8648886</v>
      </c>
      <c r="J31" s="58" cm="1">
        <f t="array" ref="J31">maxDepthToMinSOC($K$8,$K$9,$K$6,$K$7,$K$10,$G$5,$G$6,$H31,$C$7,$G31,$G$4,$C$8)</f>
        <v>605.5500240623951</v>
      </c>
      <c r="K31" s="58" cm="1">
        <f t="array" ref="K31">maxDepthToMinSOC($K$8,$K$9,$K$6,$K$7,$T$18,$G$5,$G$6,drivePower($C$4,$R$18,$G31,$C$10,$C$11),$C$7,$G31,$G$4,$C$8)</f>
        <v>177.60000705718994</v>
      </c>
      <c r="L31" s="58" cm="1">
        <f t="array" ref="L31">maxDepthToMinSOC($K$8,$K$9,$K$6,$K$7,$T$22,$G$5,$G$6,drivePower($C$4,$R$22,$G31,$C$10,$C$11),$C$7,$G31,$G$4,$C$8)</f>
        <v>1807.3500718176365</v>
      </c>
      <c r="M31" s="58" cm="1">
        <f t="array" ref="M31">maxDepthToMinSOC($K$8,$K$9,$K$6,$K$7,$T$20,$G$5,$G$6,drivePower($C$4,$R$20,$G31,$C$10,$C$11),$C$7,$G31,$G$4,$C$8)</f>
        <v>1019.2500405013561</v>
      </c>
      <c r="N31" s="58" cm="1">
        <f t="array" ref="N31">maxDepthToMinSOC($K$8,$K$9,$K$6,$K$7,$T$21,$G$5,$G$6,drivePower($C$4,$R$21,$G31,$C$10,$C$11),$C$7,$G31,$G$4,$C$8)</f>
        <v>1419.6000564098358</v>
      </c>
      <c r="O31" s="7"/>
    </row>
    <row r="32" spans="2:23" x14ac:dyDescent="0.35">
      <c r="B32" s="12">
        <f t="shared" si="4"/>
        <v>0.44000000000000011</v>
      </c>
      <c r="C32" s="57" cm="1">
        <f t="array" ref="C32">drivePower($C$4,$C$5,$C$9,$C$10,B32)</f>
        <v>22.140681818181811</v>
      </c>
      <c r="D32" s="58" cm="1">
        <f t="array" ref="D32">maxDepthToMinSOC($K$8,0,$K$6,$K$7,$K$10,$G$5,$G$6,C32,$C$7,$C$9,$G$4,$C$8)</f>
        <v>567.75002256035805</v>
      </c>
      <c r="E32" s="58" cm="1">
        <f t="array" ref="E32">maxDepthToMinSOC($K$8,$K$9,$K$6,$K$7,$K$10,$G$5,$G$6,C32,$C$7,$C$9,$G$4,$C$8)</f>
        <v>389.10001546144485</v>
      </c>
    </row>
    <row r="33" spans="2:16" x14ac:dyDescent="0.35">
      <c r="B33" s="12">
        <f t="shared" si="4"/>
        <v>0.46000000000000013</v>
      </c>
      <c r="C33" s="57" cm="1">
        <f t="array" ref="C33">drivePower($C$4,$C$5,$C$9,$C$10,B33)</f>
        <v>21.221521739130427</v>
      </c>
      <c r="D33" s="58" cm="1">
        <f t="array" ref="D33">maxDepthToMinSOC($K$8,0,$K$6,$K$7,$K$10,$G$5,$G$6,C33,$C$7,$C$9,$G$4,$C$8)</f>
        <v>579.15002301335335</v>
      </c>
      <c r="E33" s="58" cm="1">
        <f t="array" ref="E33">maxDepthToMinSOC($K$8,$K$9,$K$6,$K$7,$K$10,$G$5,$G$6,C33,$C$7,$C$9,$G$4,$C$8)</f>
        <v>397.20001578330994</v>
      </c>
    </row>
    <row r="34" spans="2:16" x14ac:dyDescent="0.35">
      <c r="B34" s="12">
        <f t="shared" si="4"/>
        <v>0.48000000000000015</v>
      </c>
      <c r="C34" s="57" cm="1">
        <f t="array" ref="C34">drivePower($C$4,$C$5,$C$9,$C$10,B34)</f>
        <v>20.378958333333326</v>
      </c>
      <c r="D34" s="58" cm="1">
        <f t="array" ref="D34">maxDepthToMinSOC($K$8,0,$K$6,$K$7,$K$10,$G$5,$G$6,C34,$C$7,$C$9,$G$4,$C$8)</f>
        <v>590.10002344846725</v>
      </c>
      <c r="E34" s="58" cm="1">
        <f t="array" ref="E34">maxDepthToMinSOC($K$8,$K$9,$K$6,$K$7,$K$10,$G$5,$G$6,C34,$C$7,$C$9,$G$4,$C$8)</f>
        <v>404.70001608133316</v>
      </c>
    </row>
    <row r="35" spans="2:16" x14ac:dyDescent="0.35">
      <c r="B35" s="12">
        <f t="shared" si="4"/>
        <v>0.50000000000000011</v>
      </c>
      <c r="C35" s="57" cm="1">
        <f t="array" ref="C35">drivePower($C$4,$C$5,$C$9,$C$10,B35)</f>
        <v>19.603799999999996</v>
      </c>
      <c r="D35" s="58" cm="1">
        <f t="array" ref="D35">maxDepthToMinSOC($K$8,0,$K$6,$K$7,$K$10,$G$5,$G$6,C35,$C$7,$C$9,$G$4,$C$8)</f>
        <v>600.4500238597393</v>
      </c>
      <c r="E35" s="58" cm="1">
        <f t="array" ref="E35">maxDepthToMinSOC($K$8,$K$9,$K$6,$K$7,$K$10,$G$5,$G$6,C35,$C$7,$C$9,$G$4,$C$8)</f>
        <v>412.05001637339592</v>
      </c>
    </row>
    <row r="36" spans="2:16" x14ac:dyDescent="0.35">
      <c r="J36" s="4"/>
      <c r="K36" s="4"/>
      <c r="L36" s="4"/>
      <c r="M36" s="4"/>
      <c r="N36" s="4"/>
      <c r="O36" s="4"/>
      <c r="P36" s="4"/>
    </row>
    <row r="38" spans="2:16" x14ac:dyDescent="0.35">
      <c r="J38" s="6"/>
      <c r="K38" s="6"/>
      <c r="L38" s="6"/>
      <c r="M38" s="6"/>
      <c r="N38" s="6"/>
      <c r="O38" s="6"/>
      <c r="P38" s="6"/>
    </row>
    <row r="39" spans="2:16" x14ac:dyDescent="0.35">
      <c r="J39" s="5"/>
      <c r="L39" s="69"/>
      <c r="M39" s="50"/>
      <c r="N39" s="50"/>
      <c r="O39" s="50"/>
      <c r="P39" s="50"/>
    </row>
    <row r="40" spans="2:16" x14ac:dyDescent="0.35">
      <c r="J40" s="5"/>
      <c r="L40" s="69"/>
      <c r="M40" s="50"/>
      <c r="N40" s="50"/>
      <c r="O40" s="50"/>
      <c r="P40" s="50"/>
    </row>
    <row r="41" spans="2:16" x14ac:dyDescent="0.35">
      <c r="J41" s="5"/>
      <c r="L41" s="69"/>
      <c r="M41" s="50"/>
      <c r="N41" s="50"/>
      <c r="O41" s="50"/>
      <c r="P41" s="50"/>
    </row>
    <row r="42" spans="2:16" x14ac:dyDescent="0.35">
      <c r="J42" s="5"/>
      <c r="L42" s="69"/>
      <c r="M42" s="50"/>
      <c r="N42" s="50"/>
      <c r="O42" s="50"/>
      <c r="P42" s="50"/>
    </row>
    <row r="43" spans="2:16" x14ac:dyDescent="0.35">
      <c r="J43" s="5"/>
      <c r="L43" s="69"/>
      <c r="M43" s="50"/>
      <c r="N43" s="50"/>
      <c r="O43" s="50"/>
      <c r="P43" s="50"/>
    </row>
    <row r="44" spans="2:16" x14ac:dyDescent="0.35">
      <c r="J44" s="5"/>
      <c r="L44" s="69"/>
      <c r="M44" s="50"/>
      <c r="N44" s="50"/>
      <c r="O44" s="50"/>
      <c r="P44" s="50"/>
    </row>
    <row r="45" spans="2:16" x14ac:dyDescent="0.35">
      <c r="J45" s="5"/>
      <c r="L45" s="69"/>
      <c r="M45" s="50"/>
      <c r="N45" s="50"/>
      <c r="O45" s="50"/>
      <c r="P45" s="50"/>
    </row>
    <row r="46" spans="2:16" x14ac:dyDescent="0.35">
      <c r="J46" s="5"/>
      <c r="L46" s="69"/>
      <c r="M46" s="50"/>
      <c r="N46" s="50"/>
      <c r="O46" s="50"/>
      <c r="P46" s="50"/>
    </row>
    <row r="47" spans="2:16" x14ac:dyDescent="0.35">
      <c r="J47" s="5"/>
      <c r="L47" s="69"/>
      <c r="M47" s="50"/>
      <c r="N47" s="50"/>
      <c r="O47" s="50"/>
      <c r="P47" s="50"/>
    </row>
    <row r="48" spans="2:16" x14ac:dyDescent="0.35">
      <c r="J48" s="5"/>
      <c r="L48" s="69"/>
      <c r="M48" s="50"/>
      <c r="N48" s="50"/>
      <c r="O48" s="50"/>
      <c r="P48" s="50"/>
    </row>
    <row r="49" spans="10:16" x14ac:dyDescent="0.35">
      <c r="J49" s="5"/>
      <c r="L49" s="69"/>
      <c r="M49" s="50"/>
      <c r="N49" s="50"/>
      <c r="O49" s="50"/>
      <c r="P49" s="50"/>
    </row>
    <row r="50" spans="10:16" x14ac:dyDescent="0.35">
      <c r="J50" s="5"/>
      <c r="L50" s="69"/>
      <c r="M50" s="50"/>
      <c r="N50" s="50"/>
      <c r="O50" s="50"/>
      <c r="P50" s="50"/>
    </row>
    <row r="51" spans="10:16" x14ac:dyDescent="0.35">
      <c r="J51" s="5"/>
      <c r="L51" s="69"/>
      <c r="M51" s="50"/>
      <c r="N51" s="50"/>
      <c r="O51" s="50"/>
      <c r="P51" s="50"/>
    </row>
    <row r="52" spans="10:16" x14ac:dyDescent="0.35">
      <c r="J52" s="5"/>
      <c r="L52" s="69"/>
      <c r="M52" s="50"/>
      <c r="N52" s="50"/>
      <c r="O52" s="50"/>
      <c r="P52" s="50"/>
    </row>
  </sheetData>
  <mergeCells count="1">
    <mergeCell ref="B2:F2"/>
  </mergeCells>
  <conditionalFormatting sqref="C12">
    <cfRule type="cellIs" dxfId="3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69"/>
  <sheetViews>
    <sheetView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22" max="22" width="12.81640625" customWidth="1"/>
  </cols>
  <sheetData>
    <row r="2" spans="2:22" ht="23.5" x14ac:dyDescent="0.55000000000000004">
      <c r="B2" s="91" t="s">
        <v>80</v>
      </c>
      <c r="C2" s="91"/>
      <c r="D2" s="91"/>
      <c r="E2" s="91"/>
      <c r="F2" s="91"/>
    </row>
    <row r="4" spans="2:22" x14ac:dyDescent="0.35">
      <c r="B4" s="51" t="s">
        <v>66</v>
      </c>
      <c r="C4" s="3">
        <v>3.7207599999999998</v>
      </c>
      <c r="D4" s="3" t="s">
        <v>8</v>
      </c>
      <c r="E4" s="3"/>
      <c r="F4" s="51" t="s">
        <v>71</v>
      </c>
      <c r="G4" s="3">
        <v>12</v>
      </c>
      <c r="H4" s="3" t="s">
        <v>4</v>
      </c>
      <c r="K4" s="51" t="s">
        <v>13</v>
      </c>
      <c r="L4" s="11">
        <f>3.7*5</f>
        <v>18.5</v>
      </c>
      <c r="M4" s="3" t="s">
        <v>15</v>
      </c>
    </row>
    <row r="5" spans="2:22" x14ac:dyDescent="0.35">
      <c r="B5" s="51" t="s">
        <v>93</v>
      </c>
      <c r="C5" s="3">
        <v>10</v>
      </c>
      <c r="D5" s="3" t="s">
        <v>94</v>
      </c>
      <c r="F5" s="51" t="s">
        <v>111</v>
      </c>
      <c r="G5" s="3">
        <v>0</v>
      </c>
      <c r="H5" s="3" t="s">
        <v>22</v>
      </c>
      <c r="K5" s="51" t="s">
        <v>14</v>
      </c>
      <c r="L5" s="3">
        <v>4400</v>
      </c>
      <c r="M5" s="3" t="s">
        <v>0</v>
      </c>
    </row>
    <row r="6" spans="2:22" x14ac:dyDescent="0.35">
      <c r="B6" s="52" t="s">
        <v>106</v>
      </c>
      <c r="C6" s="52">
        <f>C4*C5</f>
        <v>37.207599999999999</v>
      </c>
      <c r="D6" s="52" t="s">
        <v>105</v>
      </c>
      <c r="F6" s="51" t="s">
        <v>112</v>
      </c>
      <c r="G6" s="3">
        <v>2250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x14ac:dyDescent="0.35">
      <c r="B7" s="52" t="s">
        <v>115</v>
      </c>
      <c r="C7" s="71">
        <f>xxxxxx!C32+G9</f>
        <v>24.679160599999999</v>
      </c>
      <c r="D7" s="52" t="s">
        <v>7</v>
      </c>
      <c r="F7" s="52" t="s">
        <v>110</v>
      </c>
      <c r="G7" s="70">
        <v>22</v>
      </c>
      <c r="H7" s="52" t="s">
        <v>59</v>
      </c>
      <c r="I7" s="75"/>
      <c r="K7" s="51" t="s">
        <v>2</v>
      </c>
      <c r="L7" s="10">
        <v>0.93500000000000005</v>
      </c>
      <c r="M7" s="3" t="s">
        <v>3</v>
      </c>
    </row>
    <row r="8" spans="2:22" x14ac:dyDescent="0.35">
      <c r="B8" s="51" t="s">
        <v>10</v>
      </c>
      <c r="C8" s="3">
        <v>0.15</v>
      </c>
      <c r="D8" s="3" t="s">
        <v>5</v>
      </c>
      <c r="K8" s="51" t="s">
        <v>17</v>
      </c>
      <c r="L8" s="12">
        <v>1</v>
      </c>
      <c r="M8" s="3"/>
    </row>
    <row r="9" spans="2:22" x14ac:dyDescent="0.35">
      <c r="B9" s="51" t="s">
        <v>103</v>
      </c>
      <c r="C9" s="3">
        <v>0.25</v>
      </c>
      <c r="D9" s="3" t="s">
        <v>6</v>
      </c>
      <c r="F9" s="51" t="s">
        <v>118</v>
      </c>
      <c r="G9" s="3">
        <v>20</v>
      </c>
      <c r="H9" s="3" t="s">
        <v>59</v>
      </c>
      <c r="K9" s="51" t="s">
        <v>18</v>
      </c>
      <c r="L9" s="12">
        <v>0.25</v>
      </c>
      <c r="M9" s="3"/>
    </row>
    <row r="10" spans="2:22" x14ac:dyDescent="0.35">
      <c r="B10" s="51" t="s">
        <v>104</v>
      </c>
      <c r="C10" s="3">
        <v>4</v>
      </c>
      <c r="D10" s="3" t="s">
        <v>105</v>
      </c>
      <c r="K10" s="52" t="s">
        <v>114</v>
      </c>
      <c r="L10" s="52">
        <f>L5*3.6/1000*L4</f>
        <v>293.04000000000002</v>
      </c>
      <c r="M10" s="52" t="s">
        <v>16</v>
      </c>
    </row>
    <row r="11" spans="2:22" x14ac:dyDescent="0.35">
      <c r="B11" s="51" t="s">
        <v>64</v>
      </c>
      <c r="C11" s="12">
        <v>0.5</v>
      </c>
      <c r="D11" s="3"/>
      <c r="F11" s="52" t="s">
        <v>120</v>
      </c>
      <c r="G11" s="71">
        <f>C7+G7+C12</f>
        <v>66.282960599999996</v>
      </c>
      <c r="H11" s="52" t="s">
        <v>59</v>
      </c>
      <c r="I11" s="75"/>
      <c r="K11" s="52" t="s">
        <v>113</v>
      </c>
      <c r="L11" s="71" cm="1">
        <f t="array" ref="L11">UseableCapacity(L10,L8,L9)</f>
        <v>219.78000000000003</v>
      </c>
      <c r="M11" s="52" t="s">
        <v>16</v>
      </c>
    </row>
    <row r="12" spans="2:22" x14ac:dyDescent="0.35">
      <c r="B12" s="52" t="s">
        <v>19</v>
      </c>
      <c r="C12" s="52" cm="1">
        <f t="array" ref="C12">drivePower(C4,C5,C9,C10,C11)</f>
        <v>19.6038</v>
      </c>
      <c r="D12" s="52" t="s">
        <v>7</v>
      </c>
      <c r="F12" s="52" t="s">
        <v>119</v>
      </c>
      <c r="G12" s="71">
        <f>C12+C7</f>
        <v>44.282960599999996</v>
      </c>
      <c r="H12" s="52" t="s">
        <v>59</v>
      </c>
      <c r="I12" s="75"/>
      <c r="K12" s="52" t="s">
        <v>109</v>
      </c>
      <c r="L12" s="52">
        <f>L5*0.5</f>
        <v>2200</v>
      </c>
      <c r="M12" s="52" t="s">
        <v>107</v>
      </c>
    </row>
    <row r="13" spans="2:22" x14ac:dyDescent="0.35">
      <c r="K13" s="52" t="s">
        <v>108</v>
      </c>
      <c r="L13" s="52">
        <f>L12*L4/1000</f>
        <v>40.700000000000003</v>
      </c>
      <c r="M13" s="52" t="s">
        <v>59</v>
      </c>
    </row>
    <row r="14" spans="2:22" ht="15" thickBot="1" x14ac:dyDescent="0.4"/>
    <row r="15" spans="2:22" x14ac:dyDescent="0.35">
      <c r="B15" s="72"/>
      <c r="C15" s="63"/>
      <c r="D15" s="63"/>
      <c r="E15" s="64"/>
      <c r="G15" s="65" t="s">
        <v>85</v>
      </c>
      <c r="H15" s="66"/>
      <c r="I15" s="66"/>
      <c r="J15" s="66"/>
      <c r="K15" s="66"/>
      <c r="L15" s="66"/>
      <c r="M15" s="4"/>
      <c r="N15" s="4"/>
      <c r="O15" s="4"/>
      <c r="R15" s="60" t="s">
        <v>87</v>
      </c>
      <c r="S15" s="61"/>
      <c r="T15" s="62"/>
      <c r="U15" s="4"/>
    </row>
    <row r="16" spans="2:22" x14ac:dyDescent="0.35">
      <c r="B16" s="3"/>
      <c r="C16" s="3"/>
      <c r="D16" s="3"/>
      <c r="E16" s="39"/>
      <c r="G16" s="3"/>
      <c r="H16" s="3"/>
      <c r="I16" s="3"/>
      <c r="J16" s="3"/>
      <c r="K16" s="23"/>
      <c r="L16" s="67"/>
      <c r="R16" s="3"/>
      <c r="S16" s="3"/>
      <c r="T16" s="3"/>
      <c r="U16" s="67"/>
      <c r="V16" s="39"/>
    </row>
    <row r="17" spans="2:24" ht="58" x14ac:dyDescent="0.35">
      <c r="B17" s="25"/>
      <c r="C17" s="25"/>
      <c r="D17" s="25"/>
      <c r="E17" s="54"/>
      <c r="G17" s="25" t="s">
        <v>86</v>
      </c>
      <c r="H17" s="25" t="s">
        <v>95</v>
      </c>
      <c r="I17" s="25" t="s">
        <v>127</v>
      </c>
      <c r="J17" s="25" t="s">
        <v>126</v>
      </c>
      <c r="K17" s="68" t="s">
        <v>128</v>
      </c>
      <c r="L17" s="68" t="s">
        <v>129</v>
      </c>
      <c r="M17" s="68" t="s">
        <v>131</v>
      </c>
      <c r="N17" s="68" t="s">
        <v>130</v>
      </c>
      <c r="O17" s="68" t="s">
        <v>132</v>
      </c>
      <c r="P17" s="68"/>
      <c r="Q17" s="25" t="s">
        <v>88</v>
      </c>
      <c r="R17" s="25" t="s">
        <v>116</v>
      </c>
      <c r="S17" s="25" t="s">
        <v>117</v>
      </c>
      <c r="T17" s="25" t="s">
        <v>95</v>
      </c>
      <c r="U17" s="25" t="s">
        <v>101</v>
      </c>
      <c r="V17" s="25" t="s">
        <v>82</v>
      </c>
      <c r="W17" s="54" t="s">
        <v>83</v>
      </c>
    </row>
    <row r="18" spans="2:24" x14ac:dyDescent="0.35">
      <c r="B18" s="12"/>
      <c r="C18" s="57"/>
      <c r="D18" s="58"/>
      <c r="E18" s="58"/>
      <c r="F18" s="6"/>
      <c r="G18" s="55">
        <f>$C$9</f>
        <v>0.25</v>
      </c>
      <c r="H18" s="57" cm="1">
        <f t="array" ref="H18">drivePower($C$4,$C$5,G18,$C$10,$C$11)</f>
        <v>19.6038</v>
      </c>
      <c r="I18" s="74">
        <v>30</v>
      </c>
      <c r="J18" s="74">
        <f>H18+I18</f>
        <v>49.6038</v>
      </c>
      <c r="K18" s="58" cm="1">
        <f t="array" ref="K18">maxDepthToMinSOC($L$8,$L$9,$L$6,$L$7,$L$10,$G$5,$G$6,$H18,I18,$G18,$G$4,$C$8)</f>
        <v>338.40001344680786</v>
      </c>
      <c r="L18" s="58" cm="1">
        <f t="array" ref="L18">maxDepthToMinSOC($L$8,$L$9,$L$6,$L$7,$U$18,$G$5,$G$6,drivePower($C$4,$S$18,$G18,$C$10,$C$11),I18,$G18,$G$4,$C$8)</f>
        <v>83.250003308057785</v>
      </c>
      <c r="M18" s="58" cm="1">
        <f t="array" ref="M18">maxDepthToMinSOC($L$8,$L$9,$L$6,$L$7,$U$22,$G$5,$G$6,drivePower($C$4,$S$22,$G18,$C$10,$C$11),I18,$G18,$G$4,$C$8)</f>
        <v>1074.4500426948071</v>
      </c>
      <c r="N18" s="58" cm="1">
        <f t="array" ref="N18">maxDepthToMinSOC($L$8,$L$9,$L$6,$L$7,$U$20,$G$5,$G$6,drivePower($C$4,$S$20,$G18,$C$10,$C$11),I18,$G18,$G$4,$C$8)</f>
        <v>588.60002338886261</v>
      </c>
      <c r="O18" s="58" cm="1">
        <f t="array" ref="O18">maxDepthToMinSOC($L$8,$L$9,$L$6,$L$7,$U$21,$G$5,$G$6,drivePower($C$4,$S$21,$G18,$C$10,$C$11),I18,$G18,$G$4,$C$8)</f>
        <v>833.85003313422203</v>
      </c>
      <c r="P18" s="73"/>
      <c r="Q18" s="56">
        <v>2200</v>
      </c>
      <c r="R18" s="55">
        <f>(Q18-4400)*(5*0.048)/4400</f>
        <v>-0.12</v>
      </c>
      <c r="S18" s="57">
        <f>$C$5+R18</f>
        <v>9.8800000000000008</v>
      </c>
      <c r="T18" s="57" cm="1">
        <f t="array" ref="T18">drivePower($C$4,S18,$C$9,$C$10,$C$11)</f>
        <v>19.380554400000001</v>
      </c>
      <c r="U18" s="56">
        <f t="shared" ref="U18:U26" si="0">Q18*3.6/1000*$L$4</f>
        <v>146.52000000000001</v>
      </c>
      <c r="V18" s="58" cm="1">
        <f t="array" ref="V18">maxDepthToMinSOC($L$8,0,$L$6,$L$7,U18,$G$5,$G$6,T18,$C$7,$C$9,$G$4,$C$8)</f>
        <v>223.05000886321068</v>
      </c>
      <c r="W18" s="58" cm="1">
        <f t="array" ref="W18">maxDepthToMinSOC($L$8,$L$9,$L$6,$L$7,U18,$G$5,$G$6,T18,$C$7,$C$9,$G$4,$C$8)</f>
        <v>127.05000504851341</v>
      </c>
      <c r="X18" t="s">
        <v>89</v>
      </c>
    </row>
    <row r="19" spans="2:24" x14ac:dyDescent="0.35">
      <c r="B19" s="12"/>
      <c r="C19" s="57"/>
      <c r="D19" s="58"/>
      <c r="E19" s="58"/>
      <c r="G19" s="55">
        <f t="shared" ref="G19:G31" si="1">$C$9</f>
        <v>0.25</v>
      </c>
      <c r="H19" s="57" cm="1">
        <f t="array" ref="H19">drivePower($C$4,$C$5,G19,$C$10,$C$11)</f>
        <v>19.6038</v>
      </c>
      <c r="I19" s="74">
        <v>32.5</v>
      </c>
      <c r="J19" s="74">
        <f t="shared" ref="J19:J31" si="2">H19+I19</f>
        <v>52.1038</v>
      </c>
      <c r="K19" s="58" cm="1">
        <f t="array" ref="K19">maxDepthToMinSOC($L$8,$L$9,$L$6,$L$7,$L$10,$G$5,$G$6,$H19,I19,$G19,$G$4,$C$8)</f>
        <v>309.00001227855682</v>
      </c>
      <c r="L19" s="58" cm="1">
        <f t="array" ref="L19">maxDepthToMinSOC($L$8,$L$9,$L$6,$L$7,$U$18,$G$5,$G$6,drivePower($C$4,$S$18,$G19,$C$10,$C$11),I19,$G19,$G$4,$C$8)</f>
        <v>65.700002610683441</v>
      </c>
      <c r="M19" s="58" cm="1">
        <f t="array" ref="M19">maxDepthToMinSOC($L$8,$L$9,$L$6,$L$7,$U$22,$G$5,$G$6,drivePower($C$4,$S$22,$G19,$C$10,$C$11),I19,$G19,$G$4,$C$8)</f>
        <v>1011.9000402092934</v>
      </c>
      <c r="N19" s="58" cm="1">
        <f t="array" ref="N19">maxDepthToMinSOC($L$8,$L$9,$L$6,$L$7,$U$20,$G$5,$G$6,drivePower($C$4,$S$20,$G19,$C$10,$C$11),I19,$G19,$G$4,$C$8)</f>
        <v>547.65002176165581</v>
      </c>
      <c r="O19" s="58" cm="1">
        <f t="array" ref="O19">maxDepthToMinSOC($L$8,$L$9,$L$6,$L$7,$U$21,$G$5,$G$6,drivePower($C$4,$S$21,$G19,$C$10,$C$11),I19,$G19,$G$4,$C$8)</f>
        <v>781.95003107190132</v>
      </c>
      <c r="P19" s="73"/>
      <c r="Q19" s="56">
        <v>4400</v>
      </c>
      <c r="R19" s="55">
        <f t="shared" ref="R19:R26" si="3">(Q19-4400)*(5*0.048)/4400</f>
        <v>0</v>
      </c>
      <c r="S19" s="57">
        <f t="shared" ref="S19:S26" si="4">$C$5+R19</f>
        <v>10</v>
      </c>
      <c r="T19" s="57" cm="1">
        <f t="array" ref="T19">drivePower($C$4,S19,$C$9,$C$10,$C$11)</f>
        <v>19.6038</v>
      </c>
      <c r="U19" s="56">
        <f t="shared" si="0"/>
        <v>293.04000000000002</v>
      </c>
      <c r="V19" s="58" cm="1">
        <f t="array" ref="V19">maxDepthToMinSOC($L$8,0,$L$6,$L$7,U19,$G$5,$G$6,T19,$C$7,$C$9,$G$4,$C$8)</f>
        <v>600.4500238597393</v>
      </c>
      <c r="W19" s="58" cm="1">
        <f t="array" ref="W19">maxDepthToMinSOC($L$8,$L$9,$L$6,$L$7,U19,$G$5,$G$6,T19,$C$7,$C$9,$G$4,$C$8)</f>
        <v>412.05001637339592</v>
      </c>
      <c r="X19" t="s">
        <v>90</v>
      </c>
    </row>
    <row r="20" spans="2:24" x14ac:dyDescent="0.35">
      <c r="B20" s="12"/>
      <c r="C20" s="57"/>
      <c r="D20" s="58"/>
      <c r="E20" s="58"/>
      <c r="G20" s="55">
        <f t="shared" si="1"/>
        <v>0.25</v>
      </c>
      <c r="H20" s="57" cm="1">
        <f t="array" ref="H20">drivePower($C$4,$C$5,G20,$C$10,$C$11)</f>
        <v>19.6038</v>
      </c>
      <c r="I20" s="74">
        <v>35</v>
      </c>
      <c r="J20" s="74">
        <f t="shared" si="2"/>
        <v>54.6038</v>
      </c>
      <c r="K20" s="58" cm="1">
        <f t="array" ref="K20">maxDepthToMinSOC($L$8,$L$9,$L$6,$L$7,$L$10,$G$5,$G$6,$H20,I20,$G20,$G$4,$C$8)</f>
        <v>282.30001121759415</v>
      </c>
      <c r="L20" s="58" cm="1">
        <f t="array" ref="L20">maxDepthToMinSOC($L$8,$L$9,$L$6,$L$7,$U$18,$G$5,$G$6,drivePower($C$4,$S$18,$G20,$C$10,$C$11),I20,$G20,$G$4,$C$8)</f>
        <v>49.950001984834671</v>
      </c>
      <c r="M20" s="58" cm="1">
        <f t="array" ref="M20">maxDepthToMinSOC($L$8,$L$9,$L$6,$L$7,$U$22,$G$5,$G$6,drivePower($C$4,$S$22,$G20,$C$10,$C$11),I20,$G20,$G$4,$C$8)</f>
        <v>954.90003794431686</v>
      </c>
      <c r="N20" s="58" cm="1">
        <f t="array" ref="N20">maxDepthToMinSOC($L$8,$L$9,$L$6,$L$7,$U$20,$G$5,$G$6,drivePower($C$4,$S$20,$G20,$C$10,$C$11),I20,$G20,$G$4,$C$8)</f>
        <v>510.45002028346062</v>
      </c>
      <c r="O20" s="58" cm="1">
        <f t="array" ref="O20">maxDepthToMinSOC($L$8,$L$9,$L$6,$L$7,$U$21,$G$5,$G$6,drivePower($C$4,$S$21,$G20,$C$10,$C$11),I20,$G20,$G$4,$C$8)</f>
        <v>734.55002918839455</v>
      </c>
      <c r="P20" s="73"/>
      <c r="Q20" s="56">
        <v>6600</v>
      </c>
      <c r="R20" s="55">
        <f t="shared" si="3"/>
        <v>0.12</v>
      </c>
      <c r="S20" s="57">
        <f t="shared" si="4"/>
        <v>10.119999999999999</v>
      </c>
      <c r="T20" s="57" cm="1">
        <f t="array" ref="T20">drivePower($C$4,S20,$C$9,$C$10,$C$11)</f>
        <v>19.827045599999998</v>
      </c>
      <c r="U20" s="56">
        <f t="shared" si="0"/>
        <v>439.56</v>
      </c>
      <c r="V20" s="58" cm="1">
        <f t="array" ref="V20">maxDepthToMinSOC($L$8,0,$L$6,$L$7,U20,$G$5,$G$6,T20,$C$7,$C$9,$G$4,$C$8)</f>
        <v>968.2500384747982</v>
      </c>
      <c r="W20" s="58" cm="1">
        <f t="array" ref="W20">maxDepthToMinSOC($L$8,$L$9,$L$6,$L$7,U20,$G$5,$G$6,T20,$C$7,$C$9,$G$4,$C$8)</f>
        <v>690.75002744793892</v>
      </c>
      <c r="X20" t="s">
        <v>91</v>
      </c>
    </row>
    <row r="21" spans="2:24" x14ac:dyDescent="0.35">
      <c r="B21" s="12"/>
      <c r="C21" s="57"/>
      <c r="D21" s="58"/>
      <c r="E21" s="58"/>
      <c r="G21" s="55">
        <f t="shared" si="1"/>
        <v>0.25</v>
      </c>
      <c r="H21" s="57" cm="1">
        <f t="array" ref="H21">drivePower($C$4,$C$5,G21,$C$10,$C$11)</f>
        <v>19.6038</v>
      </c>
      <c r="I21" s="74">
        <v>37.5</v>
      </c>
      <c r="J21" s="74">
        <f t="shared" si="2"/>
        <v>57.1038</v>
      </c>
      <c r="K21" s="58" cm="1">
        <f t="array" ref="K21">maxDepthToMinSOC($L$8,$L$9,$L$6,$L$7,$L$10,$G$5,$G$6,$H21,I21,$G21,$G$4,$C$8)</f>
        <v>257.85001024603844</v>
      </c>
      <c r="L21" s="58" cm="1">
        <f t="array" ref="L21">maxDepthToMinSOC($L$8,$L$9,$L$6,$L$7,$U$18,$G$5,$G$6,drivePower($C$4,$S$18,$G21,$C$10,$C$11),I21,$G21,$G$4,$C$8)</f>
        <v>35.400001406669617</v>
      </c>
      <c r="M21" s="58" cm="1">
        <f t="array" ref="M21">maxDepthToMinSOC($L$8,$L$9,$L$6,$L$7,$U$22,$G$5,$G$6,drivePower($C$4,$S$22,$G21,$C$10,$C$11),I21,$G21,$G$4,$C$8)</f>
        <v>902.55003586411476</v>
      </c>
      <c r="N21" s="58" cm="1">
        <f t="array" ref="N21">maxDepthToMinSOC($L$8,$L$9,$L$6,$L$7,$U$20,$G$5,$G$6,drivePower($C$4,$S$20,$G21,$C$10,$C$11),I21,$G21,$G$4,$C$8)</f>
        <v>476.40001893043518</v>
      </c>
      <c r="O21" s="58" cm="1">
        <f t="array" ref="O21">maxDepthToMinSOC($L$8,$L$9,$L$6,$L$7,$U$21,$G$5,$G$6,drivePower($C$4,$S$21,$G21,$C$10,$C$11),I21,$G21,$G$4,$C$8)</f>
        <v>691.35002747178078</v>
      </c>
      <c r="P21" s="73"/>
      <c r="Q21" s="56">
        <v>8800</v>
      </c>
      <c r="R21" s="55">
        <f t="shared" si="3"/>
        <v>0.24</v>
      </c>
      <c r="S21" s="57">
        <f t="shared" si="4"/>
        <v>10.24</v>
      </c>
      <c r="T21" s="57" cm="1">
        <f t="array" ref="T21">drivePower($C$4,S21,$C$9,$C$10,$C$11)</f>
        <v>20.0502912</v>
      </c>
      <c r="U21" s="56">
        <f t="shared" si="0"/>
        <v>586.08000000000004</v>
      </c>
      <c r="V21" s="58" cm="1">
        <f t="array" ref="V21">maxDepthToMinSOC($L$8,0,$L$6,$L$7,U21,$G$5,$G$6,T21,$C$7,$C$9,$G$4,$C$8)</f>
        <v>1326.4500527083874</v>
      </c>
      <c r="W21" s="58" cm="1">
        <f t="array" ref="W21">maxDepthToMinSOC($L$8,$L$9,$L$6,$L$7,U21,$G$5,$G$6,T21,$C$7,$C$9,$G$4,$C$8)</f>
        <v>963.45003828406334</v>
      </c>
      <c r="X21" t="s">
        <v>92</v>
      </c>
    </row>
    <row r="22" spans="2:24" x14ac:dyDescent="0.35">
      <c r="B22" s="12"/>
      <c r="C22" s="57"/>
      <c r="D22" s="58"/>
      <c r="E22" s="58"/>
      <c r="G22" s="55">
        <f t="shared" si="1"/>
        <v>0.25</v>
      </c>
      <c r="H22" s="57" cm="1">
        <f t="array" ref="H22">drivePower($C$4,$C$5,G22,$C$10,$C$11)</f>
        <v>19.6038</v>
      </c>
      <c r="I22" s="74">
        <v>40</v>
      </c>
      <c r="J22" s="74">
        <f t="shared" si="2"/>
        <v>59.6038</v>
      </c>
      <c r="K22" s="58" cm="1">
        <f t="array" ref="K22">maxDepthToMinSOC($L$8,$L$9,$L$6,$L$7,$L$10,$G$5,$G$6,$H22,I22,$G22,$G$4,$C$8)</f>
        <v>235.35000935196877</v>
      </c>
      <c r="L22" s="58" cm="1">
        <f t="array" ref="L22">maxDepthToMinSOC($L$8,$L$9,$L$6,$L$7,$U$18,$G$5,$G$6,drivePower($C$4,$S$18,$G22,$C$10,$C$11),I22,$G22,$G$4,$C$8)</f>
        <v>22.200000882148743</v>
      </c>
      <c r="M22" s="58" cm="1">
        <f t="array" ref="M22">maxDepthToMinSOC($L$8,$L$9,$L$6,$L$7,$U$22,$G$5,$G$6,drivePower($C$4,$S$22,$G22,$C$10,$C$11),I22,$G22,$G$4,$C$8)</f>
        <v>854.55003395676613</v>
      </c>
      <c r="N22" s="58" cm="1">
        <f t="array" ref="N22">maxDepthToMinSOC($L$8,$L$9,$L$6,$L$7,$U$20,$G$5,$G$6,drivePower($C$4,$S$20,$G22,$C$10,$C$11),I22,$G22,$G$4,$C$8)</f>
        <v>445.20001769065857</v>
      </c>
      <c r="O22" s="58" cm="1">
        <f t="array" ref="O22">maxDepthToMinSOC($L$8,$L$9,$L$6,$L$7,$U$21,$G$5,$G$6,drivePower($C$4,$S$21,$G22,$C$10,$C$11),I22,$G22,$G$4,$C$8)</f>
        <v>651.60002589225769</v>
      </c>
      <c r="P22" s="73"/>
      <c r="Q22" s="56">
        <f>Q21+2200</f>
        <v>11000</v>
      </c>
      <c r="R22" s="55">
        <f t="shared" si="3"/>
        <v>0.36</v>
      </c>
      <c r="S22" s="57">
        <f t="shared" si="4"/>
        <v>10.36</v>
      </c>
      <c r="T22" s="57" cm="1">
        <f t="array" ref="T22">drivePower($C$4,S22,$C$9,$C$10,$C$11)</f>
        <v>20.273536799999999</v>
      </c>
      <c r="U22" s="56">
        <f t="shared" si="0"/>
        <v>732.6</v>
      </c>
      <c r="V22" s="58" cm="1">
        <f t="array" ref="V22">maxDepthToMinSOC($L$8,0,$L$6,$L$7,U22,$G$5,$G$6,T22,$C$7,$C$9,$G$4,$C$8)</f>
        <v>1675.6500665843487</v>
      </c>
      <c r="W22" s="58" cm="1">
        <f t="array" ref="W22">maxDepthToMinSOC($L$8,$L$9,$L$6,$L$7,U22,$G$5,$G$6,T22,$C$7,$C$9,$G$4,$C$8)</f>
        <v>1230.1500488817692</v>
      </c>
    </row>
    <row r="23" spans="2:24" x14ac:dyDescent="0.35">
      <c r="B23" s="12"/>
      <c r="C23" s="57"/>
      <c r="D23" s="58"/>
      <c r="E23" s="58"/>
      <c r="G23" s="55">
        <f t="shared" si="1"/>
        <v>0.25</v>
      </c>
      <c r="H23" s="57" cm="1">
        <f t="array" ref="H23">drivePower($C$4,$C$5,G23,$C$10,$C$11)</f>
        <v>19.6038</v>
      </c>
      <c r="I23" s="74">
        <v>42.5</v>
      </c>
      <c r="J23" s="74">
        <f t="shared" si="2"/>
        <v>62.1038</v>
      </c>
      <c r="K23" s="58" cm="1">
        <f t="array" ref="K23">maxDepthToMinSOC($L$8,$L$9,$L$6,$L$7,$L$10,$G$5,$G$6,$H23,I23,$G23,$G$4,$C$8)</f>
        <v>214.80000853538513</v>
      </c>
      <c r="L23" s="58" cm="1">
        <f t="array" ref="L23">maxDepthToMinSOC($L$8,$L$9,$L$6,$L$7,$U$18,$G$5,$G$6,drivePower($C$4,$S$18,$G23,$C$10,$C$11),I23,$G23,$G$4,$C$8)</f>
        <v>9.9000003933906555</v>
      </c>
      <c r="M23" s="58" cm="1">
        <f t="array" ref="M23">maxDepthToMinSOC($L$8,$L$9,$L$6,$L$7,$U$22,$G$5,$G$6,drivePower($C$4,$S$22,$G23,$C$10,$C$11),I23,$G23,$G$4,$C$8)</f>
        <v>810.30003219842911</v>
      </c>
      <c r="N23" s="58" cm="1">
        <f t="array" ref="N23">maxDepthToMinSOC($L$8,$L$9,$L$6,$L$7,$U$20,$G$5,$G$6,drivePower($C$4,$S$20,$G23,$C$10,$C$11),I23,$G23,$G$4,$C$8)</f>
        <v>416.40001654624939</v>
      </c>
      <c r="O23" s="58" cm="1">
        <f t="array" ref="O23">maxDepthToMinSOC($L$8,$L$9,$L$6,$L$7,$U$21,$G$5,$G$6,drivePower($C$4,$S$21,$G23,$C$10,$C$11),I23,$G23,$G$4,$C$8)</f>
        <v>614.85002443194389</v>
      </c>
      <c r="P23" s="73"/>
      <c r="Q23" s="56">
        <f t="shared" ref="Q23:Q26" si="5">Q22+2200</f>
        <v>13200</v>
      </c>
      <c r="R23" s="55">
        <f t="shared" si="3"/>
        <v>0.48</v>
      </c>
      <c r="S23" s="57">
        <f t="shared" si="4"/>
        <v>10.48</v>
      </c>
      <c r="T23" s="57" cm="1">
        <f t="array" ref="T23">drivePower($C$4,S23,$C$9,$C$10,$C$11)</f>
        <v>20.496782400000001</v>
      </c>
      <c r="U23" s="56">
        <f t="shared" si="0"/>
        <v>879.12</v>
      </c>
      <c r="V23" s="58" cm="1">
        <f t="array" ref="V23">maxDepthToMinSOC($L$8,0,$L$6,$L$7,U23,$G$5,$G$6,T23,$C$7,$C$9,$G$4,$C$8)</f>
        <v>2016.3000801205635</v>
      </c>
      <c r="W23" s="58" cm="1">
        <f t="array" ref="W23">maxDepthToMinSOC($L$8,$L$9,$L$6,$L$7,U23,$G$5,$G$6,T23,$C$7,$C$9,$G$4,$C$8)</f>
        <v>1491.3000592589378</v>
      </c>
    </row>
    <row r="24" spans="2:24" x14ac:dyDescent="0.35">
      <c r="B24" s="12"/>
      <c r="C24" s="57"/>
      <c r="D24" s="58"/>
      <c r="E24" s="58"/>
      <c r="G24" s="55">
        <f t="shared" si="1"/>
        <v>0.25</v>
      </c>
      <c r="H24" s="57" cm="1">
        <f t="array" ref="H24">drivePower($C$4,$C$5,G24,$C$10,$C$11)</f>
        <v>19.6038</v>
      </c>
      <c r="I24" s="74">
        <v>45</v>
      </c>
      <c r="J24" s="74">
        <f t="shared" si="2"/>
        <v>64.603800000000007</v>
      </c>
      <c r="K24" s="58" cm="1">
        <f t="array" ref="K24">maxDepthToMinSOC($L$8,$L$9,$L$6,$L$7,$L$10,$G$5,$G$6,$H24,I24,$G24,$G$4,$C$8)</f>
        <v>195.75000777840614</v>
      </c>
      <c r="L24" s="58" cm="1">
        <f t="array" ref="L24">maxDepthToMinSOC($L$8,$L$9,$L$6,$L$7,$U$18,$G$5,$G$6,drivePower($C$4,$S$18,$G24,$C$10,$C$11),I24,$G24,$G$4,$C$8)</f>
        <v>0</v>
      </c>
      <c r="M24" s="58" cm="1">
        <f t="array" ref="M24">maxDepthToMinSOC($L$8,$L$9,$L$6,$L$7,$U$22,$G$5,$G$6,drivePower($C$4,$S$22,$G24,$C$10,$C$11),I24,$G24,$G$4,$C$8)</f>
        <v>769.35003057122231</v>
      </c>
      <c r="N24" s="58" cm="1">
        <f t="array" ref="N24">maxDepthToMinSOC($L$8,$L$9,$L$6,$L$7,$U$20,$G$5,$G$6,drivePower($C$4,$S$20,$G24,$C$10,$C$11),I24,$G24,$G$4,$C$8)</f>
        <v>389.85001549124718</v>
      </c>
      <c r="O24" s="58" cm="1">
        <f t="array" ref="O24">maxDepthToMinSOC($L$8,$L$9,$L$6,$L$7,$U$21,$G$5,$G$6,drivePower($C$4,$S$21,$G24,$C$10,$C$11),I24,$G24,$G$4,$C$8)</f>
        <v>581.10002309083939</v>
      </c>
      <c r="P24" s="73"/>
      <c r="Q24" s="56">
        <f t="shared" si="5"/>
        <v>15400</v>
      </c>
      <c r="R24" s="55">
        <f t="shared" si="3"/>
        <v>0.6</v>
      </c>
      <c r="S24" s="57">
        <f t="shared" si="4"/>
        <v>10.6</v>
      </c>
      <c r="T24" s="57" cm="1">
        <f t="array" ref="T24">drivePower($C$4,S24,$C$9,$C$10,$C$11)</f>
        <v>20.720027999999999</v>
      </c>
      <c r="U24" s="56">
        <f t="shared" si="0"/>
        <v>1025.6399999999999</v>
      </c>
      <c r="V24" s="58" cm="1">
        <f t="array" ref="V24">maxDepthToMinSOC($L$8,0,$L$6,$L$7,U24,$G$5,$G$6,T24,$C$7,$C$9,$G$4,$C$8)</f>
        <v>2348.4000933170319</v>
      </c>
      <c r="W24" s="58" cm="1">
        <f t="array" ref="W24">maxDepthToMinSOC($L$8,$L$9,$L$6,$L$7,U24,$G$5,$G$6,T24,$C$7,$C$9,$G$4,$C$8)</f>
        <v>1747.0500694215298</v>
      </c>
    </row>
    <row r="25" spans="2:24" x14ac:dyDescent="0.35">
      <c r="B25" s="12"/>
      <c r="C25" s="57"/>
      <c r="D25" s="58"/>
      <c r="E25" s="58"/>
      <c r="G25" s="55">
        <f t="shared" si="1"/>
        <v>0.25</v>
      </c>
      <c r="H25" s="57" cm="1">
        <f t="array" ref="H25">drivePower($C$4,$C$5,G25,$C$10,$C$11)</f>
        <v>19.6038</v>
      </c>
      <c r="I25" s="74">
        <v>47.5</v>
      </c>
      <c r="J25" s="74">
        <f t="shared" si="2"/>
        <v>67.103800000000007</v>
      </c>
      <c r="K25" s="58" cm="1">
        <f t="array" ref="K25">maxDepthToMinSOC($L$8,$L$9,$L$6,$L$7,$L$10,$G$5,$G$6,$H25,I25,$G25,$G$4,$C$8)</f>
        <v>178.2000070810318</v>
      </c>
      <c r="L25" s="58" cm="1">
        <f t="array" ref="L25">maxDepthToMinSOC($L$8,$L$9,$L$6,$L$7,$U$18,$G$5,$G$6,drivePower($C$4,$S$18,$G25,$C$10,$C$11),I25,$G25,$G$4,$C$8)</f>
        <v>0</v>
      </c>
      <c r="M25" s="58" cm="1">
        <f t="array" ref="M25">maxDepthToMinSOC($L$8,$L$9,$L$6,$L$7,$U$22,$G$5,$G$6,drivePower($C$4,$S$22,$G25,$C$10,$C$11),I25,$G25,$G$4,$C$8)</f>
        <v>731.40002906322479</v>
      </c>
      <c r="N25" s="58" cm="1">
        <f t="array" ref="N25">maxDepthToMinSOC($L$8,$L$9,$L$6,$L$7,$U$20,$G$5,$G$6,drivePower($C$4,$S$20,$G25,$C$10,$C$11),I25,$G25,$G$4,$C$8)</f>
        <v>365.250014513731</v>
      </c>
      <c r="O25" s="58" cm="1">
        <f t="array" ref="O25">maxDepthToMinSOC($L$8,$L$9,$L$6,$L$7,$U$21,$G$5,$G$6,drivePower($C$4,$S$21,$G25,$C$10,$C$11),I25,$G25,$G$4,$C$8)</f>
        <v>549.60002183914185</v>
      </c>
      <c r="P25" s="73"/>
      <c r="Q25" s="56">
        <f t="shared" si="5"/>
        <v>17600</v>
      </c>
      <c r="R25" s="55">
        <f t="shared" si="3"/>
        <v>0.72</v>
      </c>
      <c r="S25" s="57">
        <f t="shared" si="4"/>
        <v>10.72</v>
      </c>
      <c r="T25" s="57" cm="1">
        <f t="array" ref="T25">drivePower($C$4,S25,$C$9,$C$10,$C$11)</f>
        <v>20.943273600000001</v>
      </c>
      <c r="U25" s="56">
        <f t="shared" si="0"/>
        <v>1172.1600000000001</v>
      </c>
      <c r="V25" s="58" cm="1">
        <f t="array" ref="V25">maxDepthToMinSOC($L$8,0,$L$6,$L$7,U25,$G$5,$G$6,T25,$C$7,$C$9,$G$4,$C$8)</f>
        <v>2672.5501061975956</v>
      </c>
      <c r="W25" s="58" cm="1">
        <f t="array" ref="W25">maxDepthToMinSOC($L$8,$L$9,$L$6,$L$7,U25,$G$5,$G$6,T25,$C$7,$C$9,$G$4,$C$8)</f>
        <v>1997.2500793635845</v>
      </c>
    </row>
    <row r="26" spans="2:24" x14ac:dyDescent="0.35">
      <c r="B26" s="12"/>
      <c r="C26" s="57"/>
      <c r="D26" s="58"/>
      <c r="E26" s="58"/>
      <c r="G26" s="55">
        <f t="shared" si="1"/>
        <v>0.25</v>
      </c>
      <c r="H26" s="57" cm="1">
        <f t="array" ref="H26">drivePower($C$4,$C$5,G26,$C$10,$C$11)</f>
        <v>19.6038</v>
      </c>
      <c r="I26" s="74">
        <v>50</v>
      </c>
      <c r="J26" s="74">
        <f t="shared" si="2"/>
        <v>69.603800000000007</v>
      </c>
      <c r="K26" s="58" cm="1">
        <f t="array" ref="K26">maxDepthToMinSOC($L$8,$L$9,$L$6,$L$7,$L$10,$G$5,$G$6,$H26,I26,$G26,$G$4,$C$8)</f>
        <v>161.70000642538071</v>
      </c>
      <c r="L26" s="58" cm="1">
        <f t="array" ref="L26">maxDepthToMinSOC($L$8,$L$9,$L$6,$L$7,$U$18,$G$5,$G$6,drivePower($C$4,$S$18,$G26,$C$10,$C$11),I26,$G26,$G$4,$C$8)</f>
        <v>0</v>
      </c>
      <c r="M26" s="58" cm="1">
        <f t="array" ref="M26">maxDepthToMinSOC($L$8,$L$9,$L$6,$L$7,$U$22,$G$5,$G$6,drivePower($C$4,$S$22,$G26,$C$10,$C$11),I26,$G26,$G$4,$C$8)</f>
        <v>696.00002765655518</v>
      </c>
      <c r="N26" s="58" cm="1">
        <f t="array" ref="N26">maxDepthToMinSOC($L$8,$L$9,$L$6,$L$7,$U$20,$G$5,$G$6,drivePower($C$4,$S$20,$G26,$C$10,$C$11),I26,$G26,$G$4,$C$8)</f>
        <v>342.30001360177994</v>
      </c>
      <c r="O26" s="58" cm="1">
        <f t="array" ref="O26">maxDepthToMinSOC($L$8,$L$9,$L$6,$L$7,$U$21,$G$5,$G$6,drivePower($C$4,$S$21,$G26,$C$10,$C$11),I26,$G26,$G$4,$C$8)</f>
        <v>520.50002068281174</v>
      </c>
      <c r="P26" s="73"/>
      <c r="Q26" s="56">
        <f t="shared" si="5"/>
        <v>19800</v>
      </c>
      <c r="R26" s="55">
        <f t="shared" si="3"/>
        <v>0.84</v>
      </c>
      <c r="S26" s="57">
        <f t="shared" si="4"/>
        <v>10.84</v>
      </c>
      <c r="T26" s="57" cm="1">
        <f t="array" ref="T26">drivePower($C$4,S26,$C$9,$C$10,$C$11)</f>
        <v>21.1665192</v>
      </c>
      <c r="U26" s="56">
        <f t="shared" si="0"/>
        <v>1318.68</v>
      </c>
      <c r="V26" s="58" cm="1">
        <f t="array" ref="V26">maxDepthToMinSOC($L$8,0,$L$6,$L$7,U26,$G$5,$G$6,T26,$C$7,$C$9,$G$4,$C$8)</f>
        <v>2988.9001187682152</v>
      </c>
      <c r="W26" s="58" cm="1">
        <f t="array" ref="W26">maxDepthToMinSOC($L$8,$L$9,$L$6,$L$7,U26,$G$5,$G$6,T26,$C$7,$C$9,$G$4,$C$8)</f>
        <v>2242.5000891089439</v>
      </c>
    </row>
    <row r="27" spans="2:24" x14ac:dyDescent="0.35">
      <c r="B27" s="12"/>
      <c r="C27" s="57"/>
      <c r="D27" s="58"/>
      <c r="E27" s="58"/>
      <c r="G27" s="55">
        <f t="shared" si="1"/>
        <v>0.25</v>
      </c>
      <c r="H27" s="57" cm="1">
        <f t="array" ref="H27">drivePower($C$4,$C$5,G27,$C$10,$C$11)</f>
        <v>19.6038</v>
      </c>
      <c r="I27" s="74">
        <v>52.5</v>
      </c>
      <c r="J27" s="74">
        <f t="shared" si="2"/>
        <v>72.103800000000007</v>
      </c>
      <c r="K27" s="58" cm="1">
        <f t="array" ref="K27">maxDepthToMinSOC($L$8,$L$9,$L$6,$L$7,$L$10,$G$5,$G$6,$H27,I27,$G27,$G$4,$C$8)</f>
        <v>146.55000582337379</v>
      </c>
      <c r="L27" s="58" cm="1">
        <f t="array" ref="L27">maxDepthToMinSOC($L$8,$L$9,$L$6,$L$7,$U$18,$G$5,$G$6,drivePower($C$4,$S$18,$G27,$C$10,$C$11),I27,$G27,$G$4,$C$8)</f>
        <v>0</v>
      </c>
      <c r="M27" s="58" cm="1">
        <f t="array" ref="M27">maxDepthToMinSOC($L$8,$L$9,$L$6,$L$7,$U$22,$G$5,$G$6,drivePower($C$4,$S$22,$G27,$C$10,$C$11),I27,$G27,$G$4,$C$8)</f>
        <v>663.15002635121346</v>
      </c>
      <c r="N27" s="58" cm="1">
        <f t="array" ref="N27">maxDepthToMinSOC($L$8,$L$9,$L$6,$L$7,$U$20,$G$5,$G$6,drivePower($C$4,$S$20,$G27,$C$10,$C$11),I27,$G27,$G$4,$C$8)</f>
        <v>321.00001275539398</v>
      </c>
      <c r="O27" s="58" cm="1">
        <f t="array" ref="O27">maxDepthToMinSOC($L$8,$L$9,$L$6,$L$7,$U$21,$G$5,$G$6,drivePower($C$4,$S$21,$G27,$C$10,$C$11),I27,$G27,$G$4,$C$8)</f>
        <v>493.2000195980072</v>
      </c>
      <c r="P27" s="7"/>
    </row>
    <row r="28" spans="2:24" x14ac:dyDescent="0.35">
      <c r="B28" s="12"/>
      <c r="C28" s="57"/>
      <c r="D28" s="58"/>
      <c r="E28" s="58"/>
      <c r="G28" s="55">
        <f t="shared" si="1"/>
        <v>0.25</v>
      </c>
      <c r="H28" s="57" cm="1">
        <f t="array" ref="H28">drivePower($C$4,$C$5,G28,$C$10,$C$11)</f>
        <v>19.6038</v>
      </c>
      <c r="I28" s="74">
        <v>55</v>
      </c>
      <c r="J28" s="74">
        <f t="shared" si="2"/>
        <v>74.603800000000007</v>
      </c>
      <c r="K28" s="58" cm="1">
        <f t="array" ref="K28">maxDepthToMinSOC($L$8,$L$9,$L$6,$L$7,$L$10,$G$5,$G$6,$H28,I28,$G28,$G$4,$C$8)</f>
        <v>132.30000525712967</v>
      </c>
      <c r="L28" s="58" cm="1">
        <f t="array" ref="L28">maxDepthToMinSOC($L$8,$L$9,$L$6,$L$7,$U$18,$G$5,$G$6,drivePower($C$4,$S$18,$G28,$C$10,$C$11),I28,$G28,$G$4,$C$8)</f>
        <v>0</v>
      </c>
      <c r="M28" s="58" cm="1">
        <f t="array" ref="M28">maxDepthToMinSOC($L$8,$L$9,$L$6,$L$7,$U$22,$G$5,$G$6,drivePower($C$4,$S$22,$G28,$C$10,$C$11),I28,$G28,$G$4,$C$8)</f>
        <v>632.25002512335777</v>
      </c>
      <c r="N28" s="58" cm="1">
        <f t="array" ref="N28">maxDepthToMinSOC($L$8,$L$9,$L$6,$L$7,$U$20,$G$5,$G$6,drivePower($C$4,$S$20,$G28,$C$10,$C$11),I28,$G28,$G$4,$C$8)</f>
        <v>301.20001196861267</v>
      </c>
      <c r="O28" s="58" cm="1">
        <f t="array" ref="O28">maxDepthToMinSOC($L$8,$L$9,$L$6,$L$7,$U$21,$G$5,$G$6,drivePower($C$4,$S$21,$G28,$C$10,$C$11),I28,$G28,$G$4,$C$8)</f>
        <v>467.85001859068871</v>
      </c>
      <c r="P28" s="7"/>
    </row>
    <row r="29" spans="2:24" x14ac:dyDescent="0.35">
      <c r="B29" s="12"/>
      <c r="C29" s="57"/>
      <c r="D29" s="58"/>
      <c r="E29" s="58"/>
      <c r="G29" s="55">
        <f t="shared" si="1"/>
        <v>0.25</v>
      </c>
      <c r="H29" s="57" cm="1">
        <f t="array" ref="H29">drivePower($C$4,$C$5,G29,$C$10,$C$11)</f>
        <v>19.6038</v>
      </c>
      <c r="I29" s="74">
        <v>57.5</v>
      </c>
      <c r="J29" s="74">
        <f t="shared" si="2"/>
        <v>77.103800000000007</v>
      </c>
      <c r="K29" s="58" cm="1">
        <f t="array" ref="K29">maxDepthToMinSOC($L$8,$L$9,$L$6,$L$7,$L$10,$G$5,$G$6,$H29,I29,$G29,$G$4,$C$8)</f>
        <v>118.95000472664833</v>
      </c>
      <c r="L29" s="58" cm="1">
        <f t="array" ref="L29">maxDepthToMinSOC($L$8,$L$9,$L$6,$L$7,$U$18,$G$5,$G$6,drivePower($C$4,$S$18,$G29,$C$10,$C$11),I29,$G29,$G$4,$C$8)</f>
        <v>0</v>
      </c>
      <c r="M29" s="58" cm="1">
        <f t="array" ref="M29">maxDepthToMinSOC($L$8,$L$9,$L$6,$L$7,$U$22,$G$5,$G$6,drivePower($C$4,$S$22,$G29,$C$10,$C$11),I29,$G29,$G$4,$C$8)</f>
        <v>603.45002397894859</v>
      </c>
      <c r="N29" s="58" cm="1">
        <f t="array" ref="N29">maxDepthToMinSOC($L$8,$L$9,$L$6,$L$7,$U$20,$G$5,$G$6,drivePower($C$4,$S$20,$G29,$C$10,$C$11),I29,$G29,$G$4,$C$8)</f>
        <v>282.45001122355461</v>
      </c>
      <c r="O29" s="58" cm="1">
        <f t="array" ref="O29">maxDepthToMinSOC($L$8,$L$9,$L$6,$L$7,$U$21,$G$5,$G$6,drivePower($C$4,$S$21,$G29,$C$10,$C$11),I29,$G29,$G$4,$C$8)</f>
        <v>444.00001764297485</v>
      </c>
      <c r="P29" s="7"/>
    </row>
    <row r="30" spans="2:24" x14ac:dyDescent="0.35">
      <c r="B30" s="12"/>
      <c r="C30" s="57"/>
      <c r="D30" s="58"/>
      <c r="E30" s="58"/>
      <c r="G30" s="55">
        <f t="shared" si="1"/>
        <v>0.25</v>
      </c>
      <c r="H30" s="57" cm="1">
        <f t="array" ref="H30">drivePower($C$4,$C$5,G30,$C$10,$C$11)</f>
        <v>19.6038</v>
      </c>
      <c r="I30" s="74">
        <v>60</v>
      </c>
      <c r="J30" s="74">
        <f t="shared" si="2"/>
        <v>79.603800000000007</v>
      </c>
      <c r="K30" s="58" cm="1">
        <f t="array" ref="K30">maxDepthToMinSOC($L$8,$L$9,$L$6,$L$7,$L$10,$G$5,$G$6,$H30,I30,$G30,$G$4,$C$8)</f>
        <v>106.50000423192978</v>
      </c>
      <c r="L30" s="58" cm="1">
        <f t="array" ref="L30">maxDepthToMinSOC($L$8,$L$9,$L$6,$L$7,$U$18,$G$5,$G$6,drivePower($C$4,$S$18,$G30,$C$10,$C$11),I30,$G30,$G$4,$C$8)</f>
        <v>0</v>
      </c>
      <c r="M30" s="58" cm="1">
        <f t="array" ref="M30">maxDepthToMinSOC($L$8,$L$9,$L$6,$L$7,$U$22,$G$5,$G$6,drivePower($C$4,$S$22,$G30,$C$10,$C$11),I30,$G30,$G$4,$C$8)</f>
        <v>576.30002290010452</v>
      </c>
      <c r="N30" s="58" cm="1">
        <f t="array" ref="N30">maxDepthToMinSOC($L$8,$L$9,$L$6,$L$7,$U$20,$G$5,$G$6,drivePower($C$4,$S$20,$G30,$C$10,$C$11),I30,$G30,$G$4,$C$8)</f>
        <v>265.05001053214073</v>
      </c>
      <c r="O30" s="58" cm="1">
        <f t="array" ref="O30">maxDepthToMinSOC($L$8,$L$9,$L$6,$L$7,$U$21,$G$5,$G$6,drivePower($C$4,$S$21,$G30,$C$10,$C$11),I30,$G30,$G$4,$C$8)</f>
        <v>421.65001675486565</v>
      </c>
      <c r="P30" s="7"/>
    </row>
    <row r="31" spans="2:24" x14ac:dyDescent="0.35">
      <c r="B31" s="12"/>
      <c r="C31" s="57"/>
      <c r="D31" s="58"/>
      <c r="E31" s="58"/>
      <c r="G31" s="55">
        <f t="shared" si="1"/>
        <v>0.25</v>
      </c>
      <c r="H31" s="57" cm="1">
        <f t="array" ref="H31">drivePower($C$4,$C$5,G31,$C$10,$C$11)</f>
        <v>19.6038</v>
      </c>
      <c r="I31" s="74">
        <v>62.5</v>
      </c>
      <c r="J31" s="74">
        <f t="shared" si="2"/>
        <v>82.103800000000007</v>
      </c>
      <c r="K31" s="58" cm="1">
        <f t="array" ref="K31">maxDepthToMinSOC($L$8,$L$9,$L$6,$L$7,$L$10,$G$5,$G$6,$H31,I31,$G31,$G$4,$C$8)</f>
        <v>94.80000376701355</v>
      </c>
      <c r="L31" s="58" cm="1">
        <f t="array" ref="L31">maxDepthToMinSOC($L$8,$L$9,$L$6,$L$7,$U$18,$G$5,$G$6,drivePower($C$4,$S$18,$G31,$C$10,$C$11),I31,$G31,$G$4,$C$8)</f>
        <v>0</v>
      </c>
      <c r="M31" s="58" cm="1">
        <f t="array" ref="M31">maxDepthToMinSOC($L$8,$L$9,$L$6,$L$7,$U$22,$G$5,$G$6,drivePower($C$4,$S$22,$G31,$C$10,$C$11),I31,$G31,$G$4,$C$8)</f>
        <v>550.80002188682556</v>
      </c>
      <c r="N31" s="58" cm="1">
        <f t="array" ref="N31">maxDepthToMinSOC($L$8,$L$9,$L$6,$L$7,$U$20,$G$5,$G$6,drivePower($C$4,$S$20,$G31,$C$10,$C$11),I31,$G31,$G$4,$C$8)</f>
        <v>248.55000987648964</v>
      </c>
      <c r="O31" s="58" cm="1">
        <f t="array" ref="O31">maxDepthToMinSOC($L$8,$L$9,$L$6,$L$7,$U$21,$G$5,$G$6,drivePower($C$4,$S$21,$G31,$C$10,$C$11),I31,$G31,$G$4,$C$8)</f>
        <v>400.65001592040062</v>
      </c>
      <c r="P31" s="7"/>
    </row>
    <row r="32" spans="2:24" ht="15" thickBot="1" x14ac:dyDescent="0.4">
      <c r="B32" s="12"/>
      <c r="C32" s="57"/>
      <c r="D32" s="58"/>
      <c r="E32" s="58"/>
    </row>
    <row r="33" spans="2:33" x14ac:dyDescent="0.35">
      <c r="B33" s="12"/>
      <c r="C33" s="57"/>
      <c r="D33" s="58"/>
      <c r="E33" s="58"/>
      <c r="R33" s="65" t="s">
        <v>85</v>
      </c>
      <c r="S33" s="66"/>
      <c r="T33" s="66"/>
      <c r="U33" s="66"/>
      <c r="V33" s="66"/>
      <c r="W33" s="66"/>
      <c r="X33" s="4"/>
      <c r="Y33" s="4"/>
      <c r="Z33" s="4"/>
      <c r="AC33" s="60" t="s">
        <v>87</v>
      </c>
      <c r="AD33" s="61"/>
      <c r="AE33" s="62"/>
      <c r="AF33" s="4"/>
    </row>
    <row r="34" spans="2:33" x14ac:dyDescent="0.35">
      <c r="B34" s="12"/>
      <c r="C34" s="57"/>
      <c r="D34" s="58"/>
      <c r="E34" s="58"/>
      <c r="R34" s="3"/>
      <c r="S34" s="3"/>
      <c r="T34" s="3"/>
      <c r="U34" s="3"/>
      <c r="V34" s="23"/>
      <c r="W34" s="67"/>
      <c r="AC34" s="3"/>
      <c r="AD34" s="3"/>
      <c r="AE34" s="3"/>
      <c r="AF34" s="67"/>
      <c r="AG34" s="39"/>
    </row>
    <row r="35" spans="2:33" ht="58" x14ac:dyDescent="0.35">
      <c r="B35" s="12"/>
      <c r="C35" s="57"/>
      <c r="D35" s="58"/>
      <c r="E35" s="58"/>
      <c r="G35" s="25"/>
      <c r="H35" s="25"/>
      <c r="I35" s="68"/>
      <c r="J35" s="68"/>
      <c r="K35" s="68"/>
      <c r="L35" s="68"/>
      <c r="M35" s="68"/>
      <c r="R35" s="25" t="s">
        <v>86</v>
      </c>
      <c r="S35" s="25" t="s">
        <v>95</v>
      </c>
      <c r="T35" s="25" t="s">
        <v>127</v>
      </c>
      <c r="U35" s="25" t="s">
        <v>126</v>
      </c>
      <c r="V35" s="68" t="s">
        <v>128</v>
      </c>
      <c r="W35" s="68"/>
      <c r="X35" s="25" t="s">
        <v>88</v>
      </c>
      <c r="Y35" s="25" t="s">
        <v>116</v>
      </c>
      <c r="Z35" s="25" t="s">
        <v>117</v>
      </c>
      <c r="AA35" s="25" t="s">
        <v>95</v>
      </c>
      <c r="AB35" s="25" t="s">
        <v>101</v>
      </c>
      <c r="AC35" s="25" t="s">
        <v>82</v>
      </c>
      <c r="AD35" s="54" t="s">
        <v>83</v>
      </c>
    </row>
    <row r="36" spans="2:33" x14ac:dyDescent="0.35">
      <c r="G36" s="55"/>
      <c r="H36" s="7"/>
      <c r="I36" s="59"/>
      <c r="J36" s="59"/>
      <c r="K36" s="59"/>
      <c r="L36" s="59"/>
      <c r="M36" s="59"/>
      <c r="N36" s="4"/>
      <c r="O36" s="4"/>
      <c r="P36" s="4"/>
      <c r="Q36" s="4"/>
      <c r="R36" s="55">
        <v>0.35</v>
      </c>
      <c r="S36" s="57" cm="1">
        <f t="array" ref="S36">drivePower($C$4,$C$5,R36,$C$10,$C$11)</f>
        <v>27.445319999999995</v>
      </c>
      <c r="T36" s="74">
        <v>22.5</v>
      </c>
      <c r="U36" s="74">
        <f t="shared" ref="U36:U49" si="6">S36+T36</f>
        <v>49.945319999999995</v>
      </c>
      <c r="V36" s="58" cm="1">
        <f t="array" ref="V36">maxDepthToMinSOC($L$8,$L$9,$L$6,$L$7,$L$10,$G$5,$G$6,$S36,T36,$R36,$G$4,$C$8)</f>
        <v>523.80002081394196</v>
      </c>
      <c r="W36" s="73"/>
      <c r="X36" s="56">
        <v>2200</v>
      </c>
      <c r="Y36" s="55">
        <f t="shared" ref="Y36:Y44" si="7">(X36-4400)*(5*0.048)/4400</f>
        <v>-0.12</v>
      </c>
      <c r="Z36" s="57">
        <f t="shared" ref="Z36:Z44" si="8">$C$5+Y36</f>
        <v>9.8800000000000008</v>
      </c>
      <c r="AA36" s="57" cm="1">
        <f t="array" ref="AA36">drivePower($C$4,Z36,$C$9,$C$10,$C$11)</f>
        <v>19.380554400000001</v>
      </c>
      <c r="AB36" s="56">
        <f t="shared" ref="AB36:AB44" si="9">X36*3.6/1000*$L$4</f>
        <v>146.52000000000001</v>
      </c>
      <c r="AC36" s="58" cm="1">
        <f t="array" ref="AC36">maxDepthToMinSOC($L$8,0,$L$6,$L$7,AB36,$G$5,$G$6,AA36,$C$7,$C$9,$G$4,$C$8)</f>
        <v>223.05000886321068</v>
      </c>
      <c r="AD36" s="58" cm="1">
        <f t="array" ref="AD36">maxDepthToMinSOC($L$8,$L$9,$L$6,$L$7,AB36,$G$5,$G$6,AA36,$C$7,$C$9,$G$4,$C$8)</f>
        <v>127.05000504851341</v>
      </c>
    </row>
    <row r="37" spans="2:33" x14ac:dyDescent="0.35">
      <c r="G37" s="55"/>
      <c r="H37" s="7"/>
      <c r="I37" s="59"/>
      <c r="J37" s="59"/>
      <c r="K37" s="59"/>
      <c r="L37" s="59"/>
      <c r="M37" s="59"/>
      <c r="R37" s="55">
        <v>0.35</v>
      </c>
      <c r="S37" s="57" cm="1">
        <f t="array" ref="S37">drivePower($C$4,$C$5,R37,$C$10,$C$11)</f>
        <v>27.445319999999995</v>
      </c>
      <c r="T37" s="74">
        <v>25</v>
      </c>
      <c r="U37" s="74">
        <f t="shared" si="6"/>
        <v>52.445319999999995</v>
      </c>
      <c r="V37" s="58" cm="1">
        <f t="array" ref="V37">maxDepthToMinSOC($L$8,$L$9,$L$6,$L$7,$L$10,$G$5,$G$6,$S37,T37,$R37,$G$4,$C$8)</f>
        <v>480.60001909732819</v>
      </c>
      <c r="W37" s="73"/>
      <c r="X37" s="56">
        <v>4400</v>
      </c>
      <c r="Y37" s="55">
        <f t="shared" si="7"/>
        <v>0</v>
      </c>
      <c r="Z37" s="57">
        <f t="shared" si="8"/>
        <v>10</v>
      </c>
      <c r="AA37" s="57" cm="1">
        <f t="array" ref="AA37">drivePower($C$4,Z37,$C$9,$C$10,$C$11)</f>
        <v>19.6038</v>
      </c>
      <c r="AB37" s="56">
        <f t="shared" si="9"/>
        <v>293.04000000000002</v>
      </c>
      <c r="AC37" s="58" cm="1">
        <f t="array" ref="AC37">maxDepthToMinSOC($L$8,0,$L$6,$L$7,AB37,$G$5,$G$6,AA37,$C$7,$C$9,$G$4,$C$8)</f>
        <v>600.4500238597393</v>
      </c>
      <c r="AD37" s="58" cm="1">
        <f t="array" ref="AD37">maxDepthToMinSOC($L$8,$L$9,$L$6,$L$7,AB37,$G$5,$G$6,AA37,$C$7,$C$9,$G$4,$C$8)</f>
        <v>412.05001637339592</v>
      </c>
    </row>
    <row r="38" spans="2:33" x14ac:dyDescent="0.35">
      <c r="G38" s="55"/>
      <c r="H38" s="7"/>
      <c r="I38" s="59"/>
      <c r="J38" s="59"/>
      <c r="K38" s="59"/>
      <c r="L38" s="59"/>
      <c r="M38" s="59"/>
      <c r="N38" s="6"/>
      <c r="O38" s="6"/>
      <c r="P38" s="6"/>
      <c r="Q38" s="6"/>
      <c r="R38" s="55">
        <v>0.35</v>
      </c>
      <c r="S38" s="57" cm="1">
        <f t="array" ref="S38">drivePower($C$4,$C$5,R38,$C$10,$C$11)</f>
        <v>27.445319999999995</v>
      </c>
      <c r="T38" s="74">
        <v>27.5</v>
      </c>
      <c r="U38" s="74">
        <f t="shared" si="6"/>
        <v>54.945319999999995</v>
      </c>
      <c r="V38" s="58" cm="1">
        <f t="array" ref="V38">maxDepthToMinSOC($L$8,$L$9,$L$6,$L$7,$L$10,$G$5,$G$6,$S38,T38,$R38,$G$4,$C$8)</f>
        <v>441.45001754164696</v>
      </c>
      <c r="W38" s="73"/>
      <c r="X38" s="56">
        <v>6600</v>
      </c>
      <c r="Y38" s="55">
        <f t="shared" si="7"/>
        <v>0.12</v>
      </c>
      <c r="Z38" s="57">
        <f t="shared" si="8"/>
        <v>10.119999999999999</v>
      </c>
      <c r="AA38" s="57" cm="1">
        <f t="array" ref="AA38">drivePower($C$4,Z38,$C$9,$C$10,$C$11)</f>
        <v>19.827045599999998</v>
      </c>
      <c r="AB38" s="56">
        <f t="shared" si="9"/>
        <v>439.56</v>
      </c>
      <c r="AC38" s="58" cm="1">
        <f t="array" ref="AC38">maxDepthToMinSOC($L$8,0,$L$6,$L$7,AB38,$G$5,$G$6,AA38,$C$7,$C$9,$G$4,$C$8)</f>
        <v>968.2500384747982</v>
      </c>
      <c r="AD38" s="58" cm="1">
        <f t="array" ref="AD38">maxDepthToMinSOC($L$8,$L$9,$L$6,$L$7,AB38,$G$5,$G$6,AA38,$C$7,$C$9,$G$4,$C$8)</f>
        <v>690.75002744793892</v>
      </c>
    </row>
    <row r="39" spans="2:33" x14ac:dyDescent="0.35">
      <c r="G39" s="55"/>
      <c r="H39" s="7"/>
      <c r="I39" s="59"/>
      <c r="J39" s="59"/>
      <c r="K39" s="59"/>
      <c r="L39" s="59"/>
      <c r="M39" s="59"/>
      <c r="N39" s="50"/>
      <c r="O39" s="50"/>
      <c r="P39" s="50"/>
      <c r="Q39" s="50"/>
      <c r="R39" s="55">
        <v>0.35</v>
      </c>
      <c r="S39" s="57" cm="1">
        <f t="array" ref="S39">drivePower($C$4,$C$5,R39,$C$10,$C$11)</f>
        <v>27.445319999999995</v>
      </c>
      <c r="T39" s="74">
        <v>30</v>
      </c>
      <c r="U39" s="74">
        <f t="shared" si="6"/>
        <v>57.445319999999995</v>
      </c>
      <c r="V39" s="58" cm="1">
        <f t="array" ref="V39">maxDepthToMinSOC($L$8,$L$9,$L$6,$L$7,$L$10,$G$5,$G$6,$S39,T39,$R39,$G$4,$C$8)</f>
        <v>405.60001611709595</v>
      </c>
      <c r="W39" s="73"/>
      <c r="X39" s="56">
        <v>8800</v>
      </c>
      <c r="Y39" s="55">
        <f t="shared" si="7"/>
        <v>0.24</v>
      </c>
      <c r="Z39" s="57">
        <f t="shared" si="8"/>
        <v>10.24</v>
      </c>
      <c r="AA39" s="57" cm="1">
        <f t="array" ref="AA39">drivePower($C$4,Z39,$C$9,$C$10,$C$11)</f>
        <v>20.0502912</v>
      </c>
      <c r="AB39" s="56">
        <f t="shared" si="9"/>
        <v>586.08000000000004</v>
      </c>
      <c r="AC39" s="58" cm="1">
        <f t="array" ref="AC39">maxDepthToMinSOC($L$8,0,$L$6,$L$7,AB39,$G$5,$G$6,AA39,$C$7,$C$9,$G$4,$C$8)</f>
        <v>1326.4500527083874</v>
      </c>
      <c r="AD39" s="58" cm="1">
        <f t="array" ref="AD39">maxDepthToMinSOC($L$8,$L$9,$L$6,$L$7,AB39,$G$5,$G$6,AA39,$C$7,$C$9,$G$4,$C$8)</f>
        <v>963.45003828406334</v>
      </c>
    </row>
    <row r="40" spans="2:33" x14ac:dyDescent="0.35">
      <c r="G40" s="55"/>
      <c r="H40" s="7"/>
      <c r="I40" s="59"/>
      <c r="J40" s="59"/>
      <c r="K40" s="59"/>
      <c r="L40" s="59"/>
      <c r="M40" s="59"/>
      <c r="N40" s="50"/>
      <c r="O40" s="50"/>
      <c r="P40" s="50"/>
      <c r="Q40" s="50"/>
      <c r="R40" s="55">
        <v>0.35</v>
      </c>
      <c r="S40" s="57" cm="1">
        <f t="array" ref="S40">drivePower($C$4,$C$5,R40,$C$10,$C$11)</f>
        <v>27.445319999999995</v>
      </c>
      <c r="T40" s="74">
        <v>32.5</v>
      </c>
      <c r="U40" s="74">
        <f t="shared" si="6"/>
        <v>59.945319999999995</v>
      </c>
      <c r="V40" s="58" cm="1">
        <f t="array" ref="V40">maxDepthToMinSOC($L$8,$L$9,$L$6,$L$7,$L$10,$G$5,$G$6,$S40,T40,$R40,$G$4,$C$8)</f>
        <v>372.60001480579376</v>
      </c>
      <c r="W40" s="73"/>
      <c r="X40" s="56">
        <f>X39+2200</f>
        <v>11000</v>
      </c>
      <c r="Y40" s="55">
        <f t="shared" si="7"/>
        <v>0.36</v>
      </c>
      <c r="Z40" s="57">
        <f t="shared" si="8"/>
        <v>10.36</v>
      </c>
      <c r="AA40" s="57" cm="1">
        <f t="array" ref="AA40">drivePower($C$4,Z40,$C$9,$C$10,$C$11)</f>
        <v>20.273536799999999</v>
      </c>
      <c r="AB40" s="56">
        <f t="shared" si="9"/>
        <v>732.6</v>
      </c>
      <c r="AC40" s="58" cm="1">
        <f t="array" ref="AC40">maxDepthToMinSOC($L$8,0,$L$6,$L$7,AB40,$G$5,$G$6,AA40,$C$7,$C$9,$G$4,$C$8)</f>
        <v>1675.6500665843487</v>
      </c>
      <c r="AD40" s="58" cm="1">
        <f t="array" ref="AD40">maxDepthToMinSOC($L$8,$L$9,$L$6,$L$7,AB40,$G$5,$G$6,AA40,$C$7,$C$9,$G$4,$C$8)</f>
        <v>1230.1500488817692</v>
      </c>
    </row>
    <row r="41" spans="2:33" x14ac:dyDescent="0.35">
      <c r="G41" s="55"/>
      <c r="H41" s="7"/>
      <c r="I41" s="59"/>
      <c r="J41" s="59"/>
      <c r="K41" s="59"/>
      <c r="L41" s="59"/>
      <c r="M41" s="59"/>
      <c r="N41" s="50"/>
      <c r="O41" s="50"/>
      <c r="P41" s="50"/>
      <c r="Q41" s="50"/>
      <c r="R41" s="55">
        <v>0.35</v>
      </c>
      <c r="S41" s="57" cm="1">
        <f t="array" ref="S41">drivePower($C$4,$C$5,R41,$C$10,$C$11)</f>
        <v>27.445319999999995</v>
      </c>
      <c r="T41" s="74">
        <v>35</v>
      </c>
      <c r="U41" s="74">
        <f t="shared" si="6"/>
        <v>62.445319999999995</v>
      </c>
      <c r="V41" s="58" cm="1">
        <f t="array" ref="V41">maxDepthToMinSOC($L$8,$L$9,$L$6,$L$7,$L$10,$G$5,$G$6,$S41,T41,$R41,$G$4,$C$8)</f>
        <v>342.30001360177994</v>
      </c>
      <c r="W41" s="73"/>
      <c r="X41" s="56">
        <f>X40+2200</f>
        <v>13200</v>
      </c>
      <c r="Y41" s="55">
        <f t="shared" si="7"/>
        <v>0.48</v>
      </c>
      <c r="Z41" s="57">
        <f t="shared" si="8"/>
        <v>10.48</v>
      </c>
      <c r="AA41" s="57" cm="1">
        <f t="array" ref="AA41">drivePower($C$4,Z41,$C$9,$C$10,$C$11)</f>
        <v>20.496782400000001</v>
      </c>
      <c r="AB41" s="56">
        <f t="shared" si="9"/>
        <v>879.12</v>
      </c>
      <c r="AC41" s="58" cm="1">
        <f t="array" ref="AC41">maxDepthToMinSOC($L$8,0,$L$6,$L$7,AB41,$G$5,$G$6,AA41,$C$7,$C$9,$G$4,$C$8)</f>
        <v>2016.3000801205635</v>
      </c>
      <c r="AD41" s="58" cm="1">
        <f t="array" ref="AD41">maxDepthToMinSOC($L$8,$L$9,$L$6,$L$7,AB41,$G$5,$G$6,AA41,$C$7,$C$9,$G$4,$C$8)</f>
        <v>1491.3000592589378</v>
      </c>
    </row>
    <row r="42" spans="2:33" x14ac:dyDescent="0.35">
      <c r="G42" s="55"/>
      <c r="H42" s="7"/>
      <c r="I42" s="59"/>
      <c r="J42" s="59"/>
      <c r="K42" s="59"/>
      <c r="L42" s="59"/>
      <c r="M42" s="59"/>
      <c r="N42" s="50"/>
      <c r="O42" s="50"/>
      <c r="P42" s="50"/>
      <c r="Q42" s="50"/>
      <c r="R42" s="55">
        <v>0.35</v>
      </c>
      <c r="S42" s="57" cm="1">
        <f t="array" ref="S42">drivePower($C$4,$C$5,R42,$C$10,$C$11)</f>
        <v>27.445319999999995</v>
      </c>
      <c r="T42" s="74">
        <v>37.5</v>
      </c>
      <c r="U42" s="74">
        <f t="shared" si="6"/>
        <v>64.945319999999995</v>
      </c>
      <c r="V42" s="58" cm="1">
        <f t="array" ref="V42">maxDepthToMinSOC($L$8,$L$9,$L$6,$L$7,$L$10,$G$5,$G$6,$S42,T42,$R42,$G$4,$C$8)</f>
        <v>314.25001248717308</v>
      </c>
      <c r="W42" s="73"/>
      <c r="X42" s="56">
        <f>X41+2200</f>
        <v>15400</v>
      </c>
      <c r="Y42" s="55">
        <f t="shared" si="7"/>
        <v>0.6</v>
      </c>
      <c r="Z42" s="57">
        <f t="shared" si="8"/>
        <v>10.6</v>
      </c>
      <c r="AA42" s="57" cm="1">
        <f t="array" ref="AA42">drivePower($C$4,Z42,$C$9,$C$10,$C$11)</f>
        <v>20.720027999999999</v>
      </c>
      <c r="AB42" s="56">
        <f t="shared" si="9"/>
        <v>1025.6399999999999</v>
      </c>
      <c r="AC42" s="58" cm="1">
        <f t="array" ref="AC42">maxDepthToMinSOC($L$8,0,$L$6,$L$7,AB42,$G$5,$G$6,AA42,$C$7,$C$9,$G$4,$C$8)</f>
        <v>2348.4000933170319</v>
      </c>
      <c r="AD42" s="58" cm="1">
        <f t="array" ref="AD42">maxDepthToMinSOC($L$8,$L$9,$L$6,$L$7,AB42,$G$5,$G$6,AA42,$C$7,$C$9,$G$4,$C$8)</f>
        <v>1747.0500694215298</v>
      </c>
    </row>
    <row r="43" spans="2:33" x14ac:dyDescent="0.35">
      <c r="G43" s="55"/>
      <c r="H43" s="7"/>
      <c r="I43" s="59"/>
      <c r="J43" s="59"/>
      <c r="K43" s="59"/>
      <c r="L43" s="59"/>
      <c r="M43" s="59"/>
      <c r="N43" s="50"/>
      <c r="O43" s="50"/>
      <c r="P43" s="50"/>
      <c r="Q43" s="50"/>
      <c r="R43" s="55">
        <v>0.35</v>
      </c>
      <c r="S43" s="57" cm="1">
        <f t="array" ref="S43">drivePower($C$4,$C$5,R43,$C$10,$C$11)</f>
        <v>27.445319999999995</v>
      </c>
      <c r="T43" s="74">
        <v>40</v>
      </c>
      <c r="U43" s="74">
        <f t="shared" si="6"/>
        <v>67.445319999999995</v>
      </c>
      <c r="V43" s="58" cm="1">
        <f t="array" ref="V43">maxDepthToMinSOC($L$8,$L$9,$L$6,$L$7,$L$10,$G$5,$G$6,$S43,T43,$R43,$G$4,$C$8)</f>
        <v>288.30001145601273</v>
      </c>
      <c r="W43" s="73"/>
      <c r="X43" s="56">
        <f>X42+2200</f>
        <v>17600</v>
      </c>
      <c r="Y43" s="55">
        <f t="shared" si="7"/>
        <v>0.72</v>
      </c>
      <c r="Z43" s="57">
        <f t="shared" si="8"/>
        <v>10.72</v>
      </c>
      <c r="AA43" s="57" cm="1">
        <f t="array" ref="AA43">drivePower($C$4,Z43,$C$9,$C$10,$C$11)</f>
        <v>20.943273600000001</v>
      </c>
      <c r="AB43" s="56">
        <f t="shared" si="9"/>
        <v>1172.1600000000001</v>
      </c>
      <c r="AC43" s="58" cm="1">
        <f t="array" ref="AC43">maxDepthToMinSOC($L$8,0,$L$6,$L$7,AB43,$G$5,$G$6,AA43,$C$7,$C$9,$G$4,$C$8)</f>
        <v>2672.5501061975956</v>
      </c>
      <c r="AD43" s="58" cm="1">
        <f t="array" ref="AD43">maxDepthToMinSOC($L$8,$L$9,$L$6,$L$7,AB43,$G$5,$G$6,AA43,$C$7,$C$9,$G$4,$C$8)</f>
        <v>1997.2500793635845</v>
      </c>
    </row>
    <row r="44" spans="2:33" x14ac:dyDescent="0.35">
      <c r="G44" s="55"/>
      <c r="H44" s="7"/>
      <c r="I44" s="59"/>
      <c r="J44" s="59"/>
      <c r="K44" s="59"/>
      <c r="L44" s="59"/>
      <c r="M44" s="59"/>
      <c r="N44" s="50"/>
      <c r="O44" s="50"/>
      <c r="P44" s="50"/>
      <c r="Q44" s="50"/>
      <c r="R44" s="55">
        <v>0.35</v>
      </c>
      <c r="S44" s="57" cm="1">
        <f t="array" ref="S44">drivePower($C$4,$C$5,R44,$C$10,$C$11)</f>
        <v>27.445319999999995</v>
      </c>
      <c r="T44" s="74">
        <v>42.5</v>
      </c>
      <c r="U44" s="74">
        <f t="shared" si="6"/>
        <v>69.945319999999995</v>
      </c>
      <c r="V44" s="58" cm="1">
        <f t="array" ref="V44">maxDepthToMinSOC($L$8,$L$9,$L$6,$L$7,$L$10,$G$5,$G$6,$S44,T44,$R44,$G$4,$C$8)</f>
        <v>264.30001050233841</v>
      </c>
      <c r="W44" s="73"/>
      <c r="X44" s="56">
        <f>X43+2200</f>
        <v>19800</v>
      </c>
      <c r="Y44" s="55">
        <f t="shared" si="7"/>
        <v>0.84</v>
      </c>
      <c r="Z44" s="57">
        <f t="shared" si="8"/>
        <v>10.84</v>
      </c>
      <c r="AA44" s="57" cm="1">
        <f t="array" ref="AA44">drivePower($C$4,Z44,$C$9,$C$10,$C$11)</f>
        <v>21.1665192</v>
      </c>
      <c r="AB44" s="56">
        <f t="shared" si="9"/>
        <v>1318.68</v>
      </c>
      <c r="AC44" s="58" cm="1">
        <f t="array" ref="AC44">maxDepthToMinSOC($L$8,0,$L$6,$L$7,AB44,$G$5,$G$6,AA44,$C$7,$C$9,$G$4,$C$8)</f>
        <v>2988.9001187682152</v>
      </c>
      <c r="AD44" s="58" cm="1">
        <f t="array" ref="AD44">maxDepthToMinSOC($L$8,$L$9,$L$6,$L$7,AB44,$G$5,$G$6,AA44,$C$7,$C$9,$G$4,$C$8)</f>
        <v>2242.5000891089439</v>
      </c>
    </row>
    <row r="45" spans="2:33" x14ac:dyDescent="0.35">
      <c r="G45" s="55"/>
      <c r="H45" s="7"/>
      <c r="I45" s="59"/>
      <c r="J45" s="59"/>
      <c r="K45" s="59"/>
      <c r="L45" s="59"/>
      <c r="M45" s="59"/>
      <c r="N45" s="50"/>
      <c r="O45" s="50"/>
      <c r="P45" s="50"/>
      <c r="Q45" s="50"/>
      <c r="R45" s="55">
        <v>0.35</v>
      </c>
      <c r="S45" s="57" cm="1">
        <f t="array" ref="S45">drivePower($C$4,$C$5,R45,$C$10,$C$11)</f>
        <v>27.445319999999995</v>
      </c>
      <c r="T45" s="74">
        <v>45</v>
      </c>
      <c r="U45" s="74">
        <f t="shared" si="6"/>
        <v>72.445319999999995</v>
      </c>
      <c r="V45" s="58" cm="1">
        <f t="array" ref="V45">maxDepthToMinSOC($L$8,$L$9,$L$6,$L$7,$L$10,$G$5,$G$6,$S45,T45,$R45,$G$4,$C$8)</f>
        <v>241.80000960826874</v>
      </c>
      <c r="W45" s="7"/>
    </row>
    <row r="46" spans="2:33" x14ac:dyDescent="0.35">
      <c r="G46" s="55"/>
      <c r="H46" s="7"/>
      <c r="I46" s="59"/>
      <c r="J46" s="59"/>
      <c r="K46" s="59"/>
      <c r="L46" s="59"/>
      <c r="M46" s="59"/>
      <c r="N46" s="50"/>
      <c r="O46" s="50"/>
      <c r="P46" s="50"/>
      <c r="Q46" s="50"/>
      <c r="R46" s="55">
        <v>0.35</v>
      </c>
      <c r="S46" s="57" cm="1">
        <f t="array" ref="S46">drivePower($C$4,$C$5,R46,$C$10,$C$11)</f>
        <v>27.445319999999995</v>
      </c>
      <c r="T46" s="74">
        <v>47.5</v>
      </c>
      <c r="U46" s="74">
        <f t="shared" si="6"/>
        <v>74.945319999999995</v>
      </c>
      <c r="V46" s="58" cm="1">
        <f t="array" ref="V46">maxDepthToMinSOC($L$8,$L$9,$L$6,$L$7,$L$10,$G$5,$G$6,$S46,T46,$R46,$G$4,$C$8)</f>
        <v>220.80000877380371</v>
      </c>
      <c r="W46" s="7"/>
    </row>
    <row r="47" spans="2:33" x14ac:dyDescent="0.35">
      <c r="G47" s="55"/>
      <c r="H47" s="7"/>
      <c r="I47" s="59"/>
      <c r="J47" s="59"/>
      <c r="K47" s="59"/>
      <c r="L47" s="59"/>
      <c r="M47" s="59"/>
      <c r="N47" s="50"/>
      <c r="O47" s="50"/>
      <c r="P47" s="50"/>
      <c r="Q47" s="50"/>
      <c r="R47" s="55">
        <v>0.35</v>
      </c>
      <c r="S47" s="57" cm="1">
        <f t="array" ref="S47">drivePower($C$4,$C$5,R47,$C$10,$C$11)</f>
        <v>27.445319999999995</v>
      </c>
      <c r="T47" s="74">
        <v>50</v>
      </c>
      <c r="U47" s="74">
        <f t="shared" si="6"/>
        <v>77.445319999999995</v>
      </c>
      <c r="V47" s="58" cm="1">
        <f t="array" ref="V47">maxDepthToMinSOC($L$8,$L$9,$L$6,$L$7,$L$10,$G$5,$G$6,$S47,T47,$R47,$G$4,$C$8)</f>
        <v>201.15000799298286</v>
      </c>
      <c r="W47" s="7"/>
    </row>
    <row r="48" spans="2:33" x14ac:dyDescent="0.35">
      <c r="G48" s="55"/>
      <c r="H48" s="7"/>
      <c r="I48" s="59"/>
      <c r="J48" s="59"/>
      <c r="K48" s="59"/>
      <c r="L48" s="59"/>
      <c r="M48" s="59"/>
      <c r="N48" s="50"/>
      <c r="O48" s="50"/>
      <c r="P48" s="50"/>
      <c r="Q48" s="50"/>
      <c r="R48" s="55">
        <v>0.35</v>
      </c>
      <c r="S48" s="57" cm="1">
        <f t="array" ref="S48">drivePower($C$4,$C$5,R48,$C$10,$C$11)</f>
        <v>27.445319999999995</v>
      </c>
      <c r="T48" s="74">
        <v>52.5</v>
      </c>
      <c r="U48" s="74">
        <f t="shared" si="6"/>
        <v>79.945319999999995</v>
      </c>
      <c r="V48" s="58" cm="1">
        <f t="array" ref="V48">maxDepthToMinSOC($L$8,$L$9,$L$6,$L$7,$L$10,$G$5,$G$6,$S48,T48,$R48,$G$4,$C$8)</f>
        <v>182.70000725984573</v>
      </c>
      <c r="W48" s="7"/>
    </row>
    <row r="49" spans="7:33" x14ac:dyDescent="0.35">
      <c r="G49" s="55"/>
      <c r="H49" s="7"/>
      <c r="I49" s="59"/>
      <c r="J49" s="59"/>
      <c r="K49" s="59"/>
      <c r="L49" s="59"/>
      <c r="M49" s="59"/>
      <c r="N49" s="50"/>
      <c r="O49" s="50"/>
      <c r="P49" s="50"/>
      <c r="Q49" s="50"/>
      <c r="R49" s="55">
        <v>0.35</v>
      </c>
      <c r="S49" s="57" cm="1">
        <f t="array" ref="S49">drivePower($C$4,$C$5,R49,$C$10,$C$11)</f>
        <v>27.445319999999995</v>
      </c>
      <c r="T49" s="74">
        <v>55</v>
      </c>
      <c r="U49" s="74">
        <f t="shared" si="6"/>
        <v>82.445319999999995</v>
      </c>
      <c r="V49" s="58" cm="1">
        <f t="array" ref="V49">maxDepthToMinSOC($L$8,$L$9,$L$6,$L$7,$L$10,$G$5,$G$6,$S49,T49,$R49,$G$4,$C$8)</f>
        <v>165.45000657439232</v>
      </c>
      <c r="W49" s="7"/>
    </row>
    <row r="50" spans="7:33" x14ac:dyDescent="0.35">
      <c r="G50" s="55"/>
      <c r="H50" s="7"/>
      <c r="I50" s="59"/>
      <c r="J50" s="59"/>
      <c r="K50" s="59"/>
      <c r="L50" s="59"/>
      <c r="M50" s="59"/>
      <c r="N50" s="50"/>
      <c r="O50" s="50"/>
      <c r="P50" s="50"/>
      <c r="Q50" s="50"/>
    </row>
    <row r="51" spans="7:33" x14ac:dyDescent="0.35">
      <c r="G51" s="55"/>
      <c r="H51" s="7"/>
      <c r="I51" s="59"/>
      <c r="J51" s="59"/>
      <c r="K51" s="59"/>
      <c r="L51" s="59"/>
      <c r="M51" s="59"/>
      <c r="N51" s="50"/>
      <c r="O51" s="50"/>
      <c r="P51" s="50"/>
      <c r="Q51" s="50"/>
    </row>
    <row r="52" spans="7:33" ht="15" thickBot="1" x14ac:dyDescent="0.4">
      <c r="G52" s="55"/>
      <c r="H52" s="7"/>
      <c r="I52" s="59"/>
      <c r="J52" s="59"/>
      <c r="K52" s="59"/>
      <c r="L52" s="59"/>
      <c r="M52" s="59"/>
      <c r="N52" s="50"/>
      <c r="O52" s="50"/>
      <c r="P52" s="50"/>
      <c r="Q52" s="50"/>
    </row>
    <row r="53" spans="7:33" x14ac:dyDescent="0.35">
      <c r="G53" s="55"/>
      <c r="H53" s="7"/>
      <c r="I53" s="59"/>
      <c r="J53" s="59"/>
      <c r="K53" s="59"/>
      <c r="L53" s="59"/>
      <c r="M53" s="59"/>
      <c r="R53" s="65" t="s">
        <v>85</v>
      </c>
      <c r="S53" s="66"/>
      <c r="T53" s="66"/>
      <c r="U53" s="66"/>
      <c r="V53" s="66"/>
      <c r="W53" s="66"/>
      <c r="X53" s="4"/>
      <c r="Y53" s="4"/>
      <c r="Z53" s="4"/>
      <c r="AC53" s="60" t="s">
        <v>87</v>
      </c>
      <c r="AD53" s="61"/>
      <c r="AE53" s="62"/>
      <c r="AF53" s="4"/>
    </row>
    <row r="54" spans="7:33" x14ac:dyDescent="0.35">
      <c r="G54" s="55"/>
      <c r="H54" s="7"/>
      <c r="I54" s="59"/>
      <c r="J54" s="59"/>
      <c r="K54" s="59"/>
      <c r="L54" s="59"/>
      <c r="M54" s="59"/>
      <c r="R54" s="3"/>
      <c r="S54" s="3"/>
      <c r="T54" s="3"/>
      <c r="U54" s="3"/>
      <c r="V54" s="23"/>
      <c r="W54" s="67"/>
      <c r="AC54" s="3"/>
      <c r="AD54" s="3"/>
      <c r="AE54" s="3"/>
      <c r="AF54" s="67"/>
      <c r="AG54" s="39"/>
    </row>
    <row r="55" spans="7:33" ht="58" x14ac:dyDescent="0.35">
      <c r="G55" s="55"/>
      <c r="H55" s="7"/>
      <c r="I55" s="59"/>
      <c r="J55" s="59"/>
      <c r="K55" s="59"/>
      <c r="L55" s="59"/>
      <c r="M55" s="59"/>
      <c r="R55" s="25" t="s">
        <v>86</v>
      </c>
      <c r="S55" s="25" t="s">
        <v>95</v>
      </c>
      <c r="T55" s="25" t="s">
        <v>127</v>
      </c>
      <c r="U55" s="25" t="s">
        <v>126</v>
      </c>
      <c r="V55" s="68" t="s">
        <v>128</v>
      </c>
      <c r="W55" s="68"/>
      <c r="X55" s="25" t="s">
        <v>88</v>
      </c>
      <c r="Y55" s="25" t="s">
        <v>116</v>
      </c>
      <c r="Z55" s="25" t="s">
        <v>117</v>
      </c>
      <c r="AA55" s="25" t="s">
        <v>95</v>
      </c>
      <c r="AB55" s="25" t="s">
        <v>101</v>
      </c>
      <c r="AC55" s="25" t="s">
        <v>82</v>
      </c>
      <c r="AD55" s="54" t="s">
        <v>83</v>
      </c>
    </row>
    <row r="56" spans="7:33" x14ac:dyDescent="0.35">
      <c r="G56" s="55"/>
      <c r="H56" s="7"/>
      <c r="I56" s="59"/>
      <c r="J56" s="59"/>
      <c r="K56" s="59"/>
      <c r="L56" s="59"/>
      <c r="M56" s="59"/>
      <c r="R56" s="55">
        <v>0.5</v>
      </c>
      <c r="S56" s="57" cm="1">
        <f t="array" ref="S56">drivePower($C$4,$C$5,R56,$C$10,$C$11)</f>
        <v>39.207599999999999</v>
      </c>
      <c r="T56" s="74">
        <v>10</v>
      </c>
      <c r="U56" s="74">
        <f t="shared" ref="U56:U69" si="10">S56+T56</f>
        <v>49.207599999999999</v>
      </c>
      <c r="V56" s="58" cm="1">
        <f t="array" ref="V56">maxDepthToMinSOC($L$8,$L$9,$L$6,$L$7,$L$10,$G$5,$G$6,$S56,T56,$R56,$G$4,$C$8)</f>
        <v>887.55003526806831</v>
      </c>
      <c r="W56" s="73"/>
      <c r="X56" s="56">
        <v>2200</v>
      </c>
      <c r="Y56" s="55">
        <f t="shared" ref="Y56:Y64" si="11">(X56-4400)*(5*0.048)/4400</f>
        <v>-0.12</v>
      </c>
      <c r="Z56" s="57">
        <f t="shared" ref="Z56:Z64" si="12">$C$5+Y56</f>
        <v>9.8800000000000008</v>
      </c>
      <c r="AA56" s="57" cm="1">
        <f t="array" ref="AA56">drivePower($C$4,Z56,$C$9,$C$10,$C$11)</f>
        <v>19.380554400000001</v>
      </c>
      <c r="AB56" s="56">
        <f t="shared" ref="AB56:AB64" si="13">X56*3.6/1000*$L$4</f>
        <v>146.52000000000001</v>
      </c>
      <c r="AC56" s="58" cm="1">
        <f t="array" ref="AC56">maxDepthToMinSOC($L$8,0,$L$6,$L$7,AB56,$G$5,$G$6,AA56,$C$7,$C$9,$G$4,$C$8)</f>
        <v>223.05000886321068</v>
      </c>
      <c r="AD56" s="58" cm="1">
        <f t="array" ref="AD56">maxDepthToMinSOC($L$8,$L$9,$L$6,$L$7,AB56,$G$5,$G$6,AA56,$C$7,$C$9,$G$4,$C$8)</f>
        <v>127.05000504851341</v>
      </c>
    </row>
    <row r="57" spans="7:33" x14ac:dyDescent="0.35">
      <c r="G57" s="55"/>
      <c r="H57" s="7"/>
      <c r="I57" s="59"/>
      <c r="J57" s="59"/>
      <c r="K57" s="59"/>
      <c r="L57" s="59"/>
      <c r="M57" s="59"/>
      <c r="R57" s="55">
        <v>0.5</v>
      </c>
      <c r="S57" s="57" cm="1">
        <f t="array" ref="S57">drivePower($C$4,$C$5,R57,$C$10,$C$11)</f>
        <v>39.207599999999999</v>
      </c>
      <c r="T57" s="74">
        <v>12.5</v>
      </c>
      <c r="U57" s="74">
        <f t="shared" si="10"/>
        <v>51.707599999999999</v>
      </c>
      <c r="V57" s="58" cm="1">
        <f t="array" ref="V57">maxDepthToMinSOC($L$8,$L$9,$L$6,$L$7,$L$10,$G$5,$G$6,$S57,T57,$R57,$G$4,$C$8)</f>
        <v>818.85003253817558</v>
      </c>
      <c r="W57" s="73"/>
      <c r="X57" s="56">
        <v>4400</v>
      </c>
      <c r="Y57" s="55">
        <f t="shared" si="11"/>
        <v>0</v>
      </c>
      <c r="Z57" s="57">
        <f t="shared" si="12"/>
        <v>10</v>
      </c>
      <c r="AA57" s="57" cm="1">
        <f t="array" ref="AA57">drivePower($C$4,Z57,$C$9,$C$10,$C$11)</f>
        <v>19.6038</v>
      </c>
      <c r="AB57" s="56">
        <f t="shared" si="13"/>
        <v>293.04000000000002</v>
      </c>
      <c r="AC57" s="58" cm="1">
        <f t="array" ref="AC57">maxDepthToMinSOC($L$8,0,$L$6,$L$7,AB57,$G$5,$G$6,AA57,$C$7,$C$9,$G$4,$C$8)</f>
        <v>600.4500238597393</v>
      </c>
      <c r="AD57" s="58" cm="1">
        <f t="array" ref="AD57">maxDepthToMinSOC($L$8,$L$9,$L$6,$L$7,AB57,$G$5,$G$6,AA57,$C$7,$C$9,$G$4,$C$8)</f>
        <v>412.05001637339592</v>
      </c>
    </row>
    <row r="58" spans="7:33" x14ac:dyDescent="0.35">
      <c r="G58" s="55"/>
      <c r="H58" s="7"/>
      <c r="I58" s="59"/>
      <c r="J58" s="59"/>
      <c r="K58" s="59"/>
      <c r="L58" s="59"/>
      <c r="M58" s="59"/>
      <c r="R58" s="55">
        <v>0.5</v>
      </c>
      <c r="S58" s="57" cm="1">
        <f t="array" ref="S58">drivePower($C$4,$C$5,R58,$C$10,$C$11)</f>
        <v>39.207599999999999</v>
      </c>
      <c r="T58" s="74">
        <v>15</v>
      </c>
      <c r="U58" s="74">
        <f t="shared" si="10"/>
        <v>54.207599999999999</v>
      </c>
      <c r="V58" s="58" cm="1">
        <f t="array" ref="V58">maxDepthToMinSOC($L$8,$L$9,$L$6,$L$7,$L$10,$G$5,$G$6,$S58,T58,$R58,$G$4,$C$8)</f>
        <v>756.45003005862236</v>
      </c>
      <c r="W58" s="73"/>
      <c r="X58" s="56">
        <v>6600</v>
      </c>
      <c r="Y58" s="55">
        <f t="shared" si="11"/>
        <v>0.12</v>
      </c>
      <c r="Z58" s="57">
        <f t="shared" si="12"/>
        <v>10.119999999999999</v>
      </c>
      <c r="AA58" s="57" cm="1">
        <f t="array" ref="AA58">drivePower($C$4,Z58,$C$9,$C$10,$C$11)</f>
        <v>19.827045599999998</v>
      </c>
      <c r="AB58" s="56">
        <f t="shared" si="13"/>
        <v>439.56</v>
      </c>
      <c r="AC58" s="58" cm="1">
        <f t="array" ref="AC58">maxDepthToMinSOC($L$8,0,$L$6,$L$7,AB58,$G$5,$G$6,AA58,$C$7,$C$9,$G$4,$C$8)</f>
        <v>968.2500384747982</v>
      </c>
      <c r="AD58" s="58" cm="1">
        <f t="array" ref="AD58">maxDepthToMinSOC($L$8,$L$9,$L$6,$L$7,AB58,$G$5,$G$6,AA58,$C$7,$C$9,$G$4,$C$8)</f>
        <v>690.75002744793892</v>
      </c>
    </row>
    <row r="59" spans="7:33" x14ac:dyDescent="0.35">
      <c r="R59" s="55">
        <v>0.5</v>
      </c>
      <c r="S59" s="57" cm="1">
        <f t="array" ref="S59">drivePower($C$4,$C$5,R59,$C$10,$C$11)</f>
        <v>39.207599999999999</v>
      </c>
      <c r="T59" s="74">
        <v>17.5</v>
      </c>
      <c r="U59" s="74">
        <f t="shared" si="10"/>
        <v>56.707599999999999</v>
      </c>
      <c r="V59" s="58" cm="1">
        <f t="array" ref="V59">maxDepthToMinSOC($L$8,$L$9,$L$6,$L$7,$L$10,$G$5,$G$6,$S59,T59,$R59,$G$4,$C$8)</f>
        <v>699.30002778768539</v>
      </c>
      <c r="W59" s="73"/>
      <c r="X59" s="56">
        <v>8800</v>
      </c>
      <c r="Y59" s="55">
        <f t="shared" si="11"/>
        <v>0.24</v>
      </c>
      <c r="Z59" s="57">
        <f t="shared" si="12"/>
        <v>10.24</v>
      </c>
      <c r="AA59" s="57" cm="1">
        <f t="array" ref="AA59">drivePower($C$4,Z59,$C$9,$C$10,$C$11)</f>
        <v>20.0502912</v>
      </c>
      <c r="AB59" s="56">
        <f t="shared" si="13"/>
        <v>586.08000000000004</v>
      </c>
      <c r="AC59" s="58" cm="1">
        <f t="array" ref="AC59">maxDepthToMinSOC($L$8,0,$L$6,$L$7,AB59,$G$5,$G$6,AA59,$C$7,$C$9,$G$4,$C$8)</f>
        <v>1326.4500527083874</v>
      </c>
      <c r="AD59" s="58" cm="1">
        <f t="array" ref="AD59">maxDepthToMinSOC($L$8,$L$9,$L$6,$L$7,AB59,$G$5,$G$6,AA59,$C$7,$C$9,$G$4,$C$8)</f>
        <v>963.45003828406334</v>
      </c>
    </row>
    <row r="60" spans="7:33" x14ac:dyDescent="0.35">
      <c r="R60" s="55">
        <v>0.5</v>
      </c>
      <c r="S60" s="57" cm="1">
        <f t="array" ref="S60">drivePower($C$4,$C$5,R60,$C$10,$C$11)</f>
        <v>39.207599999999999</v>
      </c>
      <c r="T60" s="74">
        <v>20</v>
      </c>
      <c r="U60" s="74">
        <f t="shared" si="10"/>
        <v>59.207599999999999</v>
      </c>
      <c r="V60" s="58" cm="1">
        <f t="array" ref="V60">maxDepthToMinSOC($L$8,$L$9,$L$6,$L$7,$L$10,$G$5,$G$6,$S60,T60,$R60,$G$4,$C$8)</f>
        <v>647.10002571344376</v>
      </c>
      <c r="W60" s="73"/>
      <c r="X60" s="56">
        <f>X59+2200</f>
        <v>11000</v>
      </c>
      <c r="Y60" s="55">
        <f t="shared" si="11"/>
        <v>0.36</v>
      </c>
      <c r="Z60" s="57">
        <f t="shared" si="12"/>
        <v>10.36</v>
      </c>
      <c r="AA60" s="57" cm="1">
        <f t="array" ref="AA60">drivePower($C$4,Z60,$C$9,$C$10,$C$11)</f>
        <v>20.273536799999999</v>
      </c>
      <c r="AB60" s="56">
        <f t="shared" si="13"/>
        <v>732.6</v>
      </c>
      <c r="AC60" s="58" cm="1">
        <f t="array" ref="AC60">maxDepthToMinSOC($L$8,0,$L$6,$L$7,AB60,$G$5,$G$6,AA60,$C$7,$C$9,$G$4,$C$8)</f>
        <v>1675.6500665843487</v>
      </c>
      <c r="AD60" s="58" cm="1">
        <f t="array" ref="AD60">maxDepthToMinSOC($L$8,$L$9,$L$6,$L$7,AB60,$G$5,$G$6,AA60,$C$7,$C$9,$G$4,$C$8)</f>
        <v>1230.1500488817692</v>
      </c>
    </row>
    <row r="61" spans="7:33" x14ac:dyDescent="0.35">
      <c r="R61" s="55">
        <v>0.5</v>
      </c>
      <c r="S61" s="57" cm="1">
        <f t="array" ref="S61">drivePower($C$4,$C$5,R61,$C$10,$C$11)</f>
        <v>39.207599999999999</v>
      </c>
      <c r="T61" s="74">
        <v>22.5</v>
      </c>
      <c r="U61" s="74">
        <f t="shared" si="10"/>
        <v>61.707599999999999</v>
      </c>
      <c r="V61" s="58" cm="1">
        <f t="array" ref="V61">maxDepthToMinSOC($L$8,$L$9,$L$6,$L$7,$L$10,$G$5,$G$6,$S61,T61,$R61,$G$4,$C$8)</f>
        <v>598.95002380013466</v>
      </c>
      <c r="W61" s="73"/>
      <c r="X61" s="56">
        <f>X60+2200</f>
        <v>13200</v>
      </c>
      <c r="Y61" s="55">
        <f t="shared" si="11"/>
        <v>0.48</v>
      </c>
      <c r="Z61" s="57">
        <f t="shared" si="12"/>
        <v>10.48</v>
      </c>
      <c r="AA61" s="57" cm="1">
        <f t="array" ref="AA61">drivePower($C$4,Z61,$C$9,$C$10,$C$11)</f>
        <v>20.496782400000001</v>
      </c>
      <c r="AB61" s="56">
        <f t="shared" si="13"/>
        <v>879.12</v>
      </c>
      <c r="AC61" s="58" cm="1">
        <f t="array" ref="AC61">maxDepthToMinSOC($L$8,0,$L$6,$L$7,AB61,$G$5,$G$6,AA61,$C$7,$C$9,$G$4,$C$8)</f>
        <v>2016.3000801205635</v>
      </c>
      <c r="AD61" s="58" cm="1">
        <f t="array" ref="AD61">maxDepthToMinSOC($L$8,$L$9,$L$6,$L$7,AB61,$G$5,$G$6,AA61,$C$7,$C$9,$G$4,$C$8)</f>
        <v>1491.3000592589378</v>
      </c>
    </row>
    <row r="62" spans="7:33" x14ac:dyDescent="0.35">
      <c r="R62" s="55">
        <v>0.5</v>
      </c>
      <c r="S62" s="57" cm="1">
        <f t="array" ref="S62">drivePower($C$4,$C$5,R62,$C$10,$C$11)</f>
        <v>39.207599999999999</v>
      </c>
      <c r="T62" s="74">
        <v>25</v>
      </c>
      <c r="U62" s="74">
        <f t="shared" si="10"/>
        <v>64.207599999999999</v>
      </c>
      <c r="V62" s="58" cm="1">
        <f t="array" ref="V62">maxDepthToMinSOC($L$8,$L$9,$L$6,$L$7,$L$10,$G$5,$G$6,$S62,T62,$R62,$G$4,$C$8)</f>
        <v>554.40002202987671</v>
      </c>
      <c r="W62" s="73"/>
      <c r="X62" s="56">
        <f>X61+2200</f>
        <v>15400</v>
      </c>
      <c r="Y62" s="55">
        <f t="shared" si="11"/>
        <v>0.6</v>
      </c>
      <c r="Z62" s="57">
        <f t="shared" si="12"/>
        <v>10.6</v>
      </c>
      <c r="AA62" s="57" cm="1">
        <f t="array" ref="AA62">drivePower($C$4,Z62,$C$9,$C$10,$C$11)</f>
        <v>20.720027999999999</v>
      </c>
      <c r="AB62" s="56">
        <f t="shared" si="13"/>
        <v>1025.6399999999999</v>
      </c>
      <c r="AC62" s="58" cm="1">
        <f t="array" ref="AC62">maxDepthToMinSOC($L$8,0,$L$6,$L$7,AB62,$G$5,$G$6,AA62,$C$7,$C$9,$G$4,$C$8)</f>
        <v>2348.4000933170319</v>
      </c>
      <c r="AD62" s="58" cm="1">
        <f t="array" ref="AD62">maxDepthToMinSOC($L$8,$L$9,$L$6,$L$7,AB62,$G$5,$G$6,AA62,$C$7,$C$9,$G$4,$C$8)</f>
        <v>1747.0500694215298</v>
      </c>
    </row>
    <row r="63" spans="7:33" x14ac:dyDescent="0.35">
      <c r="R63" s="55">
        <v>0.5</v>
      </c>
      <c r="S63" s="57" cm="1">
        <f t="array" ref="S63">drivePower($C$4,$C$5,R63,$C$10,$C$11)</f>
        <v>39.207599999999999</v>
      </c>
      <c r="T63" s="74">
        <v>27.5</v>
      </c>
      <c r="U63" s="74">
        <f t="shared" si="10"/>
        <v>66.707599999999999</v>
      </c>
      <c r="V63" s="58" cm="1">
        <f t="array" ref="V63">maxDepthToMinSOC($L$8,$L$9,$L$6,$L$7,$L$10,$G$5,$G$6,$S63,T63,$R63,$G$4,$C$8)</f>
        <v>513.30002039670944</v>
      </c>
      <c r="W63" s="73"/>
      <c r="X63" s="56">
        <f>X62+2200</f>
        <v>17600</v>
      </c>
      <c r="Y63" s="55">
        <f t="shared" si="11"/>
        <v>0.72</v>
      </c>
      <c r="Z63" s="57">
        <f t="shared" si="12"/>
        <v>10.72</v>
      </c>
      <c r="AA63" s="57" cm="1">
        <f t="array" ref="AA63">drivePower($C$4,Z63,$C$9,$C$10,$C$11)</f>
        <v>20.943273600000001</v>
      </c>
      <c r="AB63" s="56">
        <f t="shared" si="13"/>
        <v>1172.1600000000001</v>
      </c>
      <c r="AC63" s="58" cm="1">
        <f t="array" ref="AC63">maxDepthToMinSOC($L$8,0,$L$6,$L$7,AB63,$G$5,$G$6,AA63,$C$7,$C$9,$G$4,$C$8)</f>
        <v>2672.5501061975956</v>
      </c>
      <c r="AD63" s="58" cm="1">
        <f t="array" ref="AD63">maxDepthToMinSOC($L$8,$L$9,$L$6,$L$7,AB63,$G$5,$G$6,AA63,$C$7,$C$9,$G$4,$C$8)</f>
        <v>1997.2500793635845</v>
      </c>
    </row>
    <row r="64" spans="7:33" x14ac:dyDescent="0.35">
      <c r="R64" s="55">
        <v>0.5</v>
      </c>
      <c r="S64" s="57" cm="1">
        <f t="array" ref="S64">drivePower($C$4,$C$5,R64,$C$10,$C$11)</f>
        <v>39.207599999999999</v>
      </c>
      <c r="T64" s="74">
        <v>30</v>
      </c>
      <c r="U64" s="74">
        <f t="shared" si="10"/>
        <v>69.207599999999999</v>
      </c>
      <c r="V64" s="58" cm="1">
        <f t="array" ref="V64">maxDepthToMinSOC($L$8,$L$9,$L$6,$L$7,$L$10,$G$5,$G$6,$S64,T64,$R64,$G$4,$C$8)</f>
        <v>475.050018876791</v>
      </c>
      <c r="W64" s="73"/>
      <c r="X64" s="56">
        <f>X63+2200</f>
        <v>19800</v>
      </c>
      <c r="Y64" s="55">
        <f t="shared" si="11"/>
        <v>0.84</v>
      </c>
      <c r="Z64" s="57">
        <f t="shared" si="12"/>
        <v>10.84</v>
      </c>
      <c r="AA64" s="57" cm="1">
        <f t="array" ref="AA64">drivePower($C$4,Z64,$C$9,$C$10,$C$11)</f>
        <v>21.1665192</v>
      </c>
      <c r="AB64" s="56">
        <f t="shared" si="13"/>
        <v>1318.68</v>
      </c>
      <c r="AC64" s="58" cm="1">
        <f t="array" ref="AC64">maxDepthToMinSOC($L$8,0,$L$6,$L$7,AB64,$G$5,$G$6,AA64,$C$7,$C$9,$G$4,$C$8)</f>
        <v>2988.9001187682152</v>
      </c>
      <c r="AD64" s="58" cm="1">
        <f t="array" ref="AD64">maxDepthToMinSOC($L$8,$L$9,$L$6,$L$7,AB64,$G$5,$G$6,AA64,$C$7,$C$9,$G$4,$C$8)</f>
        <v>2242.5000891089439</v>
      </c>
    </row>
    <row r="65" spans="18:23" x14ac:dyDescent="0.35">
      <c r="R65" s="55">
        <v>0.5</v>
      </c>
      <c r="S65" s="57" cm="1">
        <f t="array" ref="S65">drivePower($C$4,$C$5,R65,$C$10,$C$11)</f>
        <v>39.207599999999999</v>
      </c>
      <c r="T65" s="74">
        <v>32.5</v>
      </c>
      <c r="U65" s="74">
        <f t="shared" si="10"/>
        <v>71.707599999999999</v>
      </c>
      <c r="V65" s="58" cm="1">
        <f t="array" ref="V65">maxDepthToMinSOC($L$8,$L$9,$L$6,$L$7,$L$10,$G$5,$G$6,$S65,T65,$R65,$G$4,$C$8)</f>
        <v>439.35001745820045</v>
      </c>
      <c r="W65" s="7"/>
    </row>
    <row r="66" spans="18:23" x14ac:dyDescent="0.35">
      <c r="R66" s="55">
        <v>0.5</v>
      </c>
      <c r="S66" s="57" cm="1">
        <f t="array" ref="S66">drivePower($C$4,$C$5,R66,$C$10,$C$11)</f>
        <v>39.207599999999999</v>
      </c>
      <c r="T66" s="74">
        <v>35</v>
      </c>
      <c r="U66" s="74">
        <f t="shared" si="10"/>
        <v>74.207599999999999</v>
      </c>
      <c r="V66" s="58" cm="1">
        <f t="array" ref="V66">maxDepthToMinSOC($L$8,$L$9,$L$6,$L$7,$L$10,$G$5,$G$6,$S66,T66,$R66,$G$4,$C$8)</f>
        <v>406.05001613497734</v>
      </c>
      <c r="W66" s="7"/>
    </row>
    <row r="67" spans="18:23" x14ac:dyDescent="0.35">
      <c r="R67" s="55">
        <v>0.5</v>
      </c>
      <c r="S67" s="57" cm="1">
        <f t="array" ref="S67">drivePower($C$4,$C$5,R67,$C$10,$C$11)</f>
        <v>39.207599999999999</v>
      </c>
      <c r="T67" s="74">
        <v>37.5</v>
      </c>
      <c r="U67" s="74">
        <f t="shared" si="10"/>
        <v>76.707599999999999</v>
      </c>
      <c r="V67" s="58" cm="1">
        <f t="array" ref="V67">maxDepthToMinSOC($L$8,$L$9,$L$6,$L$7,$L$10,$G$5,$G$6,$S67,T67,$R67,$G$4,$C$8)</f>
        <v>375.00001490116119</v>
      </c>
      <c r="W67" s="7"/>
    </row>
    <row r="68" spans="18:23" x14ac:dyDescent="0.35">
      <c r="R68" s="55">
        <v>0.5</v>
      </c>
      <c r="S68" s="57" cm="1">
        <f t="array" ref="S68">drivePower($C$4,$C$5,R68,$C$10,$C$11)</f>
        <v>39.207599999999999</v>
      </c>
      <c r="T68" s="74">
        <v>40</v>
      </c>
      <c r="U68" s="74">
        <f t="shared" si="10"/>
        <v>79.207599999999999</v>
      </c>
      <c r="V68" s="58" cm="1">
        <f t="array" ref="V68">maxDepthToMinSOC($L$8,$L$9,$L$6,$L$7,$L$10,$G$5,$G$6,$S68,T68,$R68,$G$4,$C$8)</f>
        <v>345.75001373887062</v>
      </c>
      <c r="W68" s="7"/>
    </row>
    <row r="69" spans="18:23" x14ac:dyDescent="0.35">
      <c r="R69" s="55">
        <v>0.5</v>
      </c>
      <c r="S69" s="57" cm="1">
        <f t="array" ref="S69">drivePower($C$4,$C$5,R69,$C$10,$C$11)</f>
        <v>39.207599999999999</v>
      </c>
      <c r="T69" s="74">
        <v>42.5</v>
      </c>
      <c r="U69" s="74">
        <f t="shared" si="10"/>
        <v>81.707599999999999</v>
      </c>
      <c r="V69" s="58" cm="1">
        <f t="array" ref="V69">maxDepthToMinSOC($L$8,$L$9,$L$6,$L$7,$L$10,$G$5,$G$6,$S69,T69,$R69,$G$4,$C$8)</f>
        <v>318.45001265406609</v>
      </c>
      <c r="W69" s="7"/>
    </row>
  </sheetData>
  <mergeCells count="1">
    <mergeCell ref="B2:F2"/>
  </mergeCells>
  <conditionalFormatting sqref="C12">
    <cfRule type="cellIs" dxfId="2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C2:M22"/>
  <sheetViews>
    <sheetView workbookViewId="0">
      <selection activeCell="E10" sqref="E10"/>
    </sheetView>
  </sheetViews>
  <sheetFormatPr defaultRowHeight="14.5" x14ac:dyDescent="0.35"/>
  <cols>
    <col min="1" max="2" width="11.81640625" customWidth="1"/>
    <col min="3" max="3" width="25.7265625" customWidth="1"/>
    <col min="4" max="4" width="9.453125" customWidth="1"/>
    <col min="11" max="11" width="15" customWidth="1"/>
    <col min="13" max="13" width="12.453125" customWidth="1"/>
  </cols>
  <sheetData>
    <row r="2" spans="3:13" x14ac:dyDescent="0.35">
      <c r="J2" t="s">
        <v>136</v>
      </c>
      <c r="K2" t="s">
        <v>137</v>
      </c>
      <c r="L2" t="s">
        <v>13</v>
      </c>
      <c r="M2" t="s">
        <v>138</v>
      </c>
    </row>
    <row r="3" spans="3:13" x14ac:dyDescent="0.35">
      <c r="D3" t="s">
        <v>133</v>
      </c>
      <c r="E3" t="s">
        <v>134</v>
      </c>
      <c r="F3" t="s">
        <v>135</v>
      </c>
      <c r="J3">
        <v>1</v>
      </c>
      <c r="K3">
        <v>4400</v>
      </c>
      <c r="L3">
        <f>5*3.7</f>
        <v>18.5</v>
      </c>
      <c r="M3" s="59">
        <f>K3*L3*3.6/1000</f>
        <v>293.04000000000002</v>
      </c>
    </row>
    <row r="4" spans="3:13" x14ac:dyDescent="0.35">
      <c r="C4" t="s">
        <v>86</v>
      </c>
      <c r="D4">
        <v>0.25</v>
      </c>
      <c r="E4">
        <v>0.35</v>
      </c>
      <c r="F4">
        <v>0.5</v>
      </c>
      <c r="J4">
        <v>2</v>
      </c>
      <c r="K4">
        <v>6600</v>
      </c>
      <c r="L4">
        <f t="shared" ref="L4:L8" si="0">5*3.7</f>
        <v>18.5</v>
      </c>
      <c r="M4" s="59">
        <f t="shared" ref="M4:M8" si="1">K4*L4*3.6/1000</f>
        <v>439.56</v>
      </c>
    </row>
    <row r="5" spans="3:13" x14ac:dyDescent="0.35">
      <c r="C5" t="s">
        <v>139</v>
      </c>
      <c r="D5">
        <v>2250</v>
      </c>
      <c r="E5">
        <v>2250</v>
      </c>
      <c r="F5">
        <v>2250</v>
      </c>
      <c r="J5">
        <v>3</v>
      </c>
      <c r="K5">
        <v>8800</v>
      </c>
      <c r="L5">
        <f t="shared" si="0"/>
        <v>18.5</v>
      </c>
      <c r="M5" s="59">
        <f t="shared" si="1"/>
        <v>586.08000000000004</v>
      </c>
    </row>
    <row r="6" spans="3:13" x14ac:dyDescent="0.35">
      <c r="J6">
        <v>4</v>
      </c>
      <c r="K6">
        <v>11000</v>
      </c>
      <c r="L6">
        <f t="shared" si="0"/>
        <v>18.5</v>
      </c>
      <c r="M6" s="59">
        <f t="shared" si="1"/>
        <v>732.6</v>
      </c>
    </row>
    <row r="7" spans="3:13" x14ac:dyDescent="0.35">
      <c r="J7">
        <v>5</v>
      </c>
      <c r="K7">
        <f>K6+2200</f>
        <v>13200</v>
      </c>
      <c r="L7">
        <f t="shared" si="0"/>
        <v>18.5</v>
      </c>
      <c r="M7" s="59">
        <f t="shared" si="1"/>
        <v>879.12</v>
      </c>
    </row>
    <row r="8" spans="3:13" x14ac:dyDescent="0.35">
      <c r="J8">
        <v>6</v>
      </c>
      <c r="K8">
        <f>K7+2200</f>
        <v>15400</v>
      </c>
      <c r="L8">
        <f t="shared" si="0"/>
        <v>18.5</v>
      </c>
      <c r="M8" s="59">
        <f t="shared" si="1"/>
        <v>1025.6400000000001</v>
      </c>
    </row>
    <row r="13" spans="3:13" ht="43.5" x14ac:dyDescent="0.35">
      <c r="C13" t="s">
        <v>133</v>
      </c>
      <c r="D13" s="6" t="s">
        <v>146</v>
      </c>
      <c r="E13" s="6" t="s">
        <v>140</v>
      </c>
      <c r="F13" s="6" t="s">
        <v>141</v>
      </c>
      <c r="G13" s="6" t="s">
        <v>142</v>
      </c>
      <c r="H13" s="6" t="s">
        <v>143</v>
      </c>
      <c r="I13" s="6" t="s">
        <v>144</v>
      </c>
      <c r="J13" s="6" t="s">
        <v>145</v>
      </c>
      <c r="K13" s="6"/>
      <c r="L13" s="6"/>
    </row>
    <row r="14" spans="3:13" x14ac:dyDescent="0.35">
      <c r="D14">
        <v>50</v>
      </c>
      <c r="E14" s="59">
        <f>($M$3/D14*1000-$D$5)/2*$D$4</f>
        <v>451.35</v>
      </c>
      <c r="F14" s="59">
        <f>($M$4/$D14*1000-$D$5)/2*$D$4</f>
        <v>817.65000000000009</v>
      </c>
      <c r="G14" s="59">
        <f>($M$5/$D14*1000-$D$5)/2*$D$4</f>
        <v>1183.95</v>
      </c>
      <c r="H14" s="59">
        <f>($M$6/$D14*1000-$D$5)/2*$D$4</f>
        <v>1550.2500000000002</v>
      </c>
      <c r="I14" s="59">
        <f>($M$7/$D14*1000-$D$5)/2*$D$4</f>
        <v>1916.5500000000002</v>
      </c>
      <c r="J14" s="59">
        <f>($M$8/$D14*1000-$D$5)/2*$D$4</f>
        <v>2282.8500000000004</v>
      </c>
    </row>
    <row r="15" spans="3:13" x14ac:dyDescent="0.35">
      <c r="D15">
        <v>55</v>
      </c>
      <c r="E15" s="59">
        <f t="shared" ref="E15:E22" si="2">($M$3/D15*1000-$D$5)/2*$D$4</f>
        <v>384.75</v>
      </c>
      <c r="F15" s="59">
        <f t="shared" ref="F15:F22" si="3">($M$4/$D15*1000-$D$5)/2*$D$4</f>
        <v>717.75</v>
      </c>
      <c r="G15" s="59">
        <f t="shared" ref="G15:G22" si="4">($M$5/$D15*1000-$D$5)/2*$D$4</f>
        <v>1050.75</v>
      </c>
      <c r="H15" s="59">
        <f t="shared" ref="H15:H22" si="5">($M$6/$D15*1000-$D$5)/2*$D$4</f>
        <v>1383.75</v>
      </c>
      <c r="I15" s="59">
        <f t="shared" ref="I15:I22" si="6">($M$7/$D15*1000-$D$5)/2*$D$4</f>
        <v>1716.75</v>
      </c>
      <c r="J15" s="59">
        <f t="shared" ref="J15:J22" si="7">($M$8/$D15*1000-$D$5)/2*$D$4</f>
        <v>2049.7500000000005</v>
      </c>
    </row>
    <row r="16" spans="3:13" x14ac:dyDescent="0.35">
      <c r="D16">
        <v>60</v>
      </c>
      <c r="E16" s="59">
        <f t="shared" si="2"/>
        <v>329.25</v>
      </c>
      <c r="F16" s="59">
        <f t="shared" si="3"/>
        <v>634.5</v>
      </c>
      <c r="G16" s="59">
        <f t="shared" si="4"/>
        <v>939.75</v>
      </c>
      <c r="H16" s="59">
        <f t="shared" si="5"/>
        <v>1245</v>
      </c>
      <c r="I16" s="59">
        <f t="shared" si="6"/>
        <v>1550.25</v>
      </c>
      <c r="J16" s="59">
        <f t="shared" si="7"/>
        <v>1855.5</v>
      </c>
    </row>
    <row r="17" spans="4:10" x14ac:dyDescent="0.35">
      <c r="D17">
        <v>65</v>
      </c>
      <c r="E17" s="59">
        <f t="shared" si="2"/>
        <v>282.28846153846155</v>
      </c>
      <c r="F17" s="59">
        <f t="shared" si="3"/>
        <v>564.05769230769226</v>
      </c>
      <c r="G17" s="59">
        <f t="shared" si="4"/>
        <v>845.82692307692309</v>
      </c>
      <c r="H17" s="59">
        <f t="shared" si="5"/>
        <v>1127.5961538461538</v>
      </c>
      <c r="I17" s="59">
        <f t="shared" si="6"/>
        <v>1409.3653846153845</v>
      </c>
      <c r="J17" s="59">
        <f t="shared" si="7"/>
        <v>1691.1346153846157</v>
      </c>
    </row>
    <row r="18" spans="4:10" x14ac:dyDescent="0.35">
      <c r="D18">
        <v>70</v>
      </c>
      <c r="E18" s="59">
        <f t="shared" si="2"/>
        <v>242.03571428571433</v>
      </c>
      <c r="F18" s="59">
        <f t="shared" si="3"/>
        <v>503.67857142857144</v>
      </c>
      <c r="G18" s="59">
        <f t="shared" si="4"/>
        <v>765.32142857142867</v>
      </c>
      <c r="H18" s="59">
        <f t="shared" si="5"/>
        <v>1026.9642857142858</v>
      </c>
      <c r="I18" s="59">
        <f t="shared" si="6"/>
        <v>1288.6071428571429</v>
      </c>
      <c r="J18" s="59">
        <f t="shared" si="7"/>
        <v>1550.2500000000002</v>
      </c>
    </row>
    <row r="19" spans="4:10" x14ac:dyDescent="0.35">
      <c r="D19">
        <v>80</v>
      </c>
      <c r="E19" s="59">
        <f t="shared" si="2"/>
        <v>176.62500000000006</v>
      </c>
      <c r="F19" s="59">
        <f t="shared" si="3"/>
        <v>405.5625</v>
      </c>
      <c r="G19" s="59">
        <f t="shared" si="4"/>
        <v>634.50000000000011</v>
      </c>
      <c r="H19" s="59">
        <f t="shared" si="5"/>
        <v>863.4375</v>
      </c>
      <c r="I19" s="59">
        <f t="shared" si="6"/>
        <v>1092.375</v>
      </c>
      <c r="J19" s="59">
        <f t="shared" si="7"/>
        <v>1321.3125</v>
      </c>
    </row>
    <row r="20" spans="4:10" x14ac:dyDescent="0.35">
      <c r="D20">
        <v>90</v>
      </c>
      <c r="E20" s="59">
        <f t="shared" si="2"/>
        <v>125.75</v>
      </c>
      <c r="F20" s="59">
        <f t="shared" si="3"/>
        <v>329.25</v>
      </c>
      <c r="G20" s="59">
        <f t="shared" si="4"/>
        <v>532.75</v>
      </c>
      <c r="H20" s="59">
        <f t="shared" si="5"/>
        <v>736.25000000000011</v>
      </c>
      <c r="I20" s="59">
        <f t="shared" si="6"/>
        <v>939.75</v>
      </c>
      <c r="J20" s="59">
        <f t="shared" si="7"/>
        <v>1143.25</v>
      </c>
    </row>
    <row r="21" spans="4:10" x14ac:dyDescent="0.35">
      <c r="D21">
        <v>100</v>
      </c>
      <c r="E21" s="59">
        <f t="shared" si="2"/>
        <v>85.050000000000011</v>
      </c>
      <c r="F21" s="59">
        <f t="shared" si="3"/>
        <v>268.20000000000005</v>
      </c>
      <c r="G21" s="59">
        <f t="shared" si="4"/>
        <v>451.35</v>
      </c>
      <c r="H21" s="59">
        <f t="shared" si="5"/>
        <v>634.50000000000011</v>
      </c>
      <c r="I21" s="59">
        <f t="shared" si="6"/>
        <v>817.65000000000009</v>
      </c>
      <c r="J21" s="59">
        <f t="shared" si="7"/>
        <v>1000.8000000000002</v>
      </c>
    </row>
    <row r="22" spans="4:10" x14ac:dyDescent="0.35">
      <c r="D22">
        <v>110</v>
      </c>
      <c r="E22" s="59">
        <f t="shared" si="2"/>
        <v>51.75</v>
      </c>
      <c r="F22" s="59">
        <f t="shared" si="3"/>
        <v>218.25</v>
      </c>
      <c r="G22" s="59">
        <f t="shared" si="4"/>
        <v>384.75</v>
      </c>
      <c r="H22" s="59">
        <f t="shared" si="5"/>
        <v>551.25</v>
      </c>
      <c r="I22" s="59">
        <f t="shared" si="6"/>
        <v>717.75</v>
      </c>
      <c r="J22" s="59">
        <f t="shared" si="7"/>
        <v>884.25000000000023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56"/>
  <sheetViews>
    <sheetView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91" t="s">
        <v>80</v>
      </c>
      <c r="C2" s="91"/>
      <c r="D2" s="91"/>
      <c r="E2" s="91"/>
      <c r="F2" s="91"/>
    </row>
    <row r="4" spans="2:22" x14ac:dyDescent="0.35">
      <c r="B4" s="51" t="s">
        <v>66</v>
      </c>
      <c r="C4" s="3">
        <v>3.7207599999999998</v>
      </c>
      <c r="D4" s="3" t="s">
        <v>8</v>
      </c>
      <c r="E4" s="3"/>
      <c r="F4" s="51" t="s">
        <v>71</v>
      </c>
      <c r="G4" s="3">
        <v>12</v>
      </c>
      <c r="H4" s="3" t="s">
        <v>4</v>
      </c>
      <c r="K4" s="51" t="s">
        <v>13</v>
      </c>
      <c r="L4" s="11">
        <f>3.7*5</f>
        <v>18.5</v>
      </c>
      <c r="M4" s="3" t="s">
        <v>15</v>
      </c>
    </row>
    <row r="5" spans="2:22" x14ac:dyDescent="0.35">
      <c r="B5" s="51" t="s">
        <v>93</v>
      </c>
      <c r="C5" s="3">
        <v>10</v>
      </c>
      <c r="D5" s="3" t="s">
        <v>94</v>
      </c>
      <c r="F5" s="51" t="s">
        <v>111</v>
      </c>
      <c r="G5" s="3">
        <v>0</v>
      </c>
      <c r="H5" s="3" t="s">
        <v>22</v>
      </c>
      <c r="K5" s="51" t="s">
        <v>14</v>
      </c>
      <c r="L5" s="3">
        <v>4400</v>
      </c>
      <c r="M5" s="3" t="s">
        <v>0</v>
      </c>
    </row>
    <row r="6" spans="2:22" x14ac:dyDescent="0.35">
      <c r="B6" s="52" t="s">
        <v>106</v>
      </c>
      <c r="C6" s="52">
        <f>C4*C5</f>
        <v>37.207599999999999</v>
      </c>
      <c r="D6" s="52" t="s">
        <v>105</v>
      </c>
      <c r="F6" s="51" t="s">
        <v>112</v>
      </c>
      <c r="G6" s="3">
        <v>2250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x14ac:dyDescent="0.35">
      <c r="B7" s="52" t="s">
        <v>115</v>
      </c>
      <c r="C7" s="71">
        <f>xxxxxx!C32+G9</f>
        <v>24.679160599999999</v>
      </c>
      <c r="D7" s="52" t="s">
        <v>7</v>
      </c>
      <c r="F7" s="52" t="s">
        <v>110</v>
      </c>
      <c r="G7" s="70">
        <v>22</v>
      </c>
      <c r="H7" s="52" t="s">
        <v>59</v>
      </c>
      <c r="I7" s="75"/>
      <c r="K7" s="51" t="s">
        <v>2</v>
      </c>
      <c r="L7" s="10">
        <v>0.93500000000000005</v>
      </c>
      <c r="M7" s="3" t="s">
        <v>3</v>
      </c>
    </row>
    <row r="8" spans="2:22" x14ac:dyDescent="0.35">
      <c r="B8" s="51" t="s">
        <v>10</v>
      </c>
      <c r="C8" s="3">
        <v>0.15</v>
      </c>
      <c r="D8" s="3" t="s">
        <v>5</v>
      </c>
      <c r="K8" s="51" t="s">
        <v>17</v>
      </c>
      <c r="L8" s="12">
        <v>1</v>
      </c>
      <c r="M8" s="3"/>
    </row>
    <row r="9" spans="2:22" x14ac:dyDescent="0.35">
      <c r="B9" s="51" t="s">
        <v>103</v>
      </c>
      <c r="C9" s="3">
        <v>0.25</v>
      </c>
      <c r="D9" s="3" t="s">
        <v>6</v>
      </c>
      <c r="F9" s="51" t="s">
        <v>118</v>
      </c>
      <c r="G9" s="3">
        <v>20</v>
      </c>
      <c r="H9" s="3" t="s">
        <v>59</v>
      </c>
      <c r="K9" s="51" t="s">
        <v>18</v>
      </c>
      <c r="L9" s="12">
        <v>0.25</v>
      </c>
      <c r="M9" s="3"/>
    </row>
    <row r="10" spans="2:22" x14ac:dyDescent="0.35">
      <c r="B10" s="51" t="s">
        <v>104</v>
      </c>
      <c r="C10" s="3">
        <v>4</v>
      </c>
      <c r="D10" s="3" t="s">
        <v>105</v>
      </c>
      <c r="K10" s="52" t="s">
        <v>114</v>
      </c>
      <c r="L10" s="52">
        <f>L5*3.6/1000*L4</f>
        <v>293.04000000000002</v>
      </c>
      <c r="M10" s="52" t="s">
        <v>16</v>
      </c>
    </row>
    <row r="11" spans="2:22" x14ac:dyDescent="0.35">
      <c r="B11" s="51" t="s">
        <v>64</v>
      </c>
      <c r="C11" s="12">
        <v>0.5</v>
      </c>
      <c r="D11" s="3"/>
      <c r="F11" s="52" t="s">
        <v>120</v>
      </c>
      <c r="G11" s="71">
        <f>C7+G7+C12</f>
        <v>66.282960599999996</v>
      </c>
      <c r="H11" s="52" t="s">
        <v>59</v>
      </c>
      <c r="I11" s="75"/>
      <c r="K11" s="52" t="s">
        <v>113</v>
      </c>
      <c r="L11" s="71" cm="1">
        <f t="array" ref="L11">UseableCapacity(L10,L8,L9)</f>
        <v>219.78000000000003</v>
      </c>
      <c r="M11" s="52" t="s">
        <v>16</v>
      </c>
    </row>
    <row r="12" spans="2:22" x14ac:dyDescent="0.35">
      <c r="B12" s="52" t="s">
        <v>19</v>
      </c>
      <c r="C12" s="52" cm="1">
        <f t="array" ref="C12">drivePower(C4,C5,C9,C10,C11)</f>
        <v>19.6038</v>
      </c>
      <c r="D12" s="52" t="s">
        <v>7</v>
      </c>
      <c r="F12" s="52" t="s">
        <v>119</v>
      </c>
      <c r="G12" s="71">
        <f>C12+C7</f>
        <v>44.282960599999996</v>
      </c>
      <c r="H12" s="52" t="s">
        <v>59</v>
      </c>
      <c r="I12" s="75"/>
      <c r="K12" s="52" t="s">
        <v>109</v>
      </c>
      <c r="L12" s="52">
        <f>L5*0.5</f>
        <v>2200</v>
      </c>
      <c r="M12" s="52" t="s">
        <v>107</v>
      </c>
    </row>
    <row r="13" spans="2:22" x14ac:dyDescent="0.35">
      <c r="K13" s="52" t="s">
        <v>108</v>
      </c>
      <c r="L13" s="52">
        <f>L12*L4/1000</f>
        <v>40.700000000000003</v>
      </c>
      <c r="M13" s="52" t="s">
        <v>59</v>
      </c>
      <c r="S13" t="s">
        <v>157</v>
      </c>
    </row>
    <row r="14" spans="2:22" x14ac:dyDescent="0.35">
      <c r="S14" s="7">
        <f>MAX(T18:V56)</f>
        <v>18882.900750339031</v>
      </c>
      <c r="T14" t="s">
        <v>5</v>
      </c>
    </row>
    <row r="15" spans="2:22" ht="15" thickBot="1" x14ac:dyDescent="0.4"/>
    <row r="16" spans="2:22" ht="45" customHeight="1" x14ac:dyDescent="0.35">
      <c r="G16" s="65" t="s">
        <v>147</v>
      </c>
      <c r="H16" s="66"/>
      <c r="I16" s="66"/>
      <c r="J16" s="66"/>
      <c r="P16" s="92" t="s">
        <v>154</v>
      </c>
      <c r="Q16" s="93"/>
      <c r="R16" s="83" t="s">
        <v>155</v>
      </c>
      <c r="S16" s="94" t="s">
        <v>151</v>
      </c>
      <c r="T16" s="95"/>
      <c r="U16" s="95"/>
      <c r="V16" s="96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7" t="s">
        <v>152</v>
      </c>
      <c r="Q17" s="54" t="s">
        <v>153</v>
      </c>
      <c r="R17" s="84" t="s">
        <v>156</v>
      </c>
      <c r="S17" s="77" t="s">
        <v>88</v>
      </c>
      <c r="T17" s="77" t="s">
        <v>149</v>
      </c>
      <c r="U17" s="25" t="s">
        <v>148</v>
      </c>
      <c r="V17" s="54" t="s">
        <v>150</v>
      </c>
    </row>
    <row r="18" spans="7:22" x14ac:dyDescent="0.35">
      <c r="G18" s="55">
        <f>$C$9</f>
        <v>0.25</v>
      </c>
      <c r="H18" s="57" cm="1">
        <f t="array" ref="H18">drivePower($C$4,$C$5,G18,$C$10,$C$11)</f>
        <v>19.6038</v>
      </c>
      <c r="I18" s="74">
        <f>C7</f>
        <v>24.679160599999999</v>
      </c>
      <c r="J18" s="74">
        <f>H18+I18</f>
        <v>44.282960599999996</v>
      </c>
      <c r="K18" s="56">
        <v>2200</v>
      </c>
      <c r="L18" s="55">
        <f>(K18-4400)*(5*0.048)/4400</f>
        <v>-0.12</v>
      </c>
      <c r="M18" s="57">
        <f>$C$5+L18*1.1</f>
        <v>9.8680000000000003</v>
      </c>
      <c r="N18" s="57" cm="1">
        <f t="array" ref="N18">drivePower($C$4,M18,$C$9,$C$10,$C$11)</f>
        <v>19.35822984</v>
      </c>
      <c r="O18" s="76">
        <f t="shared" ref="O18:O29" si="0">K18*3.6/1000*$L$4</f>
        <v>146.52000000000001</v>
      </c>
      <c r="P18" s="78">
        <f>$L$6*3</f>
        <v>-1.08E-4</v>
      </c>
      <c r="Q18" s="79">
        <f>$L$7*0.88</f>
        <v>0.82280000000000009</v>
      </c>
      <c r="R18" s="85">
        <v>0.15</v>
      </c>
      <c r="S18" s="82">
        <f>K18</f>
        <v>2200</v>
      </c>
      <c r="T18" s="80" cm="1">
        <f t="array" ref="T18">maxDepthToMinSOC($L$8,$L$9,$L$6,$L$7,$O18,$G$5,$G$6,drivePower($C$4,$M18,$G18,$C$10,$C$11),$I18,$G18,$G$4,$C$8)</f>
        <v>127.05000504851341</v>
      </c>
      <c r="U18" s="11" cm="1">
        <f t="array" ref="U18">maxDepthToMinSOC($L$8,$L$9,P18,Q18,$O18,$G$5,$G$6,drivePower($C$4,$M18,$G18,$C$10,$C$11),$I18,$G18,$G$4,$C$8)</f>
        <v>91.200003623962402</v>
      </c>
      <c r="V18" s="81" cm="1">
        <f t="array" ref="V18">maxDepthToMinSOC($L$8,$L$9,$L$6,$L$7,$O18*(1-R18),$G$5,$G$6,drivePower($C$4,$M18,$G18,$C$10,$C$11),$I18,$G18,$G$4,$C$8)</f>
        <v>83.700003325939178</v>
      </c>
    </row>
    <row r="19" spans="7:22" x14ac:dyDescent="0.35">
      <c r="G19" s="55">
        <f t="shared" ref="G19:G56" si="1">$C$9</f>
        <v>0.25</v>
      </c>
      <c r="H19" s="57" cm="1">
        <f t="array" ref="H19">drivePower($C$4,$C$5,G19,$C$10,$C$11)</f>
        <v>19.6038</v>
      </c>
      <c r="I19" s="74">
        <f>I18</f>
        <v>24.679160599999999</v>
      </c>
      <c r="J19" s="74">
        <f t="shared" ref="J19:J29" si="2">H19+I19</f>
        <v>44.282960599999996</v>
      </c>
      <c r="K19" s="56">
        <v>4400</v>
      </c>
      <c r="L19" s="55">
        <f t="shared" ref="L19:L29" si="3">(K19-4400)*(5*0.048)/4400</f>
        <v>0</v>
      </c>
      <c r="M19" s="57">
        <f t="shared" ref="M19" si="4">$C$5+L19</f>
        <v>10</v>
      </c>
      <c r="N19" s="57" cm="1">
        <f t="array" ref="N19">drivePower($C$4,M19,$C$9,$C$10,$C$11)</f>
        <v>19.6038</v>
      </c>
      <c r="O19" s="76">
        <f t="shared" si="0"/>
        <v>293.04000000000002</v>
      </c>
      <c r="P19" s="78">
        <f t="shared" ref="P19:P56" si="5">$L$6*3</f>
        <v>-1.08E-4</v>
      </c>
      <c r="Q19" s="79">
        <f t="shared" ref="Q19:Q56" si="6">$L$7*0.88</f>
        <v>0.82280000000000009</v>
      </c>
      <c r="R19" s="85">
        <v>0.15</v>
      </c>
      <c r="S19" s="82">
        <f t="shared" ref="S19:S56" si="7">K19</f>
        <v>4400</v>
      </c>
      <c r="T19" s="80" cm="1">
        <f t="array" ref="T19">maxDepthToMinSOC($L$8,$L$9,$L$6,$L$7,$O19,$G$5,$G$6,drivePower($C$4,$M19,$G19,$C$10,$C$11),$I19,$G19,$G$4,$C$8)</f>
        <v>412.05001637339592</v>
      </c>
      <c r="U19" s="11" cm="1">
        <f t="array" ref="U19">maxDepthToMinSOC($L$8,$L$9,P19,Q19,$O19,$G$5,$G$6,drivePower($C$4,$M19,$G19,$C$10,$C$11),$I19,$G19,$G$4,$C$8)</f>
        <v>334.95001330971718</v>
      </c>
      <c r="V19" s="81" cm="1">
        <f t="array" ref="V19">maxDepthToMinSOC($L$8,$L$9,$L$6,$L$7,$O19*(1-R19),$G$5,$G$6,drivePower($C$4,$M19,$G19,$C$10,$C$11),$I19,$G19,$G$4,$C$8)</f>
        <v>326.70001298189163</v>
      </c>
    </row>
    <row r="20" spans="7:22" x14ac:dyDescent="0.35">
      <c r="G20" s="55">
        <f t="shared" si="1"/>
        <v>0.25</v>
      </c>
      <c r="H20" s="57" cm="1">
        <f t="array" ref="H20">drivePower($C$4,$C$5,G20,$C$10,$C$11)</f>
        <v>19.6038</v>
      </c>
      <c r="I20" s="74">
        <f t="shared" ref="I20:I44" si="8">I19</f>
        <v>24.679160599999999</v>
      </c>
      <c r="J20" s="74">
        <f t="shared" si="2"/>
        <v>44.282960599999996</v>
      </c>
      <c r="K20" s="56">
        <v>6600</v>
      </c>
      <c r="L20" s="55">
        <f t="shared" si="3"/>
        <v>0.12</v>
      </c>
      <c r="M20" s="57">
        <f>$C$5+L20*1.1</f>
        <v>10.132</v>
      </c>
      <c r="N20" s="57" cm="1">
        <f t="array" ref="N20">drivePower($C$4,M20,$C$9,$C$10,$C$11)</f>
        <v>19.849370159999999</v>
      </c>
      <c r="O20" s="76">
        <f t="shared" si="0"/>
        <v>439.56</v>
      </c>
      <c r="P20" s="78">
        <f t="shared" si="5"/>
        <v>-1.08E-4</v>
      </c>
      <c r="Q20" s="79">
        <f t="shared" si="6"/>
        <v>0.82280000000000009</v>
      </c>
      <c r="R20" s="85">
        <v>0.15</v>
      </c>
      <c r="S20" s="82">
        <f t="shared" si="7"/>
        <v>6600</v>
      </c>
      <c r="T20" s="80" cm="1">
        <f t="array" ref="T20">maxDepthToMinSOC($L$8,$L$9,$L$6,$L$7,$O20,$G$5,$G$6,drivePower($C$4,$M20,$G20,$C$10,$C$11),$I20,$G20,$G$4,$C$8)</f>
        <v>690.30002743005753</v>
      </c>
      <c r="U20" s="11" cm="1">
        <f t="array" ref="U20">maxDepthToMinSOC($L$8,$L$9,P20,Q20,$O20,$G$5,$G$6,drivePower($C$4,$M20,$G20,$C$10,$C$11),$I20,$G20,$G$4,$C$8)</f>
        <v>567.75002256035805</v>
      </c>
      <c r="V20" s="81" cm="1">
        <f t="array" ref="V20">maxDepthToMinSOC($L$8,$L$9,$L$6,$L$7,$O20*(1-R20),$G$5,$G$6,drivePower($C$4,$M20,$G20,$C$10,$C$11),$I20,$G20,$G$4,$C$8)</f>
        <v>564.45002242922783</v>
      </c>
    </row>
    <row r="21" spans="7:22" x14ac:dyDescent="0.35">
      <c r="G21" s="55">
        <f t="shared" si="1"/>
        <v>0.25</v>
      </c>
      <c r="H21" s="57" cm="1">
        <f t="array" ref="H21">drivePower($C$4,$C$5,G21,$C$10,$C$11)</f>
        <v>19.6038</v>
      </c>
      <c r="I21" s="74">
        <f t="shared" si="8"/>
        <v>24.679160599999999</v>
      </c>
      <c r="J21" s="74">
        <f t="shared" si="2"/>
        <v>44.282960599999996</v>
      </c>
      <c r="K21" s="56">
        <v>8800</v>
      </c>
      <c r="L21" s="55">
        <f t="shared" si="3"/>
        <v>0.24</v>
      </c>
      <c r="M21" s="57">
        <f t="shared" ref="M21:M56" si="9">$C$5+L21*1.1</f>
        <v>10.263999999999999</v>
      </c>
      <c r="N21" s="57" cm="1">
        <f t="array" ref="N21">drivePower($C$4,M21,$C$9,$C$10,$C$11)</f>
        <v>20.094940319999999</v>
      </c>
      <c r="O21" s="76">
        <f t="shared" si="0"/>
        <v>586.08000000000004</v>
      </c>
      <c r="P21" s="78">
        <f t="shared" si="5"/>
        <v>-1.08E-4</v>
      </c>
      <c r="Q21" s="79">
        <f t="shared" si="6"/>
        <v>0.82280000000000009</v>
      </c>
      <c r="R21" s="85">
        <v>0.15</v>
      </c>
      <c r="S21" s="82">
        <f t="shared" si="7"/>
        <v>8800</v>
      </c>
      <c r="T21" s="80" cm="1">
        <f t="array" ref="T21">maxDepthToMinSOC($L$8,$L$9,$L$6,$L$7,$O21,$G$5,$G$6,drivePower($C$4,$M21,$G21,$C$10,$C$11),$I21,$G21,$G$4,$C$8)</f>
        <v>962.40003824234009</v>
      </c>
      <c r="U21" s="11" cm="1">
        <f t="array" ref="U21">maxDepthToMinSOC($L$8,$L$9,P21,Q21,$O21,$G$5,$G$6,drivePower($C$4,$M21,$G21,$C$10,$C$11),$I21,$G21,$G$4,$C$8)</f>
        <v>790.20003139972687</v>
      </c>
      <c r="V21" s="81" cm="1">
        <f t="array" ref="V21">maxDepthToMinSOC($L$8,$L$9,$L$6,$L$7,$O21*(1-R21),$G$5,$G$6,drivePower($C$4,$M21,$G21,$C$10,$C$11),$I21,$G21,$G$4,$C$8)</f>
        <v>797.2500316798687</v>
      </c>
    </row>
    <row r="22" spans="7:22" x14ac:dyDescent="0.35">
      <c r="G22" s="55">
        <f t="shared" si="1"/>
        <v>0.25</v>
      </c>
      <c r="H22" s="57" cm="1">
        <f t="array" ref="H22">drivePower($C$4,$C$5,G22,$C$10,$C$11)</f>
        <v>19.6038</v>
      </c>
      <c r="I22" s="74">
        <f t="shared" si="8"/>
        <v>24.679160599999999</v>
      </c>
      <c r="J22" s="74">
        <f t="shared" si="2"/>
        <v>44.282960599999996</v>
      </c>
      <c r="K22" s="56">
        <f>K21+2200</f>
        <v>11000</v>
      </c>
      <c r="L22" s="55">
        <f t="shared" si="3"/>
        <v>0.36</v>
      </c>
      <c r="M22" s="57">
        <f t="shared" si="9"/>
        <v>10.396000000000001</v>
      </c>
      <c r="N22" s="57" cm="1">
        <f t="array" ref="N22">drivePower($C$4,M22,$C$9,$C$10,$C$11)</f>
        <v>20.340510479999999</v>
      </c>
      <c r="O22" s="76">
        <f t="shared" si="0"/>
        <v>732.6</v>
      </c>
      <c r="P22" s="78">
        <f t="shared" si="5"/>
        <v>-1.08E-4</v>
      </c>
      <c r="Q22" s="79">
        <f t="shared" si="6"/>
        <v>0.82280000000000009</v>
      </c>
      <c r="R22" s="85">
        <v>0.15</v>
      </c>
      <c r="S22" s="82">
        <f t="shared" si="7"/>
        <v>11000</v>
      </c>
      <c r="T22" s="80" cm="1">
        <f t="array" ref="T22">maxDepthToMinSOC($L$8,$L$9,$L$6,$L$7,$O22,$G$5,$G$6,drivePower($C$4,$M22,$G22,$C$10,$C$11),$I22,$G22,$G$4,$C$8)</f>
        <v>1228.3500488102436</v>
      </c>
      <c r="U22" s="11" cm="1">
        <f t="array" ref="U22">maxDepthToMinSOC($L$8,$L$9,P22,Q22,$O22,$G$5,$G$6,drivePower($C$4,$M22,$G22,$C$10,$C$11),$I22,$G22,$G$4,$C$8)</f>
        <v>1002.9000398516655</v>
      </c>
      <c r="V22" s="81" cm="1">
        <f t="array" ref="V22">maxDepthToMinSOC($L$8,$L$9,$L$6,$L$7,$O22*(1-R22),$G$5,$G$6,drivePower($C$4,$M22,$G22,$C$10,$C$11),$I22,$G22,$G$4,$C$8)</f>
        <v>1025.4000407457352</v>
      </c>
    </row>
    <row r="23" spans="7:22" x14ac:dyDescent="0.35">
      <c r="G23" s="55">
        <f t="shared" si="1"/>
        <v>0.25</v>
      </c>
      <c r="H23" s="57" cm="1">
        <f t="array" ref="H23">drivePower($C$4,$C$5,G23,$C$10,$C$11)</f>
        <v>19.6038</v>
      </c>
      <c r="I23" s="74">
        <f t="shared" si="8"/>
        <v>24.679160599999999</v>
      </c>
      <c r="J23" s="74">
        <f t="shared" si="2"/>
        <v>44.282960599999996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10.528</v>
      </c>
      <c r="N23" s="57" cm="1">
        <f t="array" ref="N23">drivePower($C$4,M23,$C$9,$C$10,$C$11)</f>
        <v>20.586080639999999</v>
      </c>
      <c r="O23" s="76">
        <f t="shared" si="0"/>
        <v>879.12</v>
      </c>
      <c r="P23" s="78">
        <f t="shared" si="5"/>
        <v>-1.08E-4</v>
      </c>
      <c r="Q23" s="79">
        <f t="shared" si="6"/>
        <v>0.82280000000000009</v>
      </c>
      <c r="R23" s="85">
        <v>0.15</v>
      </c>
      <c r="S23" s="82">
        <f t="shared" si="7"/>
        <v>13200</v>
      </c>
      <c r="T23" s="80" cm="1">
        <f t="array" ref="T23">maxDepthToMinSOC($L$8,$L$9,$L$6,$L$7,$O23,$G$5,$G$6,drivePower($C$4,$M23,$G23,$C$10,$C$11),$I23,$G23,$G$4,$C$8)</f>
        <v>1488.450059145689</v>
      </c>
      <c r="U23" s="11" cm="1">
        <f t="array" ref="U23">maxDepthToMinSOC($L$8,$L$9,P23,Q23,$O23,$G$5,$G$6,drivePower($C$4,$M23,$G23,$C$10,$C$11),$I23,$G23,$G$4,$C$8)</f>
        <v>1206.6000479459763</v>
      </c>
      <c r="V23" s="81" cm="1">
        <f t="array" ref="V23">maxDepthToMinSOC($L$8,$L$9,$L$6,$L$7,$O23*(1-R23),$G$5,$G$6,drivePower($C$4,$M23,$G23,$C$10,$C$11),$I23,$G23,$G$4,$C$8)</f>
        <v>1248.6000496149063</v>
      </c>
    </row>
    <row r="24" spans="7:22" x14ac:dyDescent="0.35">
      <c r="G24" s="55">
        <f t="shared" si="1"/>
        <v>0.25</v>
      </c>
      <c r="H24" s="57" cm="1">
        <f t="array" ref="H24">drivePower($C$4,$C$5,G24,$C$10,$C$11)</f>
        <v>19.6038</v>
      </c>
      <c r="I24" s="74">
        <f t="shared" si="8"/>
        <v>24.679160599999999</v>
      </c>
      <c r="J24" s="74">
        <f t="shared" si="2"/>
        <v>44.282960599999996</v>
      </c>
      <c r="K24" s="56">
        <f t="shared" si="10"/>
        <v>15400</v>
      </c>
      <c r="L24" s="55">
        <f t="shared" si="3"/>
        <v>0.6</v>
      </c>
      <c r="M24" s="57">
        <f t="shared" si="9"/>
        <v>10.66</v>
      </c>
      <c r="N24" s="57" cm="1">
        <f t="array" ref="N24">drivePower($C$4,M24,$C$9,$C$10,$C$11)</f>
        <v>20.831650799999998</v>
      </c>
      <c r="O24" s="76">
        <f t="shared" si="0"/>
        <v>1025.6399999999999</v>
      </c>
      <c r="P24" s="78">
        <f t="shared" si="5"/>
        <v>-1.08E-4</v>
      </c>
      <c r="Q24" s="79">
        <f t="shared" si="6"/>
        <v>0.82280000000000009</v>
      </c>
      <c r="R24" s="85">
        <v>0.15</v>
      </c>
      <c r="S24" s="82">
        <f t="shared" si="7"/>
        <v>15400</v>
      </c>
      <c r="T24" s="80" cm="1">
        <f t="array" ref="T24">maxDepthToMinSOC($L$8,$L$9,$L$6,$L$7,$O24,$G$5,$G$6,drivePower($C$4,$M24,$G24,$C$10,$C$11),$I24,$G24,$G$4,$C$8)</f>
        <v>1742.8500692546368</v>
      </c>
      <c r="U24" s="11" cm="1">
        <f t="array" ref="U24">maxDepthToMinSOC($L$8,$L$9,P24,Q24,$O24,$G$5,$G$6,drivePower($C$4,$M24,$G24,$C$10,$C$11),$I24,$G24,$G$4,$C$8)</f>
        <v>1401.7500557005405</v>
      </c>
      <c r="V24" s="81" cm="1">
        <f t="array" ref="V24">maxDepthToMinSOC($L$8,$L$9,$L$6,$L$7,$O24*(1-R24),$G$5,$G$6,drivePower($C$4,$M24,$G24,$C$10,$C$11),$I24,$G24,$G$4,$C$8)</f>
        <v>1467.450058311224</v>
      </c>
    </row>
    <row r="25" spans="7:22" x14ac:dyDescent="0.35">
      <c r="G25" s="55">
        <f t="shared" si="1"/>
        <v>0.25</v>
      </c>
      <c r="H25" s="57" cm="1">
        <f t="array" ref="H25">drivePower($C$4,$C$5,G25,$C$10,$C$11)</f>
        <v>19.6038</v>
      </c>
      <c r="I25" s="74">
        <f t="shared" si="8"/>
        <v>24.679160599999999</v>
      </c>
      <c r="J25" s="74">
        <f t="shared" si="2"/>
        <v>44.282960599999996</v>
      </c>
      <c r="K25" s="56">
        <f t="shared" si="10"/>
        <v>17600</v>
      </c>
      <c r="L25" s="55">
        <f t="shared" si="3"/>
        <v>0.72</v>
      </c>
      <c r="M25" s="57">
        <f t="shared" si="9"/>
        <v>10.792</v>
      </c>
      <c r="N25" s="57" cm="1">
        <f t="array" ref="N25">drivePower($C$4,M25,$C$9,$C$10,$C$11)</f>
        <v>21.077220959999998</v>
      </c>
      <c r="O25" s="76">
        <f t="shared" si="0"/>
        <v>1172.1600000000001</v>
      </c>
      <c r="P25" s="78">
        <f t="shared" si="5"/>
        <v>-1.08E-4</v>
      </c>
      <c r="Q25" s="79">
        <f t="shared" si="6"/>
        <v>0.82280000000000009</v>
      </c>
      <c r="R25" s="85">
        <v>0.15</v>
      </c>
      <c r="S25" s="82">
        <f t="shared" si="7"/>
        <v>17600</v>
      </c>
      <c r="T25" s="80" cm="1">
        <f t="array" ref="T25">maxDepthToMinSOC($L$8,$L$9,$L$6,$L$7,$O25,$G$5,$G$6,drivePower($C$4,$M25,$G25,$C$10,$C$11),$I25,$G25,$G$4,$C$8)</f>
        <v>1991.7000791430473</v>
      </c>
      <c r="U25" s="11" cm="1">
        <f t="array" ref="U25">maxDepthToMinSOC($L$8,$L$9,P25,Q25,$O25,$G$5,$G$6,drivePower($C$4,$M25,$G25,$C$10,$C$11),$I25,$G25,$G$4,$C$8)</f>
        <v>1588.9500631392002</v>
      </c>
      <c r="V25" s="81" cm="1">
        <f t="array" ref="V25">maxDepthToMinSOC($L$8,$L$9,$L$6,$L$7,$O25*(1-R25),$G$5,$G$6,drivePower($C$4,$M25,$G25,$C$10,$C$11),$I25,$G25,$G$4,$C$8)</f>
        <v>1681.8000668287277</v>
      </c>
    </row>
    <row r="26" spans="7:22" x14ac:dyDescent="0.35">
      <c r="G26" s="55">
        <f t="shared" si="1"/>
        <v>0.25</v>
      </c>
      <c r="H26" s="57" cm="1">
        <f t="array" ref="H26">drivePower($C$4,$C$5,G26,$C$10,$C$11)</f>
        <v>19.6038</v>
      </c>
      <c r="I26" s="74">
        <f t="shared" si="8"/>
        <v>24.679160599999999</v>
      </c>
      <c r="J26" s="74">
        <f t="shared" si="2"/>
        <v>44.282960599999996</v>
      </c>
      <c r="K26" s="56">
        <f t="shared" si="10"/>
        <v>19800</v>
      </c>
      <c r="L26" s="55">
        <f t="shared" si="3"/>
        <v>0.84</v>
      </c>
      <c r="M26" s="57">
        <f t="shared" si="9"/>
        <v>10.923999999999999</v>
      </c>
      <c r="N26" s="57" cm="1">
        <f t="array" ref="N26">drivePower($C$4,M26,$C$9,$C$10,$C$11)</f>
        <v>21.322791119999998</v>
      </c>
      <c r="O26" s="76">
        <f t="shared" si="0"/>
        <v>1318.68</v>
      </c>
      <c r="P26" s="78">
        <f t="shared" si="5"/>
        <v>-1.08E-4</v>
      </c>
      <c r="Q26" s="79">
        <f t="shared" si="6"/>
        <v>0.82280000000000009</v>
      </c>
      <c r="R26" s="85">
        <v>0.15</v>
      </c>
      <c r="S26" s="82">
        <f t="shared" si="7"/>
        <v>19800</v>
      </c>
      <c r="T26" s="80" cm="1">
        <f t="array" ref="T26">maxDepthToMinSOC($L$8,$L$9,$L$6,$L$7,$O26,$G$5,$G$6,drivePower($C$4,$M26,$G26,$C$10,$C$11),$I26,$G26,$G$4,$C$8)</f>
        <v>2235.1500888168812</v>
      </c>
      <c r="U26" s="11" cm="1">
        <f t="array" ref="U26">maxDepthToMinSOC($L$8,$L$9,P26,Q26,$O26,$G$5,$G$6,drivePower($C$4,$M26,$G26,$C$10,$C$11),$I26,$G26,$G$4,$C$8)</f>
        <v>1768.6500702798367</v>
      </c>
      <c r="V26" s="81" cm="1">
        <f t="array" ref="V26">maxDepthToMinSOC($L$8,$L$9,$L$6,$L$7,$O26*(1-R26),$G$5,$G$6,drivePower($C$4,$M26,$G26,$C$10,$C$11),$I26,$G26,$G$4,$C$8)</f>
        <v>1891.9500751793385</v>
      </c>
    </row>
    <row r="27" spans="7:22" x14ac:dyDescent="0.35">
      <c r="G27" s="55">
        <f t="shared" si="1"/>
        <v>0.25</v>
      </c>
      <c r="H27" s="57" cm="1">
        <f t="array" ref="H27">drivePower($C$4,$C$5,G27,$C$10,$C$11)</f>
        <v>19.6038</v>
      </c>
      <c r="I27" s="74">
        <f t="shared" si="8"/>
        <v>24.679160599999999</v>
      </c>
      <c r="J27" s="74">
        <f t="shared" si="2"/>
        <v>44.282960599999996</v>
      </c>
      <c r="K27" s="56">
        <f t="shared" si="10"/>
        <v>22000</v>
      </c>
      <c r="L27" s="55">
        <f t="shared" si="3"/>
        <v>0.96</v>
      </c>
      <c r="M27" s="57">
        <f t="shared" si="9"/>
        <v>11.056000000000001</v>
      </c>
      <c r="N27" s="57" cm="1">
        <f t="array" ref="N27">drivePower($C$4,M27,$C$9,$C$10,$C$11)</f>
        <v>21.568361280000001</v>
      </c>
      <c r="O27" s="76">
        <f t="shared" si="0"/>
        <v>1465.2</v>
      </c>
      <c r="P27" s="78">
        <f t="shared" si="5"/>
        <v>-1.08E-4</v>
      </c>
      <c r="Q27" s="79">
        <f t="shared" si="6"/>
        <v>0.82280000000000009</v>
      </c>
      <c r="R27" s="85">
        <v>0.15</v>
      </c>
      <c r="S27" s="82">
        <f t="shared" si="7"/>
        <v>22000</v>
      </c>
      <c r="T27" s="80" cm="1">
        <f t="array" ref="T27">maxDepthToMinSOC($L$8,$L$9,$L$6,$L$7,$O27,$G$5,$G$6,drivePower($C$4,$M27,$G27,$C$10,$C$11),$I27,$G27,$G$4,$C$8)</f>
        <v>2473.5000982880592</v>
      </c>
      <c r="U27" s="11" cm="1">
        <f t="array" ref="U27">maxDepthToMinSOC($L$8,$L$9,P27,Q27,$O27,$G$5,$G$6,drivePower($C$4,$M27,$G27,$C$10,$C$11),$I27,$G27,$G$4,$C$8)</f>
        <v>1941.3000771403313</v>
      </c>
      <c r="V27" s="81" cm="1">
        <f t="array" ref="V27">maxDepthToMinSOC($L$8,$L$9,$L$6,$L$7,$O27*(1-R27),$G$5,$G$6,drivePower($C$4,$M27,$G27,$C$10,$C$11),$I27,$G27,$G$4,$C$8)</f>
        <v>2097.9000833630562</v>
      </c>
    </row>
    <row r="28" spans="7:22" x14ac:dyDescent="0.35">
      <c r="G28" s="55">
        <f t="shared" si="1"/>
        <v>0.25</v>
      </c>
      <c r="H28" s="57" cm="1">
        <f t="array" ref="H28">drivePower($C$4,$C$5,G28,$C$10,$C$11)</f>
        <v>19.6038</v>
      </c>
      <c r="I28" s="74">
        <f t="shared" si="8"/>
        <v>24.679160599999999</v>
      </c>
      <c r="J28" s="74">
        <f t="shared" si="2"/>
        <v>44.282960599999996</v>
      </c>
      <c r="K28" s="56">
        <f t="shared" si="10"/>
        <v>24200</v>
      </c>
      <c r="L28" s="55">
        <f t="shared" si="3"/>
        <v>1.08</v>
      </c>
      <c r="M28" s="57">
        <f t="shared" si="9"/>
        <v>11.188000000000001</v>
      </c>
      <c r="N28" s="57" cm="1">
        <f t="array" ref="N28">drivePower($C$4,M28,$C$9,$C$10,$C$11)</f>
        <v>21.813931440000001</v>
      </c>
      <c r="O28" s="76">
        <f t="shared" si="0"/>
        <v>1611.72</v>
      </c>
      <c r="P28" s="78">
        <f t="shared" si="5"/>
        <v>-1.08E-4</v>
      </c>
      <c r="Q28" s="79">
        <f t="shared" si="6"/>
        <v>0.82280000000000009</v>
      </c>
      <c r="R28" s="85">
        <v>0.15</v>
      </c>
      <c r="S28" s="82">
        <f t="shared" si="7"/>
        <v>24200</v>
      </c>
      <c r="T28" s="80" cm="1">
        <f t="array" ref="T28">maxDepthToMinSOC($L$8,$L$9,$L$6,$L$7,$O28,$G$5,$G$6,drivePower($C$4,$M28,$G28,$C$10,$C$11),$I28,$G28,$G$4,$C$8)</f>
        <v>2706.900107562542</v>
      </c>
      <c r="U28" s="11" cm="1">
        <f t="array" ref="U28">maxDepthToMinSOC($L$8,$L$9,P28,Q28,$O28,$G$5,$G$6,drivePower($C$4,$M28,$G28,$C$10,$C$11),$I28,$G28,$G$4,$C$8)</f>
        <v>2107.200083732605</v>
      </c>
      <c r="V28" s="81" cm="1">
        <f t="array" ref="V28">maxDepthToMinSOC($L$8,$L$9,$L$6,$L$7,$O28*(1-R28),$G$5,$G$6,drivePower($C$4,$M28,$G28,$C$10,$C$11),$I28,$G28,$G$4,$C$8)</f>
        <v>2299.9500913918018</v>
      </c>
    </row>
    <row r="29" spans="7:22" x14ac:dyDescent="0.35">
      <c r="G29" s="55">
        <f t="shared" si="1"/>
        <v>0.25</v>
      </c>
      <c r="H29" s="57" cm="1">
        <f t="array" ref="H29">drivePower($C$4,$C$5,G29,$C$10,$C$11)</f>
        <v>19.6038</v>
      </c>
      <c r="I29" s="74">
        <f t="shared" si="8"/>
        <v>24.679160599999999</v>
      </c>
      <c r="J29" s="74">
        <f t="shared" si="2"/>
        <v>44.282960599999996</v>
      </c>
      <c r="K29" s="56">
        <f>K28+4400</f>
        <v>28600</v>
      </c>
      <c r="L29" s="55">
        <f t="shared" si="3"/>
        <v>1.32</v>
      </c>
      <c r="M29" s="57">
        <f t="shared" si="9"/>
        <v>11.452</v>
      </c>
      <c r="N29" s="57" cm="1">
        <f t="array" ref="N29">drivePower($C$4,M29,$C$9,$C$10,$C$11)</f>
        <v>22.305071760000001</v>
      </c>
      <c r="O29" s="76">
        <f t="shared" si="0"/>
        <v>1904.76</v>
      </c>
      <c r="P29" s="78">
        <f t="shared" si="5"/>
        <v>-1.08E-4</v>
      </c>
      <c r="Q29" s="79">
        <f t="shared" si="6"/>
        <v>0.82280000000000009</v>
      </c>
      <c r="R29" s="85">
        <v>0.15</v>
      </c>
      <c r="S29" s="82">
        <f t="shared" si="7"/>
        <v>28600</v>
      </c>
      <c r="T29" s="80" cm="1">
        <f t="array" ref="T29">maxDepthToMinSOC($L$8,$L$9,$L$6,$L$7,$O29,$G$5,$G$6,drivePower($C$4,$M29,$G29,$C$10,$C$11),$I29,$G29,$G$4,$C$8)</f>
        <v>3159.1501255333424</v>
      </c>
      <c r="U29" s="11" cm="1">
        <f t="array" ref="U29">maxDepthToMinSOC($L$8,$L$9,P29,Q29,$O29,$G$5,$G$6,drivePower($C$4,$M29,$G29,$C$10,$C$11),$I29,$G29,$G$4,$C$8)</f>
        <v>2420.7000961899757</v>
      </c>
      <c r="V29" s="81" cm="1">
        <f t="array" ref="V29">maxDepthToMinSOC($L$8,$L$9,$L$6,$L$7,$O29*(1-R29),$G$5,$G$6,drivePower($C$4,$M29,$G29,$C$10,$C$11),$I29,$G29,$G$4,$C$8)</f>
        <v>2692.2001069784164</v>
      </c>
    </row>
    <row r="30" spans="7:22" x14ac:dyDescent="0.35">
      <c r="G30" s="55">
        <f t="shared" si="1"/>
        <v>0.25</v>
      </c>
      <c r="H30" s="57" cm="1">
        <f t="array" ref="H30">drivePower($C$4,$C$5,G30,$C$10,$C$11)</f>
        <v>19.6038</v>
      </c>
      <c r="I30" s="74">
        <f t="shared" si="8"/>
        <v>24.679160599999999</v>
      </c>
      <c r="J30" s="74">
        <f t="shared" ref="J30:J44" si="11">H30+I30</f>
        <v>44.282960599999996</v>
      </c>
      <c r="K30" s="56">
        <f>K29+8800</f>
        <v>37400</v>
      </c>
      <c r="L30" s="55">
        <f t="shared" ref="L30:L44" si="12">(K30-4400)*(5*0.048)/4400</f>
        <v>1.8</v>
      </c>
      <c r="M30" s="57">
        <f t="shared" si="9"/>
        <v>11.98</v>
      </c>
      <c r="N30" s="57" cm="1">
        <f t="array" ref="N30">drivePower($C$4,M30,$C$9,$C$10,$C$11)</f>
        <v>23.2873524</v>
      </c>
      <c r="O30" s="76">
        <f t="shared" ref="O30:O44" si="13">K30*3.6/1000*$L$4</f>
        <v>2490.8399999999997</v>
      </c>
      <c r="P30" s="78">
        <f t="shared" si="5"/>
        <v>-1.08E-4</v>
      </c>
      <c r="Q30" s="79">
        <f t="shared" si="6"/>
        <v>0.82280000000000009</v>
      </c>
      <c r="R30" s="85">
        <v>0.15</v>
      </c>
      <c r="S30" s="82">
        <f t="shared" si="7"/>
        <v>37400</v>
      </c>
      <c r="T30" s="80" cm="1">
        <f t="array" ref="T30">maxDepthToMinSOC($L$8,$L$9,$L$6,$L$7,$O30,$G$5,$G$6,drivePower($C$4,$M30,$G30,$C$10,$C$11),$I30,$G30,$G$4,$C$8)</f>
        <v>4009.9501593410969</v>
      </c>
      <c r="U30" s="11" cm="1">
        <f t="array" ref="U30">maxDepthToMinSOC($L$8,$L$9,P30,Q30,$O30,$G$5,$G$6,drivePower($C$4,$M30,$G30,$C$10,$C$11),$I30,$G30,$G$4,$C$8)</f>
        <v>2982.9001185297966</v>
      </c>
      <c r="V30" s="81" cm="1">
        <f t="array" ref="V30">maxDepthToMinSOC($L$8,$L$9,$L$6,$L$7,$O30*(1-R30),$G$5,$G$6,drivePower($C$4,$M30,$G30,$C$10,$C$11),$I30,$G30,$G$4,$C$8)</f>
        <v>3433.3501364290714</v>
      </c>
    </row>
    <row r="31" spans="7:22" x14ac:dyDescent="0.35">
      <c r="G31" s="55">
        <f t="shared" si="1"/>
        <v>0.25</v>
      </c>
      <c r="H31" s="57" cm="1">
        <f t="array" ref="H31">drivePower($C$4,$C$5,G31,$C$10,$C$11)</f>
        <v>19.6038</v>
      </c>
      <c r="I31" s="74">
        <f t="shared" si="8"/>
        <v>24.679160599999999</v>
      </c>
      <c r="J31" s="74">
        <f t="shared" si="11"/>
        <v>44.282960599999996</v>
      </c>
      <c r="K31" s="56">
        <f t="shared" ref="K31:K38" si="14">K30+8800</f>
        <v>46200</v>
      </c>
      <c r="L31" s="55">
        <f t="shared" si="12"/>
        <v>2.2799999999999998</v>
      </c>
      <c r="M31" s="57">
        <f t="shared" si="9"/>
        <v>12.507999999999999</v>
      </c>
      <c r="N31" s="57" cm="1">
        <f t="array" ref="N31">drivePower($C$4,M31,$C$9,$C$10,$C$11)</f>
        <v>24.269633039999999</v>
      </c>
      <c r="O31" s="76">
        <f t="shared" si="13"/>
        <v>3076.92</v>
      </c>
      <c r="P31" s="78">
        <f t="shared" si="5"/>
        <v>-1.08E-4</v>
      </c>
      <c r="Q31" s="79">
        <f t="shared" si="6"/>
        <v>0.82280000000000009</v>
      </c>
      <c r="R31" s="85">
        <v>0.15</v>
      </c>
      <c r="S31" s="82">
        <f t="shared" si="7"/>
        <v>46200</v>
      </c>
      <c r="T31" s="80" cm="1">
        <f t="array" ref="T31">maxDepthToMinSOC($L$8,$L$9,$L$6,$L$7,$O31,$G$5,$G$6,drivePower($C$4,$M31,$G31,$C$10,$C$11),$I31,$G31,$G$4,$C$8)</f>
        <v>4796.1001905798912</v>
      </c>
      <c r="U31" s="11" cm="1">
        <f t="array" ref="U31">maxDepthToMinSOC($L$8,$L$9,P31,Q31,$O31,$G$5,$G$6,drivePower($C$4,$M31,$G31,$C$10,$C$11),$I31,$G31,$G$4,$C$8)</f>
        <v>3472.3501379787922</v>
      </c>
      <c r="V31" s="81" cm="1">
        <f t="array" ref="V31">maxDepthToMinSOC($L$8,$L$9,$L$6,$L$7,$O31*(1-R31),$G$5,$G$6,drivePower($C$4,$M31,$G31,$C$10,$C$11),$I31,$G31,$G$4,$C$8)</f>
        <v>4121.8501637876034</v>
      </c>
    </row>
    <row r="32" spans="7:22" x14ac:dyDescent="0.35">
      <c r="G32" s="55">
        <f t="shared" si="1"/>
        <v>0.25</v>
      </c>
      <c r="H32" s="57" cm="1">
        <f t="array" ref="H32">drivePower($C$4,$C$5,G32,$C$10,$C$11)</f>
        <v>19.6038</v>
      </c>
      <c r="I32" s="74">
        <f t="shared" si="8"/>
        <v>24.679160599999999</v>
      </c>
      <c r="J32" s="74">
        <f t="shared" si="11"/>
        <v>44.282960599999996</v>
      </c>
      <c r="K32" s="56">
        <f t="shared" si="14"/>
        <v>55000</v>
      </c>
      <c r="L32" s="55">
        <f t="shared" si="12"/>
        <v>2.76</v>
      </c>
      <c r="M32" s="57">
        <f t="shared" si="9"/>
        <v>13.036</v>
      </c>
      <c r="N32" s="57" cm="1">
        <f t="array" ref="N32">drivePower($C$4,M32,$C$9,$C$10,$C$11)</f>
        <v>25.251913679999998</v>
      </c>
      <c r="O32" s="76">
        <f t="shared" si="13"/>
        <v>3663</v>
      </c>
      <c r="P32" s="78">
        <f t="shared" si="5"/>
        <v>-1.08E-4</v>
      </c>
      <c r="Q32" s="79">
        <f t="shared" si="6"/>
        <v>0.82280000000000009</v>
      </c>
      <c r="R32" s="85">
        <v>0.15</v>
      </c>
      <c r="S32" s="82">
        <f t="shared" si="7"/>
        <v>55000</v>
      </c>
      <c r="T32" s="80" cm="1">
        <f t="array" ref="T32">maxDepthToMinSOC($L$8,$L$9,$L$6,$L$7,$O32,$G$5,$G$6,drivePower($C$4,$M32,$G32,$C$10,$C$11),$I32,$G32,$G$4,$C$8)</f>
        <v>5524.5002195239067</v>
      </c>
      <c r="U32" s="11" cm="1">
        <f t="array" ref="U32">maxDepthToMinSOC($L$8,$L$9,P32,Q32,$O32,$G$5,$G$6,drivePower($C$4,$M32,$G32,$C$10,$C$11),$I32,$G32,$G$4,$C$8)</f>
        <v>3902.4001550674438</v>
      </c>
      <c r="V32" s="81" cm="1">
        <f t="array" ref="V32">maxDepthToMinSOC($L$8,$L$9,$L$6,$L$7,$O32*(1-R32),$G$5,$G$6,drivePower($C$4,$M32,$G32,$C$10,$C$11),$I32,$G32,$G$4,$C$8)</f>
        <v>4762.9501892626286</v>
      </c>
    </row>
    <row r="33" spans="7:22" x14ac:dyDescent="0.35">
      <c r="G33" s="55">
        <f t="shared" si="1"/>
        <v>0.25</v>
      </c>
      <c r="H33" s="57" cm="1">
        <f t="array" ref="H33">drivePower($C$4,$C$5,G33,$C$10,$C$11)</f>
        <v>19.6038</v>
      </c>
      <c r="I33" s="74">
        <f t="shared" si="8"/>
        <v>24.679160599999999</v>
      </c>
      <c r="J33" s="74">
        <f t="shared" si="11"/>
        <v>44.282960599999996</v>
      </c>
      <c r="K33" s="56">
        <f t="shared" si="14"/>
        <v>63800</v>
      </c>
      <c r="L33" s="55">
        <f t="shared" si="12"/>
        <v>3.24</v>
      </c>
      <c r="M33" s="57">
        <f t="shared" si="9"/>
        <v>13.564</v>
      </c>
      <c r="N33" s="57" cm="1">
        <f t="array" ref="N33">drivePower($C$4,M33,$C$9,$C$10,$C$11)</f>
        <v>26.23419432</v>
      </c>
      <c r="O33" s="76">
        <f t="shared" si="13"/>
        <v>4249.08</v>
      </c>
      <c r="P33" s="78">
        <f t="shared" si="5"/>
        <v>-1.08E-4</v>
      </c>
      <c r="Q33" s="79">
        <f t="shared" si="6"/>
        <v>0.82280000000000009</v>
      </c>
      <c r="R33" s="85">
        <v>0.15</v>
      </c>
      <c r="S33" s="82">
        <f t="shared" si="7"/>
        <v>63800</v>
      </c>
      <c r="T33" s="80" cm="1">
        <f t="array" ref="T33">maxDepthToMinSOC($L$8,$L$9,$L$6,$L$7,$O33,$G$5,$G$6,drivePower($C$4,$M33,$G33,$C$10,$C$11),$I33,$G33,$G$4,$C$8)</f>
        <v>6201.6002464294434</v>
      </c>
      <c r="U33" s="11" cm="1">
        <f t="array" ref="U33">maxDepthToMinSOC($L$8,$L$9,P33,Q33,$O33,$G$5,$G$6,drivePower($C$4,$M33,$G33,$C$10,$C$11),$I33,$G33,$G$4,$C$8)</f>
        <v>4283.4001702070236</v>
      </c>
      <c r="V33" s="81" cm="1">
        <f t="array" ref="V33">maxDepthToMinSOC($L$8,$L$9,$L$6,$L$7,$O33*(1-R33),$G$5,$G$6,drivePower($C$4,$M33,$G33,$C$10,$C$11),$I33,$G33,$G$4,$C$8)</f>
        <v>5361.4502130448818</v>
      </c>
    </row>
    <row r="34" spans="7:22" x14ac:dyDescent="0.35">
      <c r="G34" s="55">
        <f t="shared" si="1"/>
        <v>0.25</v>
      </c>
      <c r="H34" s="57" cm="1">
        <f t="array" ref="H34">drivePower($C$4,$C$5,G34,$C$10,$C$11)</f>
        <v>19.6038</v>
      </c>
      <c r="I34" s="74">
        <f t="shared" si="8"/>
        <v>24.679160599999999</v>
      </c>
      <c r="J34" s="74">
        <f t="shared" si="11"/>
        <v>44.282960599999996</v>
      </c>
      <c r="K34" s="56">
        <f t="shared" si="14"/>
        <v>72600</v>
      </c>
      <c r="L34" s="55">
        <f t="shared" si="12"/>
        <v>3.72</v>
      </c>
      <c r="M34" s="57">
        <f t="shared" si="9"/>
        <v>14.092000000000001</v>
      </c>
      <c r="N34" s="57" cm="1">
        <f t="array" ref="N34">drivePower($C$4,M34,$C$9,$C$10,$C$11)</f>
        <v>27.216474959999999</v>
      </c>
      <c r="O34" s="76">
        <f t="shared" si="13"/>
        <v>4835.16</v>
      </c>
      <c r="P34" s="78">
        <f t="shared" si="5"/>
        <v>-1.08E-4</v>
      </c>
      <c r="Q34" s="79">
        <f t="shared" si="6"/>
        <v>0.82280000000000009</v>
      </c>
      <c r="R34" s="85">
        <v>0.15</v>
      </c>
      <c r="S34" s="82">
        <f t="shared" si="7"/>
        <v>72600</v>
      </c>
      <c r="T34" s="80" cm="1">
        <f t="array" ref="T34">maxDepthToMinSOC($L$8,$L$9,$L$6,$L$7,$O34,$G$5,$G$6,drivePower($C$4,$M34,$G34,$C$10,$C$11),$I34,$G34,$G$4,$C$8)</f>
        <v>6832.3502714931965</v>
      </c>
      <c r="U34" s="11" cm="1">
        <f t="array" ref="U34">maxDepthToMinSOC($L$8,$L$9,P34,Q34,$O34,$G$5,$G$6,drivePower($C$4,$M34,$G34,$C$10,$C$11),$I34,$G34,$G$4,$C$8)</f>
        <v>4623.0001837015152</v>
      </c>
      <c r="V34" s="81" cm="1">
        <f t="array" ref="V34">maxDepthToMinSOC($L$8,$L$9,$L$6,$L$7,$O34*(1-R34),$G$5,$G$6,drivePower($C$4,$M34,$G34,$C$10,$C$11),$I34,$G34,$G$4,$C$8)</f>
        <v>5921.5502353012562</v>
      </c>
    </row>
    <row r="35" spans="7:22" x14ac:dyDescent="0.35">
      <c r="G35" s="55">
        <f t="shared" si="1"/>
        <v>0.25</v>
      </c>
      <c r="H35" s="57" cm="1">
        <f t="array" ref="H35">drivePower($C$4,$C$5,G35,$C$10,$C$11)</f>
        <v>19.6038</v>
      </c>
      <c r="I35" s="74">
        <f t="shared" si="8"/>
        <v>24.679160599999999</v>
      </c>
      <c r="J35" s="74">
        <f t="shared" si="11"/>
        <v>44.282960599999996</v>
      </c>
      <c r="K35" s="56">
        <f t="shared" si="14"/>
        <v>81400</v>
      </c>
      <c r="L35" s="55">
        <f t="shared" si="12"/>
        <v>4.2</v>
      </c>
      <c r="M35" s="57">
        <f t="shared" si="9"/>
        <v>14.620000000000001</v>
      </c>
      <c r="N35" s="57" cm="1">
        <f t="array" ref="N35">drivePower($C$4,M35,$C$9,$C$10,$C$11)</f>
        <v>28.198755600000002</v>
      </c>
      <c r="O35" s="76">
        <f t="shared" si="13"/>
        <v>5421.2400000000007</v>
      </c>
      <c r="P35" s="78">
        <f t="shared" si="5"/>
        <v>-1.08E-4</v>
      </c>
      <c r="Q35" s="79">
        <f t="shared" si="6"/>
        <v>0.82280000000000009</v>
      </c>
      <c r="R35" s="85">
        <v>0.15</v>
      </c>
      <c r="S35" s="82">
        <f t="shared" si="7"/>
        <v>81400</v>
      </c>
      <c r="T35" s="80" cm="1">
        <f t="array" ref="T35">maxDepthToMinSOC($L$8,$L$9,$L$6,$L$7,$O35,$G$5,$G$6,drivePower($C$4,$M35,$G35,$C$10,$C$11),$I35,$G35,$G$4,$C$8)</f>
        <v>7421.4002948999405</v>
      </c>
      <c r="U35" s="11" cm="1">
        <f t="array" ref="U35">maxDepthToMinSOC($L$8,$L$9,P35,Q35,$O35,$G$5,$G$6,drivePower($C$4,$M35,$G35,$C$10,$C$11),$I35,$G35,$G$4,$C$8)</f>
        <v>4927.800195813179</v>
      </c>
      <c r="V35" s="81" cm="1">
        <f t="array" ref="V35">maxDepthToMinSOC($L$8,$L$9,$L$6,$L$7,$O35*(1-R35),$G$5,$G$6,drivePower($C$4,$M35,$G35,$C$10,$C$11),$I35,$G35,$G$4,$C$8)</f>
        <v>6446.7002561688423</v>
      </c>
    </row>
    <row r="36" spans="7:22" x14ac:dyDescent="0.35">
      <c r="G36" s="55">
        <f t="shared" si="1"/>
        <v>0.25</v>
      </c>
      <c r="H36" s="57" cm="1">
        <f t="array" ref="H36">drivePower($C$4,$C$5,G36,$C$10,$C$11)</f>
        <v>19.6038</v>
      </c>
      <c r="I36" s="74">
        <f t="shared" si="8"/>
        <v>24.679160599999999</v>
      </c>
      <c r="J36" s="74">
        <f t="shared" si="11"/>
        <v>44.282960599999996</v>
      </c>
      <c r="K36" s="56">
        <f t="shared" si="14"/>
        <v>90200</v>
      </c>
      <c r="L36" s="55">
        <f t="shared" si="12"/>
        <v>4.68</v>
      </c>
      <c r="M36" s="57">
        <f t="shared" si="9"/>
        <v>15.148</v>
      </c>
      <c r="N36" s="57" cm="1">
        <f t="array" ref="N36">drivePower($C$4,M36,$C$9,$C$10,$C$11)</f>
        <v>29.181036239999997</v>
      </c>
      <c r="O36" s="76">
        <f t="shared" si="13"/>
        <v>6007.3200000000006</v>
      </c>
      <c r="P36" s="78">
        <f t="shared" si="5"/>
        <v>-1.08E-4</v>
      </c>
      <c r="Q36" s="79">
        <f t="shared" si="6"/>
        <v>0.82280000000000009</v>
      </c>
      <c r="R36" s="85">
        <v>0.15</v>
      </c>
      <c r="S36" s="82">
        <f t="shared" si="7"/>
        <v>90200</v>
      </c>
      <c r="T36" s="80" cm="1">
        <f t="array" ref="T36">maxDepthToMinSOC($L$8,$L$9,$L$6,$L$7,$O36,$G$5,$G$6,drivePower($C$4,$M36,$G36,$C$10,$C$11),$I36,$G36,$G$4,$C$8)</f>
        <v>7972.9503168165684</v>
      </c>
      <c r="U36" s="11" cm="1">
        <f t="array" ref="U36">maxDepthToMinSOC($L$8,$L$9,P36,Q36,$O36,$G$5,$G$6,drivePower($C$4,$M36,$G36,$C$10,$C$11),$I36,$G36,$G$4,$C$8)</f>
        <v>5202.9002067446709</v>
      </c>
      <c r="V36" s="81" cm="1">
        <f t="array" ref="V36">maxDepthToMinSOC($L$8,$L$9,$L$6,$L$7,$O36*(1-R36),$G$5,$G$6,drivePower($C$4,$M36,$G36,$C$10,$C$11),$I36,$G36,$G$4,$C$8)</f>
        <v>6940.05027577281</v>
      </c>
    </row>
    <row r="37" spans="7:22" x14ac:dyDescent="0.35">
      <c r="G37" s="55">
        <f t="shared" si="1"/>
        <v>0.25</v>
      </c>
      <c r="H37" s="57" cm="1">
        <f t="array" ref="H37">drivePower($C$4,$C$5,G37,$C$10,$C$11)</f>
        <v>19.6038</v>
      </c>
      <c r="I37" s="74">
        <f t="shared" si="8"/>
        <v>24.679160599999999</v>
      </c>
      <c r="J37" s="74">
        <f t="shared" si="11"/>
        <v>44.282960599999996</v>
      </c>
      <c r="K37" s="56">
        <f t="shared" si="14"/>
        <v>99000</v>
      </c>
      <c r="L37" s="55">
        <f t="shared" si="12"/>
        <v>5.16</v>
      </c>
      <c r="M37" s="57">
        <f t="shared" si="9"/>
        <v>15.676000000000002</v>
      </c>
      <c r="N37" s="57" cm="1">
        <f t="array" ref="N37">drivePower($C$4,M37,$C$9,$C$10,$C$11)</f>
        <v>30.163316880000004</v>
      </c>
      <c r="O37" s="76">
        <f t="shared" si="13"/>
        <v>6593.4</v>
      </c>
      <c r="P37" s="78">
        <f t="shared" si="5"/>
        <v>-1.08E-4</v>
      </c>
      <c r="Q37" s="79">
        <f t="shared" si="6"/>
        <v>0.82280000000000009</v>
      </c>
      <c r="R37" s="85">
        <v>0.15</v>
      </c>
      <c r="S37" s="82">
        <f t="shared" si="7"/>
        <v>99000</v>
      </c>
      <c r="T37" s="80" cm="1">
        <f t="array" ref="T37">maxDepthToMinSOC($L$8,$L$9,$L$6,$L$7,$O37,$G$5,$G$6,drivePower($C$4,$M37,$G37,$C$10,$C$11),$I37,$G37,$G$4,$C$8)</f>
        <v>8490.3003373742104</v>
      </c>
      <c r="U37" s="11" cm="1">
        <f t="array" ref="U37">maxDepthToMinSOC($L$8,$L$9,P37,Q37,$O37,$G$5,$G$6,drivePower($C$4,$M37,$G37,$C$10,$C$11),$I37,$G37,$G$4,$C$8)</f>
        <v>5452.3502166569233</v>
      </c>
      <c r="V37" s="81" cm="1">
        <f t="array" ref="V37">maxDepthToMinSOC($L$8,$L$9,$L$6,$L$7,$O37*(1-R37),$G$5,$G$6,drivePower($C$4,$M37,$G37,$C$10,$C$11),$I37,$G37,$G$4,$C$8)</f>
        <v>7404.6002942323685</v>
      </c>
    </row>
    <row r="38" spans="7:22" x14ac:dyDescent="0.35">
      <c r="G38" s="55">
        <f t="shared" si="1"/>
        <v>0.25</v>
      </c>
      <c r="H38" s="57" cm="1">
        <f t="array" ref="H38">drivePower($C$4,$C$5,G38,$C$10,$C$11)</f>
        <v>19.6038</v>
      </c>
      <c r="I38" s="74">
        <f t="shared" si="8"/>
        <v>24.679160599999999</v>
      </c>
      <c r="J38" s="74">
        <f t="shared" si="11"/>
        <v>44.282960599999996</v>
      </c>
      <c r="K38" s="56">
        <f t="shared" si="14"/>
        <v>107800</v>
      </c>
      <c r="L38" s="55">
        <f t="shared" si="12"/>
        <v>5.64</v>
      </c>
      <c r="M38" s="57">
        <f t="shared" si="9"/>
        <v>16.204000000000001</v>
      </c>
      <c r="N38" s="57" cm="1">
        <f t="array" ref="N38">drivePower($C$4,M38,$C$9,$C$10,$C$11)</f>
        <v>31.145597519999999</v>
      </c>
      <c r="O38" s="76">
        <f t="shared" si="13"/>
        <v>7179.48</v>
      </c>
      <c r="P38" s="78">
        <f t="shared" si="5"/>
        <v>-1.08E-4</v>
      </c>
      <c r="Q38" s="79">
        <f t="shared" si="6"/>
        <v>0.82280000000000009</v>
      </c>
      <c r="R38" s="85">
        <v>0.15</v>
      </c>
      <c r="S38" s="82">
        <f t="shared" si="7"/>
        <v>107800</v>
      </c>
      <c r="T38" s="80" cm="1">
        <f t="array" ref="T38">maxDepthToMinSOC($L$8,$L$9,$L$6,$L$7,$O38,$G$5,$G$6,drivePower($C$4,$M38,$G38,$C$10,$C$11),$I38,$G38,$G$4,$C$8)</f>
        <v>8976.4503566920757</v>
      </c>
      <c r="U38" s="11" cm="1">
        <f t="array" ref="U38">maxDepthToMinSOC($L$8,$L$9,P38,Q38,$O38,$G$5,$G$6,drivePower($C$4,$M38,$G38,$C$10,$C$11),$I38,$G38,$G$4,$C$8)</f>
        <v>5679.600225687027</v>
      </c>
      <c r="V38" s="81" cm="1">
        <f t="array" ref="V38">maxDepthToMinSOC($L$8,$L$9,$L$6,$L$7,$O38*(1-R38),$G$5,$G$6,drivePower($C$4,$M38,$G38,$C$10,$C$11),$I38,$G38,$G$4,$C$8)</f>
        <v>7842.6003116369247</v>
      </c>
    </row>
    <row r="39" spans="7:22" x14ac:dyDescent="0.35">
      <c r="G39" s="55">
        <f t="shared" si="1"/>
        <v>0.25</v>
      </c>
      <c r="H39" s="57" cm="1">
        <f t="array" ref="H39">drivePower($C$4,$C$5,G39,$C$10,$C$11)</f>
        <v>19.6038</v>
      </c>
      <c r="I39" s="74">
        <f t="shared" si="8"/>
        <v>24.679160599999999</v>
      </c>
      <c r="J39" s="74">
        <f t="shared" si="11"/>
        <v>44.282960599999996</v>
      </c>
      <c r="K39" s="56">
        <f>K38+8800*2</f>
        <v>125400</v>
      </c>
      <c r="L39" s="55">
        <f t="shared" si="12"/>
        <v>6.6</v>
      </c>
      <c r="M39" s="57">
        <f t="shared" si="9"/>
        <v>17.259999999999998</v>
      </c>
      <c r="N39" s="57" cm="1">
        <f t="array" ref="N39">drivePower($C$4,M39,$C$9,$C$10,$C$11)</f>
        <v>33.110158799999994</v>
      </c>
      <c r="O39" s="76">
        <f t="shared" si="13"/>
        <v>8351.64</v>
      </c>
      <c r="P39" s="78">
        <f t="shared" si="5"/>
        <v>-1.08E-4</v>
      </c>
      <c r="Q39" s="79">
        <f t="shared" si="6"/>
        <v>0.82280000000000009</v>
      </c>
      <c r="R39" s="85">
        <v>0.15</v>
      </c>
      <c r="S39" s="82">
        <f t="shared" si="7"/>
        <v>125400</v>
      </c>
      <c r="T39" s="80" cm="1">
        <f t="array" ref="T39">maxDepthToMinSOC($L$8,$L$9,$L$6,$L$7,$O39,$G$5,$G$6,drivePower($C$4,$M39,$G39,$C$10,$C$11),$I39,$G39,$G$4,$C$8)</f>
        <v>9866.250392049551</v>
      </c>
      <c r="U39" s="11" cm="1">
        <f t="array" ref="U39">maxDepthToMinSOC($L$8,$L$9,P39,Q39,$O39,$G$5,$G$6,drivePower($C$4,$M39,$G39,$C$10,$C$11),$I39,$G39,$G$4,$C$8)</f>
        <v>6078.450241535902</v>
      </c>
      <c r="V39" s="81" cm="1">
        <f t="array" ref="V39">maxDepthToMinSOC($L$8,$L$9,$L$6,$L$7,$O39*(1-R39),$G$5,$G$6,drivePower($C$4,$M39,$G39,$C$10,$C$11),$I39,$G39,$G$4,$C$8)</f>
        <v>8647.8003436326981</v>
      </c>
    </row>
    <row r="40" spans="7:22" x14ac:dyDescent="0.35">
      <c r="G40" s="55">
        <f t="shared" si="1"/>
        <v>0.25</v>
      </c>
      <c r="H40" s="57" cm="1">
        <f t="array" ref="H40">drivePower($C$4,$C$5,G40,$C$10,$C$11)</f>
        <v>19.6038</v>
      </c>
      <c r="I40" s="74">
        <f t="shared" si="8"/>
        <v>24.679160599999999</v>
      </c>
      <c r="J40" s="74">
        <f t="shared" si="11"/>
        <v>44.282960599999996</v>
      </c>
      <c r="K40" s="56">
        <f t="shared" ref="K40:K46" si="15">K39+8800*2</f>
        <v>143000</v>
      </c>
      <c r="L40" s="55">
        <f t="shared" si="12"/>
        <v>7.56</v>
      </c>
      <c r="M40" s="57">
        <f t="shared" si="9"/>
        <v>18.316000000000003</v>
      </c>
      <c r="N40" s="57" cm="1">
        <f t="array" ref="N40">drivePower($C$4,M40,$C$9,$C$10,$C$11)</f>
        <v>35.074720080000006</v>
      </c>
      <c r="O40" s="76">
        <f t="shared" si="13"/>
        <v>9523.7999999999993</v>
      </c>
      <c r="P40" s="78">
        <f t="shared" si="5"/>
        <v>-1.08E-4</v>
      </c>
      <c r="Q40" s="79">
        <f t="shared" si="6"/>
        <v>0.82280000000000009</v>
      </c>
      <c r="R40" s="85">
        <v>0.15</v>
      </c>
      <c r="S40" s="82">
        <f t="shared" si="7"/>
        <v>143000</v>
      </c>
      <c r="T40" s="80" cm="1">
        <f t="array" ref="T40">maxDepthToMinSOC($L$8,$L$9,$L$6,$L$7,$O40,$G$5,$G$6,drivePower($C$4,$M40,$G40,$C$10,$C$11),$I40,$G40,$G$4,$C$8)</f>
        <v>10660.650423616171</v>
      </c>
      <c r="U40" s="11" cm="1">
        <f t="array" ref="U40">maxDepthToMinSOC($L$8,$L$9,P40,Q40,$O40,$G$5,$G$6,drivePower($C$4,$M40,$G40,$C$10,$C$11),$I40,$G40,$G$4,$C$8)</f>
        <v>6417.0002549886703</v>
      </c>
      <c r="V40" s="81" cm="1">
        <f t="array" ref="V40">maxDepthToMinSOC($L$8,$L$9,$L$6,$L$7,$O40*(1-R40),$G$5,$G$6,drivePower($C$4,$M40,$G40,$C$10,$C$11),$I40,$G40,$G$4,$C$8)</f>
        <v>9370.6503723561764</v>
      </c>
    </row>
    <row r="41" spans="7:22" x14ac:dyDescent="0.35">
      <c r="G41" s="55">
        <f t="shared" si="1"/>
        <v>0.25</v>
      </c>
      <c r="H41" s="57" cm="1">
        <f t="array" ref="H41">drivePower($C$4,$C$5,G41,$C$10,$C$11)</f>
        <v>19.6038</v>
      </c>
      <c r="I41" s="74">
        <f t="shared" si="8"/>
        <v>24.679160599999999</v>
      </c>
      <c r="J41" s="74">
        <f t="shared" si="11"/>
        <v>44.282960599999996</v>
      </c>
      <c r="K41" s="56">
        <f t="shared" si="15"/>
        <v>160600</v>
      </c>
      <c r="L41" s="55">
        <f t="shared" si="12"/>
        <v>8.52</v>
      </c>
      <c r="M41" s="57">
        <f t="shared" si="9"/>
        <v>19.372</v>
      </c>
      <c r="N41" s="57" cm="1">
        <f t="array" ref="N41">drivePower($C$4,M41,$C$9,$C$10,$C$11)</f>
        <v>37.039281359999997</v>
      </c>
      <c r="O41" s="76">
        <f t="shared" si="13"/>
        <v>10695.96</v>
      </c>
      <c r="P41" s="78">
        <f t="shared" si="5"/>
        <v>-1.08E-4</v>
      </c>
      <c r="Q41" s="79">
        <f t="shared" si="6"/>
        <v>0.82280000000000009</v>
      </c>
      <c r="R41" s="85">
        <v>0.15</v>
      </c>
      <c r="S41" s="82">
        <f t="shared" si="7"/>
        <v>160600</v>
      </c>
      <c r="T41" s="80" cm="1">
        <f t="array" ref="T41">maxDepthToMinSOC($L$8,$L$9,$L$6,$L$7,$O41,$G$5,$G$6,drivePower($C$4,$M41,$G41,$C$10,$C$11),$I41,$G41,$G$4,$C$8)</f>
        <v>11374.2004519701</v>
      </c>
      <c r="U41" s="11" cm="1">
        <f t="array" ref="U41">maxDepthToMinSOC($L$8,$L$9,P41,Q41,$O41,$G$5,$G$6,drivePower($C$4,$M41,$G41,$C$10,$C$11),$I41,$G41,$G$4,$C$8)</f>
        <v>6708.1502665579319</v>
      </c>
      <c r="V41" s="81" cm="1">
        <f t="array" ref="V41">maxDepthToMinSOC($L$8,$L$9,$L$6,$L$7,$O41*(1-R41),$G$5,$G$6,drivePower($C$4,$M41,$G41,$C$10,$C$11),$I41,$G41,$G$4,$C$8)</f>
        <v>10023.150398284197</v>
      </c>
    </row>
    <row r="42" spans="7:22" x14ac:dyDescent="0.35">
      <c r="G42" s="55">
        <f t="shared" si="1"/>
        <v>0.25</v>
      </c>
      <c r="H42" s="57" cm="1">
        <f t="array" ref="H42">drivePower($C$4,$C$5,G42,$C$10,$C$11)</f>
        <v>19.6038</v>
      </c>
      <c r="I42" s="74">
        <f t="shared" si="8"/>
        <v>24.679160599999999</v>
      </c>
      <c r="J42" s="74">
        <f t="shared" si="11"/>
        <v>44.282960599999996</v>
      </c>
      <c r="K42" s="56">
        <f t="shared" si="15"/>
        <v>178200</v>
      </c>
      <c r="L42" s="55">
        <f t="shared" si="12"/>
        <v>9.48</v>
      </c>
      <c r="M42" s="57">
        <f t="shared" si="9"/>
        <v>20.428000000000001</v>
      </c>
      <c r="N42" s="57" cm="1">
        <f t="array" ref="N42">drivePower($C$4,M42,$C$9,$C$10,$C$11)</f>
        <v>39.003842640000002</v>
      </c>
      <c r="O42" s="76">
        <f t="shared" si="13"/>
        <v>11868.119999999999</v>
      </c>
      <c r="P42" s="78">
        <f t="shared" si="5"/>
        <v>-1.08E-4</v>
      </c>
      <c r="Q42" s="79">
        <f t="shared" si="6"/>
        <v>0.82280000000000009</v>
      </c>
      <c r="R42" s="85">
        <v>0.15</v>
      </c>
      <c r="S42" s="82">
        <f t="shared" si="7"/>
        <v>178200</v>
      </c>
      <c r="T42" s="80" cm="1">
        <f t="array" ref="T42">maxDepthToMinSOC($L$8,$L$9,$L$6,$L$7,$O42,$G$5,$G$6,drivePower($C$4,$M42,$G42,$C$10,$C$11),$I42,$G42,$G$4,$C$8)</f>
        <v>12018.600477576256</v>
      </c>
      <c r="U42" s="11" cm="1">
        <f t="array" ref="U42">maxDepthToMinSOC($L$8,$L$9,P42,Q42,$O42,$G$5,$G$6,drivePower($C$4,$M42,$G42,$C$10,$C$11),$I42,$G42,$G$4,$C$8)</f>
        <v>6960.9002766013145</v>
      </c>
      <c r="V42" s="81" cm="1">
        <f t="array" ref="V42">maxDepthToMinSOC($L$8,$L$9,$L$6,$L$7,$O42*(1-R42),$G$5,$G$6,drivePower($C$4,$M42,$G42,$C$10,$C$11),$I42,$G42,$G$4,$C$8)</f>
        <v>10615.05042180419</v>
      </c>
    </row>
    <row r="43" spans="7:22" x14ac:dyDescent="0.35">
      <c r="G43" s="55">
        <f t="shared" si="1"/>
        <v>0.25</v>
      </c>
      <c r="H43" s="57" cm="1">
        <f t="array" ref="H43">drivePower($C$4,$C$5,G43,$C$10,$C$11)</f>
        <v>19.6038</v>
      </c>
      <c r="I43" s="74">
        <f t="shared" si="8"/>
        <v>24.679160599999999</v>
      </c>
      <c r="J43" s="74">
        <f t="shared" si="11"/>
        <v>44.282960599999996</v>
      </c>
      <c r="K43" s="56">
        <f t="shared" si="15"/>
        <v>195800</v>
      </c>
      <c r="L43" s="55">
        <f t="shared" si="12"/>
        <v>10.44</v>
      </c>
      <c r="M43" s="57">
        <f t="shared" si="9"/>
        <v>21.484000000000002</v>
      </c>
      <c r="N43" s="57" cm="1">
        <f t="array" ref="N43">drivePower($C$4,M43,$C$9,$C$10,$C$11)</f>
        <v>40.96840392</v>
      </c>
      <c r="O43" s="76">
        <f t="shared" si="13"/>
        <v>13040.28</v>
      </c>
      <c r="P43" s="78">
        <f t="shared" si="5"/>
        <v>-1.08E-4</v>
      </c>
      <c r="Q43" s="79">
        <f t="shared" si="6"/>
        <v>0.82280000000000009</v>
      </c>
      <c r="R43" s="85">
        <v>0.15</v>
      </c>
      <c r="S43" s="82">
        <f t="shared" si="7"/>
        <v>195800</v>
      </c>
      <c r="T43" s="80" cm="1">
        <f t="array" ref="T43">maxDepthToMinSOC($L$8,$L$9,$L$6,$L$7,$O43,$G$5,$G$6,drivePower($C$4,$M43,$G43,$C$10,$C$11),$I43,$G43,$G$4,$C$8)</f>
        <v>12603.450500816107</v>
      </c>
      <c r="U43" s="11" cm="1">
        <f t="array" ref="U43">maxDepthToMinSOC($L$8,$L$9,P43,Q43,$O43,$G$5,$G$6,drivePower($C$4,$M43,$G43,$C$10,$C$11),$I43,$G43,$G$4,$C$8)</f>
        <v>7182.600285410881</v>
      </c>
      <c r="V43" s="81" cm="1">
        <f t="array" ref="V43">maxDepthToMinSOC($L$8,$L$9,$L$6,$L$7,$O43*(1-R43),$G$5,$G$6,drivePower($C$4,$M43,$G43,$C$10,$C$11),$I43,$G43,$G$4,$C$8)</f>
        <v>11154.45044323802</v>
      </c>
    </row>
    <row r="44" spans="7:22" x14ac:dyDescent="0.35">
      <c r="G44" s="55">
        <f t="shared" si="1"/>
        <v>0.25</v>
      </c>
      <c r="H44" s="57" cm="1">
        <f t="array" ref="H44">drivePower($C$4,$C$5,G44,$C$10,$C$11)</f>
        <v>19.6038</v>
      </c>
      <c r="I44" s="74">
        <f t="shared" si="8"/>
        <v>24.679160599999999</v>
      </c>
      <c r="J44" s="74">
        <f t="shared" si="11"/>
        <v>44.282960599999996</v>
      </c>
      <c r="K44" s="56">
        <f t="shared" si="15"/>
        <v>213400</v>
      </c>
      <c r="L44" s="55">
        <f t="shared" si="12"/>
        <v>11.4</v>
      </c>
      <c r="M44" s="57">
        <f t="shared" si="9"/>
        <v>22.54</v>
      </c>
      <c r="N44" s="57" cm="1">
        <f t="array" ref="N44">drivePower($C$4,M44,$C$9,$C$10,$C$11)</f>
        <v>42.932965199999998</v>
      </c>
      <c r="O44" s="76">
        <f t="shared" si="13"/>
        <v>14212.44</v>
      </c>
      <c r="P44" s="78">
        <f t="shared" si="5"/>
        <v>-1.08E-4</v>
      </c>
      <c r="Q44" s="79">
        <f t="shared" si="6"/>
        <v>0.82280000000000009</v>
      </c>
      <c r="R44" s="85">
        <v>0.15</v>
      </c>
      <c r="S44" s="82">
        <f t="shared" si="7"/>
        <v>213400</v>
      </c>
      <c r="T44" s="80" cm="1">
        <f t="array" ref="T44">maxDepthToMinSOC($L$8,$L$9,$L$6,$L$7,$O44,$G$5,$G$6,drivePower($C$4,$M44,$G44,$C$10,$C$11),$I44,$G44,$G$4,$C$8)</f>
        <v>13136.700522005558</v>
      </c>
      <c r="U44" s="11" cm="1">
        <f t="array" ref="U44">maxDepthToMinSOC($L$8,$L$9,P44,Q44,$O44,$G$5,$G$6,drivePower($C$4,$M44,$G44,$C$10,$C$11),$I44,$G44,$G$4,$C$8)</f>
        <v>7378.6502932012081</v>
      </c>
      <c r="V44" s="81" cm="1">
        <f t="array" ref="V44">maxDepthToMinSOC($L$8,$L$9,$L$6,$L$7,$O44*(1-R44),$G$5,$G$6,drivePower($C$4,$M44,$G44,$C$10,$C$11),$I44,$G44,$G$4,$C$8)</f>
        <v>11648.100462853909</v>
      </c>
    </row>
    <row r="45" spans="7:22" x14ac:dyDescent="0.35">
      <c r="G45" s="55">
        <f t="shared" si="1"/>
        <v>0.25</v>
      </c>
      <c r="H45" s="57" cm="1">
        <f t="array" ref="H45">drivePower($C$4,$C$5,G45,$C$10,$C$11)</f>
        <v>19.6038</v>
      </c>
      <c r="I45" s="74">
        <f t="shared" ref="I45:I56" si="16">I44</f>
        <v>24.679160599999999</v>
      </c>
      <c r="J45" s="74">
        <f t="shared" ref="J45:J56" si="17">H45+I45</f>
        <v>44.282960599999996</v>
      </c>
      <c r="K45" s="56">
        <f t="shared" si="15"/>
        <v>231000</v>
      </c>
      <c r="L45" s="55">
        <f t="shared" ref="L45:L56" si="18">(K45-4400)*(5*0.048)/4400</f>
        <v>12.36</v>
      </c>
      <c r="M45" s="57">
        <f t="shared" si="9"/>
        <v>23.596</v>
      </c>
      <c r="N45" s="57" cm="1">
        <f t="array" ref="N45">drivePower($C$4,M45,$C$9,$C$10,$C$11)</f>
        <v>44.897526479999996</v>
      </c>
      <c r="O45" s="76">
        <f t="shared" ref="O45:O56" si="19">K45*3.6/1000*$L$4</f>
        <v>15384.6</v>
      </c>
      <c r="P45" s="78">
        <f t="shared" si="5"/>
        <v>-1.08E-4</v>
      </c>
      <c r="Q45" s="79">
        <f t="shared" si="6"/>
        <v>0.82280000000000009</v>
      </c>
      <c r="R45" s="85">
        <v>0.15</v>
      </c>
      <c r="S45" s="82">
        <f t="shared" si="7"/>
        <v>231000</v>
      </c>
      <c r="T45" s="80" cm="1">
        <f t="array" ref="T45">maxDepthToMinSOC($L$8,$L$9,$L$6,$L$7,$O45,$G$5,$G$6,drivePower($C$4,$M45,$G45,$C$10,$C$11),$I45,$G45,$G$4,$C$8)</f>
        <v>13624.800541400909</v>
      </c>
      <c r="U45" s="11" cm="1">
        <f t="array" ref="U45">maxDepthToMinSOC($L$8,$L$9,P45,Q45,$O45,$G$5,$G$6,drivePower($C$4,$M45,$G45,$C$10,$C$11),$I45,$G45,$G$4,$C$8)</f>
        <v>7553.1003001332283</v>
      </c>
      <c r="V45" s="81" cm="1">
        <f t="array" ref="V45">maxDepthToMinSOC($L$8,$L$9,$L$6,$L$7,$O45*(1-R45),$G$5,$G$6,drivePower($C$4,$M45,$G45,$C$10,$C$11),$I45,$G45,$G$4,$C$8)</f>
        <v>12101.550480872393</v>
      </c>
    </row>
    <row r="46" spans="7:22" x14ac:dyDescent="0.35">
      <c r="G46" s="55">
        <f t="shared" si="1"/>
        <v>0.25</v>
      </c>
      <c r="H46" s="57" cm="1">
        <f t="array" ref="H46">drivePower($C$4,$C$5,G46,$C$10,$C$11)</f>
        <v>19.6038</v>
      </c>
      <c r="I46" s="74">
        <f t="shared" si="16"/>
        <v>24.679160599999999</v>
      </c>
      <c r="J46" s="74">
        <f t="shared" si="17"/>
        <v>44.282960599999996</v>
      </c>
      <c r="K46" s="56">
        <f t="shared" si="15"/>
        <v>248600</v>
      </c>
      <c r="L46" s="55">
        <f t="shared" si="18"/>
        <v>13.32</v>
      </c>
      <c r="M46" s="57">
        <f t="shared" si="9"/>
        <v>24.652000000000001</v>
      </c>
      <c r="N46" s="57" cm="1">
        <f t="array" ref="N46">drivePower($C$4,M46,$C$9,$C$10,$C$11)</f>
        <v>46.862087760000001</v>
      </c>
      <c r="O46" s="76">
        <f t="shared" si="19"/>
        <v>16556.760000000002</v>
      </c>
      <c r="P46" s="78">
        <f t="shared" si="5"/>
        <v>-1.08E-4</v>
      </c>
      <c r="Q46" s="79">
        <f t="shared" si="6"/>
        <v>0.82280000000000009</v>
      </c>
      <c r="R46" s="85">
        <v>0.15</v>
      </c>
      <c r="S46" s="82">
        <f t="shared" si="7"/>
        <v>248600</v>
      </c>
      <c r="T46" s="80" cm="1">
        <f t="array" ref="T46">maxDepthToMinSOC($L$8,$L$9,$L$6,$L$7,$O46,$G$5,$G$6,drivePower($C$4,$M46,$G46,$C$10,$C$11),$I46,$G46,$G$4,$C$8)</f>
        <v>14073.300559222698</v>
      </c>
      <c r="U46" s="11" cm="1">
        <f t="array" ref="U46">maxDepthToMinSOC($L$8,$L$9,P46,Q46,$O46,$G$5,$G$6,drivePower($C$4,$M46,$G46,$C$10,$C$11),$I46,$G46,$G$4,$C$8)</f>
        <v>7709.5503063499928</v>
      </c>
      <c r="V46" s="81" cm="1">
        <f t="array" ref="V46">maxDepthToMinSOC($L$8,$L$9,$L$6,$L$7,$O46*(1-R46),$G$5,$G$6,drivePower($C$4,$M46,$G46,$C$10,$C$11),$I46,$G46,$G$4,$C$8)</f>
        <v>12519.450497478247</v>
      </c>
    </row>
    <row r="47" spans="7:22" x14ac:dyDescent="0.35">
      <c r="G47" s="55">
        <f t="shared" si="1"/>
        <v>0.25</v>
      </c>
      <c r="H47" s="57" cm="1">
        <f t="array" ref="H47">drivePower($C$4,$C$5,G47,$C$10,$C$11)</f>
        <v>19.6038</v>
      </c>
      <c r="I47" s="74">
        <f t="shared" si="16"/>
        <v>24.679160599999999</v>
      </c>
      <c r="J47" s="74">
        <f t="shared" si="17"/>
        <v>44.282960599999996</v>
      </c>
      <c r="K47" s="56">
        <f>K46+30000</f>
        <v>278600</v>
      </c>
      <c r="L47" s="55">
        <f t="shared" si="18"/>
        <v>14.956363636363637</v>
      </c>
      <c r="M47" s="57">
        <f t="shared" si="9"/>
        <v>26.452000000000002</v>
      </c>
      <c r="N47" s="57" cm="1">
        <f t="array" ref="N47">drivePower($C$4,M47,$C$9,$C$10,$C$11)</f>
        <v>50.21077176</v>
      </c>
      <c r="O47" s="76">
        <f t="shared" si="19"/>
        <v>18554.760000000002</v>
      </c>
      <c r="P47" s="78">
        <f t="shared" si="5"/>
        <v>-1.08E-4</v>
      </c>
      <c r="Q47" s="79">
        <f t="shared" si="6"/>
        <v>0.82280000000000009</v>
      </c>
      <c r="R47" s="85">
        <v>0.15</v>
      </c>
      <c r="S47" s="82">
        <f t="shared" si="7"/>
        <v>278600</v>
      </c>
      <c r="T47" s="80" cm="1">
        <f t="array" ref="T47">maxDepthToMinSOC($L$8,$L$9,$L$6,$L$7,$O47,$G$5,$G$6,drivePower($C$4,$M47,$G47,$C$10,$C$11),$I47,$G47,$G$4,$C$8)</f>
        <v>14759.250586479902</v>
      </c>
      <c r="U47" s="11" cm="1">
        <f t="array" ref="U47">maxDepthToMinSOC($L$8,$L$9,P47,Q47,$O47,$G$5,$G$6,drivePower($C$4,$M47,$G47,$C$10,$C$11),$I47,$G47,$G$4,$C$8)</f>
        <v>7941.7503155767918</v>
      </c>
      <c r="V47" s="81" cm="1">
        <f t="array" ref="V47">maxDepthToMinSOC($L$8,$L$9,$L$6,$L$7,$O47*(1-R47),$G$5,$G$6,drivePower($C$4,$M47,$G47,$C$10,$C$11),$I47,$G47,$G$4,$C$8)</f>
        <v>13161.150522977114</v>
      </c>
    </row>
    <row r="48" spans="7:22" x14ac:dyDescent="0.35">
      <c r="G48" s="55">
        <f t="shared" si="1"/>
        <v>0.25</v>
      </c>
      <c r="H48" s="57" cm="1">
        <f t="array" ref="H48">drivePower($C$4,$C$5,G48,$C$10,$C$11)</f>
        <v>19.6038</v>
      </c>
      <c r="I48" s="74">
        <f t="shared" si="16"/>
        <v>24.679160599999999</v>
      </c>
      <c r="J48" s="74">
        <f t="shared" si="17"/>
        <v>44.282960599999996</v>
      </c>
      <c r="K48" s="56">
        <f t="shared" ref="K48:K53" si="20">K47+30000</f>
        <v>308600</v>
      </c>
      <c r="L48" s="55">
        <f t="shared" si="18"/>
        <v>16.592727272727274</v>
      </c>
      <c r="M48" s="57">
        <f t="shared" si="9"/>
        <v>28.252000000000002</v>
      </c>
      <c r="N48" s="57" cm="1">
        <f t="array" ref="N48">drivePower($C$4,M48,$C$9,$C$10,$C$11)</f>
        <v>53.559455760000006</v>
      </c>
      <c r="O48" s="76">
        <f t="shared" si="19"/>
        <v>20552.760000000002</v>
      </c>
      <c r="P48" s="78">
        <f t="shared" si="5"/>
        <v>-1.08E-4</v>
      </c>
      <c r="Q48" s="79">
        <f t="shared" si="6"/>
        <v>0.82280000000000009</v>
      </c>
      <c r="R48" s="85">
        <v>0.15</v>
      </c>
      <c r="S48" s="82">
        <f t="shared" si="7"/>
        <v>308600</v>
      </c>
      <c r="T48" s="80" cm="1">
        <f t="array" ref="T48">maxDepthToMinSOC($L$8,$L$9,$L$6,$L$7,$O48,$G$5,$G$6,drivePower($C$4,$M48,$G48,$C$10,$C$11),$I48,$G48,$G$4,$C$8)</f>
        <v>15361.950610429049</v>
      </c>
      <c r="U48" s="11" cm="1">
        <f t="array" ref="U48">maxDepthToMinSOC($L$8,$L$9,P48,Q48,$O48,$G$5,$G$6,drivePower($C$4,$M48,$G48,$C$10,$C$11),$I48,$G48,$G$4,$C$8)</f>
        <v>8138.8503234088421</v>
      </c>
      <c r="V48" s="81" cm="1">
        <f t="array" ref="V48">maxDepthToMinSOC($L$8,$L$9,$L$6,$L$7,$O48*(1-R48),$G$5,$G$6,drivePower($C$4,$M48,$G48,$C$10,$C$11),$I48,$G48,$G$4,$C$8)</f>
        <v>13727.250545471907</v>
      </c>
    </row>
    <row r="49" spans="7:22" x14ac:dyDescent="0.35">
      <c r="G49" s="55">
        <f t="shared" si="1"/>
        <v>0.25</v>
      </c>
      <c r="H49" s="57" cm="1">
        <f t="array" ref="H49">drivePower($C$4,$C$5,G49,$C$10,$C$11)</f>
        <v>19.6038</v>
      </c>
      <c r="I49" s="74">
        <f t="shared" si="16"/>
        <v>24.679160599999999</v>
      </c>
      <c r="J49" s="74">
        <f t="shared" si="17"/>
        <v>44.282960599999996</v>
      </c>
      <c r="K49" s="56">
        <f t="shared" si="20"/>
        <v>338600</v>
      </c>
      <c r="L49" s="55">
        <f t="shared" si="18"/>
        <v>18.22909090909091</v>
      </c>
      <c r="M49" s="57">
        <f t="shared" si="9"/>
        <v>30.052000000000003</v>
      </c>
      <c r="N49" s="57" cm="1">
        <f t="array" ref="N49">drivePower($C$4,M49,$C$9,$C$10,$C$11)</f>
        <v>56.908139760000005</v>
      </c>
      <c r="O49" s="76">
        <f t="shared" si="19"/>
        <v>22550.760000000002</v>
      </c>
      <c r="P49" s="78">
        <f t="shared" si="5"/>
        <v>-1.08E-4</v>
      </c>
      <c r="Q49" s="79">
        <f t="shared" si="6"/>
        <v>0.82280000000000009</v>
      </c>
      <c r="R49" s="85">
        <v>0.15</v>
      </c>
      <c r="S49" s="82">
        <f t="shared" si="7"/>
        <v>338600</v>
      </c>
      <c r="T49" s="80" cm="1">
        <f t="array" ref="T49">maxDepthToMinSOC($L$8,$L$9,$L$6,$L$7,$O49,$G$5,$G$6,drivePower($C$4,$M49,$G49,$C$10,$C$11),$I49,$G49,$G$4,$C$8)</f>
        <v>15895.500631630421</v>
      </c>
      <c r="U49" s="11" cm="1">
        <f t="array" ref="U49">maxDepthToMinSOC($L$8,$L$9,P49,Q49,$O49,$G$5,$G$6,drivePower($C$4,$M49,$G49,$C$10,$C$11),$I49,$G49,$G$4,$C$8)</f>
        <v>8308.5003301501274</v>
      </c>
      <c r="V49" s="81" cm="1">
        <f t="array" ref="V49">maxDepthToMinSOC($L$8,$L$9,$L$6,$L$7,$O49*(1-R49),$G$5,$G$6,drivePower($C$4,$M49,$G49,$C$10,$C$11),$I49,$G49,$G$4,$C$8)</f>
        <v>14230.500565469265</v>
      </c>
    </row>
    <row r="50" spans="7:22" x14ac:dyDescent="0.35">
      <c r="G50" s="55">
        <f t="shared" si="1"/>
        <v>0.25</v>
      </c>
      <c r="H50" s="57" cm="1">
        <f t="array" ref="H50">drivePower($C$4,$C$5,G50,$C$10,$C$11)</f>
        <v>19.6038</v>
      </c>
      <c r="I50" s="74">
        <f t="shared" si="16"/>
        <v>24.679160599999999</v>
      </c>
      <c r="J50" s="74">
        <f t="shared" si="17"/>
        <v>44.282960599999996</v>
      </c>
      <c r="K50" s="56">
        <f t="shared" si="20"/>
        <v>368600</v>
      </c>
      <c r="L50" s="55">
        <f t="shared" si="18"/>
        <v>19.865454545454547</v>
      </c>
      <c r="M50" s="57">
        <f t="shared" si="9"/>
        <v>31.852000000000004</v>
      </c>
      <c r="N50" s="57" cm="1">
        <f t="array" ref="N50">drivePower($C$4,M50,$C$9,$C$10,$C$11)</f>
        <v>60.256823760000003</v>
      </c>
      <c r="O50" s="76">
        <f t="shared" si="19"/>
        <v>24548.760000000002</v>
      </c>
      <c r="P50" s="78">
        <f t="shared" si="5"/>
        <v>-1.08E-4</v>
      </c>
      <c r="Q50" s="79">
        <f t="shared" si="6"/>
        <v>0.82280000000000009</v>
      </c>
      <c r="R50" s="85">
        <v>0.15</v>
      </c>
      <c r="S50" s="82">
        <f t="shared" si="7"/>
        <v>368600</v>
      </c>
      <c r="T50" s="80" cm="1">
        <f t="array" ref="T50">maxDepthToMinSOC($L$8,$L$9,$L$6,$L$7,$O50,$G$5,$G$6,drivePower($C$4,$M50,$G50,$C$10,$C$11),$I50,$G50,$G$4,$C$8)</f>
        <v>16371.300650537014</v>
      </c>
      <c r="U50" s="11" cm="1">
        <f t="array" ref="U50">maxDepthToMinSOC($L$8,$L$9,P50,Q50,$O50,$G$5,$G$6,drivePower($C$4,$M50,$G50,$C$10,$C$11),$I50,$G50,$G$4,$C$8)</f>
        <v>8455.8003360033035</v>
      </c>
      <c r="V50" s="81" cm="1">
        <f t="array" ref="V50">maxDepthToMinSOC($L$8,$L$9,$L$6,$L$7,$O50*(1-R50),$G$5,$G$6,drivePower($C$4,$M50,$G50,$C$10,$C$11),$I50,$G50,$G$4,$C$8)</f>
        <v>14680.650583356619</v>
      </c>
    </row>
    <row r="51" spans="7:22" x14ac:dyDescent="0.35">
      <c r="G51" s="55">
        <f t="shared" si="1"/>
        <v>0.25</v>
      </c>
      <c r="H51" s="57" cm="1">
        <f t="array" ref="H51">drivePower($C$4,$C$5,G51,$C$10,$C$11)</f>
        <v>19.6038</v>
      </c>
      <c r="I51" s="74">
        <f t="shared" si="16"/>
        <v>24.679160599999999</v>
      </c>
      <c r="J51" s="74">
        <f t="shared" si="17"/>
        <v>44.282960599999996</v>
      </c>
      <c r="K51" s="56">
        <f t="shared" si="20"/>
        <v>398600</v>
      </c>
      <c r="L51" s="55">
        <f t="shared" si="18"/>
        <v>21.50181818181818</v>
      </c>
      <c r="M51" s="57">
        <f t="shared" si="9"/>
        <v>33.652000000000001</v>
      </c>
      <c r="N51" s="57" cm="1">
        <f t="array" ref="N51">drivePower($C$4,M51,$C$9,$C$10,$C$11)</f>
        <v>63.605507760000002</v>
      </c>
      <c r="O51" s="76">
        <f t="shared" si="19"/>
        <v>26546.760000000002</v>
      </c>
      <c r="P51" s="78">
        <f t="shared" si="5"/>
        <v>-1.08E-4</v>
      </c>
      <c r="Q51" s="79">
        <f t="shared" si="6"/>
        <v>0.82280000000000009</v>
      </c>
      <c r="R51" s="85">
        <v>0.15</v>
      </c>
      <c r="S51" s="82">
        <f t="shared" si="7"/>
        <v>398600</v>
      </c>
      <c r="T51" s="80" cm="1">
        <f t="array" ref="T51">maxDepthToMinSOC($L$8,$L$9,$L$6,$L$7,$O51,$G$5,$G$6,drivePower($C$4,$M51,$G51,$C$10,$C$11),$I51,$G51,$G$4,$C$8)</f>
        <v>16798.200667500496</v>
      </c>
      <c r="U51" s="11" cm="1">
        <f t="array" ref="U51">maxDepthToMinSOC($L$8,$L$9,P51,Q51,$O51,$G$5,$G$6,drivePower($C$4,$M51,$G51,$C$10,$C$11),$I51,$G51,$G$4,$C$8)</f>
        <v>8585.2503411471844</v>
      </c>
      <c r="V51" s="81" cm="1">
        <f t="array" ref="V51">maxDepthToMinSOC($L$8,$L$9,$L$6,$L$7,$O51*(1-R51),$G$5,$G$6,drivePower($C$4,$M51,$G51,$C$10,$C$11),$I51,$G51,$G$4,$C$8)</f>
        <v>15085.800599455833</v>
      </c>
    </row>
    <row r="52" spans="7:22" x14ac:dyDescent="0.35">
      <c r="G52" s="55">
        <f t="shared" si="1"/>
        <v>0.25</v>
      </c>
      <c r="H52" s="57" cm="1">
        <f t="array" ref="H52">drivePower($C$4,$C$5,G52,$C$10,$C$11)</f>
        <v>19.6038</v>
      </c>
      <c r="I52" s="74">
        <f t="shared" si="16"/>
        <v>24.679160599999999</v>
      </c>
      <c r="J52" s="74">
        <f t="shared" si="17"/>
        <v>44.282960599999996</v>
      </c>
      <c r="K52" s="56">
        <f t="shared" si="20"/>
        <v>428600</v>
      </c>
      <c r="L52" s="55">
        <f t="shared" si="18"/>
        <v>23.138181818181817</v>
      </c>
      <c r="M52" s="57">
        <f t="shared" si="9"/>
        <v>35.451999999999998</v>
      </c>
      <c r="N52" s="57" cm="1">
        <f t="array" ref="N52">drivePower($C$4,M52,$C$9,$C$10,$C$11)</f>
        <v>66.95419176</v>
      </c>
      <c r="O52" s="76">
        <f t="shared" si="19"/>
        <v>28544.760000000002</v>
      </c>
      <c r="P52" s="78">
        <f t="shared" si="5"/>
        <v>-1.08E-4</v>
      </c>
      <c r="Q52" s="79">
        <f t="shared" si="6"/>
        <v>0.82280000000000009</v>
      </c>
      <c r="R52" s="85">
        <v>0.15</v>
      </c>
      <c r="S52" s="82">
        <f t="shared" si="7"/>
        <v>428600</v>
      </c>
      <c r="T52" s="80" cm="1">
        <f t="array" ref="T52">maxDepthToMinSOC($L$8,$L$9,$L$6,$L$7,$O52,$G$5,$G$6,drivePower($C$4,$M52,$G52,$C$10,$C$11),$I52,$G52,$G$4,$C$8)</f>
        <v>17183.400682806969</v>
      </c>
      <c r="U52" s="11" cm="1">
        <f t="array" ref="U52">maxDepthToMinSOC($L$8,$L$9,P52,Q52,$O52,$G$5,$G$6,drivePower($C$4,$M52,$G52,$C$10,$C$11),$I52,$G52,$G$4,$C$8)</f>
        <v>8699.5503456890583</v>
      </c>
      <c r="V52" s="81" cm="1">
        <f t="array" ref="V52">maxDepthToMinSOC($L$8,$L$9,$L$6,$L$7,$O52*(1-R52),$G$5,$G$6,drivePower($C$4,$M52,$G52,$C$10,$C$11),$I52,$G52,$G$4,$C$8)</f>
        <v>15452.400614023209</v>
      </c>
    </row>
    <row r="53" spans="7:22" x14ac:dyDescent="0.35">
      <c r="G53" s="55">
        <f t="shared" si="1"/>
        <v>0.25</v>
      </c>
      <c r="H53" s="57" cm="1">
        <f t="array" ref="H53">drivePower($C$4,$C$5,G53,$C$10,$C$11)</f>
        <v>19.6038</v>
      </c>
      <c r="I53" s="74">
        <f t="shared" si="16"/>
        <v>24.679160599999999</v>
      </c>
      <c r="J53" s="74">
        <f t="shared" si="17"/>
        <v>44.282960599999996</v>
      </c>
      <c r="K53" s="56">
        <f t="shared" si="20"/>
        <v>458600</v>
      </c>
      <c r="L53" s="55">
        <f t="shared" si="18"/>
        <v>24.774545454545454</v>
      </c>
      <c r="M53" s="57">
        <f t="shared" si="9"/>
        <v>37.252000000000002</v>
      </c>
      <c r="N53" s="57" cm="1">
        <f t="array" ref="N53">drivePower($C$4,M53,$C$9,$C$10,$C$11)</f>
        <v>70.302875760000006</v>
      </c>
      <c r="O53" s="76">
        <f t="shared" si="19"/>
        <v>30542.760000000002</v>
      </c>
      <c r="P53" s="78">
        <f t="shared" si="5"/>
        <v>-1.08E-4</v>
      </c>
      <c r="Q53" s="79">
        <f t="shared" si="6"/>
        <v>0.82280000000000009</v>
      </c>
      <c r="R53" s="85">
        <v>0.15</v>
      </c>
      <c r="S53" s="82">
        <f t="shared" si="7"/>
        <v>458600</v>
      </c>
      <c r="T53" s="80" cm="1">
        <f t="array" ref="T53">maxDepthToMinSOC($L$8,$L$9,$L$6,$L$7,$O53,$G$5,$G$6,drivePower($C$4,$M53,$G53,$C$10,$C$11),$I53,$G53,$G$4,$C$8)</f>
        <v>17532.60069668293</v>
      </c>
      <c r="U53" s="11" cm="1">
        <f t="array" ref="U53">maxDepthToMinSOC($L$8,$L$9,P53,Q53,$O53,$G$5,$G$6,drivePower($C$4,$M53,$G53,$C$10,$C$11),$I53,$G53,$G$4,$C$8)</f>
        <v>8801.4003497362137</v>
      </c>
      <c r="V53" s="81" cm="1">
        <f t="array" ref="V53">maxDepthToMinSOC($L$8,$L$9,$L$6,$L$7,$O53*(1-R53),$G$5,$G$6,drivePower($C$4,$M53,$G53,$C$10,$C$11),$I53,$G53,$G$4,$C$8)</f>
        <v>15785.5506272614</v>
      </c>
    </row>
    <row r="54" spans="7:22" x14ac:dyDescent="0.35">
      <c r="G54" s="55">
        <f t="shared" si="1"/>
        <v>0.25</v>
      </c>
      <c r="H54" s="57" cm="1">
        <f t="array" ref="H54">drivePower($C$4,$C$5,G54,$C$10,$C$11)</f>
        <v>19.6038</v>
      </c>
      <c r="I54" s="74">
        <f t="shared" si="16"/>
        <v>24.679160599999999</v>
      </c>
      <c r="J54" s="74">
        <f t="shared" si="17"/>
        <v>44.282960599999996</v>
      </c>
      <c r="K54" s="56">
        <f>K53+50000</f>
        <v>508600</v>
      </c>
      <c r="L54" s="55">
        <f t="shared" si="18"/>
        <v>27.50181818181818</v>
      </c>
      <c r="M54" s="57">
        <f t="shared" si="9"/>
        <v>40.251999999999995</v>
      </c>
      <c r="N54" s="57" cm="1">
        <f t="array" ref="N54">drivePower($C$4,M54,$C$9,$C$10,$C$11)</f>
        <v>75.884015759999983</v>
      </c>
      <c r="O54" s="76">
        <f t="shared" si="19"/>
        <v>33872.76</v>
      </c>
      <c r="P54" s="78">
        <f t="shared" si="5"/>
        <v>-1.08E-4</v>
      </c>
      <c r="Q54" s="79">
        <f t="shared" si="6"/>
        <v>0.82280000000000009</v>
      </c>
      <c r="R54" s="85">
        <v>0.15</v>
      </c>
      <c r="S54" s="82">
        <f t="shared" si="7"/>
        <v>508600</v>
      </c>
      <c r="T54" s="80" cm="1">
        <f t="array" ref="T54">maxDepthToMinSOC($L$8,$L$9,$L$6,$L$7,$O54,$G$5,$G$6,drivePower($C$4,$M54,$G54,$C$10,$C$11),$I54,$G54,$G$4,$C$8)</f>
        <v>18047.550717145205</v>
      </c>
      <c r="U54" s="11" cm="1">
        <f t="array" ref="U54">maxDepthToMinSOC($L$8,$L$9,P54,Q54,$O54,$G$5,$G$6,drivePower($C$4,$M54,$G54,$C$10,$C$11),$I54,$G54,$G$4,$C$8)</f>
        <v>8948.4003555774689</v>
      </c>
      <c r="V54" s="81" cm="1">
        <f t="array" ref="V54">maxDepthToMinSOC($L$8,$L$9,$L$6,$L$7,$O54*(1-R54),$G$5,$G$6,drivePower($C$4,$M54,$G54,$C$10,$C$11),$I54,$G54,$G$4,$C$8)</f>
        <v>16278.300646841526</v>
      </c>
    </row>
    <row r="55" spans="7:22" x14ac:dyDescent="0.35">
      <c r="G55" s="55">
        <f t="shared" si="1"/>
        <v>0.25</v>
      </c>
      <c r="H55" s="57" cm="1">
        <f t="array" ref="H55">drivePower($C$4,$C$5,G55,$C$10,$C$11)</f>
        <v>19.6038</v>
      </c>
      <c r="I55" s="74">
        <f t="shared" si="16"/>
        <v>24.679160599999999</v>
      </c>
      <c r="J55" s="74">
        <f t="shared" si="17"/>
        <v>44.282960599999996</v>
      </c>
      <c r="K55" s="56">
        <f t="shared" ref="K55:K56" si="21">K54+50000</f>
        <v>558600</v>
      </c>
      <c r="L55" s="55">
        <f t="shared" si="18"/>
        <v>30.22909090909091</v>
      </c>
      <c r="M55" s="57">
        <f t="shared" si="9"/>
        <v>43.252000000000002</v>
      </c>
      <c r="N55" s="57" cm="1">
        <f t="array" ref="N55">drivePower($C$4,M55,$C$9,$C$10,$C$11)</f>
        <v>81.465155760000002</v>
      </c>
      <c r="O55" s="76">
        <f t="shared" si="19"/>
        <v>37202.76</v>
      </c>
      <c r="P55" s="78">
        <f t="shared" si="5"/>
        <v>-1.08E-4</v>
      </c>
      <c r="Q55" s="79">
        <f t="shared" si="6"/>
        <v>0.82280000000000009</v>
      </c>
      <c r="R55" s="85">
        <v>0.15</v>
      </c>
      <c r="S55" s="82">
        <f t="shared" si="7"/>
        <v>558600</v>
      </c>
      <c r="T55" s="80" cm="1">
        <f t="array" ref="T55">maxDepthToMinSOC($L$8,$L$9,$L$6,$L$7,$O55,$G$5,$G$6,drivePower($C$4,$M55,$G55,$C$10,$C$11),$I55,$G55,$G$4,$C$8)</f>
        <v>18493.350734859705</v>
      </c>
      <c r="U55" s="11" cm="1">
        <f t="array" ref="U55">maxDepthToMinSOC($L$8,$L$9,P55,Q55,$O55,$G$5,$G$6,drivePower($C$4,$M55,$G55,$C$10,$C$11),$I55,$G55,$G$4,$C$8)</f>
        <v>9072.7503605186939</v>
      </c>
      <c r="V55" s="81" cm="1">
        <f t="array" ref="V55">maxDepthToMinSOC($L$8,$L$9,$L$6,$L$7,$O55*(1-R55),$G$5,$G$6,drivePower($C$4,$M55,$G55,$C$10,$C$11),$I55,$G55,$G$4,$C$8)</f>
        <v>16706.250663846731</v>
      </c>
    </row>
    <row r="56" spans="7:22" x14ac:dyDescent="0.35">
      <c r="G56" s="55">
        <f t="shared" si="1"/>
        <v>0.25</v>
      </c>
      <c r="H56" s="57" cm="1">
        <f t="array" ref="H56">drivePower($C$4,$C$5,G56,$C$10,$C$11)</f>
        <v>19.6038</v>
      </c>
      <c r="I56" s="74">
        <f t="shared" si="16"/>
        <v>24.679160599999999</v>
      </c>
      <c r="J56" s="74">
        <f t="shared" si="17"/>
        <v>44.282960599999996</v>
      </c>
      <c r="K56" s="56">
        <f t="shared" si="21"/>
        <v>608600</v>
      </c>
      <c r="L56" s="55">
        <f t="shared" si="18"/>
        <v>32.956363636363633</v>
      </c>
      <c r="M56" s="57">
        <f t="shared" si="9"/>
        <v>46.252000000000002</v>
      </c>
      <c r="N56" s="57" cm="1">
        <f t="array" ref="N56">drivePower($C$4,M56,$C$9,$C$10,$C$11)</f>
        <v>87.046295760000007</v>
      </c>
      <c r="O56" s="76">
        <f t="shared" si="19"/>
        <v>40532.76</v>
      </c>
      <c r="P56" s="78">
        <f t="shared" si="5"/>
        <v>-1.08E-4</v>
      </c>
      <c r="Q56" s="79">
        <f t="shared" si="6"/>
        <v>0.82280000000000009</v>
      </c>
      <c r="R56" s="85">
        <v>0.15</v>
      </c>
      <c r="S56" s="82">
        <f t="shared" si="7"/>
        <v>608600</v>
      </c>
      <c r="T56" s="80" cm="1">
        <f t="array" ref="T56">maxDepthToMinSOC($L$8,$L$9,$L$6,$L$7,$O56,$G$5,$G$6,drivePower($C$4,$M56,$G56,$C$10,$C$11),$I56,$G56,$G$4,$C$8)</f>
        <v>18882.900750339031</v>
      </c>
      <c r="U56" s="11" cm="1">
        <f t="array" ref="U56">maxDepthToMinSOC($L$8,$L$9,P56,Q56,$O56,$G$5,$G$6,drivePower($C$4,$M56,$G56,$C$10,$C$11),$I56,$G56,$G$4,$C$8)</f>
        <v>9179.4003647565842</v>
      </c>
      <c r="V56" s="81" cm="1">
        <f t="array" ref="V56">maxDepthToMinSOC($L$8,$L$9,$L$6,$L$7,$O56*(1-R56),$G$5,$G$6,drivePower($C$4,$M56,$G56,$C$10,$C$11),$I56,$G56,$G$4,$C$8)</f>
        <v>17081.250678747892</v>
      </c>
    </row>
  </sheetData>
  <mergeCells count="3">
    <mergeCell ref="B2:F2"/>
    <mergeCell ref="P16:Q16"/>
    <mergeCell ref="S16:V16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3" t="s">
        <v>23</v>
      </c>
      <c r="B2" s="6"/>
      <c r="C2" s="6"/>
      <c r="D2" s="6"/>
      <c r="I2" s="6"/>
    </row>
    <row r="3" spans="1:9" ht="59" x14ac:dyDescent="0.45">
      <c r="A3" s="14" t="s">
        <v>24</v>
      </c>
      <c r="B3" s="15" t="s">
        <v>25</v>
      </c>
      <c r="C3" s="16" t="s">
        <v>26</v>
      </c>
      <c r="D3" s="16" t="s">
        <v>27</v>
      </c>
      <c r="E3" s="17" t="s">
        <v>28</v>
      </c>
      <c r="F3" s="16" t="s">
        <v>29</v>
      </c>
      <c r="G3" s="18" t="s">
        <v>30</v>
      </c>
      <c r="H3" s="16" t="s">
        <v>31</v>
      </c>
      <c r="I3" s="19" t="s">
        <v>32</v>
      </c>
    </row>
    <row r="4" spans="1:9" x14ac:dyDescent="0.35">
      <c r="A4" s="20" t="s">
        <v>33</v>
      </c>
      <c r="B4" s="21" t="s">
        <v>34</v>
      </c>
      <c r="C4" s="2"/>
      <c r="D4" s="2"/>
      <c r="E4" s="22">
        <v>6</v>
      </c>
      <c r="F4" s="23">
        <v>0.95</v>
      </c>
      <c r="G4" s="24">
        <f t="shared" ref="G4:G9" si="0">(1-F4)*E4</f>
        <v>0.30000000000000027</v>
      </c>
      <c r="H4" s="3">
        <v>0</v>
      </c>
      <c r="I4" s="25"/>
    </row>
    <row r="5" spans="1:9" x14ac:dyDescent="0.35">
      <c r="A5" s="8"/>
      <c r="B5" s="26" t="s">
        <v>35</v>
      </c>
      <c r="C5" s="2"/>
      <c r="D5" s="2"/>
      <c r="E5" s="22">
        <f>E4</f>
        <v>6</v>
      </c>
      <c r="F5" s="23">
        <v>0.95</v>
      </c>
      <c r="G5" s="24">
        <f t="shared" si="0"/>
        <v>0.30000000000000027</v>
      </c>
      <c r="H5" s="3">
        <v>1</v>
      </c>
      <c r="I5" s="25"/>
    </row>
    <row r="6" spans="1:9" x14ac:dyDescent="0.35">
      <c r="A6" s="8"/>
      <c r="B6" s="26" t="s">
        <v>36</v>
      </c>
      <c r="C6" s="2"/>
      <c r="D6" s="2"/>
      <c r="E6" s="22">
        <f>E5</f>
        <v>6</v>
      </c>
      <c r="F6" s="23">
        <v>0.95</v>
      </c>
      <c r="G6" s="24">
        <f t="shared" si="0"/>
        <v>0.30000000000000027</v>
      </c>
      <c r="H6" s="3">
        <v>1</v>
      </c>
      <c r="I6" s="25"/>
    </row>
    <row r="7" spans="1:9" x14ac:dyDescent="0.35">
      <c r="A7" s="8"/>
      <c r="B7" s="26" t="s">
        <v>37</v>
      </c>
      <c r="C7" s="2"/>
      <c r="D7" s="2"/>
      <c r="E7" s="22">
        <v>0</v>
      </c>
      <c r="F7" s="23">
        <v>0.95</v>
      </c>
      <c r="G7" s="24">
        <f t="shared" si="0"/>
        <v>0</v>
      </c>
      <c r="H7" s="3">
        <v>0</v>
      </c>
      <c r="I7" s="25"/>
    </row>
    <row r="8" spans="1:9" x14ac:dyDescent="0.35">
      <c r="A8" s="8"/>
      <c r="B8" s="26" t="s">
        <v>38</v>
      </c>
      <c r="C8" s="2"/>
      <c r="D8" s="2"/>
      <c r="E8" s="22">
        <f>E7</f>
        <v>0</v>
      </c>
      <c r="F8" s="23">
        <v>0.95</v>
      </c>
      <c r="G8" s="24">
        <f t="shared" si="0"/>
        <v>0</v>
      </c>
      <c r="H8" s="3">
        <v>1</v>
      </c>
      <c r="I8" s="25"/>
    </row>
    <row r="9" spans="1:9" x14ac:dyDescent="0.35">
      <c r="A9" s="8"/>
      <c r="B9" s="26" t="s">
        <v>39</v>
      </c>
      <c r="C9" s="2"/>
      <c r="D9" s="2"/>
      <c r="E9" s="22">
        <f>E8</f>
        <v>0</v>
      </c>
      <c r="F9" s="23">
        <v>0.95</v>
      </c>
      <c r="G9" s="24">
        <f t="shared" si="0"/>
        <v>0</v>
      </c>
      <c r="H9" s="3">
        <v>1</v>
      </c>
      <c r="I9" s="25"/>
    </row>
    <row r="10" spans="1:9" x14ac:dyDescent="0.35">
      <c r="A10" s="8"/>
      <c r="B10" s="26" t="s">
        <v>40</v>
      </c>
      <c r="C10" s="2"/>
      <c r="D10" s="2"/>
      <c r="E10" s="27"/>
      <c r="F10" s="23"/>
      <c r="G10" s="24"/>
      <c r="H10" s="3"/>
      <c r="I10" s="25"/>
    </row>
    <row r="11" spans="1:9" x14ac:dyDescent="0.35">
      <c r="A11" s="8"/>
      <c r="B11" s="3"/>
      <c r="C11" s="3"/>
      <c r="D11" s="3"/>
      <c r="G11" s="5"/>
      <c r="H11" s="3"/>
      <c r="I11" s="25"/>
    </row>
    <row r="12" spans="1:9" ht="58" x14ac:dyDescent="0.35">
      <c r="A12" s="20" t="s">
        <v>41</v>
      </c>
      <c r="B12" s="26" t="s">
        <v>42</v>
      </c>
      <c r="C12" s="2"/>
      <c r="D12" s="2"/>
      <c r="E12" s="27">
        <v>2.5</v>
      </c>
      <c r="F12" s="23">
        <v>0</v>
      </c>
      <c r="G12" s="24">
        <f t="shared" ref="G12:G17" si="1">(1-F12)*E12</f>
        <v>2.5</v>
      </c>
      <c r="H12" s="3">
        <v>0</v>
      </c>
      <c r="I12" s="25" t="s">
        <v>43</v>
      </c>
    </row>
    <row r="13" spans="1:9" ht="29" x14ac:dyDescent="0.35">
      <c r="A13" s="8"/>
      <c r="B13" s="26" t="s">
        <v>44</v>
      </c>
      <c r="C13" s="3">
        <v>3.3</v>
      </c>
      <c r="D13" s="2"/>
      <c r="E13" s="27">
        <f>E12</f>
        <v>2.5</v>
      </c>
      <c r="F13" s="23">
        <v>0.95</v>
      </c>
      <c r="G13" s="24">
        <f t="shared" si="1"/>
        <v>0.12500000000000011</v>
      </c>
      <c r="H13" s="3">
        <v>1</v>
      </c>
      <c r="I13" s="25" t="s">
        <v>45</v>
      </c>
    </row>
    <row r="14" spans="1:9" ht="29" x14ac:dyDescent="0.35">
      <c r="B14" s="26" t="s">
        <v>46</v>
      </c>
      <c r="C14" s="3">
        <v>3.3</v>
      </c>
      <c r="D14" s="3">
        <f>12.23/1000</f>
        <v>1.2230000000000001E-2</v>
      </c>
      <c r="E14" s="27">
        <f>C14*D14</f>
        <v>4.0358999999999999E-2</v>
      </c>
      <c r="F14" s="23">
        <v>0</v>
      </c>
      <c r="G14" s="24">
        <f t="shared" si="1"/>
        <v>4.0358999999999999E-2</v>
      </c>
      <c r="H14" s="3">
        <v>0</v>
      </c>
      <c r="I14" s="25" t="s">
        <v>47</v>
      </c>
    </row>
    <row r="15" spans="1:9" x14ac:dyDescent="0.35">
      <c r="B15" s="26" t="s">
        <v>48</v>
      </c>
      <c r="C15" s="3"/>
      <c r="D15" s="3"/>
      <c r="E15" s="27"/>
      <c r="F15" s="23">
        <v>0</v>
      </c>
      <c r="G15" s="24">
        <f t="shared" si="1"/>
        <v>0</v>
      </c>
      <c r="H15" s="3">
        <v>0</v>
      </c>
      <c r="I15" s="25"/>
    </row>
    <row r="16" spans="1:9" ht="58" x14ac:dyDescent="0.35">
      <c r="B16" s="26" t="s">
        <v>49</v>
      </c>
      <c r="C16" s="3">
        <v>3.3</v>
      </c>
      <c r="D16" s="3">
        <f>(6)/1000000</f>
        <v>6.0000000000000002E-6</v>
      </c>
      <c r="E16" s="28">
        <f>C16*12*D16+6*C16*180/1000000</f>
        <v>3.8015999999999996E-3</v>
      </c>
      <c r="F16" s="23">
        <v>0</v>
      </c>
      <c r="G16" s="24">
        <f t="shared" si="1"/>
        <v>3.8015999999999996E-3</v>
      </c>
      <c r="H16" s="3">
        <v>0</v>
      </c>
      <c r="I16" s="25" t="s">
        <v>50</v>
      </c>
    </row>
    <row r="17" spans="1:9" ht="29" x14ac:dyDescent="0.35">
      <c r="B17" s="26" t="s">
        <v>51</v>
      </c>
      <c r="C17" s="3"/>
      <c r="D17" s="3"/>
      <c r="E17" s="27">
        <f>10/1000</f>
        <v>0.01</v>
      </c>
      <c r="F17" s="23">
        <v>0</v>
      </c>
      <c r="G17" s="24">
        <f t="shared" si="1"/>
        <v>0.01</v>
      </c>
      <c r="H17" s="3">
        <v>0</v>
      </c>
      <c r="I17" s="25" t="s">
        <v>52</v>
      </c>
    </row>
    <row r="18" spans="1:9" x14ac:dyDescent="0.35">
      <c r="B18" s="26"/>
      <c r="C18" s="3"/>
      <c r="D18" s="3"/>
      <c r="F18" s="29"/>
      <c r="G18" s="5"/>
      <c r="I18" s="6"/>
    </row>
    <row r="19" spans="1:9" x14ac:dyDescent="0.35">
      <c r="A19" s="4" t="s">
        <v>79</v>
      </c>
      <c r="B19" s="26"/>
      <c r="C19" s="3"/>
      <c r="D19" s="3"/>
      <c r="E19" s="3"/>
      <c r="F19" s="23"/>
      <c r="G19" s="30">
        <v>2</v>
      </c>
      <c r="H19" s="3"/>
      <c r="I19" s="25"/>
    </row>
    <row r="20" spans="1:9" x14ac:dyDescent="0.35">
      <c r="B20" s="26"/>
      <c r="C20" s="3"/>
      <c r="D20" s="3"/>
      <c r="F20" s="29"/>
      <c r="G20" s="5"/>
      <c r="I20" s="6"/>
    </row>
    <row r="21" spans="1:9" x14ac:dyDescent="0.35">
      <c r="B21" s="26"/>
      <c r="C21" s="3"/>
      <c r="D21" s="3"/>
      <c r="F21" s="29"/>
      <c r="G21" s="5"/>
      <c r="I21" s="6"/>
    </row>
    <row r="22" spans="1:9" x14ac:dyDescent="0.35">
      <c r="B22" s="26"/>
      <c r="C22" s="3"/>
      <c r="D22" s="3"/>
      <c r="F22" s="29"/>
      <c r="G22" s="5"/>
      <c r="I22" s="6"/>
    </row>
    <row r="23" spans="1:9" x14ac:dyDescent="0.35">
      <c r="B23" s="26"/>
      <c r="C23" s="3"/>
      <c r="D23" s="3"/>
      <c r="F23" s="29"/>
      <c r="G23" s="5"/>
      <c r="I23" s="6"/>
    </row>
    <row r="24" spans="1:9" x14ac:dyDescent="0.35">
      <c r="B24" s="26"/>
      <c r="C24" s="3"/>
      <c r="D24" s="3"/>
      <c r="F24" s="29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6" t="s">
        <v>54</v>
      </c>
      <c r="C26" s="2"/>
      <c r="D26" s="2"/>
      <c r="E26" s="27">
        <v>30</v>
      </c>
      <c r="F26" s="23">
        <v>0.95</v>
      </c>
      <c r="G26" s="30">
        <f t="shared" ref="G26:G28" si="2">(1-F26)*E26</f>
        <v>1.5000000000000013</v>
      </c>
      <c r="I26" s="6"/>
    </row>
    <row r="27" spans="1:9" x14ac:dyDescent="0.35">
      <c r="B27" s="26" t="s">
        <v>55</v>
      </c>
      <c r="C27" s="2"/>
      <c r="D27" s="2"/>
      <c r="E27" s="27">
        <v>30</v>
      </c>
      <c r="F27" s="23">
        <v>0.95</v>
      </c>
      <c r="G27" s="30">
        <f t="shared" si="2"/>
        <v>1.5000000000000013</v>
      </c>
      <c r="I27" s="6"/>
    </row>
    <row r="28" spans="1:9" x14ac:dyDescent="0.35">
      <c r="B28" s="26" t="s">
        <v>56</v>
      </c>
      <c r="C28" s="2"/>
      <c r="D28" s="2"/>
      <c r="E28" s="27">
        <v>30</v>
      </c>
      <c r="F28" s="23">
        <v>0.95</v>
      </c>
      <c r="G28" s="3">
        <f t="shared" si="2"/>
        <v>1.5000000000000013</v>
      </c>
      <c r="I28" s="6"/>
    </row>
    <row r="29" spans="1:9" ht="15" thickBot="1" x14ac:dyDescent="0.4">
      <c r="F29" s="31"/>
      <c r="G29" s="32" t="s">
        <v>57</v>
      </c>
      <c r="I29" s="6"/>
    </row>
    <row r="30" spans="1:9" ht="15" thickBot="1" x14ac:dyDescent="0.4">
      <c r="B30" s="33" t="s">
        <v>58</v>
      </c>
      <c r="C30" s="34">
        <f>E26+SUM(G27:G28)</f>
        <v>33</v>
      </c>
      <c r="D30" s="35" t="s">
        <v>59</v>
      </c>
      <c r="E30" s="36" t="e">
        <f>C30/x!$H$8</f>
        <v>#VALUE!</v>
      </c>
      <c r="F30" s="35" t="s">
        <v>60</v>
      </c>
      <c r="G30" s="34">
        <f>SUM(G26:G29)</f>
        <v>4.5000000000000036</v>
      </c>
      <c r="H30" s="37" t="s">
        <v>59</v>
      </c>
      <c r="I30" s="6"/>
    </row>
    <row r="31" spans="1:9" ht="15" thickBot="1" x14ac:dyDescent="0.4">
      <c r="B31" s="38" t="s">
        <v>61</v>
      </c>
      <c r="C31" s="30">
        <f>E4+E7+SUM(G5:G6,G8:G9)</f>
        <v>6.6000000000000005</v>
      </c>
      <c r="D31" s="3" t="s">
        <v>59</v>
      </c>
      <c r="E31" s="36" t="e">
        <f>C31/x!$H$8</f>
        <v>#VALUE!</v>
      </c>
      <c r="F31" s="3" t="s">
        <v>60</v>
      </c>
      <c r="G31" s="30">
        <f>SUM(G4:G9)</f>
        <v>0.9000000000000008</v>
      </c>
      <c r="H31" s="39" t="s">
        <v>59</v>
      </c>
      <c r="I31" s="6"/>
    </row>
    <row r="32" spans="1:9" ht="15" thickBot="1" x14ac:dyDescent="0.4">
      <c r="B32" s="40" t="s">
        <v>62</v>
      </c>
      <c r="C32" s="41">
        <f>SUM(G12:G20)</f>
        <v>4.6791605999999994</v>
      </c>
      <c r="D32" s="42" t="s">
        <v>59</v>
      </c>
      <c r="E32" s="36" t="e">
        <f>C32/x!$H$8</f>
        <v>#VALUE!</v>
      </c>
      <c r="F32" s="42" t="s">
        <v>60</v>
      </c>
      <c r="G32" s="41">
        <f>SUM(G12:G17)</f>
        <v>2.6791605999999999</v>
      </c>
      <c r="H32" s="43" t="s">
        <v>59</v>
      </c>
      <c r="I32" s="6"/>
    </row>
    <row r="33" spans="2:9" ht="15" thickBot="1" x14ac:dyDescent="0.4">
      <c r="B33" s="44" t="s">
        <v>63</v>
      </c>
      <c r="C33" s="45">
        <f>SUM(C30:C31)</f>
        <v>39.6</v>
      </c>
      <c r="D33" s="46" t="s">
        <v>59</v>
      </c>
      <c r="E33" s="36" t="e">
        <f>C33/x!$H$8</f>
        <v>#VALUE!</v>
      </c>
      <c r="F33" s="46" t="s">
        <v>60</v>
      </c>
      <c r="G33" s="45">
        <f>SUM(G30:G31)</f>
        <v>5.4000000000000039</v>
      </c>
      <c r="H33" s="47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Depth vs Battery Pluto</vt:lpstr>
      <vt:lpstr>x</vt:lpstr>
      <vt:lpstr>xx</vt:lpstr>
      <vt:lpstr>xxx</vt:lpstr>
      <vt:lpstr>xxxx</vt:lpstr>
      <vt:lpstr>xxxxx</vt:lpstr>
      <vt:lpstr>xxxxxx</vt:lpstr>
      <vt:lpstr>Pluto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dcterms:created xsi:type="dcterms:W3CDTF">2015-06-05T18:17:20Z</dcterms:created>
  <dcterms:modified xsi:type="dcterms:W3CDTF">2023-10-06T04:05:55Z</dcterms:modified>
</cp:coreProperties>
</file>