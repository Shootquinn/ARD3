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roject Junk/Tom/"/>
    </mc:Choice>
  </mc:AlternateContent>
  <xr:revisionPtr revIDLastSave="124" documentId="8_{966BC962-489F-4B98-A0A7-0BBF102CD0A5}" xr6:coauthVersionLast="47" xr6:coauthVersionMax="47" xr10:uidLastSave="{DB72EC4B-56AF-4925-9C81-6385331D2149}"/>
  <bookViews>
    <workbookView xWindow="-110" yWindow="-110" windowWidth="19420" windowHeight="10420" firstSheet="7" activeTab="8" xr2:uid="{F10BE696-5501-46F1-ACB5-1C34F3A632C9}"/>
  </bookViews>
  <sheets>
    <sheet name="Drilling Summary" sheetId="2" r:id="rId1"/>
    <sheet name="Operating Loads" sheetId="7" r:id="rId2"/>
    <sheet name="Graph Data" sheetId="6" r:id="rId3"/>
    <sheet name="Power Draw Plot" sheetId="8" r:id="rId4"/>
    <sheet name="Back of Envelope Graphs" sheetId="9" r:id="rId5"/>
    <sheet name="Depth vs Battery Mars" sheetId="11" r:id="rId6"/>
    <sheet name="Depth vs Battery Encel" sheetId="15" r:id="rId7"/>
    <sheet name="Depth vs Battery Europa" sheetId="18" r:id="rId8"/>
    <sheet name="Chart2" sheetId="17" r:id="rId9"/>
    <sheet name="Chart1" sheetId="16" r:id="rId10"/>
    <sheet name="Chart1 (2)" sheetId="19" r:id="rId11"/>
    <sheet name="Chart1 (3)" sheetId="20" r:id="rId12"/>
    <sheet name="Chart1 (4)" sheetId="2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2" i="18" l="1"/>
  <c r="P212" i="18"/>
  <c r="G212" i="18"/>
  <c r="Q211" i="18"/>
  <c r="P211" i="18"/>
  <c r="G211" i="18"/>
  <c r="Q210" i="18"/>
  <c r="P210" i="18"/>
  <c r="G210" i="18"/>
  <c r="Q209" i="18"/>
  <c r="P209" i="18"/>
  <c r="G209" i="18"/>
  <c r="Q208" i="18"/>
  <c r="P208" i="18"/>
  <c r="G208" i="18"/>
  <c r="Q207" i="18"/>
  <c r="P207" i="18"/>
  <c r="G207" i="18"/>
  <c r="Q206" i="18"/>
  <c r="P206" i="18"/>
  <c r="G206" i="18"/>
  <c r="Q205" i="18"/>
  <c r="P205" i="18"/>
  <c r="G205" i="18"/>
  <c r="Q204" i="18"/>
  <c r="P204" i="18"/>
  <c r="G204" i="18"/>
  <c r="Q203" i="18"/>
  <c r="P203" i="18"/>
  <c r="G203" i="18"/>
  <c r="Q202" i="18"/>
  <c r="P202" i="18"/>
  <c r="G202" i="18"/>
  <c r="Q201" i="18"/>
  <c r="P201" i="18"/>
  <c r="G201" i="18"/>
  <c r="Q200" i="18"/>
  <c r="P200" i="18"/>
  <c r="G200" i="18"/>
  <c r="Q199" i="18"/>
  <c r="P199" i="18"/>
  <c r="G199" i="18"/>
  <c r="Q198" i="18"/>
  <c r="P198" i="18"/>
  <c r="G198" i="18"/>
  <c r="Q197" i="18"/>
  <c r="P197" i="18"/>
  <c r="G197" i="18"/>
  <c r="Q196" i="18"/>
  <c r="P196" i="18"/>
  <c r="G196" i="18"/>
  <c r="Q195" i="18"/>
  <c r="P195" i="18"/>
  <c r="G195" i="18"/>
  <c r="Q194" i="18"/>
  <c r="P194" i="18"/>
  <c r="G194" i="18"/>
  <c r="Q193" i="18"/>
  <c r="P193" i="18"/>
  <c r="G193" i="18"/>
  <c r="Q192" i="18"/>
  <c r="P192" i="18"/>
  <c r="G192" i="18"/>
  <c r="Q191" i="18"/>
  <c r="P191" i="18"/>
  <c r="G191" i="18"/>
  <c r="Q190" i="18"/>
  <c r="P190" i="18"/>
  <c r="G190" i="18"/>
  <c r="Q189" i="18"/>
  <c r="P189" i="18"/>
  <c r="G189" i="18"/>
  <c r="Q188" i="18"/>
  <c r="P188" i="18"/>
  <c r="G188" i="18"/>
  <c r="Q187" i="18"/>
  <c r="P187" i="18"/>
  <c r="G187" i="18"/>
  <c r="Q186" i="18"/>
  <c r="P186" i="18"/>
  <c r="G186" i="18"/>
  <c r="Q185" i="18"/>
  <c r="P185" i="18"/>
  <c r="G185" i="18"/>
  <c r="Q184" i="18"/>
  <c r="P184" i="18"/>
  <c r="G184" i="18"/>
  <c r="Q183" i="18"/>
  <c r="P183" i="18"/>
  <c r="G183" i="18"/>
  <c r="Q182" i="18"/>
  <c r="P182" i="18"/>
  <c r="G182" i="18"/>
  <c r="Q181" i="18"/>
  <c r="P181" i="18"/>
  <c r="G181" i="18"/>
  <c r="Q180" i="18"/>
  <c r="P180" i="18"/>
  <c r="G180" i="18"/>
  <c r="Q179" i="18"/>
  <c r="P179" i="18"/>
  <c r="G179" i="18"/>
  <c r="Q178" i="18"/>
  <c r="P178" i="18"/>
  <c r="G178" i="18"/>
  <c r="Q177" i="18"/>
  <c r="P177" i="18"/>
  <c r="G177" i="18"/>
  <c r="Q176" i="18"/>
  <c r="P176" i="18"/>
  <c r="G176" i="18"/>
  <c r="Q175" i="18"/>
  <c r="P175" i="18"/>
  <c r="G175" i="18"/>
  <c r="Q174" i="18"/>
  <c r="P174" i="18"/>
  <c r="G174" i="18"/>
  <c r="Q173" i="18"/>
  <c r="P173" i="18"/>
  <c r="G173" i="18"/>
  <c r="Q172" i="18"/>
  <c r="P172" i="18"/>
  <c r="G172" i="18"/>
  <c r="Q171" i="18"/>
  <c r="P171" i="18"/>
  <c r="G171" i="18"/>
  <c r="Q170" i="18"/>
  <c r="P170" i="18"/>
  <c r="G170" i="18"/>
  <c r="Q169" i="18"/>
  <c r="P169" i="18"/>
  <c r="G169" i="18"/>
  <c r="Q168" i="18"/>
  <c r="P168" i="18"/>
  <c r="G168" i="18"/>
  <c r="Q167" i="18"/>
  <c r="P167" i="18"/>
  <c r="G167" i="18"/>
  <c r="Q166" i="18"/>
  <c r="P166" i="18"/>
  <c r="G166" i="18"/>
  <c r="Q165" i="18"/>
  <c r="P165" i="18"/>
  <c r="G165" i="18"/>
  <c r="Q164" i="18"/>
  <c r="P164" i="18"/>
  <c r="G164" i="18"/>
  <c r="Q163" i="18"/>
  <c r="P163" i="18"/>
  <c r="G163" i="18"/>
  <c r="Q162" i="18"/>
  <c r="P162" i="18"/>
  <c r="G162" i="18"/>
  <c r="Q161" i="18"/>
  <c r="P161" i="18"/>
  <c r="G161" i="18"/>
  <c r="Q160" i="18"/>
  <c r="P160" i="18"/>
  <c r="G160" i="18"/>
  <c r="Q159" i="18"/>
  <c r="P159" i="18"/>
  <c r="G159" i="18"/>
  <c r="Q158" i="18"/>
  <c r="P158" i="18"/>
  <c r="G158" i="18"/>
  <c r="Q157" i="18"/>
  <c r="P157" i="18"/>
  <c r="G157" i="18"/>
  <c r="Q156" i="18"/>
  <c r="P156" i="18"/>
  <c r="G156" i="18"/>
  <c r="Q155" i="18"/>
  <c r="P155" i="18"/>
  <c r="G155" i="18"/>
  <c r="Q154" i="18"/>
  <c r="P154" i="18"/>
  <c r="G154" i="18"/>
  <c r="Q153" i="18"/>
  <c r="P153" i="18"/>
  <c r="G153" i="18"/>
  <c r="Q152" i="18"/>
  <c r="P152" i="18"/>
  <c r="G152" i="18"/>
  <c r="Q151" i="18"/>
  <c r="P151" i="18"/>
  <c r="G151" i="18"/>
  <c r="Q150" i="18"/>
  <c r="P150" i="18"/>
  <c r="G150" i="18"/>
  <c r="Q149" i="18"/>
  <c r="P149" i="18"/>
  <c r="G149" i="18"/>
  <c r="Q148" i="18"/>
  <c r="P148" i="18"/>
  <c r="G148" i="18"/>
  <c r="Q147" i="18"/>
  <c r="P147" i="18"/>
  <c r="G147" i="18"/>
  <c r="Q146" i="18"/>
  <c r="P146" i="18"/>
  <c r="G146" i="18"/>
  <c r="Q145" i="18"/>
  <c r="P145" i="18"/>
  <c r="G145" i="18"/>
  <c r="Q144" i="18"/>
  <c r="P144" i="18"/>
  <c r="G144" i="18"/>
  <c r="Q143" i="18"/>
  <c r="P143" i="18"/>
  <c r="G143" i="18"/>
  <c r="Q142" i="18"/>
  <c r="P142" i="18"/>
  <c r="G142" i="18"/>
  <c r="Q141" i="18"/>
  <c r="P141" i="18"/>
  <c r="G141" i="18"/>
  <c r="Q140" i="18"/>
  <c r="P140" i="18"/>
  <c r="G140" i="18"/>
  <c r="Q139" i="18"/>
  <c r="P139" i="18"/>
  <c r="G139" i="18"/>
  <c r="Q138" i="18"/>
  <c r="P138" i="18"/>
  <c r="G138" i="18"/>
  <c r="Q137" i="18"/>
  <c r="P137" i="18"/>
  <c r="G137" i="18"/>
  <c r="Q136" i="18"/>
  <c r="P136" i="18"/>
  <c r="G136" i="18"/>
  <c r="Q135" i="18"/>
  <c r="P135" i="18"/>
  <c r="G135" i="18"/>
  <c r="Q134" i="18"/>
  <c r="P134" i="18"/>
  <c r="G134" i="18"/>
  <c r="Q133" i="18"/>
  <c r="P133" i="18"/>
  <c r="G133" i="18"/>
  <c r="Q132" i="18"/>
  <c r="P132" i="18"/>
  <c r="G132" i="18"/>
  <c r="Q131" i="18"/>
  <c r="P131" i="18"/>
  <c r="G131" i="18"/>
  <c r="Q130" i="18"/>
  <c r="P130" i="18"/>
  <c r="G130" i="18"/>
  <c r="Q129" i="18"/>
  <c r="P129" i="18"/>
  <c r="G129" i="18"/>
  <c r="Q128" i="18"/>
  <c r="P128" i="18"/>
  <c r="G128" i="18"/>
  <c r="Q127" i="18"/>
  <c r="P127" i="18"/>
  <c r="G127" i="18"/>
  <c r="Q126" i="18"/>
  <c r="P126" i="18"/>
  <c r="G126" i="18"/>
  <c r="Q125" i="18"/>
  <c r="P125" i="18"/>
  <c r="G125" i="18"/>
  <c r="Q124" i="18"/>
  <c r="P124" i="18"/>
  <c r="G124" i="18"/>
  <c r="Q123" i="18"/>
  <c r="P123" i="18"/>
  <c r="G123" i="18"/>
  <c r="Q122" i="18"/>
  <c r="P122" i="18"/>
  <c r="G122" i="18"/>
  <c r="Q121" i="18"/>
  <c r="P121" i="18"/>
  <c r="G121" i="18"/>
  <c r="Q120" i="18"/>
  <c r="P120" i="18"/>
  <c r="G120" i="18"/>
  <c r="Q119" i="18"/>
  <c r="P119" i="18"/>
  <c r="G119" i="18"/>
  <c r="Q118" i="18"/>
  <c r="P118" i="18"/>
  <c r="G118" i="18"/>
  <c r="Q117" i="18"/>
  <c r="P117" i="18"/>
  <c r="G117" i="18"/>
  <c r="Q116" i="18"/>
  <c r="P116" i="18"/>
  <c r="G116" i="18"/>
  <c r="Q115" i="18"/>
  <c r="P115" i="18"/>
  <c r="G115" i="18"/>
  <c r="Q114" i="18"/>
  <c r="P114" i="18"/>
  <c r="G114" i="18"/>
  <c r="Q113" i="18"/>
  <c r="P113" i="18"/>
  <c r="G113" i="18"/>
  <c r="Q112" i="18"/>
  <c r="P112" i="18"/>
  <c r="G112" i="18"/>
  <c r="Q111" i="18"/>
  <c r="P111" i="18"/>
  <c r="G111" i="18"/>
  <c r="Q110" i="18"/>
  <c r="P110" i="18"/>
  <c r="G110" i="18"/>
  <c r="Q109" i="18"/>
  <c r="P109" i="18"/>
  <c r="G109" i="18"/>
  <c r="Q108" i="18"/>
  <c r="P108" i="18"/>
  <c r="G108" i="18"/>
  <c r="Q107" i="18"/>
  <c r="P107" i="18"/>
  <c r="G107" i="18"/>
  <c r="Q106" i="18"/>
  <c r="P106" i="18"/>
  <c r="G106" i="18"/>
  <c r="Q105" i="18"/>
  <c r="P105" i="18"/>
  <c r="G105" i="18"/>
  <c r="Q104" i="18"/>
  <c r="P104" i="18"/>
  <c r="G104" i="18"/>
  <c r="Q103" i="18"/>
  <c r="P103" i="18"/>
  <c r="G103" i="18"/>
  <c r="Q102" i="18"/>
  <c r="P102" i="18"/>
  <c r="G102" i="18"/>
  <c r="Q101" i="18"/>
  <c r="P101" i="18"/>
  <c r="G101" i="18"/>
  <c r="Q100" i="18"/>
  <c r="P100" i="18"/>
  <c r="G100" i="18"/>
  <c r="Q99" i="18"/>
  <c r="P99" i="18"/>
  <c r="G99" i="18"/>
  <c r="Q98" i="18"/>
  <c r="P98" i="18"/>
  <c r="G98" i="18"/>
  <c r="Q97" i="18"/>
  <c r="P97" i="18"/>
  <c r="G97" i="18"/>
  <c r="Q96" i="18"/>
  <c r="P96" i="18"/>
  <c r="G96" i="18"/>
  <c r="Q95" i="18"/>
  <c r="P95" i="18"/>
  <c r="G95" i="18"/>
  <c r="Q94" i="18"/>
  <c r="P94" i="18"/>
  <c r="G94" i="18"/>
  <c r="Q93" i="18"/>
  <c r="P93" i="18"/>
  <c r="G93" i="18"/>
  <c r="Q92" i="18"/>
  <c r="P92" i="18"/>
  <c r="G92" i="18"/>
  <c r="Q91" i="18"/>
  <c r="P91" i="18"/>
  <c r="G91" i="18"/>
  <c r="Q90" i="18"/>
  <c r="P90" i="18"/>
  <c r="G90" i="18"/>
  <c r="Q89" i="18"/>
  <c r="P89" i="18"/>
  <c r="G89" i="18"/>
  <c r="Q88" i="18"/>
  <c r="P88" i="18"/>
  <c r="G88" i="18"/>
  <c r="Q87" i="18"/>
  <c r="P87" i="18"/>
  <c r="G87" i="18"/>
  <c r="Q86" i="18"/>
  <c r="P86" i="18"/>
  <c r="G86" i="18"/>
  <c r="Q85" i="18"/>
  <c r="P85" i="18"/>
  <c r="G85" i="18"/>
  <c r="Q84" i="18"/>
  <c r="P84" i="18"/>
  <c r="G84" i="18"/>
  <c r="Q83" i="18"/>
  <c r="P83" i="18"/>
  <c r="G83" i="18"/>
  <c r="Q82" i="18"/>
  <c r="P82" i="18"/>
  <c r="G82" i="18"/>
  <c r="Q81" i="18"/>
  <c r="P81" i="18"/>
  <c r="G81" i="18"/>
  <c r="Q80" i="18"/>
  <c r="P80" i="18"/>
  <c r="G80" i="18"/>
  <c r="Q79" i="18"/>
  <c r="P79" i="18"/>
  <c r="G79" i="18"/>
  <c r="Q78" i="18"/>
  <c r="P78" i="18"/>
  <c r="G78" i="18"/>
  <c r="Q77" i="18"/>
  <c r="P77" i="18"/>
  <c r="G77" i="18"/>
  <c r="Q76" i="18"/>
  <c r="P76" i="18"/>
  <c r="G76" i="18"/>
  <c r="Q75" i="18"/>
  <c r="P75" i="18"/>
  <c r="G75" i="18"/>
  <c r="Q74" i="18"/>
  <c r="P74" i="18"/>
  <c r="G74" i="18"/>
  <c r="Q73" i="18"/>
  <c r="P73" i="18"/>
  <c r="G73" i="18"/>
  <c r="Q72" i="18"/>
  <c r="P72" i="18"/>
  <c r="G72" i="18"/>
  <c r="Q71" i="18"/>
  <c r="P71" i="18"/>
  <c r="G71" i="18"/>
  <c r="Q70" i="18"/>
  <c r="P70" i="18"/>
  <c r="G70" i="18"/>
  <c r="Q69" i="18"/>
  <c r="P69" i="18"/>
  <c r="G69" i="18"/>
  <c r="Q68" i="18"/>
  <c r="P68" i="18"/>
  <c r="G68" i="18"/>
  <c r="Q67" i="18"/>
  <c r="P67" i="18"/>
  <c r="G67" i="18"/>
  <c r="Q66" i="18"/>
  <c r="P66" i="18"/>
  <c r="G66" i="18"/>
  <c r="Q65" i="18"/>
  <c r="P65" i="18"/>
  <c r="G65" i="18"/>
  <c r="Q64" i="18"/>
  <c r="P64" i="18"/>
  <c r="G64" i="18"/>
  <c r="Q63" i="18"/>
  <c r="P63" i="18"/>
  <c r="G63" i="18"/>
  <c r="Q62" i="18"/>
  <c r="P62" i="18"/>
  <c r="G62" i="18"/>
  <c r="Q61" i="18"/>
  <c r="P61" i="18"/>
  <c r="G61" i="18"/>
  <c r="Q60" i="18"/>
  <c r="P60" i="18"/>
  <c r="G60" i="18"/>
  <c r="Q59" i="18"/>
  <c r="P59" i="18"/>
  <c r="G59" i="18"/>
  <c r="Q58" i="18"/>
  <c r="P58" i="18"/>
  <c r="G58" i="18"/>
  <c r="Q57" i="18"/>
  <c r="P57" i="18"/>
  <c r="G57" i="18"/>
  <c r="Q56" i="18"/>
  <c r="P56" i="18"/>
  <c r="G56" i="18"/>
  <c r="Q55" i="18"/>
  <c r="P55" i="18"/>
  <c r="G55" i="18"/>
  <c r="Q54" i="18"/>
  <c r="P54" i="18"/>
  <c r="G54" i="18"/>
  <c r="Q53" i="18"/>
  <c r="P53" i="18"/>
  <c r="G53" i="18"/>
  <c r="Q52" i="18"/>
  <c r="P52" i="18"/>
  <c r="G52" i="18"/>
  <c r="Q51" i="18"/>
  <c r="P51" i="18"/>
  <c r="G51" i="18"/>
  <c r="Q50" i="18"/>
  <c r="P50" i="18"/>
  <c r="G50" i="18"/>
  <c r="Q49" i="18"/>
  <c r="P49" i="18"/>
  <c r="G49" i="18"/>
  <c r="Q48" i="18"/>
  <c r="P48" i="18"/>
  <c r="G48" i="18"/>
  <c r="Q47" i="18"/>
  <c r="P47" i="18"/>
  <c r="G47" i="18"/>
  <c r="Q46" i="18"/>
  <c r="P46" i="18"/>
  <c r="G46" i="18"/>
  <c r="Q45" i="18"/>
  <c r="P45" i="18"/>
  <c r="G45" i="18"/>
  <c r="Q44" i="18"/>
  <c r="P44" i="18"/>
  <c r="G44" i="18"/>
  <c r="Q43" i="18"/>
  <c r="P43" i="18"/>
  <c r="G43" i="18"/>
  <c r="Q42" i="18"/>
  <c r="P42" i="18"/>
  <c r="G42" i="18"/>
  <c r="Q41" i="18"/>
  <c r="P41" i="18"/>
  <c r="G41" i="18"/>
  <c r="Q40" i="18"/>
  <c r="P40" i="18"/>
  <c r="G40" i="18"/>
  <c r="Q39" i="18"/>
  <c r="P39" i="18"/>
  <c r="G39" i="18"/>
  <c r="Q38" i="18"/>
  <c r="P38" i="18"/>
  <c r="G38" i="18"/>
  <c r="Q37" i="18"/>
  <c r="P37" i="18"/>
  <c r="G37" i="18"/>
  <c r="Q36" i="18"/>
  <c r="P36" i="18"/>
  <c r="G36" i="18"/>
  <c r="Q35" i="18"/>
  <c r="P35" i="18"/>
  <c r="G35" i="18"/>
  <c r="Q34" i="18"/>
  <c r="P34" i="18"/>
  <c r="G34" i="18"/>
  <c r="Q33" i="18"/>
  <c r="P33" i="18"/>
  <c r="G33" i="18"/>
  <c r="Q32" i="18"/>
  <c r="P32" i="18"/>
  <c r="G32" i="18"/>
  <c r="Q31" i="18"/>
  <c r="P31" i="18"/>
  <c r="G31" i="18"/>
  <c r="Q30" i="18"/>
  <c r="P30" i="18"/>
  <c r="G30" i="18"/>
  <c r="Q29" i="18"/>
  <c r="P29" i="18"/>
  <c r="G29" i="18"/>
  <c r="Q28" i="18"/>
  <c r="P28" i="18"/>
  <c r="G28" i="18"/>
  <c r="Q27" i="18"/>
  <c r="P27" i="18"/>
  <c r="G27" i="18"/>
  <c r="Q26" i="18"/>
  <c r="P26" i="18"/>
  <c r="G26" i="18"/>
  <c r="Q25" i="18"/>
  <c r="P25" i="18"/>
  <c r="G25" i="18"/>
  <c r="Q24" i="18"/>
  <c r="P24" i="18"/>
  <c r="G24" i="18"/>
  <c r="Q23" i="18"/>
  <c r="P23" i="18"/>
  <c r="G23" i="18"/>
  <c r="S22" i="18"/>
  <c r="S23" i="18" s="1"/>
  <c r="S24" i="18" s="1"/>
  <c r="S25" i="18" s="1"/>
  <c r="S26" i="18" s="1"/>
  <c r="S27" i="18" s="1"/>
  <c r="S28" i="18" s="1"/>
  <c r="S29" i="18" s="1"/>
  <c r="S30" i="18" s="1"/>
  <c r="S31" i="18" s="1"/>
  <c r="S32" i="18" s="1"/>
  <c r="S33" i="18" s="1"/>
  <c r="S34" i="18" s="1"/>
  <c r="S35" i="18" s="1"/>
  <c r="S36" i="18" s="1"/>
  <c r="S37" i="18" s="1"/>
  <c r="S38" i="18" s="1"/>
  <c r="S39" i="18" s="1"/>
  <c r="S40" i="18" s="1"/>
  <c r="S41" i="18" s="1"/>
  <c r="S42" i="18" s="1"/>
  <c r="S43" i="18" s="1"/>
  <c r="S44" i="18" s="1"/>
  <c r="S45" i="18" s="1"/>
  <c r="S46" i="18" s="1"/>
  <c r="S47" i="18" s="1"/>
  <c r="S48" i="18" s="1"/>
  <c r="S49" i="18" s="1"/>
  <c r="S50" i="18" s="1"/>
  <c r="S51" i="18" s="1"/>
  <c r="S52" i="18" s="1"/>
  <c r="S53" i="18" s="1"/>
  <c r="S54" i="18" s="1"/>
  <c r="S55" i="18" s="1"/>
  <c r="S56" i="18" s="1"/>
  <c r="S57" i="18" s="1"/>
  <c r="S58" i="18" s="1"/>
  <c r="S59" i="18" s="1"/>
  <c r="S60" i="18" s="1"/>
  <c r="S61" i="18" s="1"/>
  <c r="S62" i="18" s="1"/>
  <c r="S63" i="18" s="1"/>
  <c r="S64" i="18" s="1"/>
  <c r="S65" i="18" s="1"/>
  <c r="S66" i="18" s="1"/>
  <c r="S67" i="18" s="1"/>
  <c r="S68" i="18" s="1"/>
  <c r="S69" i="18" s="1"/>
  <c r="S70" i="18" s="1"/>
  <c r="S71" i="18" s="1"/>
  <c r="S72" i="18" s="1"/>
  <c r="S73" i="18" s="1"/>
  <c r="S74" i="18" s="1"/>
  <c r="S75" i="18" s="1"/>
  <c r="S76" i="18" s="1"/>
  <c r="S77" i="18" s="1"/>
  <c r="S78" i="18" s="1"/>
  <c r="S79" i="18" s="1"/>
  <c r="S80" i="18" s="1"/>
  <c r="S81" i="18" s="1"/>
  <c r="S82" i="18" s="1"/>
  <c r="S83" i="18" s="1"/>
  <c r="S84" i="18" s="1"/>
  <c r="S85" i="18" s="1"/>
  <c r="S86" i="18" s="1"/>
  <c r="S87" i="18" s="1"/>
  <c r="S88" i="18" s="1"/>
  <c r="S89" i="18" s="1"/>
  <c r="S90" i="18" s="1"/>
  <c r="S91" i="18" s="1"/>
  <c r="S92" i="18" s="1"/>
  <c r="S93" i="18" s="1"/>
  <c r="S94" i="18" s="1"/>
  <c r="S95" i="18" s="1"/>
  <c r="S96" i="18" s="1"/>
  <c r="S97" i="18" s="1"/>
  <c r="S98" i="18" s="1"/>
  <c r="S99" i="18" s="1"/>
  <c r="S100" i="18" s="1"/>
  <c r="S101" i="18" s="1"/>
  <c r="S102" i="18" s="1"/>
  <c r="S103" i="18" s="1"/>
  <c r="S104" i="18" s="1"/>
  <c r="S105" i="18" s="1"/>
  <c r="S106" i="18" s="1"/>
  <c r="S107" i="18" s="1"/>
  <c r="S108" i="18" s="1"/>
  <c r="S109" i="18" s="1"/>
  <c r="S110" i="18" s="1"/>
  <c r="S111" i="18" s="1"/>
  <c r="S112" i="18" s="1"/>
  <c r="S113" i="18" s="1"/>
  <c r="S114" i="18" s="1"/>
  <c r="S115" i="18" s="1"/>
  <c r="S116" i="18" s="1"/>
  <c r="S117" i="18" s="1"/>
  <c r="S118" i="18" s="1"/>
  <c r="S119" i="18" s="1"/>
  <c r="S120" i="18" s="1"/>
  <c r="S121" i="18" s="1"/>
  <c r="S122" i="18" s="1"/>
  <c r="S123" i="18" s="1"/>
  <c r="S124" i="18" s="1"/>
  <c r="S125" i="18" s="1"/>
  <c r="S126" i="18" s="1"/>
  <c r="S127" i="18" s="1"/>
  <c r="S128" i="18" s="1"/>
  <c r="S129" i="18" s="1"/>
  <c r="S130" i="18" s="1"/>
  <c r="S131" i="18" s="1"/>
  <c r="S132" i="18" s="1"/>
  <c r="S133" i="18" s="1"/>
  <c r="S134" i="18" s="1"/>
  <c r="S135" i="18" s="1"/>
  <c r="S136" i="18" s="1"/>
  <c r="S137" i="18" s="1"/>
  <c r="S138" i="18" s="1"/>
  <c r="S139" i="18" s="1"/>
  <c r="S140" i="18" s="1"/>
  <c r="S141" i="18" s="1"/>
  <c r="S142" i="18" s="1"/>
  <c r="S143" i="18" s="1"/>
  <c r="S144" i="18" s="1"/>
  <c r="S145" i="18" s="1"/>
  <c r="S146" i="18" s="1"/>
  <c r="S147" i="18" s="1"/>
  <c r="S148" i="18" s="1"/>
  <c r="S149" i="18" s="1"/>
  <c r="S150" i="18" s="1"/>
  <c r="S151" i="18" s="1"/>
  <c r="S152" i="18" s="1"/>
  <c r="S153" i="18" s="1"/>
  <c r="S154" i="18" s="1"/>
  <c r="S155" i="18" s="1"/>
  <c r="S156" i="18" s="1"/>
  <c r="S157" i="18" s="1"/>
  <c r="S158" i="18" s="1"/>
  <c r="S159" i="18" s="1"/>
  <c r="S160" i="18" s="1"/>
  <c r="S161" i="18" s="1"/>
  <c r="S162" i="18" s="1"/>
  <c r="S163" i="18" s="1"/>
  <c r="S164" i="18" s="1"/>
  <c r="S165" i="18" s="1"/>
  <c r="S166" i="18" s="1"/>
  <c r="S167" i="18" s="1"/>
  <c r="S168" i="18" s="1"/>
  <c r="S169" i="18" s="1"/>
  <c r="S170" i="18" s="1"/>
  <c r="S171" i="18" s="1"/>
  <c r="S172" i="18" s="1"/>
  <c r="S173" i="18" s="1"/>
  <c r="S174" i="18" s="1"/>
  <c r="S175" i="18" s="1"/>
  <c r="S176" i="18" s="1"/>
  <c r="S177" i="18" s="1"/>
  <c r="S178" i="18" s="1"/>
  <c r="S179" i="18" s="1"/>
  <c r="S180" i="18" s="1"/>
  <c r="S181" i="18" s="1"/>
  <c r="S182" i="18" s="1"/>
  <c r="S183" i="18" s="1"/>
  <c r="S184" i="18" s="1"/>
  <c r="S185" i="18" s="1"/>
  <c r="S186" i="18" s="1"/>
  <c r="S187" i="18" s="1"/>
  <c r="S188" i="18" s="1"/>
  <c r="S189" i="18" s="1"/>
  <c r="S190" i="18" s="1"/>
  <c r="S191" i="18" s="1"/>
  <c r="S192" i="18" s="1"/>
  <c r="S193" i="18" s="1"/>
  <c r="S194" i="18" s="1"/>
  <c r="S195" i="18" s="1"/>
  <c r="S196" i="18" s="1"/>
  <c r="S197" i="18" s="1"/>
  <c r="S198" i="18" s="1"/>
  <c r="S199" i="18" s="1"/>
  <c r="S200" i="18" s="1"/>
  <c r="S201" i="18" s="1"/>
  <c r="S202" i="18" s="1"/>
  <c r="S203" i="18" s="1"/>
  <c r="S204" i="18" s="1"/>
  <c r="S205" i="18" s="1"/>
  <c r="S206" i="18" s="1"/>
  <c r="S207" i="18" s="1"/>
  <c r="S208" i="18" s="1"/>
  <c r="S209" i="18" s="1"/>
  <c r="S210" i="18" s="1"/>
  <c r="S211" i="18" s="1"/>
  <c r="S212" i="18" s="1"/>
  <c r="Q22" i="18"/>
  <c r="P22" i="18"/>
  <c r="O22" i="18"/>
  <c r="L22" i="18"/>
  <c r="M22" i="18" s="1"/>
  <c r="K22" i="18"/>
  <c r="K23" i="18" s="1"/>
  <c r="G22" i="18"/>
  <c r="Q21" i="18"/>
  <c r="P21" i="18"/>
  <c r="O21" i="18"/>
  <c r="M21" i="18"/>
  <c r="L21" i="18"/>
  <c r="G21" i="18"/>
  <c r="Q20" i="18"/>
  <c r="P20" i="18"/>
  <c r="M20" i="18"/>
  <c r="L20" i="18"/>
  <c r="I20" i="18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I93" i="18" s="1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I117" i="18" s="1"/>
  <c r="I118" i="18" s="1"/>
  <c r="I119" i="18" s="1"/>
  <c r="I120" i="18" s="1"/>
  <c r="I121" i="18" s="1"/>
  <c r="I122" i="18" s="1"/>
  <c r="I123" i="18" s="1"/>
  <c r="I124" i="18" s="1"/>
  <c r="I125" i="18" s="1"/>
  <c r="I126" i="18" s="1"/>
  <c r="I127" i="18" s="1"/>
  <c r="I128" i="18" s="1"/>
  <c r="I129" i="18" s="1"/>
  <c r="I130" i="18" s="1"/>
  <c r="I131" i="18" s="1"/>
  <c r="I132" i="18" s="1"/>
  <c r="I133" i="18" s="1"/>
  <c r="I134" i="18" s="1"/>
  <c r="I135" i="18" s="1"/>
  <c r="I136" i="18" s="1"/>
  <c r="I137" i="18" s="1"/>
  <c r="I138" i="18" s="1"/>
  <c r="I139" i="18" s="1"/>
  <c r="I140" i="18" s="1"/>
  <c r="I141" i="18" s="1"/>
  <c r="I142" i="18" s="1"/>
  <c r="I143" i="18" s="1"/>
  <c r="I144" i="18" s="1"/>
  <c r="I145" i="18" s="1"/>
  <c r="I146" i="18" s="1"/>
  <c r="I147" i="18" s="1"/>
  <c r="I148" i="18" s="1"/>
  <c r="I149" i="18" s="1"/>
  <c r="I150" i="18" s="1"/>
  <c r="I151" i="18" s="1"/>
  <c r="I152" i="18" s="1"/>
  <c r="I153" i="18" s="1"/>
  <c r="I154" i="18" s="1"/>
  <c r="I155" i="18" s="1"/>
  <c r="I156" i="18" s="1"/>
  <c r="I157" i="18" s="1"/>
  <c r="I158" i="18" s="1"/>
  <c r="I159" i="18" s="1"/>
  <c r="I160" i="18" s="1"/>
  <c r="I161" i="18" s="1"/>
  <c r="I162" i="18" s="1"/>
  <c r="I163" i="18" s="1"/>
  <c r="I164" i="18" s="1"/>
  <c r="I165" i="18" s="1"/>
  <c r="I166" i="18" s="1"/>
  <c r="I167" i="18" s="1"/>
  <c r="I168" i="18" s="1"/>
  <c r="I169" i="18" s="1"/>
  <c r="I170" i="18" s="1"/>
  <c r="I171" i="18" s="1"/>
  <c r="I172" i="18" s="1"/>
  <c r="I173" i="18" s="1"/>
  <c r="I174" i="18" s="1"/>
  <c r="I175" i="18" s="1"/>
  <c r="I176" i="18" s="1"/>
  <c r="I177" i="18" s="1"/>
  <c r="I178" i="18" s="1"/>
  <c r="I179" i="18" s="1"/>
  <c r="I180" i="18" s="1"/>
  <c r="I181" i="18" s="1"/>
  <c r="I182" i="18" s="1"/>
  <c r="I183" i="18" s="1"/>
  <c r="I184" i="18" s="1"/>
  <c r="I185" i="18" s="1"/>
  <c r="I186" i="18" s="1"/>
  <c r="I187" i="18" s="1"/>
  <c r="I188" i="18" s="1"/>
  <c r="I189" i="18" s="1"/>
  <c r="I190" i="18" s="1"/>
  <c r="I191" i="18" s="1"/>
  <c r="I192" i="18" s="1"/>
  <c r="I193" i="18" s="1"/>
  <c r="I194" i="18" s="1"/>
  <c r="I195" i="18" s="1"/>
  <c r="I196" i="18" s="1"/>
  <c r="I197" i="18" s="1"/>
  <c r="I198" i="18" s="1"/>
  <c r="I199" i="18" s="1"/>
  <c r="I200" i="18" s="1"/>
  <c r="I201" i="18" s="1"/>
  <c r="I202" i="18" s="1"/>
  <c r="I203" i="18" s="1"/>
  <c r="I204" i="18" s="1"/>
  <c r="I205" i="18" s="1"/>
  <c r="I206" i="18" s="1"/>
  <c r="I207" i="18" s="1"/>
  <c r="I208" i="18" s="1"/>
  <c r="I209" i="18" s="1"/>
  <c r="I210" i="18" s="1"/>
  <c r="I211" i="18" s="1"/>
  <c r="I212" i="18" s="1"/>
  <c r="G20" i="18"/>
  <c r="Q19" i="18"/>
  <c r="P19" i="18"/>
  <c r="L19" i="18"/>
  <c r="M19" i="18" s="1"/>
  <c r="I19" i="18"/>
  <c r="G19" i="18"/>
  <c r="Q18" i="18"/>
  <c r="P18" i="18"/>
  <c r="M18" i="18"/>
  <c r="L18" i="18"/>
  <c r="G18" i="18"/>
  <c r="L13" i="18"/>
  <c r="L12" i="18"/>
  <c r="L10" i="18"/>
  <c r="C7" i="18"/>
  <c r="G11" i="18" s="1"/>
  <c r="C6" i="18"/>
  <c r="L4" i="18"/>
  <c r="O20" i="18" s="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0" i="11"/>
  <c r="M18" i="11"/>
  <c r="Q212" i="15"/>
  <c r="P212" i="15"/>
  <c r="G212" i="15"/>
  <c r="Q211" i="15"/>
  <c r="P211" i="15"/>
  <c r="G211" i="15"/>
  <c r="Q210" i="15"/>
  <c r="P210" i="15"/>
  <c r="G210" i="15"/>
  <c r="Q209" i="15"/>
  <c r="P209" i="15"/>
  <c r="G209" i="15"/>
  <c r="Q208" i="15"/>
  <c r="P208" i="15"/>
  <c r="G208" i="15"/>
  <c r="Q207" i="15"/>
  <c r="P207" i="15"/>
  <c r="G207" i="15"/>
  <c r="Q206" i="15"/>
  <c r="P206" i="15"/>
  <c r="G206" i="15"/>
  <c r="Q205" i="15"/>
  <c r="P205" i="15"/>
  <c r="G205" i="15"/>
  <c r="Q204" i="15"/>
  <c r="P204" i="15"/>
  <c r="G204" i="15"/>
  <c r="Q203" i="15"/>
  <c r="P203" i="15"/>
  <c r="G203" i="15"/>
  <c r="Q202" i="15"/>
  <c r="P202" i="15"/>
  <c r="G202" i="15"/>
  <c r="Q201" i="15"/>
  <c r="P201" i="15"/>
  <c r="G201" i="15"/>
  <c r="Q200" i="15"/>
  <c r="P200" i="15"/>
  <c r="G200" i="15"/>
  <c r="Q199" i="15"/>
  <c r="P199" i="15"/>
  <c r="G199" i="15"/>
  <c r="Q198" i="15"/>
  <c r="P198" i="15"/>
  <c r="G198" i="15"/>
  <c r="Q197" i="15"/>
  <c r="P197" i="15"/>
  <c r="G197" i="15"/>
  <c r="Q196" i="15"/>
  <c r="P196" i="15"/>
  <c r="G196" i="15"/>
  <c r="Q195" i="15"/>
  <c r="P195" i="15"/>
  <c r="G195" i="15"/>
  <c r="Q194" i="15"/>
  <c r="P194" i="15"/>
  <c r="G194" i="15"/>
  <c r="Q193" i="15"/>
  <c r="P193" i="15"/>
  <c r="G193" i="15"/>
  <c r="Q192" i="15"/>
  <c r="P192" i="15"/>
  <c r="G192" i="15"/>
  <c r="Q191" i="15"/>
  <c r="P191" i="15"/>
  <c r="G191" i="15"/>
  <c r="Q190" i="15"/>
  <c r="P190" i="15"/>
  <c r="G190" i="15"/>
  <c r="Q189" i="15"/>
  <c r="P189" i="15"/>
  <c r="G189" i="15"/>
  <c r="Q188" i="15"/>
  <c r="P188" i="15"/>
  <c r="G188" i="15"/>
  <c r="Q187" i="15"/>
  <c r="P187" i="15"/>
  <c r="G187" i="15"/>
  <c r="Q186" i="15"/>
  <c r="P186" i="15"/>
  <c r="G186" i="15"/>
  <c r="Q185" i="15"/>
  <c r="P185" i="15"/>
  <c r="G185" i="15"/>
  <c r="Q184" i="15"/>
  <c r="P184" i="15"/>
  <c r="G184" i="15"/>
  <c r="Q183" i="15"/>
  <c r="P183" i="15"/>
  <c r="G183" i="15"/>
  <c r="Q182" i="15"/>
  <c r="P182" i="15"/>
  <c r="G182" i="15"/>
  <c r="Q181" i="15"/>
  <c r="P181" i="15"/>
  <c r="G181" i="15"/>
  <c r="Q180" i="15"/>
  <c r="P180" i="15"/>
  <c r="G180" i="15"/>
  <c r="Q179" i="15"/>
  <c r="P179" i="15"/>
  <c r="G179" i="15"/>
  <c r="Q178" i="15"/>
  <c r="P178" i="15"/>
  <c r="G178" i="15"/>
  <c r="Q177" i="15"/>
  <c r="P177" i="15"/>
  <c r="G177" i="15"/>
  <c r="Q176" i="15"/>
  <c r="P176" i="15"/>
  <c r="G176" i="15"/>
  <c r="Q175" i="15"/>
  <c r="P175" i="15"/>
  <c r="G175" i="15"/>
  <c r="Q174" i="15"/>
  <c r="P174" i="15"/>
  <c r="G174" i="15"/>
  <c r="Q173" i="15"/>
  <c r="P173" i="15"/>
  <c r="G173" i="15"/>
  <c r="Q172" i="15"/>
  <c r="P172" i="15"/>
  <c r="G172" i="15"/>
  <c r="Q171" i="15"/>
  <c r="P171" i="15"/>
  <c r="G171" i="15"/>
  <c r="Q170" i="15"/>
  <c r="P170" i="15"/>
  <c r="G170" i="15"/>
  <c r="Q169" i="15"/>
  <c r="P169" i="15"/>
  <c r="G169" i="15"/>
  <c r="Q168" i="15"/>
  <c r="P168" i="15"/>
  <c r="G168" i="15"/>
  <c r="Q167" i="15"/>
  <c r="P167" i="15"/>
  <c r="G167" i="15"/>
  <c r="Q166" i="15"/>
  <c r="P166" i="15"/>
  <c r="G166" i="15"/>
  <c r="Q165" i="15"/>
  <c r="P165" i="15"/>
  <c r="G165" i="15"/>
  <c r="Q164" i="15"/>
  <c r="P164" i="15"/>
  <c r="G164" i="15"/>
  <c r="Q163" i="15"/>
  <c r="P163" i="15"/>
  <c r="G163" i="15"/>
  <c r="Q162" i="15"/>
  <c r="P162" i="15"/>
  <c r="G162" i="15"/>
  <c r="Q161" i="15"/>
  <c r="P161" i="15"/>
  <c r="G161" i="15"/>
  <c r="Q160" i="15"/>
  <c r="P160" i="15"/>
  <c r="G160" i="15"/>
  <c r="Q159" i="15"/>
  <c r="P159" i="15"/>
  <c r="G159" i="15"/>
  <c r="Q158" i="15"/>
  <c r="P158" i="15"/>
  <c r="G158" i="15"/>
  <c r="Q157" i="15"/>
  <c r="P157" i="15"/>
  <c r="G157" i="15"/>
  <c r="Q156" i="15"/>
  <c r="P156" i="15"/>
  <c r="G156" i="15"/>
  <c r="Q155" i="15"/>
  <c r="P155" i="15"/>
  <c r="G155" i="15"/>
  <c r="Q154" i="15"/>
  <c r="P154" i="15"/>
  <c r="G154" i="15"/>
  <c r="Q153" i="15"/>
  <c r="P153" i="15"/>
  <c r="G153" i="15"/>
  <c r="Q152" i="15"/>
  <c r="P152" i="15"/>
  <c r="G152" i="15"/>
  <c r="Q151" i="15"/>
  <c r="P151" i="15"/>
  <c r="G151" i="15"/>
  <c r="Q150" i="15"/>
  <c r="P150" i="15"/>
  <c r="G150" i="15"/>
  <c r="Q149" i="15"/>
  <c r="P149" i="15"/>
  <c r="G149" i="15"/>
  <c r="Q148" i="15"/>
  <c r="P148" i="15"/>
  <c r="G148" i="15"/>
  <c r="Q147" i="15"/>
  <c r="P147" i="15"/>
  <c r="G147" i="15"/>
  <c r="Q146" i="15"/>
  <c r="P146" i="15"/>
  <c r="G146" i="15"/>
  <c r="Q145" i="15"/>
  <c r="P145" i="15"/>
  <c r="G145" i="15"/>
  <c r="Q144" i="15"/>
  <c r="P144" i="15"/>
  <c r="G144" i="15"/>
  <c r="Q143" i="15"/>
  <c r="P143" i="15"/>
  <c r="G143" i="15"/>
  <c r="Q142" i="15"/>
  <c r="P142" i="15"/>
  <c r="G142" i="15"/>
  <c r="Q141" i="15"/>
  <c r="P141" i="15"/>
  <c r="G141" i="15"/>
  <c r="Q140" i="15"/>
  <c r="P140" i="15"/>
  <c r="G140" i="15"/>
  <c r="Q139" i="15"/>
  <c r="P139" i="15"/>
  <c r="G139" i="15"/>
  <c r="Q138" i="15"/>
  <c r="P138" i="15"/>
  <c r="G138" i="15"/>
  <c r="Q137" i="15"/>
  <c r="P137" i="15"/>
  <c r="G137" i="15"/>
  <c r="Q136" i="15"/>
  <c r="P136" i="15"/>
  <c r="G136" i="15"/>
  <c r="Q135" i="15"/>
  <c r="P135" i="15"/>
  <c r="G135" i="15"/>
  <c r="Q134" i="15"/>
  <c r="P134" i="15"/>
  <c r="G134" i="15"/>
  <c r="Q133" i="15"/>
  <c r="P133" i="15"/>
  <c r="G133" i="15"/>
  <c r="Q132" i="15"/>
  <c r="P132" i="15"/>
  <c r="G132" i="15"/>
  <c r="Q131" i="15"/>
  <c r="P131" i="15"/>
  <c r="G131" i="15"/>
  <c r="Q130" i="15"/>
  <c r="P130" i="15"/>
  <c r="G130" i="15"/>
  <c r="Q129" i="15"/>
  <c r="P129" i="15"/>
  <c r="G129" i="15"/>
  <c r="Q128" i="15"/>
  <c r="P128" i="15"/>
  <c r="G128" i="15"/>
  <c r="Q127" i="15"/>
  <c r="P127" i="15"/>
  <c r="G127" i="15"/>
  <c r="Q126" i="15"/>
  <c r="P126" i="15"/>
  <c r="G126" i="15"/>
  <c r="Q125" i="15"/>
  <c r="P125" i="15"/>
  <c r="G125" i="15"/>
  <c r="Q124" i="15"/>
  <c r="P124" i="15"/>
  <c r="G124" i="15"/>
  <c r="Q123" i="15"/>
  <c r="P123" i="15"/>
  <c r="G123" i="15"/>
  <c r="Q122" i="15"/>
  <c r="P122" i="15"/>
  <c r="G122" i="15"/>
  <c r="Q121" i="15"/>
  <c r="P121" i="15"/>
  <c r="G121" i="15"/>
  <c r="Q120" i="15"/>
  <c r="P120" i="15"/>
  <c r="G120" i="15"/>
  <c r="Q119" i="15"/>
  <c r="P119" i="15"/>
  <c r="G119" i="15"/>
  <c r="Q118" i="15"/>
  <c r="P118" i="15"/>
  <c r="G118" i="15"/>
  <c r="Q117" i="15"/>
  <c r="P117" i="15"/>
  <c r="G117" i="15"/>
  <c r="Q116" i="15"/>
  <c r="P116" i="15"/>
  <c r="G116" i="15"/>
  <c r="Q115" i="15"/>
  <c r="P115" i="15"/>
  <c r="G115" i="15"/>
  <c r="Q114" i="15"/>
  <c r="P114" i="15"/>
  <c r="G114" i="15"/>
  <c r="Q113" i="15"/>
  <c r="P113" i="15"/>
  <c r="G113" i="15"/>
  <c r="Q112" i="15"/>
  <c r="P112" i="15"/>
  <c r="G112" i="15"/>
  <c r="Q111" i="15"/>
  <c r="P111" i="15"/>
  <c r="G111" i="15"/>
  <c r="Q110" i="15"/>
  <c r="P110" i="15"/>
  <c r="G110" i="15"/>
  <c r="Q109" i="15"/>
  <c r="P109" i="15"/>
  <c r="G109" i="15"/>
  <c r="Q108" i="15"/>
  <c r="P108" i="15"/>
  <c r="G108" i="15"/>
  <c r="Q107" i="15"/>
  <c r="P107" i="15"/>
  <c r="G107" i="15"/>
  <c r="Q106" i="15"/>
  <c r="P106" i="15"/>
  <c r="G106" i="15"/>
  <c r="Q105" i="15"/>
  <c r="P105" i="15"/>
  <c r="G105" i="15"/>
  <c r="Q104" i="15"/>
  <c r="P104" i="15"/>
  <c r="G104" i="15"/>
  <c r="Q103" i="15"/>
  <c r="P103" i="15"/>
  <c r="G103" i="15"/>
  <c r="Q102" i="15"/>
  <c r="P102" i="15"/>
  <c r="G102" i="15"/>
  <c r="Q101" i="15"/>
  <c r="P101" i="15"/>
  <c r="G101" i="15"/>
  <c r="Q100" i="15"/>
  <c r="P100" i="15"/>
  <c r="G100" i="15"/>
  <c r="Q99" i="15"/>
  <c r="P99" i="15"/>
  <c r="G99" i="15"/>
  <c r="Q98" i="15"/>
  <c r="P98" i="15"/>
  <c r="G98" i="15"/>
  <c r="Q97" i="15"/>
  <c r="P97" i="15"/>
  <c r="G97" i="15"/>
  <c r="Q96" i="15"/>
  <c r="P96" i="15"/>
  <c r="G96" i="15"/>
  <c r="Q95" i="15"/>
  <c r="P95" i="15"/>
  <c r="G95" i="15"/>
  <c r="Q94" i="15"/>
  <c r="P94" i="15"/>
  <c r="G94" i="15"/>
  <c r="Q93" i="15"/>
  <c r="P93" i="15"/>
  <c r="G93" i="15"/>
  <c r="Q92" i="15"/>
  <c r="P92" i="15"/>
  <c r="G92" i="15"/>
  <c r="Q91" i="15"/>
  <c r="P91" i="15"/>
  <c r="G91" i="15"/>
  <c r="Q90" i="15"/>
  <c r="P90" i="15"/>
  <c r="G90" i="15"/>
  <c r="Q89" i="15"/>
  <c r="P89" i="15"/>
  <c r="G89" i="15"/>
  <c r="Q88" i="15"/>
  <c r="P88" i="15"/>
  <c r="G88" i="15"/>
  <c r="Q87" i="15"/>
  <c r="P87" i="15"/>
  <c r="G87" i="15"/>
  <c r="Q86" i="15"/>
  <c r="P86" i="15"/>
  <c r="G86" i="15"/>
  <c r="Q85" i="15"/>
  <c r="P85" i="15"/>
  <c r="G85" i="15"/>
  <c r="Q84" i="15"/>
  <c r="P84" i="15"/>
  <c r="G84" i="15"/>
  <c r="Q83" i="15"/>
  <c r="P83" i="15"/>
  <c r="G83" i="15"/>
  <c r="Q82" i="15"/>
  <c r="P82" i="15"/>
  <c r="G82" i="15"/>
  <c r="Q81" i="15"/>
  <c r="P81" i="15"/>
  <c r="G81" i="15"/>
  <c r="Q80" i="15"/>
  <c r="P80" i="15"/>
  <c r="G80" i="15"/>
  <c r="Q79" i="15"/>
  <c r="P79" i="15"/>
  <c r="G79" i="15"/>
  <c r="Q78" i="15"/>
  <c r="P78" i="15"/>
  <c r="G78" i="15"/>
  <c r="Q77" i="15"/>
  <c r="P77" i="15"/>
  <c r="G77" i="15"/>
  <c r="Q76" i="15"/>
  <c r="P76" i="15"/>
  <c r="G76" i="15"/>
  <c r="Q75" i="15"/>
  <c r="P75" i="15"/>
  <c r="G75" i="15"/>
  <c r="Q74" i="15"/>
  <c r="P74" i="15"/>
  <c r="G74" i="15"/>
  <c r="Q73" i="15"/>
  <c r="P73" i="15"/>
  <c r="G73" i="15"/>
  <c r="Q72" i="15"/>
  <c r="P72" i="15"/>
  <c r="G72" i="15"/>
  <c r="Q71" i="15"/>
  <c r="P71" i="15"/>
  <c r="G71" i="15"/>
  <c r="Q70" i="15"/>
  <c r="P70" i="15"/>
  <c r="G70" i="15"/>
  <c r="Q69" i="15"/>
  <c r="P69" i="15"/>
  <c r="G69" i="15"/>
  <c r="Q68" i="15"/>
  <c r="P68" i="15"/>
  <c r="G68" i="15"/>
  <c r="Q67" i="15"/>
  <c r="P67" i="15"/>
  <c r="G67" i="15"/>
  <c r="Q66" i="15"/>
  <c r="P66" i="15"/>
  <c r="G66" i="15"/>
  <c r="Q65" i="15"/>
  <c r="P65" i="15"/>
  <c r="G65" i="15"/>
  <c r="Q64" i="15"/>
  <c r="P64" i="15"/>
  <c r="G64" i="15"/>
  <c r="Q63" i="15"/>
  <c r="P63" i="15"/>
  <c r="G63" i="15"/>
  <c r="Q62" i="15"/>
  <c r="P62" i="15"/>
  <c r="G62" i="15"/>
  <c r="Q61" i="15"/>
  <c r="P61" i="15"/>
  <c r="G61" i="15"/>
  <c r="Q60" i="15"/>
  <c r="P60" i="15"/>
  <c r="G60" i="15"/>
  <c r="Q59" i="15"/>
  <c r="P59" i="15"/>
  <c r="G59" i="15"/>
  <c r="Q58" i="15"/>
  <c r="P58" i="15"/>
  <c r="G58" i="15"/>
  <c r="Q57" i="15"/>
  <c r="P57" i="15"/>
  <c r="G57" i="15"/>
  <c r="Q56" i="15"/>
  <c r="P56" i="15"/>
  <c r="G56" i="15"/>
  <c r="Q55" i="15"/>
  <c r="P55" i="15"/>
  <c r="G55" i="15"/>
  <c r="Q54" i="15"/>
  <c r="P54" i="15"/>
  <c r="G54" i="15"/>
  <c r="Q53" i="15"/>
  <c r="P53" i="15"/>
  <c r="G53" i="15"/>
  <c r="Q52" i="15"/>
  <c r="P52" i="15"/>
  <c r="G52" i="15"/>
  <c r="Q51" i="15"/>
  <c r="P51" i="15"/>
  <c r="G51" i="15"/>
  <c r="Q50" i="15"/>
  <c r="P50" i="15"/>
  <c r="G50" i="15"/>
  <c r="Q49" i="15"/>
  <c r="P49" i="15"/>
  <c r="G49" i="15"/>
  <c r="Q48" i="15"/>
  <c r="P48" i="15"/>
  <c r="G48" i="15"/>
  <c r="Q47" i="15"/>
  <c r="P47" i="15"/>
  <c r="G47" i="15"/>
  <c r="Q46" i="15"/>
  <c r="P46" i="15"/>
  <c r="G46" i="15"/>
  <c r="Q45" i="15"/>
  <c r="P45" i="15"/>
  <c r="G45" i="15"/>
  <c r="Q44" i="15"/>
  <c r="P44" i="15"/>
  <c r="G44" i="15"/>
  <c r="Q43" i="15"/>
  <c r="P43" i="15"/>
  <c r="G43" i="15"/>
  <c r="Q42" i="15"/>
  <c r="P42" i="15"/>
  <c r="G42" i="15"/>
  <c r="Q41" i="15"/>
  <c r="P41" i="15"/>
  <c r="G41" i="15"/>
  <c r="Q40" i="15"/>
  <c r="P40" i="15"/>
  <c r="G40" i="15"/>
  <c r="Q39" i="15"/>
  <c r="P39" i="15"/>
  <c r="G39" i="15"/>
  <c r="Q38" i="15"/>
  <c r="P38" i="15"/>
  <c r="G38" i="15"/>
  <c r="Q37" i="15"/>
  <c r="P37" i="15"/>
  <c r="G37" i="15"/>
  <c r="Q36" i="15"/>
  <c r="P36" i="15"/>
  <c r="G36" i="15"/>
  <c r="Q35" i="15"/>
  <c r="P35" i="15"/>
  <c r="G35" i="15"/>
  <c r="Q34" i="15"/>
  <c r="P34" i="15"/>
  <c r="G34" i="15"/>
  <c r="Q33" i="15"/>
  <c r="P33" i="15"/>
  <c r="G33" i="15"/>
  <c r="Q32" i="15"/>
  <c r="P32" i="15"/>
  <c r="G32" i="15"/>
  <c r="Q31" i="15"/>
  <c r="P31" i="15"/>
  <c r="G31" i="15"/>
  <c r="Q30" i="15"/>
  <c r="P30" i="15"/>
  <c r="G30" i="15"/>
  <c r="Q29" i="15"/>
  <c r="P29" i="15"/>
  <c r="G29" i="15"/>
  <c r="Q28" i="15"/>
  <c r="P28" i="15"/>
  <c r="G28" i="15"/>
  <c r="Q27" i="15"/>
  <c r="P27" i="15"/>
  <c r="G27" i="15"/>
  <c r="Q26" i="15"/>
  <c r="P26" i="15"/>
  <c r="G26" i="15"/>
  <c r="Q25" i="15"/>
  <c r="P25" i="15"/>
  <c r="G25" i="15"/>
  <c r="Q24" i="15"/>
  <c r="P24" i="15"/>
  <c r="G24" i="15"/>
  <c r="Q23" i="15"/>
  <c r="P23" i="15"/>
  <c r="L23" i="15"/>
  <c r="M23" i="15" s="1"/>
  <c r="K23" i="15"/>
  <c r="G23" i="15"/>
  <c r="S22" i="15"/>
  <c r="S23" i="15" s="1"/>
  <c r="S24" i="15" s="1"/>
  <c r="S25" i="15" s="1"/>
  <c r="S26" i="15" s="1"/>
  <c r="S27" i="15" s="1"/>
  <c r="S28" i="15" s="1"/>
  <c r="S29" i="15" s="1"/>
  <c r="S30" i="15" s="1"/>
  <c r="S31" i="15" s="1"/>
  <c r="S32" i="15" s="1"/>
  <c r="S33" i="15" s="1"/>
  <c r="S34" i="15" s="1"/>
  <c r="S35" i="15" s="1"/>
  <c r="S36" i="15" s="1"/>
  <c r="S37" i="15" s="1"/>
  <c r="S38" i="15" s="1"/>
  <c r="S39" i="15" s="1"/>
  <c r="S40" i="15" s="1"/>
  <c r="S41" i="15" s="1"/>
  <c r="S42" i="15" s="1"/>
  <c r="S43" i="15" s="1"/>
  <c r="S44" i="15" s="1"/>
  <c r="S45" i="15" s="1"/>
  <c r="S46" i="15" s="1"/>
  <c r="S47" i="15" s="1"/>
  <c r="S48" i="15" s="1"/>
  <c r="S49" i="15" s="1"/>
  <c r="S50" i="15" s="1"/>
  <c r="S51" i="15" s="1"/>
  <c r="S52" i="15" s="1"/>
  <c r="S53" i="15" s="1"/>
  <c r="S54" i="15" s="1"/>
  <c r="S55" i="15" s="1"/>
  <c r="S56" i="15" s="1"/>
  <c r="S57" i="15" s="1"/>
  <c r="S58" i="15" s="1"/>
  <c r="S59" i="15" s="1"/>
  <c r="S60" i="15" s="1"/>
  <c r="S61" i="15" s="1"/>
  <c r="S62" i="15" s="1"/>
  <c r="S63" i="15" s="1"/>
  <c r="S64" i="15" s="1"/>
  <c r="S65" i="15" s="1"/>
  <c r="S66" i="15" s="1"/>
  <c r="S67" i="15" s="1"/>
  <c r="S68" i="15" s="1"/>
  <c r="S69" i="15" s="1"/>
  <c r="S70" i="15" s="1"/>
  <c r="S71" i="15" s="1"/>
  <c r="S72" i="15" s="1"/>
  <c r="S73" i="15" s="1"/>
  <c r="S74" i="15" s="1"/>
  <c r="S75" i="15" s="1"/>
  <c r="S76" i="15" s="1"/>
  <c r="S77" i="15" s="1"/>
  <c r="S78" i="15" s="1"/>
  <c r="S79" i="15" s="1"/>
  <c r="S80" i="15" s="1"/>
  <c r="S81" i="15" s="1"/>
  <c r="S82" i="15" s="1"/>
  <c r="S83" i="15" s="1"/>
  <c r="S84" i="15" s="1"/>
  <c r="S85" i="15" s="1"/>
  <c r="S86" i="15" s="1"/>
  <c r="S87" i="15" s="1"/>
  <c r="S88" i="15" s="1"/>
  <c r="S89" i="15" s="1"/>
  <c r="S90" i="15" s="1"/>
  <c r="S91" i="15" s="1"/>
  <c r="S92" i="15" s="1"/>
  <c r="S93" i="15" s="1"/>
  <c r="S94" i="15" s="1"/>
  <c r="S95" i="15" s="1"/>
  <c r="S96" i="15" s="1"/>
  <c r="S97" i="15" s="1"/>
  <c r="S98" i="15" s="1"/>
  <c r="S99" i="15" s="1"/>
  <c r="S100" i="15" s="1"/>
  <c r="S101" i="15" s="1"/>
  <c r="S102" i="15" s="1"/>
  <c r="S103" i="15" s="1"/>
  <c r="S104" i="15" s="1"/>
  <c r="S105" i="15" s="1"/>
  <c r="S106" i="15" s="1"/>
  <c r="S107" i="15" s="1"/>
  <c r="S108" i="15" s="1"/>
  <c r="S109" i="15" s="1"/>
  <c r="S110" i="15" s="1"/>
  <c r="S111" i="15" s="1"/>
  <c r="S112" i="15" s="1"/>
  <c r="S113" i="15" s="1"/>
  <c r="S114" i="15" s="1"/>
  <c r="S115" i="15" s="1"/>
  <c r="S116" i="15" s="1"/>
  <c r="S117" i="15" s="1"/>
  <c r="S118" i="15" s="1"/>
  <c r="S119" i="15" s="1"/>
  <c r="S120" i="15" s="1"/>
  <c r="S121" i="15" s="1"/>
  <c r="S122" i="15" s="1"/>
  <c r="S123" i="15" s="1"/>
  <c r="S124" i="15" s="1"/>
  <c r="S125" i="15" s="1"/>
  <c r="S126" i="15" s="1"/>
  <c r="S127" i="15" s="1"/>
  <c r="S128" i="15" s="1"/>
  <c r="S129" i="15" s="1"/>
  <c r="S130" i="15" s="1"/>
  <c r="S131" i="15" s="1"/>
  <c r="S132" i="15" s="1"/>
  <c r="S133" i="15" s="1"/>
  <c r="S134" i="15" s="1"/>
  <c r="S135" i="15" s="1"/>
  <c r="S136" i="15" s="1"/>
  <c r="S137" i="15" s="1"/>
  <c r="S138" i="15" s="1"/>
  <c r="S139" i="15" s="1"/>
  <c r="S140" i="15" s="1"/>
  <c r="S141" i="15" s="1"/>
  <c r="S142" i="15" s="1"/>
  <c r="S143" i="15" s="1"/>
  <c r="S144" i="15" s="1"/>
  <c r="S145" i="15" s="1"/>
  <c r="S146" i="15" s="1"/>
  <c r="S147" i="15" s="1"/>
  <c r="S148" i="15" s="1"/>
  <c r="S149" i="15" s="1"/>
  <c r="S150" i="15" s="1"/>
  <c r="S151" i="15" s="1"/>
  <c r="S152" i="15" s="1"/>
  <c r="S153" i="15" s="1"/>
  <c r="S154" i="15" s="1"/>
  <c r="S155" i="15" s="1"/>
  <c r="S156" i="15" s="1"/>
  <c r="S157" i="15" s="1"/>
  <c r="S158" i="15" s="1"/>
  <c r="S159" i="15" s="1"/>
  <c r="S160" i="15" s="1"/>
  <c r="S161" i="15" s="1"/>
  <c r="S162" i="15" s="1"/>
  <c r="S163" i="15" s="1"/>
  <c r="S164" i="15" s="1"/>
  <c r="S165" i="15" s="1"/>
  <c r="S166" i="15" s="1"/>
  <c r="S167" i="15" s="1"/>
  <c r="S168" i="15" s="1"/>
  <c r="S169" i="15" s="1"/>
  <c r="S170" i="15" s="1"/>
  <c r="S171" i="15" s="1"/>
  <c r="S172" i="15" s="1"/>
  <c r="S173" i="15" s="1"/>
  <c r="S174" i="15" s="1"/>
  <c r="S175" i="15" s="1"/>
  <c r="S176" i="15" s="1"/>
  <c r="S177" i="15" s="1"/>
  <c r="S178" i="15" s="1"/>
  <c r="S179" i="15" s="1"/>
  <c r="S180" i="15" s="1"/>
  <c r="S181" i="15" s="1"/>
  <c r="S182" i="15" s="1"/>
  <c r="S183" i="15" s="1"/>
  <c r="S184" i="15" s="1"/>
  <c r="S185" i="15" s="1"/>
  <c r="S186" i="15" s="1"/>
  <c r="S187" i="15" s="1"/>
  <c r="S188" i="15" s="1"/>
  <c r="S189" i="15" s="1"/>
  <c r="S190" i="15" s="1"/>
  <c r="S191" i="15" s="1"/>
  <c r="S192" i="15" s="1"/>
  <c r="S193" i="15" s="1"/>
  <c r="S194" i="15" s="1"/>
  <c r="S195" i="15" s="1"/>
  <c r="S196" i="15" s="1"/>
  <c r="S197" i="15" s="1"/>
  <c r="S198" i="15" s="1"/>
  <c r="S199" i="15" s="1"/>
  <c r="S200" i="15" s="1"/>
  <c r="S201" i="15" s="1"/>
  <c r="S202" i="15" s="1"/>
  <c r="S203" i="15" s="1"/>
  <c r="S204" i="15" s="1"/>
  <c r="S205" i="15" s="1"/>
  <c r="S206" i="15" s="1"/>
  <c r="S207" i="15" s="1"/>
  <c r="S208" i="15" s="1"/>
  <c r="S209" i="15" s="1"/>
  <c r="S210" i="15" s="1"/>
  <c r="S211" i="15" s="1"/>
  <c r="S212" i="15" s="1"/>
  <c r="Q22" i="15"/>
  <c r="P22" i="15"/>
  <c r="O22" i="15"/>
  <c r="M22" i="15"/>
  <c r="L22" i="15"/>
  <c r="K22" i="15"/>
  <c r="G22" i="15"/>
  <c r="Q21" i="15"/>
  <c r="P21" i="15"/>
  <c r="M21" i="15"/>
  <c r="L21" i="15"/>
  <c r="G21" i="15"/>
  <c r="Q20" i="15"/>
  <c r="P20" i="15"/>
  <c r="M20" i="15"/>
  <c r="L20" i="15"/>
  <c r="G20" i="15"/>
  <c r="Q19" i="15"/>
  <c r="P19" i="15"/>
  <c r="M19" i="15"/>
  <c r="L19" i="15"/>
  <c r="G19" i="15"/>
  <c r="Q18" i="15"/>
  <c r="P18" i="15"/>
  <c r="L18" i="15"/>
  <c r="M18" i="15" s="1"/>
  <c r="G18" i="15"/>
  <c r="L12" i="15"/>
  <c r="C7" i="15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I54" i="15" s="1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I201" i="15" s="1"/>
  <c r="I202" i="15" s="1"/>
  <c r="I203" i="15" s="1"/>
  <c r="I204" i="15" s="1"/>
  <c r="I205" i="15" s="1"/>
  <c r="I206" i="15" s="1"/>
  <c r="I207" i="15" s="1"/>
  <c r="I208" i="15" s="1"/>
  <c r="I209" i="15" s="1"/>
  <c r="I210" i="15" s="1"/>
  <c r="I211" i="15" s="1"/>
  <c r="I212" i="15" s="1"/>
  <c r="C6" i="15"/>
  <c r="L4" i="15"/>
  <c r="O21" i="15" s="1"/>
  <c r="G45" i="11"/>
  <c r="I45" i="11"/>
  <c r="I46" i="11" s="1"/>
  <c r="I47" i="11" s="1"/>
  <c r="K45" i="11"/>
  <c r="L45" i="11" s="1"/>
  <c r="O45" i="11"/>
  <c r="P45" i="11"/>
  <c r="Q45" i="11"/>
  <c r="S45" i="11"/>
  <c r="S46" i="11" s="1"/>
  <c r="S47" i="11" s="1"/>
  <c r="G46" i="11"/>
  <c r="K46" i="11"/>
  <c r="L46" i="11" s="1"/>
  <c r="P46" i="11"/>
  <c r="Q46" i="11"/>
  <c r="G47" i="11"/>
  <c r="P47" i="11"/>
  <c r="Q47" i="11"/>
  <c r="G48" i="11"/>
  <c r="I48" i="11"/>
  <c r="I49" i="11" s="1"/>
  <c r="I50" i="11" s="1"/>
  <c r="I51" i="11" s="1"/>
  <c r="P48" i="11"/>
  <c r="Q48" i="11"/>
  <c r="S48" i="11"/>
  <c r="S49" i="11" s="1"/>
  <c r="S50" i="11" s="1"/>
  <c r="S51" i="11" s="1"/>
  <c r="S52" i="11" s="1"/>
  <c r="S53" i="11" s="1"/>
  <c r="S54" i="11" s="1"/>
  <c r="S55" i="11" s="1"/>
  <c r="S56" i="11" s="1"/>
  <c r="S57" i="11" s="1"/>
  <c r="S58" i="11" s="1"/>
  <c r="S59" i="11" s="1"/>
  <c r="S60" i="11" s="1"/>
  <c r="S61" i="11" s="1"/>
  <c r="S62" i="11" s="1"/>
  <c r="S63" i="11" s="1"/>
  <c r="S64" i="11" s="1"/>
  <c r="S65" i="11" s="1"/>
  <c r="S66" i="11" s="1"/>
  <c r="S67" i="11" s="1"/>
  <c r="S68" i="11" s="1"/>
  <c r="S69" i="11" s="1"/>
  <c r="S70" i="11" s="1"/>
  <c r="S71" i="11" s="1"/>
  <c r="S72" i="11" s="1"/>
  <c r="S73" i="11" s="1"/>
  <c r="S74" i="11" s="1"/>
  <c r="S75" i="11" s="1"/>
  <c r="S76" i="11" s="1"/>
  <c r="S77" i="11" s="1"/>
  <c r="S78" i="11" s="1"/>
  <c r="S79" i="11" s="1"/>
  <c r="S80" i="11" s="1"/>
  <c r="S81" i="11" s="1"/>
  <c r="S82" i="11" s="1"/>
  <c r="S83" i="11" s="1"/>
  <c r="S84" i="11" s="1"/>
  <c r="S85" i="11" s="1"/>
  <c r="S86" i="11" s="1"/>
  <c r="S87" i="11" s="1"/>
  <c r="S88" i="11" s="1"/>
  <c r="S89" i="11" s="1"/>
  <c r="S90" i="11" s="1"/>
  <c r="S91" i="11" s="1"/>
  <c r="S92" i="11" s="1"/>
  <c r="S93" i="11" s="1"/>
  <c r="S94" i="11" s="1"/>
  <c r="S95" i="11" s="1"/>
  <c r="S96" i="11" s="1"/>
  <c r="S97" i="11" s="1"/>
  <c r="S98" i="11" s="1"/>
  <c r="S99" i="11" s="1"/>
  <c r="G49" i="11"/>
  <c r="P49" i="11"/>
  <c r="Q49" i="11"/>
  <c r="G50" i="11"/>
  <c r="P50" i="11"/>
  <c r="Q50" i="11"/>
  <c r="G51" i="11"/>
  <c r="P51" i="11"/>
  <c r="Q51" i="11"/>
  <c r="G52" i="11"/>
  <c r="I52" i="11"/>
  <c r="I53" i="11" s="1"/>
  <c r="I54" i="11" s="1"/>
  <c r="I55" i="11" s="1"/>
  <c r="I56" i="11" s="1"/>
  <c r="I57" i="11" s="1"/>
  <c r="I58" i="11" s="1"/>
  <c r="I59" i="11" s="1"/>
  <c r="I60" i="11" s="1"/>
  <c r="I61" i="11" s="1"/>
  <c r="I62" i="11" s="1"/>
  <c r="I63" i="11" s="1"/>
  <c r="I64" i="11" s="1"/>
  <c r="I65" i="11" s="1"/>
  <c r="I66" i="11" s="1"/>
  <c r="I67" i="11" s="1"/>
  <c r="I68" i="11" s="1"/>
  <c r="I69" i="11" s="1"/>
  <c r="I70" i="11" s="1"/>
  <c r="I71" i="11" s="1"/>
  <c r="I72" i="11" s="1"/>
  <c r="I73" i="11" s="1"/>
  <c r="I74" i="11" s="1"/>
  <c r="I75" i="11" s="1"/>
  <c r="I76" i="11" s="1"/>
  <c r="I77" i="11" s="1"/>
  <c r="I78" i="11" s="1"/>
  <c r="I79" i="11" s="1"/>
  <c r="I80" i="11" s="1"/>
  <c r="I81" i="11" s="1"/>
  <c r="I82" i="11" s="1"/>
  <c r="I83" i="11" s="1"/>
  <c r="I84" i="11" s="1"/>
  <c r="I85" i="11" s="1"/>
  <c r="I86" i="11" s="1"/>
  <c r="I87" i="11" s="1"/>
  <c r="I88" i="11" s="1"/>
  <c r="I89" i="11" s="1"/>
  <c r="I90" i="11" s="1"/>
  <c r="I91" i="11" s="1"/>
  <c r="I92" i="11" s="1"/>
  <c r="I93" i="11" s="1"/>
  <c r="I94" i="11" s="1"/>
  <c r="I95" i="11" s="1"/>
  <c r="I96" i="11" s="1"/>
  <c r="I97" i="11" s="1"/>
  <c r="I98" i="11" s="1"/>
  <c r="I99" i="11" s="1"/>
  <c r="I100" i="11" s="1"/>
  <c r="I101" i="11" s="1"/>
  <c r="I102" i="11" s="1"/>
  <c r="I103" i="11" s="1"/>
  <c r="I104" i="11" s="1"/>
  <c r="I105" i="11" s="1"/>
  <c r="I106" i="11" s="1"/>
  <c r="I107" i="11" s="1"/>
  <c r="I108" i="11" s="1"/>
  <c r="I109" i="11" s="1"/>
  <c r="I110" i="11" s="1"/>
  <c r="I111" i="11" s="1"/>
  <c r="I112" i="11" s="1"/>
  <c r="I113" i="11" s="1"/>
  <c r="I114" i="11" s="1"/>
  <c r="I115" i="11" s="1"/>
  <c r="I116" i="11" s="1"/>
  <c r="I117" i="11" s="1"/>
  <c r="I118" i="11" s="1"/>
  <c r="I119" i="11" s="1"/>
  <c r="I120" i="11" s="1"/>
  <c r="I121" i="11" s="1"/>
  <c r="I122" i="11" s="1"/>
  <c r="I123" i="11" s="1"/>
  <c r="I124" i="11" s="1"/>
  <c r="I125" i="11" s="1"/>
  <c r="I126" i="11" s="1"/>
  <c r="I127" i="11" s="1"/>
  <c r="I128" i="11" s="1"/>
  <c r="I129" i="11" s="1"/>
  <c r="I130" i="11" s="1"/>
  <c r="I131" i="11" s="1"/>
  <c r="I132" i="11" s="1"/>
  <c r="I133" i="11" s="1"/>
  <c r="I134" i="11" s="1"/>
  <c r="I135" i="11" s="1"/>
  <c r="I136" i="11" s="1"/>
  <c r="I137" i="11" s="1"/>
  <c r="I138" i="11" s="1"/>
  <c r="I139" i="11" s="1"/>
  <c r="I140" i="11" s="1"/>
  <c r="I141" i="11" s="1"/>
  <c r="I142" i="11" s="1"/>
  <c r="I143" i="11" s="1"/>
  <c r="I144" i="11" s="1"/>
  <c r="I145" i="11" s="1"/>
  <c r="I146" i="11" s="1"/>
  <c r="I147" i="11" s="1"/>
  <c r="I148" i="11" s="1"/>
  <c r="I149" i="11" s="1"/>
  <c r="I150" i="11" s="1"/>
  <c r="I151" i="11" s="1"/>
  <c r="I152" i="11" s="1"/>
  <c r="I153" i="11" s="1"/>
  <c r="I154" i="11" s="1"/>
  <c r="I155" i="11" s="1"/>
  <c r="I156" i="11" s="1"/>
  <c r="I157" i="11" s="1"/>
  <c r="I158" i="11" s="1"/>
  <c r="I159" i="11" s="1"/>
  <c r="I160" i="11" s="1"/>
  <c r="I161" i="11" s="1"/>
  <c r="I162" i="11" s="1"/>
  <c r="I163" i="11" s="1"/>
  <c r="I164" i="11" s="1"/>
  <c r="I165" i="11" s="1"/>
  <c r="I166" i="11" s="1"/>
  <c r="I167" i="11" s="1"/>
  <c r="I168" i="11" s="1"/>
  <c r="I169" i="11" s="1"/>
  <c r="I170" i="11" s="1"/>
  <c r="I171" i="11" s="1"/>
  <c r="I172" i="11" s="1"/>
  <c r="I173" i="11" s="1"/>
  <c r="I174" i="11" s="1"/>
  <c r="I175" i="11" s="1"/>
  <c r="I176" i="11" s="1"/>
  <c r="I177" i="11" s="1"/>
  <c r="I178" i="11" s="1"/>
  <c r="I179" i="11" s="1"/>
  <c r="I180" i="11" s="1"/>
  <c r="I181" i="11" s="1"/>
  <c r="I182" i="11" s="1"/>
  <c r="I183" i="11" s="1"/>
  <c r="I184" i="11" s="1"/>
  <c r="I185" i="11" s="1"/>
  <c r="I186" i="11" s="1"/>
  <c r="I187" i="11" s="1"/>
  <c r="I188" i="11" s="1"/>
  <c r="I189" i="11" s="1"/>
  <c r="I190" i="11" s="1"/>
  <c r="I191" i="11" s="1"/>
  <c r="I192" i="11" s="1"/>
  <c r="I193" i="11" s="1"/>
  <c r="I194" i="11" s="1"/>
  <c r="I195" i="11" s="1"/>
  <c r="I196" i="11" s="1"/>
  <c r="I197" i="11" s="1"/>
  <c r="I198" i="11" s="1"/>
  <c r="I199" i="11" s="1"/>
  <c r="I200" i="11" s="1"/>
  <c r="I201" i="11" s="1"/>
  <c r="I202" i="11" s="1"/>
  <c r="I203" i="11" s="1"/>
  <c r="I204" i="11" s="1"/>
  <c r="I205" i="11" s="1"/>
  <c r="I206" i="11" s="1"/>
  <c r="I207" i="11" s="1"/>
  <c r="I208" i="11" s="1"/>
  <c r="I209" i="11" s="1"/>
  <c r="I210" i="11" s="1"/>
  <c r="I211" i="11" s="1"/>
  <c r="I212" i="11" s="1"/>
  <c r="P52" i="11"/>
  <c r="Q52" i="11"/>
  <c r="G53" i="11"/>
  <c r="P53" i="11"/>
  <c r="Q53" i="11"/>
  <c r="G54" i="11"/>
  <c r="P54" i="11"/>
  <c r="Q54" i="11"/>
  <c r="G55" i="11"/>
  <c r="P55" i="11"/>
  <c r="Q55" i="11"/>
  <c r="G56" i="11"/>
  <c r="P56" i="11"/>
  <c r="Q56" i="11"/>
  <c r="G57" i="11"/>
  <c r="P57" i="11"/>
  <c r="Q57" i="11"/>
  <c r="G58" i="11"/>
  <c r="P58" i="11"/>
  <c r="Q58" i="11"/>
  <c r="G59" i="11"/>
  <c r="P59" i="11"/>
  <c r="Q59" i="11"/>
  <c r="G60" i="11"/>
  <c r="P60" i="11"/>
  <c r="Q60" i="11"/>
  <c r="G61" i="11"/>
  <c r="P61" i="11"/>
  <c r="Q61" i="11"/>
  <c r="G62" i="11"/>
  <c r="P62" i="11"/>
  <c r="Q62" i="11"/>
  <c r="G63" i="11"/>
  <c r="P63" i="11"/>
  <c r="Q63" i="11"/>
  <c r="G64" i="11"/>
  <c r="P64" i="11"/>
  <c r="Q64" i="11"/>
  <c r="G65" i="11"/>
  <c r="P65" i="11"/>
  <c r="Q65" i="11"/>
  <c r="G66" i="11"/>
  <c r="P66" i="11"/>
  <c r="Q66" i="11"/>
  <c r="G67" i="11"/>
  <c r="P67" i="11"/>
  <c r="Q67" i="11"/>
  <c r="G68" i="11"/>
  <c r="P68" i="11"/>
  <c r="Q68" i="11"/>
  <c r="G69" i="11"/>
  <c r="P69" i="11"/>
  <c r="Q69" i="11"/>
  <c r="G70" i="11"/>
  <c r="P70" i="11"/>
  <c r="Q70" i="11"/>
  <c r="G71" i="11"/>
  <c r="P71" i="11"/>
  <c r="Q71" i="11"/>
  <c r="G72" i="11"/>
  <c r="P72" i="11"/>
  <c r="Q72" i="11"/>
  <c r="G73" i="11"/>
  <c r="P73" i="11"/>
  <c r="Q73" i="11"/>
  <c r="G74" i="11"/>
  <c r="P74" i="11"/>
  <c r="Q74" i="11"/>
  <c r="G75" i="11"/>
  <c r="P75" i="11"/>
  <c r="Q75" i="11"/>
  <c r="G76" i="11"/>
  <c r="P76" i="11"/>
  <c r="Q76" i="11"/>
  <c r="G77" i="11"/>
  <c r="P77" i="11"/>
  <c r="Q77" i="11"/>
  <c r="G78" i="11"/>
  <c r="P78" i="11"/>
  <c r="Q78" i="11"/>
  <c r="G79" i="11"/>
  <c r="P79" i="11"/>
  <c r="Q79" i="11"/>
  <c r="G80" i="11"/>
  <c r="P80" i="11"/>
  <c r="Q80" i="11"/>
  <c r="G81" i="11"/>
  <c r="P81" i="11"/>
  <c r="Q81" i="11"/>
  <c r="G82" i="11"/>
  <c r="P82" i="11"/>
  <c r="Q82" i="11"/>
  <c r="G83" i="11"/>
  <c r="P83" i="11"/>
  <c r="Q83" i="11"/>
  <c r="G84" i="11"/>
  <c r="P84" i="11"/>
  <c r="Q84" i="11"/>
  <c r="G85" i="11"/>
  <c r="P85" i="11"/>
  <c r="Q85" i="11"/>
  <c r="G86" i="11"/>
  <c r="P86" i="11"/>
  <c r="Q86" i="11"/>
  <c r="G87" i="11"/>
  <c r="P87" i="11"/>
  <c r="Q87" i="11"/>
  <c r="G88" i="11"/>
  <c r="P88" i="11"/>
  <c r="Q88" i="11"/>
  <c r="G89" i="11"/>
  <c r="P89" i="11"/>
  <c r="Q89" i="11"/>
  <c r="G90" i="11"/>
  <c r="P90" i="11"/>
  <c r="Q90" i="11"/>
  <c r="G91" i="11"/>
  <c r="P91" i="11"/>
  <c r="Q91" i="11"/>
  <c r="G92" i="11"/>
  <c r="P92" i="11"/>
  <c r="Q92" i="11"/>
  <c r="G93" i="11"/>
  <c r="P93" i="11"/>
  <c r="Q93" i="11"/>
  <c r="G94" i="11"/>
  <c r="P94" i="11"/>
  <c r="Q94" i="11"/>
  <c r="G95" i="11"/>
  <c r="P95" i="11"/>
  <c r="Q95" i="11"/>
  <c r="G96" i="11"/>
  <c r="P96" i="11"/>
  <c r="Q96" i="11"/>
  <c r="G97" i="11"/>
  <c r="P97" i="11"/>
  <c r="Q97" i="11"/>
  <c r="G98" i="11"/>
  <c r="P98" i="11"/>
  <c r="Q98" i="11"/>
  <c r="G99" i="11"/>
  <c r="P99" i="11"/>
  <c r="Q99" i="11"/>
  <c r="G100" i="11"/>
  <c r="P100" i="11"/>
  <c r="Q100" i="11"/>
  <c r="S100" i="11"/>
  <c r="S101" i="11" s="1"/>
  <c r="S102" i="11" s="1"/>
  <c r="S103" i="11" s="1"/>
  <c r="S104" i="11" s="1"/>
  <c r="S105" i="11" s="1"/>
  <c r="S106" i="11" s="1"/>
  <c r="S107" i="11" s="1"/>
  <c r="S108" i="11" s="1"/>
  <c r="S109" i="11" s="1"/>
  <c r="S110" i="11" s="1"/>
  <c r="S111" i="11" s="1"/>
  <c r="S112" i="11" s="1"/>
  <c r="S113" i="11" s="1"/>
  <c r="S114" i="11" s="1"/>
  <c r="S115" i="11" s="1"/>
  <c r="G101" i="11"/>
  <c r="P101" i="11"/>
  <c r="Q101" i="11"/>
  <c r="G102" i="11"/>
  <c r="P102" i="11"/>
  <c r="Q102" i="11"/>
  <c r="G103" i="11"/>
  <c r="P103" i="11"/>
  <c r="Q103" i="11"/>
  <c r="G104" i="11"/>
  <c r="P104" i="11"/>
  <c r="Q104" i="11"/>
  <c r="G105" i="11"/>
  <c r="P105" i="11"/>
  <c r="Q105" i="11"/>
  <c r="G106" i="11"/>
  <c r="P106" i="11"/>
  <c r="Q106" i="11"/>
  <c r="G107" i="11"/>
  <c r="P107" i="11"/>
  <c r="Q107" i="11"/>
  <c r="G108" i="11"/>
  <c r="P108" i="11"/>
  <c r="Q108" i="11"/>
  <c r="G109" i="11"/>
  <c r="P109" i="11"/>
  <c r="Q109" i="11"/>
  <c r="G110" i="11"/>
  <c r="P110" i="11"/>
  <c r="Q110" i="11"/>
  <c r="G111" i="11"/>
  <c r="P111" i="11"/>
  <c r="Q111" i="11"/>
  <c r="G112" i="11"/>
  <c r="P112" i="11"/>
  <c r="Q112" i="11"/>
  <c r="G113" i="11"/>
  <c r="P113" i="11"/>
  <c r="Q113" i="11"/>
  <c r="G114" i="11"/>
  <c r="P114" i="11"/>
  <c r="Q114" i="11"/>
  <c r="G115" i="11"/>
  <c r="P115" i="11"/>
  <c r="Q115" i="11"/>
  <c r="G116" i="11"/>
  <c r="P116" i="11"/>
  <c r="Q116" i="11"/>
  <c r="S116" i="11"/>
  <c r="S117" i="11" s="1"/>
  <c r="S118" i="11" s="1"/>
  <c r="S119" i="11" s="1"/>
  <c r="S120" i="11" s="1"/>
  <c r="S121" i="11" s="1"/>
  <c r="S122" i="11" s="1"/>
  <c r="S123" i="11" s="1"/>
  <c r="S124" i="11" s="1"/>
  <c r="S125" i="11" s="1"/>
  <c r="S126" i="11" s="1"/>
  <c r="S127" i="11" s="1"/>
  <c r="S128" i="11" s="1"/>
  <c r="S129" i="11" s="1"/>
  <c r="S130" i="11" s="1"/>
  <c r="S131" i="11" s="1"/>
  <c r="S132" i="11" s="1"/>
  <c r="S133" i="11" s="1"/>
  <c r="S134" i="11" s="1"/>
  <c r="S135" i="11" s="1"/>
  <c r="S136" i="11" s="1"/>
  <c r="S137" i="11" s="1"/>
  <c r="S138" i="11" s="1"/>
  <c r="S139" i="11" s="1"/>
  <c r="S140" i="11" s="1"/>
  <c r="S141" i="11" s="1"/>
  <c r="S142" i="11" s="1"/>
  <c r="S143" i="11" s="1"/>
  <c r="S144" i="11" s="1"/>
  <c r="S145" i="11" s="1"/>
  <c r="S146" i="11" s="1"/>
  <c r="S147" i="11" s="1"/>
  <c r="S148" i="11" s="1"/>
  <c r="S149" i="11" s="1"/>
  <c r="S150" i="11" s="1"/>
  <c r="S151" i="11" s="1"/>
  <c r="S152" i="11" s="1"/>
  <c r="S153" i="11" s="1"/>
  <c r="S154" i="11" s="1"/>
  <c r="S155" i="11" s="1"/>
  <c r="S156" i="11" s="1"/>
  <c r="S157" i="11" s="1"/>
  <c r="S158" i="11" s="1"/>
  <c r="S159" i="11" s="1"/>
  <c r="S160" i="11" s="1"/>
  <c r="S161" i="11" s="1"/>
  <c r="S162" i="11" s="1"/>
  <c r="S163" i="11" s="1"/>
  <c r="S164" i="11" s="1"/>
  <c r="S165" i="11" s="1"/>
  <c r="S166" i="11" s="1"/>
  <c r="S167" i="11" s="1"/>
  <c r="S168" i="11" s="1"/>
  <c r="S169" i="11" s="1"/>
  <c r="S170" i="11" s="1"/>
  <c r="S171" i="11" s="1"/>
  <c r="S172" i="11" s="1"/>
  <c r="S173" i="11" s="1"/>
  <c r="S174" i="11" s="1"/>
  <c r="S175" i="11" s="1"/>
  <c r="S176" i="11" s="1"/>
  <c r="S177" i="11" s="1"/>
  <c r="S178" i="11" s="1"/>
  <c r="S179" i="11" s="1"/>
  <c r="S180" i="11" s="1"/>
  <c r="S181" i="11" s="1"/>
  <c r="S182" i="11" s="1"/>
  <c r="S183" i="11" s="1"/>
  <c r="S184" i="11" s="1"/>
  <c r="S185" i="11" s="1"/>
  <c r="S186" i="11" s="1"/>
  <c r="S187" i="11" s="1"/>
  <c r="S188" i="11" s="1"/>
  <c r="S189" i="11" s="1"/>
  <c r="S190" i="11" s="1"/>
  <c r="S191" i="11" s="1"/>
  <c r="S192" i="11" s="1"/>
  <c r="S193" i="11" s="1"/>
  <c r="S194" i="11" s="1"/>
  <c r="S195" i="11" s="1"/>
  <c r="S196" i="11" s="1"/>
  <c r="S197" i="11" s="1"/>
  <c r="S198" i="11" s="1"/>
  <c r="S199" i="11" s="1"/>
  <c r="S200" i="11" s="1"/>
  <c r="S201" i="11" s="1"/>
  <c r="S202" i="11" s="1"/>
  <c r="S203" i="11" s="1"/>
  <c r="S204" i="11" s="1"/>
  <c r="S205" i="11" s="1"/>
  <c r="S206" i="11" s="1"/>
  <c r="S207" i="11" s="1"/>
  <c r="S208" i="11" s="1"/>
  <c r="S209" i="11" s="1"/>
  <c r="S210" i="11" s="1"/>
  <c r="S211" i="11" s="1"/>
  <c r="S212" i="11" s="1"/>
  <c r="G117" i="11"/>
  <c r="P117" i="11"/>
  <c r="Q117" i="11"/>
  <c r="G118" i="11"/>
  <c r="P118" i="11"/>
  <c r="Q118" i="11"/>
  <c r="G119" i="11"/>
  <c r="P119" i="11"/>
  <c r="Q119" i="11"/>
  <c r="G120" i="11"/>
  <c r="P120" i="11"/>
  <c r="Q120" i="11"/>
  <c r="G121" i="11"/>
  <c r="P121" i="11"/>
  <c r="Q121" i="11"/>
  <c r="G122" i="11"/>
  <c r="P122" i="11"/>
  <c r="Q122" i="11"/>
  <c r="G123" i="11"/>
  <c r="P123" i="11"/>
  <c r="Q123" i="11"/>
  <c r="G124" i="11"/>
  <c r="P124" i="11"/>
  <c r="Q124" i="11"/>
  <c r="G125" i="11"/>
  <c r="P125" i="11"/>
  <c r="Q125" i="11"/>
  <c r="G126" i="11"/>
  <c r="P126" i="11"/>
  <c r="Q126" i="11"/>
  <c r="G127" i="11"/>
  <c r="P127" i="11"/>
  <c r="Q127" i="11"/>
  <c r="G128" i="11"/>
  <c r="P128" i="11"/>
  <c r="Q128" i="11"/>
  <c r="G129" i="11"/>
  <c r="P129" i="11"/>
  <c r="Q129" i="11"/>
  <c r="G130" i="11"/>
  <c r="P130" i="11"/>
  <c r="Q130" i="11"/>
  <c r="G131" i="11"/>
  <c r="P131" i="11"/>
  <c r="Q131" i="11"/>
  <c r="G132" i="11"/>
  <c r="P132" i="11"/>
  <c r="Q132" i="11"/>
  <c r="G133" i="11"/>
  <c r="P133" i="11"/>
  <c r="Q133" i="11"/>
  <c r="G134" i="11"/>
  <c r="P134" i="11"/>
  <c r="Q134" i="11"/>
  <c r="G135" i="11"/>
  <c r="P135" i="11"/>
  <c r="Q135" i="11"/>
  <c r="G136" i="11"/>
  <c r="P136" i="11"/>
  <c r="Q136" i="11"/>
  <c r="G137" i="11"/>
  <c r="P137" i="11"/>
  <c r="Q137" i="11"/>
  <c r="G138" i="11"/>
  <c r="P138" i="11"/>
  <c r="Q138" i="11"/>
  <c r="G139" i="11"/>
  <c r="P139" i="11"/>
  <c r="Q139" i="11"/>
  <c r="G140" i="11"/>
  <c r="P140" i="11"/>
  <c r="Q140" i="11"/>
  <c r="G141" i="11"/>
  <c r="P141" i="11"/>
  <c r="Q141" i="11"/>
  <c r="G142" i="11"/>
  <c r="P142" i="11"/>
  <c r="Q142" i="11"/>
  <c r="G143" i="11"/>
  <c r="P143" i="11"/>
  <c r="Q143" i="11"/>
  <c r="G144" i="11"/>
  <c r="P144" i="11"/>
  <c r="Q144" i="11"/>
  <c r="G145" i="11"/>
  <c r="P145" i="11"/>
  <c r="Q145" i="11"/>
  <c r="G146" i="11"/>
  <c r="P146" i="11"/>
  <c r="Q146" i="11"/>
  <c r="G147" i="11"/>
  <c r="P147" i="11"/>
  <c r="Q147" i="11"/>
  <c r="G148" i="11"/>
  <c r="P148" i="11"/>
  <c r="Q148" i="11"/>
  <c r="G149" i="11"/>
  <c r="P149" i="11"/>
  <c r="Q149" i="11"/>
  <c r="G150" i="11"/>
  <c r="P150" i="11"/>
  <c r="Q150" i="11"/>
  <c r="G151" i="11"/>
  <c r="P151" i="11"/>
  <c r="Q151" i="11"/>
  <c r="G152" i="11"/>
  <c r="P152" i="11"/>
  <c r="Q152" i="11"/>
  <c r="G153" i="11"/>
  <c r="P153" i="11"/>
  <c r="Q153" i="11"/>
  <c r="G154" i="11"/>
  <c r="P154" i="11"/>
  <c r="Q154" i="11"/>
  <c r="G155" i="11"/>
  <c r="P155" i="11"/>
  <c r="Q155" i="11"/>
  <c r="G156" i="11"/>
  <c r="P156" i="11"/>
  <c r="Q156" i="11"/>
  <c r="G157" i="11"/>
  <c r="P157" i="11"/>
  <c r="Q157" i="11"/>
  <c r="G158" i="11"/>
  <c r="P158" i="11"/>
  <c r="Q158" i="11"/>
  <c r="G159" i="11"/>
  <c r="P159" i="11"/>
  <c r="Q159" i="11"/>
  <c r="G160" i="11"/>
  <c r="P160" i="11"/>
  <c r="Q160" i="11"/>
  <c r="G161" i="11"/>
  <c r="P161" i="11"/>
  <c r="Q161" i="11"/>
  <c r="G162" i="11"/>
  <c r="P162" i="11"/>
  <c r="Q162" i="11"/>
  <c r="G163" i="11"/>
  <c r="P163" i="11"/>
  <c r="Q163" i="11"/>
  <c r="G164" i="11"/>
  <c r="P164" i="11"/>
  <c r="Q164" i="11"/>
  <c r="G165" i="11"/>
  <c r="P165" i="11"/>
  <c r="Q165" i="11"/>
  <c r="G166" i="11"/>
  <c r="P166" i="11"/>
  <c r="Q166" i="11"/>
  <c r="G167" i="11"/>
  <c r="P167" i="11"/>
  <c r="Q167" i="11"/>
  <c r="G168" i="11"/>
  <c r="P168" i="11"/>
  <c r="Q168" i="11"/>
  <c r="G169" i="11"/>
  <c r="P169" i="11"/>
  <c r="Q169" i="11"/>
  <c r="G170" i="11"/>
  <c r="P170" i="11"/>
  <c r="Q170" i="11"/>
  <c r="G171" i="11"/>
  <c r="P171" i="11"/>
  <c r="Q171" i="11"/>
  <c r="G172" i="11"/>
  <c r="P172" i="11"/>
  <c r="Q172" i="11"/>
  <c r="G173" i="11"/>
  <c r="P173" i="11"/>
  <c r="Q173" i="11"/>
  <c r="G174" i="11"/>
  <c r="P174" i="11"/>
  <c r="Q174" i="11"/>
  <c r="G175" i="11"/>
  <c r="P175" i="11"/>
  <c r="Q175" i="11"/>
  <c r="G176" i="11"/>
  <c r="P176" i="11"/>
  <c r="Q176" i="11"/>
  <c r="G177" i="11"/>
  <c r="P177" i="11"/>
  <c r="Q177" i="11"/>
  <c r="G178" i="11"/>
  <c r="P178" i="11"/>
  <c r="Q178" i="11"/>
  <c r="G179" i="11"/>
  <c r="P179" i="11"/>
  <c r="Q179" i="11"/>
  <c r="G180" i="11"/>
  <c r="P180" i="11"/>
  <c r="Q180" i="11"/>
  <c r="G181" i="11"/>
  <c r="P181" i="11"/>
  <c r="Q181" i="11"/>
  <c r="G182" i="11"/>
  <c r="P182" i="11"/>
  <c r="Q182" i="11"/>
  <c r="G183" i="11"/>
  <c r="P183" i="11"/>
  <c r="Q183" i="11"/>
  <c r="G184" i="11"/>
  <c r="P184" i="11"/>
  <c r="Q184" i="11"/>
  <c r="G185" i="11"/>
  <c r="P185" i="11"/>
  <c r="Q185" i="11"/>
  <c r="G186" i="11"/>
  <c r="P186" i="11"/>
  <c r="Q186" i="11"/>
  <c r="G187" i="11"/>
  <c r="P187" i="11"/>
  <c r="Q187" i="11"/>
  <c r="G188" i="11"/>
  <c r="P188" i="11"/>
  <c r="Q188" i="11"/>
  <c r="G189" i="11"/>
  <c r="P189" i="11"/>
  <c r="Q189" i="11"/>
  <c r="G190" i="11"/>
  <c r="P190" i="11"/>
  <c r="Q190" i="11"/>
  <c r="G191" i="11"/>
  <c r="P191" i="11"/>
  <c r="Q191" i="11"/>
  <c r="G192" i="11"/>
  <c r="P192" i="11"/>
  <c r="Q192" i="11"/>
  <c r="G193" i="11"/>
  <c r="P193" i="11"/>
  <c r="Q193" i="11"/>
  <c r="G194" i="11"/>
  <c r="P194" i="11"/>
  <c r="Q194" i="11"/>
  <c r="G195" i="11"/>
  <c r="P195" i="11"/>
  <c r="Q195" i="11"/>
  <c r="G196" i="11"/>
  <c r="P196" i="11"/>
  <c r="Q196" i="11"/>
  <c r="G197" i="11"/>
  <c r="P197" i="11"/>
  <c r="Q197" i="11"/>
  <c r="G198" i="11"/>
  <c r="P198" i="11"/>
  <c r="Q198" i="11"/>
  <c r="G199" i="11"/>
  <c r="P199" i="11"/>
  <c r="Q199" i="11"/>
  <c r="G200" i="11"/>
  <c r="P200" i="11"/>
  <c r="Q200" i="11"/>
  <c r="G201" i="11"/>
  <c r="P201" i="11"/>
  <c r="Q201" i="11"/>
  <c r="G202" i="11"/>
  <c r="P202" i="11"/>
  <c r="Q202" i="11"/>
  <c r="G203" i="11"/>
  <c r="P203" i="11"/>
  <c r="Q203" i="11"/>
  <c r="G204" i="11"/>
  <c r="P204" i="11"/>
  <c r="Q204" i="11"/>
  <c r="G205" i="11"/>
  <c r="P205" i="11"/>
  <c r="Q205" i="11"/>
  <c r="G206" i="11"/>
  <c r="P206" i="11"/>
  <c r="Q206" i="11"/>
  <c r="G207" i="11"/>
  <c r="P207" i="11"/>
  <c r="Q207" i="11"/>
  <c r="G208" i="11"/>
  <c r="P208" i="11"/>
  <c r="Q208" i="11"/>
  <c r="G209" i="11"/>
  <c r="P209" i="11"/>
  <c r="Q209" i="11"/>
  <c r="G210" i="11"/>
  <c r="P210" i="11"/>
  <c r="Q210" i="11"/>
  <c r="G211" i="11"/>
  <c r="P211" i="11"/>
  <c r="Q211" i="11"/>
  <c r="G212" i="11"/>
  <c r="P212" i="11"/>
  <c r="Q212" i="11"/>
  <c r="I20" i="1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19" i="11"/>
  <c r="I18" i="11"/>
  <c r="G43" i="11"/>
  <c r="K43" i="11"/>
  <c r="K44" i="11" s="1"/>
  <c r="L43" i="11"/>
  <c r="P43" i="11"/>
  <c r="Q43" i="11"/>
  <c r="S43" i="11"/>
  <c r="S44" i="11" s="1"/>
  <c r="G44" i="11"/>
  <c r="P44" i="11"/>
  <c r="Q44" i="11"/>
  <c r="G30" i="11"/>
  <c r="K30" i="11"/>
  <c r="L30" i="11" s="1"/>
  <c r="P30" i="11"/>
  <c r="Q30" i="11"/>
  <c r="S30" i="11"/>
  <c r="G31" i="11"/>
  <c r="P31" i="11"/>
  <c r="Q31" i="11"/>
  <c r="S31" i="1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S42" i="11" s="1"/>
  <c r="G32" i="11"/>
  <c r="P32" i="11"/>
  <c r="Q32" i="11"/>
  <c r="G33" i="11"/>
  <c r="P33" i="11"/>
  <c r="Q33" i="11"/>
  <c r="G34" i="11"/>
  <c r="P34" i="11"/>
  <c r="Q34" i="11"/>
  <c r="G35" i="11"/>
  <c r="P35" i="11"/>
  <c r="Q35" i="11"/>
  <c r="G36" i="11"/>
  <c r="P36" i="11"/>
  <c r="Q36" i="11"/>
  <c r="G37" i="11"/>
  <c r="P37" i="11"/>
  <c r="Q37" i="11"/>
  <c r="G38" i="11"/>
  <c r="P38" i="11"/>
  <c r="Q38" i="11"/>
  <c r="G39" i="11"/>
  <c r="P39" i="11"/>
  <c r="Q39" i="11"/>
  <c r="G40" i="11"/>
  <c r="P40" i="11"/>
  <c r="Q40" i="11"/>
  <c r="G41" i="11"/>
  <c r="P41" i="11"/>
  <c r="Q41" i="11"/>
  <c r="G42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S22" i="11"/>
  <c r="S23" i="11" s="1"/>
  <c r="S24" i="11" s="1"/>
  <c r="S25" i="11" s="1"/>
  <c r="S26" i="11" s="1"/>
  <c r="S27" i="11" s="1"/>
  <c r="S28" i="11" s="1"/>
  <c r="S29" i="11" s="1"/>
  <c r="K22" i="11"/>
  <c r="K23" i="11" s="1"/>
  <c r="O21" i="11"/>
  <c r="L21" i="11"/>
  <c r="L20" i="11"/>
  <c r="L19" i="11"/>
  <c r="M19" i="11" s="1"/>
  <c r="L18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L12" i="11"/>
  <c r="C7" i="11"/>
  <c r="C6" i="11"/>
  <c r="L4" i="11"/>
  <c r="O20" i="11" s="1"/>
  <c r="E37" i="9"/>
  <c r="F37" i="9"/>
  <c r="G37" i="9"/>
  <c r="H37" i="9"/>
  <c r="I37" i="9"/>
  <c r="J37" i="9"/>
  <c r="E38" i="9"/>
  <c r="F38" i="9"/>
  <c r="G38" i="9"/>
  <c r="H38" i="9"/>
  <c r="I38" i="9"/>
  <c r="J38" i="9"/>
  <c r="E39" i="9"/>
  <c r="F39" i="9"/>
  <c r="G39" i="9"/>
  <c r="H39" i="9"/>
  <c r="I39" i="9"/>
  <c r="J39" i="9"/>
  <c r="E40" i="9"/>
  <c r="F40" i="9"/>
  <c r="G40" i="9"/>
  <c r="H40" i="9"/>
  <c r="I40" i="9"/>
  <c r="J40" i="9"/>
  <c r="E41" i="9"/>
  <c r="F41" i="9"/>
  <c r="G41" i="9"/>
  <c r="H41" i="9"/>
  <c r="I41" i="9"/>
  <c r="J41" i="9"/>
  <c r="E42" i="9"/>
  <c r="F42" i="9"/>
  <c r="G42" i="9"/>
  <c r="H42" i="9"/>
  <c r="I42" i="9"/>
  <c r="J42" i="9"/>
  <c r="E43" i="9"/>
  <c r="F43" i="9"/>
  <c r="G43" i="9"/>
  <c r="H43" i="9"/>
  <c r="I43" i="9"/>
  <c r="J43" i="9"/>
  <c r="E44" i="9"/>
  <c r="F44" i="9"/>
  <c r="G44" i="9"/>
  <c r="H44" i="9"/>
  <c r="I44" i="9"/>
  <c r="J44" i="9"/>
  <c r="J36" i="9"/>
  <c r="I36" i="9"/>
  <c r="H36" i="9"/>
  <c r="G36" i="9"/>
  <c r="F36" i="9"/>
  <c r="E36" i="9"/>
  <c r="E26" i="9"/>
  <c r="F26" i="9"/>
  <c r="G26" i="9"/>
  <c r="H26" i="9"/>
  <c r="I26" i="9"/>
  <c r="J26" i="9"/>
  <c r="E27" i="9"/>
  <c r="F27" i="9"/>
  <c r="G27" i="9"/>
  <c r="H27" i="9"/>
  <c r="I27" i="9"/>
  <c r="J27" i="9"/>
  <c r="E28" i="9"/>
  <c r="F28" i="9"/>
  <c r="G28" i="9"/>
  <c r="H28" i="9"/>
  <c r="I28" i="9"/>
  <c r="J28" i="9"/>
  <c r="E29" i="9"/>
  <c r="F29" i="9"/>
  <c r="G29" i="9"/>
  <c r="H29" i="9"/>
  <c r="I29" i="9"/>
  <c r="J29" i="9"/>
  <c r="E30" i="9"/>
  <c r="F30" i="9"/>
  <c r="G30" i="9"/>
  <c r="H30" i="9"/>
  <c r="I30" i="9"/>
  <c r="J30" i="9"/>
  <c r="E31" i="9"/>
  <c r="F31" i="9"/>
  <c r="G31" i="9"/>
  <c r="H31" i="9"/>
  <c r="I31" i="9"/>
  <c r="J31" i="9"/>
  <c r="E32" i="9"/>
  <c r="F32" i="9"/>
  <c r="G32" i="9"/>
  <c r="H32" i="9"/>
  <c r="I32" i="9"/>
  <c r="J32" i="9"/>
  <c r="E33" i="9"/>
  <c r="F33" i="9"/>
  <c r="G33" i="9"/>
  <c r="H33" i="9"/>
  <c r="I33" i="9"/>
  <c r="J33" i="9"/>
  <c r="J25" i="9"/>
  <c r="I25" i="9"/>
  <c r="H25" i="9"/>
  <c r="G25" i="9"/>
  <c r="F25" i="9"/>
  <c r="E25" i="9"/>
  <c r="F15" i="9"/>
  <c r="G15" i="9"/>
  <c r="H15" i="9"/>
  <c r="I15" i="9"/>
  <c r="J15" i="9"/>
  <c r="F16" i="9"/>
  <c r="G16" i="9"/>
  <c r="H16" i="9"/>
  <c r="I16" i="9"/>
  <c r="J16" i="9"/>
  <c r="F17" i="9"/>
  <c r="G17" i="9"/>
  <c r="H17" i="9"/>
  <c r="I17" i="9"/>
  <c r="J17" i="9"/>
  <c r="F18" i="9"/>
  <c r="G18" i="9"/>
  <c r="H18" i="9"/>
  <c r="I18" i="9"/>
  <c r="J18" i="9"/>
  <c r="F19" i="9"/>
  <c r="G19" i="9"/>
  <c r="H19" i="9"/>
  <c r="I19" i="9"/>
  <c r="J19" i="9"/>
  <c r="F20" i="9"/>
  <c r="G20" i="9"/>
  <c r="H20" i="9"/>
  <c r="I20" i="9"/>
  <c r="J20" i="9"/>
  <c r="F21" i="9"/>
  <c r="G21" i="9"/>
  <c r="H21" i="9"/>
  <c r="I21" i="9"/>
  <c r="J21" i="9"/>
  <c r="F22" i="9"/>
  <c r="G22" i="9"/>
  <c r="H22" i="9"/>
  <c r="I22" i="9"/>
  <c r="J22" i="9"/>
  <c r="J14" i="9"/>
  <c r="I14" i="9"/>
  <c r="H14" i="9"/>
  <c r="G14" i="9"/>
  <c r="F14" i="9"/>
  <c r="E15" i="9"/>
  <c r="E16" i="9"/>
  <c r="E17" i="9"/>
  <c r="E18" i="9"/>
  <c r="E19" i="9"/>
  <c r="E20" i="9"/>
  <c r="E21" i="9"/>
  <c r="E22" i="9"/>
  <c r="E14" i="9"/>
  <c r="M7" i="9"/>
  <c r="L4" i="9"/>
  <c r="L5" i="9"/>
  <c r="L6" i="9"/>
  <c r="L7" i="9"/>
  <c r="L8" i="9"/>
  <c r="L3" i="9"/>
  <c r="M3" i="9" s="1"/>
  <c r="K7" i="9"/>
  <c r="K8" i="9" s="1"/>
  <c r="M8" i="9" s="1"/>
  <c r="M4" i="9"/>
  <c r="M5" i="9"/>
  <c r="M6" i="9"/>
  <c r="X62" i="8"/>
  <c r="X63" i="8" s="1"/>
  <c r="X61" i="8"/>
  <c r="Y61" i="8" s="1"/>
  <c r="Z61" i="8" s="1"/>
  <c r="X60" i="8"/>
  <c r="AB60" i="8" s="1"/>
  <c r="AB59" i="8"/>
  <c r="Z59" i="8"/>
  <c r="Y59" i="8"/>
  <c r="AB58" i="8"/>
  <c r="Z58" i="8"/>
  <c r="Y58" i="8"/>
  <c r="AB57" i="8"/>
  <c r="Y57" i="8"/>
  <c r="Z57" i="8" s="1"/>
  <c r="AB56" i="8"/>
  <c r="Y56" i="8"/>
  <c r="Z56" i="8" s="1"/>
  <c r="X40" i="8"/>
  <c r="Y40" i="8" s="1"/>
  <c r="Z40" i="8" s="1"/>
  <c r="Y39" i="8"/>
  <c r="Z39" i="8" s="1"/>
  <c r="Y38" i="8"/>
  <c r="Z38" i="8" s="1"/>
  <c r="Y37" i="8"/>
  <c r="Z37" i="8" s="1"/>
  <c r="Y36" i="8"/>
  <c r="Z36" i="8" s="1"/>
  <c r="G19" i="8"/>
  <c r="H39" i="11" a="1"/>
  <c r="H135" i="11" a="1"/>
  <c r="H128" i="11" a="1"/>
  <c r="H74" i="11" a="1"/>
  <c r="H41" i="11" a="1"/>
  <c r="S40" i="8" a="1"/>
  <c r="H95" i="11" a="1"/>
  <c r="H76" i="11" a="1"/>
  <c r="S39" i="8" a="1"/>
  <c r="H53" i="11" a="1"/>
  <c r="H194" i="11" a="1"/>
  <c r="H121" i="11" a="1"/>
  <c r="H175" i="11" a="1"/>
  <c r="H139" i="11" a="1"/>
  <c r="H157" i="11" a="1"/>
  <c r="S68" i="8" a="1"/>
  <c r="H118" i="11" a="1"/>
  <c r="H211" i="11" a="1"/>
  <c r="H58" i="11" a="1"/>
  <c r="N22" i="18" a="1"/>
  <c r="H97" i="11" a="1"/>
  <c r="H100" i="11" a="1"/>
  <c r="H164" i="11" a="1"/>
  <c r="H162" i="11" a="1"/>
  <c r="H67" i="11" a="1"/>
  <c r="H201" i="11" a="1"/>
  <c r="H20" i="11" a="1"/>
  <c r="S59" i="8" a="1"/>
  <c r="AA56" i="8" a="1"/>
  <c r="AA38" i="8" a="1"/>
  <c r="H181" i="11" a="1"/>
  <c r="N19" i="15" a="1"/>
  <c r="U45" i="11" a="1"/>
  <c r="H68" i="11" a="1"/>
  <c r="H183" i="11" a="1"/>
  <c r="H85" i="11" a="1"/>
  <c r="H36" i="11" a="1"/>
  <c r="H111" i="11" a="1"/>
  <c r="H159" i="11" a="1"/>
  <c r="H35" i="11" a="1"/>
  <c r="AA39" i="8" a="1"/>
  <c r="H31" i="11" a="1"/>
  <c r="U20" i="11" a="1"/>
  <c r="N18" i="15" a="1"/>
  <c r="H136" i="11" a="1"/>
  <c r="H37" i="11" a="1"/>
  <c r="H24" i="11" a="1"/>
  <c r="H103" i="11" a="1"/>
  <c r="H158" i="11" a="1"/>
  <c r="H145" i="11" a="1"/>
  <c r="N19" i="18" a="1"/>
  <c r="H182" i="11" a="1"/>
  <c r="H30" i="11" a="1"/>
  <c r="H54" i="11" a="1"/>
  <c r="H65" i="11" a="1"/>
  <c r="H206" i="11" a="1"/>
  <c r="H120" i="11" a="1"/>
  <c r="H131" i="11" a="1"/>
  <c r="H151" i="11" a="1"/>
  <c r="N18" i="11" a="1"/>
  <c r="N22" i="15" a="1"/>
  <c r="H190" i="11" a="1"/>
  <c r="H163" i="11" a="1"/>
  <c r="H61" i="11" a="1"/>
  <c r="H161" i="11" a="1"/>
  <c r="H26" i="11" a="1"/>
  <c r="S61" i="8" a="1"/>
  <c r="H147" i="11" a="1"/>
  <c r="AA58" i="8" a="1"/>
  <c r="H134" i="11" a="1"/>
  <c r="U21" i="18" a="1"/>
  <c r="N23" i="15" a="1"/>
  <c r="H56" i="11" a="1"/>
  <c r="AA40" i="8" a="1"/>
  <c r="H19" i="11" a="1"/>
  <c r="H71" i="11" a="1"/>
  <c r="H191" i="11" a="1"/>
  <c r="H64" i="11" a="1"/>
  <c r="H80" i="11" a="1"/>
  <c r="S67" i="8" a="1"/>
  <c r="H168" i="11" a="1"/>
  <c r="N30" i="11" a="1"/>
  <c r="S37" i="8" a="1"/>
  <c r="T21" i="11" a="1"/>
  <c r="H43" i="11" a="1"/>
  <c r="H60" i="11" a="1"/>
  <c r="H171" i="11" a="1"/>
  <c r="S36" i="8" a="1"/>
  <c r="AA59" i="8" a="1"/>
  <c r="S49" i="8" a="1"/>
  <c r="H32" i="11" a="1"/>
  <c r="H47" i="11" a="1"/>
  <c r="T22" i="15" a="1"/>
  <c r="S42" i="8" a="1"/>
  <c r="H187" i="11" a="1"/>
  <c r="H198" i="11" a="1"/>
  <c r="S45" i="8" a="1"/>
  <c r="H165" i="11" a="1"/>
  <c r="S41" i="8" a="1"/>
  <c r="H108" i="11" a="1"/>
  <c r="S65" i="8" a="1"/>
  <c r="H133" i="11" a="1"/>
  <c r="S69" i="8" a="1"/>
  <c r="H45" i="11" a="1"/>
  <c r="AA37" i="8" a="1"/>
  <c r="H153" i="11" a="1"/>
  <c r="H81" i="11" a="1"/>
  <c r="H144" i="11" a="1"/>
  <c r="N20" i="15" a="1"/>
  <c r="H210" i="11" a="1"/>
  <c r="H46" i="11" a="1"/>
  <c r="H119" i="11" a="1"/>
  <c r="H126" i="11" a="1"/>
  <c r="S48" i="8" a="1"/>
  <c r="H137" i="11" a="1"/>
  <c r="H174" i="11" a="1"/>
  <c r="H55" i="11" a="1"/>
  <c r="H123" i="11" a="1"/>
  <c r="H212" i="11" a="1"/>
  <c r="H109" i="11" a="1"/>
  <c r="T20" i="18" a="1"/>
  <c r="H25" i="11" a="1"/>
  <c r="H152" i="11" a="1"/>
  <c r="H156" i="11" a="1"/>
  <c r="N18" i="18" a="1"/>
  <c r="S60" i="8" a="1"/>
  <c r="H130" i="11" a="1"/>
  <c r="H44" i="11" a="1"/>
  <c r="T22" i="18" a="1"/>
  <c r="H195" i="11" a="1"/>
  <c r="H207" i="11" a="1"/>
  <c r="H184" i="11" a="1"/>
  <c r="H124" i="11" a="1"/>
  <c r="T20" i="11" a="1"/>
  <c r="N43" i="11" a="1"/>
  <c r="H50" i="11" a="1"/>
  <c r="H33" i="11" a="1"/>
  <c r="H132" i="11" a="1"/>
  <c r="H203" i="11" a="1"/>
  <c r="H141" i="11" a="1"/>
  <c r="H166" i="11" a="1"/>
  <c r="H23" i="11" a="1"/>
  <c r="H40" i="11" a="1"/>
  <c r="S57" i="8" a="1"/>
  <c r="N19" i="11" a="1"/>
  <c r="H92" i="11" a="1"/>
  <c r="H115" i="11" a="1"/>
  <c r="H98" i="11" a="1"/>
  <c r="H101" i="11" a="1"/>
  <c r="H110" i="11" a="1"/>
  <c r="H104" i="11" a="1"/>
  <c r="N46" i="11" a="1"/>
  <c r="H63" i="11" a="1"/>
  <c r="H176" i="11" a="1"/>
  <c r="H146" i="11" a="1"/>
  <c r="H188" i="11" a="1"/>
  <c r="AA61" i="8" a="1"/>
  <c r="H107" i="11" a="1"/>
  <c r="H185" i="11" a="1"/>
  <c r="H102" i="11" a="1"/>
  <c r="H51" i="11" a="1"/>
  <c r="H202" i="11" a="1"/>
  <c r="T21" i="18" a="1"/>
  <c r="H200" i="11" a="1"/>
  <c r="H18" i="11" a="1"/>
  <c r="H78" i="11" a="1"/>
  <c r="H196" i="11" a="1"/>
  <c r="U21" i="11" a="1"/>
  <c r="H93" i="11" a="1"/>
  <c r="H154" i="11" a="1"/>
  <c r="N20" i="11" a="1"/>
  <c r="H112" i="11" a="1"/>
  <c r="H127" i="11" a="1"/>
  <c r="H180" i="11" a="1"/>
  <c r="H193" i="11" a="1"/>
  <c r="H21" i="11" a="1"/>
  <c r="H189" i="11" a="1"/>
  <c r="H75" i="11" a="1"/>
  <c r="H186" i="11" a="1"/>
  <c r="N45" i="11" a="1"/>
  <c r="H38" i="11" a="1"/>
  <c r="H125" i="11" a="1"/>
  <c r="H42" i="11" a="1"/>
  <c r="S56" i="8" a="1"/>
  <c r="H29" i="11" a="1"/>
  <c r="S46" i="8" a="1"/>
  <c r="H49" i="11" a="1"/>
  <c r="H106" i="11" a="1"/>
  <c r="H208" i="11" a="1"/>
  <c r="S43" i="8" a="1"/>
  <c r="H86" i="11" a="1"/>
  <c r="H169" i="11" a="1"/>
  <c r="H148" i="11" a="1"/>
  <c r="N21" i="15" a="1"/>
  <c r="H117" i="11" a="1"/>
  <c r="H122" i="11" a="1"/>
  <c r="AA57" i="8" a="1"/>
  <c r="H88" i="11" a="1"/>
  <c r="H72" i="11" a="1"/>
  <c r="L11" i="18" a="1"/>
  <c r="H138" i="11" a="1"/>
  <c r="H59" i="11" a="1"/>
  <c r="S64" i="8" a="1"/>
  <c r="T21" i="15" a="1"/>
  <c r="T45" i="11" a="1"/>
  <c r="H105" i="11" a="1"/>
  <c r="H90" i="11" a="1"/>
  <c r="H34" i="11" a="1"/>
  <c r="H66" i="11" a="1"/>
  <c r="H129" i="11" a="1"/>
  <c r="S62" i="8" a="1"/>
  <c r="H84" i="11" a="1"/>
  <c r="S44" i="8" a="1"/>
  <c r="H170" i="11" a="1"/>
  <c r="H91" i="11" a="1"/>
  <c r="H143" i="11" a="1"/>
  <c r="H209" i="11" a="1"/>
  <c r="H204" i="11" a="1"/>
  <c r="H205" i="11" a="1"/>
  <c r="H177" i="11" a="1"/>
  <c r="S38" i="8" a="1"/>
  <c r="H82" i="11" a="1"/>
  <c r="H197" i="11" a="1"/>
  <c r="H70" i="11" a="1"/>
  <c r="AA36" i="8" a="1"/>
  <c r="H73" i="11" a="1"/>
  <c r="H140" i="11" a="1"/>
  <c r="N20" i="18" a="1"/>
  <c r="H94" i="11" a="1"/>
  <c r="H87" i="11" a="1"/>
  <c r="S58" i="8" a="1"/>
  <c r="U20" i="18" a="1"/>
  <c r="H160" i="11" a="1"/>
  <c r="H179" i="11" a="1"/>
  <c r="N21" i="11" a="1"/>
  <c r="N21" i="18" a="1"/>
  <c r="H167" i="11" a="1"/>
  <c r="S63" i="8" a="1"/>
  <c r="H116" i="11" a="1"/>
  <c r="U22" i="18" a="1"/>
  <c r="H172" i="11" a="1"/>
  <c r="H52" i="11" a="1"/>
  <c r="H83" i="11" a="1"/>
  <c r="H79" i="11" a="1"/>
  <c r="H173" i="11" a="1"/>
  <c r="S47" i="8" a="1"/>
  <c r="H96" i="11" a="1"/>
  <c r="H149" i="11" a="1"/>
  <c r="H62" i="11" a="1"/>
  <c r="H113" i="11" a="1"/>
  <c r="H114" i="11" a="1"/>
  <c r="H99" i="11" a="1"/>
  <c r="U22" i="15" a="1"/>
  <c r="H150" i="11" a="1"/>
  <c r="H48" i="11" a="1"/>
  <c r="H178" i="11" a="1"/>
  <c r="H77" i="11" a="1"/>
  <c r="S66" i="8" a="1"/>
  <c r="H89" i="11" a="1"/>
  <c r="H22" i="11" a="1"/>
  <c r="H142" i="11" a="1"/>
  <c r="H155" i="11" a="1"/>
  <c r="H57" i="11" a="1"/>
  <c r="H27" i="11" a="1"/>
  <c r="H69" i="11" a="1"/>
  <c r="H192" i="11" a="1"/>
  <c r="H28" i="11" a="1"/>
  <c r="H199" i="11" a="1"/>
  <c r="U21" i="15" a="1"/>
  <c r="L11" i="18" l="1"/>
  <c r="T21" i="18"/>
  <c r="T22" i="18"/>
  <c r="N18" i="18"/>
  <c r="T20" i="18"/>
  <c r="U21" i="18"/>
  <c r="N22" i="18"/>
  <c r="U22" i="18"/>
  <c r="N21" i="18"/>
  <c r="U20" i="18"/>
  <c r="N20" i="18"/>
  <c r="N19" i="18"/>
  <c r="K24" i="18"/>
  <c r="O23" i="18"/>
  <c r="L23" i="18"/>
  <c r="M23" i="18" s="1"/>
  <c r="O19" i="18"/>
  <c r="G12" i="18"/>
  <c r="O18" i="18"/>
  <c r="T21" i="15"/>
  <c r="T22" i="15"/>
  <c r="N18" i="15"/>
  <c r="N23" i="15"/>
  <c r="U22" i="15"/>
  <c r="N19" i="15"/>
  <c r="G11" i="15"/>
  <c r="N20" i="15"/>
  <c r="N21" i="15"/>
  <c r="U21" i="15"/>
  <c r="N22" i="15"/>
  <c r="K24" i="15"/>
  <c r="O23" i="15"/>
  <c r="L10" i="15"/>
  <c r="O18" i="15"/>
  <c r="O19" i="15"/>
  <c r="O20" i="15"/>
  <c r="L13" i="15"/>
  <c r="H206" i="11"/>
  <c r="J206" i="11" s="1"/>
  <c r="H165" i="11"/>
  <c r="J165" i="11" s="1"/>
  <c r="H157" i="11"/>
  <c r="J157" i="11" s="1"/>
  <c r="H205" i="11"/>
  <c r="J205" i="11" s="1"/>
  <c r="H197" i="11"/>
  <c r="J197" i="11" s="1"/>
  <c r="H174" i="11"/>
  <c r="J174" i="11" s="1"/>
  <c r="H166" i="11"/>
  <c r="J166" i="11" s="1"/>
  <c r="H158" i="11"/>
  <c r="J158" i="11" s="1"/>
  <c r="H173" i="11"/>
  <c r="J173" i="11" s="1"/>
  <c r="H196" i="11"/>
  <c r="J196" i="11" s="1"/>
  <c r="H175" i="11"/>
  <c r="J175" i="11" s="1"/>
  <c r="H167" i="11"/>
  <c r="J167" i="11" s="1"/>
  <c r="H159" i="11"/>
  <c r="J159" i="11" s="1"/>
  <c r="H149" i="11"/>
  <c r="J149" i="11" s="1"/>
  <c r="H91" i="11"/>
  <c r="J91" i="11" s="1"/>
  <c r="H140" i="11"/>
  <c r="J140" i="11" s="1"/>
  <c r="H121" i="11"/>
  <c r="J121" i="11" s="1"/>
  <c r="H198" i="11"/>
  <c r="J198" i="11" s="1"/>
  <c r="H132" i="11"/>
  <c r="J132" i="11" s="1"/>
  <c r="H203" i="11"/>
  <c r="J203" i="11" s="1"/>
  <c r="H202" i="11"/>
  <c r="J202" i="11" s="1"/>
  <c r="H194" i="11"/>
  <c r="J194" i="11" s="1"/>
  <c r="H210" i="11"/>
  <c r="J210" i="11" s="1"/>
  <c r="H212" i="11"/>
  <c r="J212" i="11" s="1"/>
  <c r="H208" i="11"/>
  <c r="J208" i="11" s="1"/>
  <c r="H177" i="11"/>
  <c r="J177" i="11" s="1"/>
  <c r="H169" i="11"/>
  <c r="J169" i="11" s="1"/>
  <c r="H161" i="11"/>
  <c r="J161" i="11" s="1"/>
  <c r="H125" i="11"/>
  <c r="J125" i="11" s="1"/>
  <c r="H204" i="11"/>
  <c r="J204" i="11" s="1"/>
  <c r="H195" i="11"/>
  <c r="J195" i="11" s="1"/>
  <c r="H201" i="11"/>
  <c r="J201" i="11" s="1"/>
  <c r="H193" i="11"/>
  <c r="J193" i="11" s="1"/>
  <c r="H178" i="11"/>
  <c r="J178" i="11" s="1"/>
  <c r="H170" i="11"/>
  <c r="J170" i="11" s="1"/>
  <c r="H162" i="11"/>
  <c r="J162" i="11" s="1"/>
  <c r="H179" i="11"/>
  <c r="J179" i="11" s="1"/>
  <c r="H191" i="11"/>
  <c r="J191" i="11" s="1"/>
  <c r="H163" i="11"/>
  <c r="J163" i="11" s="1"/>
  <c r="H148" i="11"/>
  <c r="J148" i="11" s="1"/>
  <c r="H209" i="11"/>
  <c r="J209" i="11" s="1"/>
  <c r="H211" i="11"/>
  <c r="J211" i="11" s="1"/>
  <c r="H207" i="11"/>
  <c r="J207" i="11" s="1"/>
  <c r="H190" i="11"/>
  <c r="J190" i="11" s="1"/>
  <c r="H141" i="11"/>
  <c r="J141" i="11" s="1"/>
  <c r="H129" i="11"/>
  <c r="J129" i="11" s="1"/>
  <c r="H120" i="11"/>
  <c r="J120" i="11" s="1"/>
  <c r="H171" i="11"/>
  <c r="J171" i="11" s="1"/>
  <c r="H199" i="11"/>
  <c r="J199" i="11" s="1"/>
  <c r="H189" i="11"/>
  <c r="J189" i="11" s="1"/>
  <c r="H181" i="11"/>
  <c r="J181" i="11" s="1"/>
  <c r="H96" i="11"/>
  <c r="J96" i="11" s="1"/>
  <c r="H200" i="11"/>
  <c r="J200" i="11" s="1"/>
  <c r="H187" i="11"/>
  <c r="J187" i="11" s="1"/>
  <c r="H186" i="11"/>
  <c r="J186" i="11" s="1"/>
  <c r="H185" i="11"/>
  <c r="J185" i="11" s="1"/>
  <c r="H183" i="11"/>
  <c r="J183" i="11" s="1"/>
  <c r="H182" i="11"/>
  <c r="J182" i="11" s="1"/>
  <c r="H152" i="11"/>
  <c r="J152" i="11" s="1"/>
  <c r="H59" i="11"/>
  <c r="J59" i="11" s="1"/>
  <c r="H55" i="11"/>
  <c r="J55" i="11" s="1"/>
  <c r="H145" i="11"/>
  <c r="J145" i="11" s="1"/>
  <c r="H156" i="11"/>
  <c r="J156" i="11" s="1"/>
  <c r="H144" i="11"/>
  <c r="J144" i="11" s="1"/>
  <c r="H133" i="11"/>
  <c r="J133" i="11" s="1"/>
  <c r="H104" i="11"/>
  <c r="J104" i="11" s="1"/>
  <c r="H92" i="11"/>
  <c r="J92" i="11" s="1"/>
  <c r="H192" i="11"/>
  <c r="J192" i="11" s="1"/>
  <c r="H188" i="11"/>
  <c r="J188" i="11" s="1"/>
  <c r="H184" i="11"/>
  <c r="J184" i="11" s="1"/>
  <c r="H180" i="11"/>
  <c r="J180" i="11" s="1"/>
  <c r="H176" i="11"/>
  <c r="J176" i="11" s="1"/>
  <c r="H172" i="11"/>
  <c r="J172" i="11" s="1"/>
  <c r="H168" i="11"/>
  <c r="J168" i="11" s="1"/>
  <c r="H164" i="11"/>
  <c r="J164" i="11" s="1"/>
  <c r="H160" i="11"/>
  <c r="J160" i="11" s="1"/>
  <c r="H111" i="11"/>
  <c r="J111" i="11" s="1"/>
  <c r="H79" i="11"/>
  <c r="J79" i="11" s="1"/>
  <c r="H155" i="11"/>
  <c r="J155" i="11" s="1"/>
  <c r="H128" i="11"/>
  <c r="J128" i="11" s="1"/>
  <c r="H76" i="11"/>
  <c r="J76" i="11" s="1"/>
  <c r="H136" i="11"/>
  <c r="J136" i="11" s="1"/>
  <c r="H124" i="11"/>
  <c r="J124" i="11" s="1"/>
  <c r="H112" i="11"/>
  <c r="J112" i="11" s="1"/>
  <c r="H107" i="11"/>
  <c r="J107" i="11" s="1"/>
  <c r="H95" i="11"/>
  <c r="J95" i="11" s="1"/>
  <c r="H153" i="11"/>
  <c r="J153" i="11" s="1"/>
  <c r="H137" i="11"/>
  <c r="J137" i="11" s="1"/>
  <c r="H103" i="11"/>
  <c r="J103" i="11" s="1"/>
  <c r="H72" i="11"/>
  <c r="J72" i="11" s="1"/>
  <c r="H108" i="11"/>
  <c r="J108" i="11" s="1"/>
  <c r="H80" i="11"/>
  <c r="J80" i="11" s="1"/>
  <c r="H75" i="11"/>
  <c r="J75" i="11" s="1"/>
  <c r="H63" i="11"/>
  <c r="J63" i="11" s="1"/>
  <c r="H67" i="11"/>
  <c r="J67" i="11" s="1"/>
  <c r="H100" i="11"/>
  <c r="J100" i="11" s="1"/>
  <c r="H99" i="11"/>
  <c r="J99" i="11" s="1"/>
  <c r="H48" i="11"/>
  <c r="J48" i="11" s="1"/>
  <c r="H52" i="11"/>
  <c r="J52" i="11" s="1"/>
  <c r="T45" i="11"/>
  <c r="H87" i="11"/>
  <c r="J87" i="11" s="1"/>
  <c r="H56" i="11"/>
  <c r="J56" i="11" s="1"/>
  <c r="H151" i="11"/>
  <c r="J151" i="11" s="1"/>
  <c r="H147" i="11"/>
  <c r="J147" i="11" s="1"/>
  <c r="H143" i="11"/>
  <c r="J143" i="11" s="1"/>
  <c r="H139" i="11"/>
  <c r="J139" i="11" s="1"/>
  <c r="H135" i="11"/>
  <c r="J135" i="11" s="1"/>
  <c r="H131" i="11"/>
  <c r="J131" i="11" s="1"/>
  <c r="H127" i="11"/>
  <c r="J127" i="11" s="1"/>
  <c r="H123" i="11"/>
  <c r="J123" i="11" s="1"/>
  <c r="H119" i="11"/>
  <c r="J119" i="11" s="1"/>
  <c r="H60" i="11"/>
  <c r="J60" i="11" s="1"/>
  <c r="H88" i="11"/>
  <c r="J88" i="11" s="1"/>
  <c r="H68" i="11"/>
  <c r="J68" i="11" s="1"/>
  <c r="H64" i="11"/>
  <c r="J64" i="11" s="1"/>
  <c r="H83" i="11"/>
  <c r="J83" i="11" s="1"/>
  <c r="H71" i="11"/>
  <c r="J71" i="11" s="1"/>
  <c r="H154" i="11"/>
  <c r="J154" i="11" s="1"/>
  <c r="H150" i="11"/>
  <c r="J150" i="11" s="1"/>
  <c r="H146" i="11"/>
  <c r="J146" i="11" s="1"/>
  <c r="H142" i="11"/>
  <c r="J142" i="11" s="1"/>
  <c r="H138" i="11"/>
  <c r="J138" i="11" s="1"/>
  <c r="H134" i="11"/>
  <c r="J134" i="11" s="1"/>
  <c r="H130" i="11"/>
  <c r="J130" i="11" s="1"/>
  <c r="H126" i="11"/>
  <c r="J126" i="11" s="1"/>
  <c r="H122" i="11"/>
  <c r="J122" i="11" s="1"/>
  <c r="H116" i="11"/>
  <c r="J116" i="11" s="1"/>
  <c r="H84" i="11"/>
  <c r="J84" i="11" s="1"/>
  <c r="H47" i="11"/>
  <c r="J47" i="11" s="1"/>
  <c r="H115" i="11"/>
  <c r="J115" i="11" s="1"/>
  <c r="H51" i="11"/>
  <c r="J51" i="11" s="1"/>
  <c r="N46" i="11"/>
  <c r="N45" i="11"/>
  <c r="H118" i="11"/>
  <c r="J118" i="11" s="1"/>
  <c r="H114" i="11"/>
  <c r="J114" i="11" s="1"/>
  <c r="H110" i="11"/>
  <c r="J110" i="11" s="1"/>
  <c r="H106" i="11"/>
  <c r="J106" i="11" s="1"/>
  <c r="H102" i="11"/>
  <c r="J102" i="11" s="1"/>
  <c r="H98" i="11"/>
  <c r="J98" i="11" s="1"/>
  <c r="H94" i="11"/>
  <c r="J94" i="11" s="1"/>
  <c r="H90" i="11"/>
  <c r="J90" i="11" s="1"/>
  <c r="H86" i="11"/>
  <c r="J86" i="11" s="1"/>
  <c r="H82" i="11"/>
  <c r="J82" i="11" s="1"/>
  <c r="H78" i="11"/>
  <c r="J78" i="11" s="1"/>
  <c r="H74" i="11"/>
  <c r="J74" i="11" s="1"/>
  <c r="H70" i="11"/>
  <c r="J70" i="11" s="1"/>
  <c r="H66" i="11"/>
  <c r="J66" i="11" s="1"/>
  <c r="H62" i="11"/>
  <c r="J62" i="11" s="1"/>
  <c r="H58" i="11"/>
  <c r="J58" i="11" s="1"/>
  <c r="H54" i="11"/>
  <c r="J54" i="11" s="1"/>
  <c r="H50" i="11"/>
  <c r="J50" i="11" s="1"/>
  <c r="H46" i="11"/>
  <c r="J46" i="11" s="1"/>
  <c r="H117" i="11"/>
  <c r="J117" i="11" s="1"/>
  <c r="H113" i="11"/>
  <c r="J113" i="11" s="1"/>
  <c r="H109" i="11"/>
  <c r="J109" i="11" s="1"/>
  <c r="H105" i="11"/>
  <c r="J105" i="11" s="1"/>
  <c r="H101" i="11"/>
  <c r="J101" i="11" s="1"/>
  <c r="H97" i="11"/>
  <c r="J97" i="11" s="1"/>
  <c r="H93" i="11"/>
  <c r="J93" i="11" s="1"/>
  <c r="H89" i="11"/>
  <c r="J89" i="11" s="1"/>
  <c r="H85" i="11"/>
  <c r="J85" i="11" s="1"/>
  <c r="H81" i="11"/>
  <c r="J81" i="11" s="1"/>
  <c r="H77" i="11"/>
  <c r="J77" i="11" s="1"/>
  <c r="H73" i="11"/>
  <c r="J73" i="11" s="1"/>
  <c r="H69" i="11"/>
  <c r="J69" i="11" s="1"/>
  <c r="H65" i="11"/>
  <c r="J65" i="11" s="1"/>
  <c r="H61" i="11"/>
  <c r="J61" i="11" s="1"/>
  <c r="H57" i="11"/>
  <c r="J57" i="11" s="1"/>
  <c r="H53" i="11"/>
  <c r="J53" i="11" s="1"/>
  <c r="H49" i="11"/>
  <c r="J49" i="11" s="1"/>
  <c r="H45" i="11"/>
  <c r="J45" i="11" s="1"/>
  <c r="U45" i="11"/>
  <c r="O46" i="11"/>
  <c r="K47" i="11"/>
  <c r="N43" i="11"/>
  <c r="H44" i="11"/>
  <c r="J44" i="11" s="1"/>
  <c r="H43" i="11"/>
  <c r="J43" i="11" s="1"/>
  <c r="L44" i="11"/>
  <c r="O44" i="11"/>
  <c r="O43" i="11"/>
  <c r="H34" i="11"/>
  <c r="J34" i="11" s="1"/>
  <c r="H33" i="11"/>
  <c r="J33" i="11" s="1"/>
  <c r="H38" i="11"/>
  <c r="J38" i="11" s="1"/>
  <c r="H32" i="11"/>
  <c r="J32" i="11" s="1"/>
  <c r="N30" i="1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O30" i="11"/>
  <c r="K31" i="11"/>
  <c r="O18" i="11"/>
  <c r="O19" i="11"/>
  <c r="U20" i="11"/>
  <c r="U21" i="11"/>
  <c r="T21" i="11"/>
  <c r="V21" i="11" s="1"/>
  <c r="T20" i="11"/>
  <c r="V20" i="11" s="1"/>
  <c r="O22" i="11"/>
  <c r="N21" i="11"/>
  <c r="N18" i="11"/>
  <c r="N19" i="11"/>
  <c r="N20" i="11"/>
  <c r="O23" i="11"/>
  <c r="K24" i="11"/>
  <c r="L23" i="11"/>
  <c r="L22" i="1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X64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X41" i="8"/>
  <c r="G20" i="8"/>
  <c r="G21" i="8"/>
  <c r="G22" i="8"/>
  <c r="G23" i="8"/>
  <c r="G24" i="8"/>
  <c r="G25" i="8"/>
  <c r="G26" i="8"/>
  <c r="G27" i="8"/>
  <c r="G28" i="8"/>
  <c r="G29" i="8"/>
  <c r="G30" i="8"/>
  <c r="G31" i="8"/>
  <c r="G18" i="8"/>
  <c r="R18" i="8"/>
  <c r="S18" i="8" s="1"/>
  <c r="T18" i="18" a="1"/>
  <c r="V58" i="8" a="1"/>
  <c r="V46" i="8" a="1"/>
  <c r="V43" i="8" a="1"/>
  <c r="U23" i="18" a="1"/>
  <c r="AC59" i="8" a="1"/>
  <c r="U18" i="15" a="1"/>
  <c r="U44" i="11" a="1"/>
  <c r="T19" i="11" a="1"/>
  <c r="V47" i="8" a="1"/>
  <c r="U46" i="11" a="1"/>
  <c r="T23" i="18" a="1"/>
  <c r="V68" i="8" a="1"/>
  <c r="V62" i="8" a="1"/>
  <c r="AA63" i="8" a="1"/>
  <c r="AD58" i="8" a="1"/>
  <c r="AD61" i="8" a="1"/>
  <c r="L11" i="15" a="1"/>
  <c r="V63" i="8" a="1"/>
  <c r="T19" i="15" a="1"/>
  <c r="T22" i="11" a="1"/>
  <c r="T30" i="11" a="1"/>
  <c r="T23" i="15" a="1"/>
  <c r="V38" i="8" a="1"/>
  <c r="U18" i="11" a="1"/>
  <c r="V60" i="8" a="1"/>
  <c r="V44" i="8" a="1"/>
  <c r="L11" i="11" a="1"/>
  <c r="N44" i="11" a="1"/>
  <c r="V41" i="8" a="1"/>
  <c r="T19" i="18" a="1"/>
  <c r="T18" i="8" a="1"/>
  <c r="T20" i="15" a="1"/>
  <c r="U19" i="11" a="1"/>
  <c r="U43" i="11" a="1"/>
  <c r="V56" i="8" a="1"/>
  <c r="U22" i="11" a="1"/>
  <c r="U30" i="11" a="1"/>
  <c r="N22" i="11" a="1"/>
  <c r="N23" i="11" a="1"/>
  <c r="V40" i="8" a="1"/>
  <c r="V36" i="8" a="1"/>
  <c r="V61" i="8" a="1"/>
  <c r="U19" i="18" a="1"/>
  <c r="AA60" i="8" a="1"/>
  <c r="U19" i="15" a="1"/>
  <c r="T43" i="11" a="1"/>
  <c r="T18" i="11" a="1"/>
  <c r="V65" i="8" a="1"/>
  <c r="T23" i="11" a="1"/>
  <c r="T18" i="15" a="1"/>
  <c r="AD57" i="8" a="1"/>
  <c r="AC56" i="8" a="1"/>
  <c r="V67" i="8" a="1"/>
  <c r="T46" i="11" a="1"/>
  <c r="AC57" i="8" a="1"/>
  <c r="V66" i="8" a="1"/>
  <c r="AD56" i="8" a="1"/>
  <c r="AA62" i="8" a="1"/>
  <c r="V45" i="8" a="1"/>
  <c r="V49" i="8" a="1"/>
  <c r="U20" i="15" a="1"/>
  <c r="V59" i="8" a="1"/>
  <c r="AC61" i="8" a="1"/>
  <c r="AC58" i="8" a="1"/>
  <c r="V48" i="8" a="1"/>
  <c r="U18" i="18" a="1"/>
  <c r="V69" i="8" a="1"/>
  <c r="V37" i="8" a="1"/>
  <c r="AD59" i="8" a="1"/>
  <c r="N23" i="18" a="1"/>
  <c r="V57" i="8" a="1"/>
  <c r="U23" i="15" a="1"/>
  <c r="U23" i="11" a="1"/>
  <c r="T44" i="11" a="1"/>
  <c r="V39" i="8" a="1"/>
  <c r="V42" i="8" a="1"/>
  <c r="V64" i="8" a="1"/>
  <c r="V20" i="18" l="1"/>
  <c r="U19" i="18"/>
  <c r="T19" i="18"/>
  <c r="U23" i="18"/>
  <c r="N23" i="18"/>
  <c r="T23" i="18"/>
  <c r="V23" i="18" s="1"/>
  <c r="T18" i="18"/>
  <c r="U18" i="18"/>
  <c r="K25" i="18"/>
  <c r="O24" i="18"/>
  <c r="L24" i="18"/>
  <c r="M24" i="18" s="1"/>
  <c r="V22" i="15"/>
  <c r="V22" i="18"/>
  <c r="V21" i="18"/>
  <c r="V45" i="11"/>
  <c r="V21" i="15"/>
  <c r="G12" i="15"/>
  <c r="T20" i="15"/>
  <c r="U19" i="15"/>
  <c r="T19" i="15"/>
  <c r="U18" i="15"/>
  <c r="T18" i="15"/>
  <c r="U23" i="15"/>
  <c r="T23" i="15"/>
  <c r="U20" i="15"/>
  <c r="L11" i="15"/>
  <c r="O24" i="15"/>
  <c r="K25" i="15"/>
  <c r="L24" i="15"/>
  <c r="M24" i="15" s="1"/>
  <c r="T46" i="11"/>
  <c r="U46" i="11"/>
  <c r="K48" i="11"/>
  <c r="O47" i="11"/>
  <c r="L47" i="11"/>
  <c r="T43" i="11"/>
  <c r="U43" i="11"/>
  <c r="T44" i="11"/>
  <c r="U44" i="11"/>
  <c r="N44" i="11"/>
  <c r="U30" i="11"/>
  <c r="T30" i="11"/>
  <c r="L31" i="11"/>
  <c r="K32" i="11"/>
  <c r="O31" i="11"/>
  <c r="T18" i="11"/>
  <c r="U23" i="11"/>
  <c r="T23" i="11"/>
  <c r="U19" i="11"/>
  <c r="T19" i="11"/>
  <c r="U18" i="11"/>
  <c r="U22" i="11"/>
  <c r="T22" i="11"/>
  <c r="N22" i="11"/>
  <c r="N23" i="11"/>
  <c r="K25" i="11"/>
  <c r="O24" i="11"/>
  <c r="L24" i="11"/>
  <c r="V39" i="8"/>
  <c r="V40" i="8"/>
  <c r="V61" i="8"/>
  <c r="V62" i="8"/>
  <c r="V45" i="8"/>
  <c r="V63" i="8"/>
  <c r="L11" i="11"/>
  <c r="V41" i="8"/>
  <c r="V68" i="8"/>
  <c r="V66" i="8"/>
  <c r="V44" i="8"/>
  <c r="V43" i="8"/>
  <c r="V46" i="8"/>
  <c r="V67" i="8"/>
  <c r="V58" i="8"/>
  <c r="V49" i="8"/>
  <c r="V64" i="8"/>
  <c r="V42" i="8"/>
  <c r="V65" i="8"/>
  <c r="V47" i="8"/>
  <c r="V59" i="8"/>
  <c r="V36" i="8"/>
  <c r="V57" i="8"/>
  <c r="V56" i="8"/>
  <c r="V48" i="8"/>
  <c r="V60" i="8"/>
  <c r="V38" i="8"/>
  <c r="V37" i="8"/>
  <c r="V69" i="8"/>
  <c r="U39" i="8"/>
  <c r="U40" i="8"/>
  <c r="U61" i="8"/>
  <c r="U62" i="8"/>
  <c r="U45" i="8"/>
  <c r="G12" i="11"/>
  <c r="G11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C56" i="8"/>
  <c r="AD56" i="8"/>
  <c r="AA60" i="8"/>
  <c r="AA63" i="8"/>
  <c r="AC61" i="8"/>
  <c r="AD61" i="8"/>
  <c r="AD57" i="8"/>
  <c r="AC57" i="8"/>
  <c r="AD59" i="8"/>
  <c r="AC59" i="8"/>
  <c r="AD58" i="8"/>
  <c r="AC58" i="8"/>
  <c r="AA62" i="8"/>
  <c r="Y64" i="8"/>
  <c r="Z64" i="8" s="1"/>
  <c r="AB64" i="8"/>
  <c r="Y41" i="8"/>
  <c r="Z41" i="8" s="1"/>
  <c r="X42" i="8"/>
  <c r="T18" i="8"/>
  <c r="R19" i="8"/>
  <c r="S19" i="8" s="1"/>
  <c r="R20" i="8"/>
  <c r="S20" i="8"/>
  <c r="R21" i="8"/>
  <c r="S21" i="8" s="1"/>
  <c r="Q22" i="8"/>
  <c r="R22" i="8" s="1"/>
  <c r="S22" i="8" s="1"/>
  <c r="Q23" i="8"/>
  <c r="R23" i="8" s="1"/>
  <c r="S23" i="8" s="1"/>
  <c r="Q24" i="8"/>
  <c r="R24" i="8" s="1"/>
  <c r="S24" i="8" s="1"/>
  <c r="L12" i="8"/>
  <c r="C6" i="8"/>
  <c r="L4" i="8"/>
  <c r="AB41" i="8" s="1"/>
  <c r="Q19" i="6"/>
  <c r="R19" i="6" s="1"/>
  <c r="Q20" i="6"/>
  <c r="R20" i="6" s="1"/>
  <c r="Q21" i="6"/>
  <c r="R21" i="6" s="1"/>
  <c r="Q18" i="6"/>
  <c r="R18" i="6" s="1"/>
  <c r="S20" i="6" a="1"/>
  <c r="U24" i="18" a="1"/>
  <c r="AA64" i="8" a="1"/>
  <c r="AD63" i="8" a="1"/>
  <c r="H30" i="8" a="1"/>
  <c r="T24" i="11" a="1"/>
  <c r="T21" i="8" a="1"/>
  <c r="N31" i="11" a="1"/>
  <c r="C12" i="8" a="1"/>
  <c r="AC60" i="8" a="1"/>
  <c r="H29" i="8" a="1"/>
  <c r="H18" i="8" a="1"/>
  <c r="T20" i="8" a="1"/>
  <c r="AA41" i="8" a="1"/>
  <c r="U47" i="11" a="1"/>
  <c r="H28" i="8" a="1"/>
  <c r="T24" i="15" a="1"/>
  <c r="AC62" i="8" a="1"/>
  <c r="T23" i="8" a="1"/>
  <c r="N24" i="15" a="1"/>
  <c r="H26" i="8" a="1"/>
  <c r="T19" i="8" a="1"/>
  <c r="S19" i="6" a="1"/>
  <c r="U24" i="11" a="1"/>
  <c r="H23" i="8" a="1"/>
  <c r="H20" i="8" a="1"/>
  <c r="T47" i="11" a="1"/>
  <c r="N47" i="11" a="1"/>
  <c r="N24" i="11" a="1"/>
  <c r="H19" i="8" a="1"/>
  <c r="S18" i="6" a="1"/>
  <c r="H22" i="8" a="1"/>
  <c r="U31" i="11" a="1"/>
  <c r="S21" i="6" a="1"/>
  <c r="H31" i="8" a="1"/>
  <c r="T22" i="8" a="1"/>
  <c r="H25" i="8" a="1"/>
  <c r="H21" i="8" a="1"/>
  <c r="T24" i="8" a="1"/>
  <c r="U24" i="15" a="1"/>
  <c r="AD62" i="8" a="1"/>
  <c r="AD60" i="8" a="1"/>
  <c r="T24" i="18" a="1"/>
  <c r="H24" i="8" a="1"/>
  <c r="H27" i="8" a="1"/>
  <c r="AC63" i="8" a="1"/>
  <c r="T31" i="11" a="1"/>
  <c r="N24" i="18" a="1"/>
  <c r="V23" i="11" l="1"/>
  <c r="V18" i="15"/>
  <c r="V43" i="11"/>
  <c r="V18" i="11"/>
  <c r="V19" i="18"/>
  <c r="V19" i="11"/>
  <c r="U24" i="18"/>
  <c r="N24" i="18"/>
  <c r="T24" i="18"/>
  <c r="K26" i="18"/>
  <c r="O25" i="18"/>
  <c r="L25" i="18"/>
  <c r="M25" i="18" s="1"/>
  <c r="V18" i="18"/>
  <c r="V44" i="11"/>
  <c r="V22" i="11"/>
  <c r="V46" i="11"/>
  <c r="V30" i="11"/>
  <c r="V19" i="15"/>
  <c r="V20" i="15"/>
  <c r="V23" i="15"/>
  <c r="U24" i="15"/>
  <c r="T24" i="15"/>
  <c r="N24" i="15"/>
  <c r="O25" i="15"/>
  <c r="K26" i="15"/>
  <c r="L25" i="15"/>
  <c r="M25" i="15" s="1"/>
  <c r="N47" i="11"/>
  <c r="T47" i="11"/>
  <c r="U47" i="11"/>
  <c r="L48" i="11"/>
  <c r="K49" i="11"/>
  <c r="O48" i="11"/>
  <c r="T31" i="11"/>
  <c r="U31" i="11"/>
  <c r="N31" i="11"/>
  <c r="L32" i="11"/>
  <c r="O32" i="11"/>
  <c r="K33" i="11"/>
  <c r="U24" i="11"/>
  <c r="T24" i="11"/>
  <c r="N24" i="11"/>
  <c r="K26" i="11"/>
  <c r="O25" i="11"/>
  <c r="L25" i="11"/>
  <c r="AD62" i="8"/>
  <c r="AC62" i="8"/>
  <c r="AD63" i="8"/>
  <c r="AC63" i="8"/>
  <c r="AC60" i="8"/>
  <c r="AD60" i="8"/>
  <c r="AA64" i="8"/>
  <c r="T19" i="8"/>
  <c r="T23" i="8"/>
  <c r="T22" i="8"/>
  <c r="T20" i="8"/>
  <c r="T21" i="8"/>
  <c r="T24" i="8"/>
  <c r="L10" i="8"/>
  <c r="AB39" i="8"/>
  <c r="AB37" i="8"/>
  <c r="AB36" i="8"/>
  <c r="AB38" i="8"/>
  <c r="AB40" i="8"/>
  <c r="Q25" i="8"/>
  <c r="U25" i="8" s="1"/>
  <c r="AA41" i="8"/>
  <c r="X43" i="8"/>
  <c r="Y42" i="8"/>
  <c r="Z42" i="8" s="1"/>
  <c r="AB42" i="8"/>
  <c r="U18" i="8"/>
  <c r="U19" i="8"/>
  <c r="U20" i="8"/>
  <c r="U21" i="8"/>
  <c r="U22" i="8"/>
  <c r="U23" i="8"/>
  <c r="U24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L23" i="8" a="1"/>
  <c r="AD64" i="8" a="1"/>
  <c r="N19" i="8" a="1"/>
  <c r="N26" i="8" a="1"/>
  <c r="L11" i="8" a="1"/>
  <c r="O19" i="8" a="1"/>
  <c r="O20" i="8" a="1"/>
  <c r="K27" i="8" a="1"/>
  <c r="N18" i="8" a="1"/>
  <c r="O29" i="8" a="1"/>
  <c r="K19" i="8" a="1"/>
  <c r="M20" i="8" a="1"/>
  <c r="L22" i="8" a="1"/>
  <c r="M22" i="8" a="1"/>
  <c r="N29" i="8" a="1"/>
  <c r="M19" i="8" a="1"/>
  <c r="O18" i="8" a="1"/>
  <c r="O31" i="8" a="1"/>
  <c r="U25" i="15" a="1"/>
  <c r="U25" i="18" a="1"/>
  <c r="M25" i="8" a="1"/>
  <c r="M21" i="8" a="1"/>
  <c r="N22" i="8" a="1"/>
  <c r="K30" i="8" a="1"/>
  <c r="M31" i="8" a="1"/>
  <c r="K21" i="8" a="1"/>
  <c r="N20" i="8" a="1"/>
  <c r="N25" i="11" a="1"/>
  <c r="T25" i="18" a="1"/>
  <c r="N25" i="15" a="1"/>
  <c r="T32" i="11" a="1"/>
  <c r="K23" i="8" a="1"/>
  <c r="N27" i="8" a="1"/>
  <c r="M18" i="8" a="1"/>
  <c r="O21" i="8" a="1"/>
  <c r="K26" i="8" a="1"/>
  <c r="K20" i="8" a="1"/>
  <c r="N31" i="8" a="1"/>
  <c r="K25" i="8" a="1"/>
  <c r="L29" i="8" a="1"/>
  <c r="N25" i="18" a="1"/>
  <c r="L25" i="8" a="1"/>
  <c r="U48" i="11" a="1"/>
  <c r="N28" i="8" a="1"/>
  <c r="T25" i="11" a="1"/>
  <c r="L28" i="8" a="1"/>
  <c r="N24" i="8" a="1"/>
  <c r="M28" i="8" a="1"/>
  <c r="L26" i="8" a="1"/>
  <c r="O28" i="8" a="1"/>
  <c r="N25" i="8" a="1"/>
  <c r="M30" i="8" a="1"/>
  <c r="L18" i="8" a="1"/>
  <c r="L19" i="8" a="1"/>
  <c r="M29" i="8" a="1"/>
  <c r="O27" i="8" a="1"/>
  <c r="N32" i="11" a="1"/>
  <c r="O26" i="8" a="1"/>
  <c r="N30" i="8" a="1"/>
  <c r="L31" i="8" a="1"/>
  <c r="L20" i="8" a="1"/>
  <c r="M26" i="8" a="1"/>
  <c r="U32" i="11" a="1"/>
  <c r="M27" i="8" a="1"/>
  <c r="L30" i="8" a="1"/>
  <c r="L21" i="8" a="1"/>
  <c r="O25" i="8" a="1"/>
  <c r="K28" i="8" a="1"/>
  <c r="O23" i="8" a="1"/>
  <c r="M23" i="8" a="1"/>
  <c r="N48" i="11" a="1"/>
  <c r="AC64" i="8" a="1"/>
  <c r="M24" i="8" a="1"/>
  <c r="K29" i="8" a="1"/>
  <c r="T48" i="11" a="1"/>
  <c r="T25" i="15" a="1"/>
  <c r="K22" i="8" a="1"/>
  <c r="N21" i="8" a="1"/>
  <c r="AA42" i="8" a="1"/>
  <c r="O30" i="8" a="1"/>
  <c r="K31" i="8" a="1"/>
  <c r="N23" i="8" a="1"/>
  <c r="K18" i="8" a="1"/>
  <c r="O24" i="8" a="1"/>
  <c r="O22" i="8" a="1"/>
  <c r="L24" i="8" a="1"/>
  <c r="L27" i="8" a="1"/>
  <c r="U25" i="11" a="1"/>
  <c r="K24" i="8" a="1"/>
  <c r="V31" i="11" l="1"/>
  <c r="V24" i="18"/>
  <c r="U25" i="18"/>
  <c r="N25" i="18"/>
  <c r="T25" i="18"/>
  <c r="K27" i="18"/>
  <c r="O26" i="18"/>
  <c r="L26" i="18"/>
  <c r="M26" i="18" s="1"/>
  <c r="V24" i="15"/>
  <c r="V47" i="11"/>
  <c r="V24" i="11"/>
  <c r="N25" i="15"/>
  <c r="U25" i="15"/>
  <c r="T25" i="15"/>
  <c r="L26" i="15"/>
  <c r="M26" i="15" s="1"/>
  <c r="O26" i="15"/>
  <c r="K27" i="15"/>
  <c r="N48" i="11"/>
  <c r="T48" i="11"/>
  <c r="U48" i="11"/>
  <c r="L49" i="11"/>
  <c r="O49" i="11"/>
  <c r="K50" i="11"/>
  <c r="T32" i="11"/>
  <c r="U32" i="11"/>
  <c r="N32" i="11"/>
  <c r="K34" i="11"/>
  <c r="O33" i="11"/>
  <c r="L33" i="11"/>
  <c r="U25" i="11"/>
  <c r="T25" i="11"/>
  <c r="N25" i="11"/>
  <c r="L26" i="11"/>
  <c r="K27" i="11"/>
  <c r="O26" i="11"/>
  <c r="AC64" i="8"/>
  <c r="AD64" i="8"/>
  <c r="Q26" i="8"/>
  <c r="R25" i="8"/>
  <c r="S25" i="8" s="1"/>
  <c r="AA42" i="8"/>
  <c r="AB43" i="8"/>
  <c r="Y43" i="8"/>
  <c r="Z43" i="8" s="1"/>
  <c r="X44" i="8"/>
  <c r="O30" i="8"/>
  <c r="O28" i="8"/>
  <c r="O27" i="8"/>
  <c r="O26" i="8"/>
  <c r="O29" i="8"/>
  <c r="O25" i="8"/>
  <c r="O24" i="8"/>
  <c r="O23" i="8"/>
  <c r="O22" i="8"/>
  <c r="O21" i="8"/>
  <c r="O20" i="8"/>
  <c r="O18" i="8"/>
  <c r="O19" i="8"/>
  <c r="O31" i="8"/>
  <c r="M30" i="8"/>
  <c r="M28" i="8"/>
  <c r="M27" i="8"/>
  <c r="M26" i="8"/>
  <c r="M29" i="8"/>
  <c r="M25" i="8"/>
  <c r="M24" i="8"/>
  <c r="M23" i="8"/>
  <c r="M22" i="8"/>
  <c r="M21" i="8"/>
  <c r="M20" i="8"/>
  <c r="M18" i="8"/>
  <c r="M19" i="8"/>
  <c r="M31" i="8"/>
  <c r="N30" i="8"/>
  <c r="N28" i="8"/>
  <c r="N27" i="8"/>
  <c r="N26" i="8"/>
  <c r="N29" i="8"/>
  <c r="N25" i="8"/>
  <c r="N24" i="8"/>
  <c r="N23" i="8"/>
  <c r="N22" i="8"/>
  <c r="N21" i="8"/>
  <c r="N20" i="8"/>
  <c r="N18" i="8"/>
  <c r="N19" i="8"/>
  <c r="N31" i="8"/>
  <c r="L31" i="8"/>
  <c r="L19" i="8"/>
  <c r="L18" i="8"/>
  <c r="L20" i="8"/>
  <c r="L21" i="8"/>
  <c r="L22" i="8"/>
  <c r="L23" i="8"/>
  <c r="L24" i="8"/>
  <c r="L25" i="8"/>
  <c r="L29" i="8"/>
  <c r="L26" i="8"/>
  <c r="L27" i="8"/>
  <c r="L28" i="8"/>
  <c r="L30" i="8"/>
  <c r="K22" i="8"/>
  <c r="K31" i="8"/>
  <c r="K24" i="8"/>
  <c r="K25" i="8"/>
  <c r="K28" i="8"/>
  <c r="K23" i="8"/>
  <c r="K26" i="8"/>
  <c r="K30" i="8"/>
  <c r="K18" i="8"/>
  <c r="K19" i="8"/>
  <c r="K29" i="8"/>
  <c r="K27" i="8"/>
  <c r="K20" i="8"/>
  <c r="K21" i="8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14" i="2"/>
  <c r="B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15" i="2"/>
  <c r="K11" i="2"/>
  <c r="K12" i="2" s="1"/>
  <c r="G6" i="2"/>
  <c r="C6" i="2"/>
  <c r="C5" i="2"/>
  <c r="K3" i="2"/>
  <c r="K9" i="2" s="1"/>
  <c r="G7" i="6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C6" i="6"/>
  <c r="N26" i="15" a="1"/>
  <c r="U33" i="11" a="1"/>
  <c r="U49" i="11" a="1"/>
  <c r="AA43" i="8" a="1"/>
  <c r="T33" i="11" a="1"/>
  <c r="T49" i="11" a="1"/>
  <c r="T26" i="18" a="1"/>
  <c r="N33" i="11" a="1"/>
  <c r="T26" i="11" a="1"/>
  <c r="U26" i="11" a="1"/>
  <c r="T25" i="8" a="1"/>
  <c r="N26" i="18" a="1"/>
  <c r="T26" i="15" a="1"/>
  <c r="N49" i="11" a="1"/>
  <c r="U26" i="18" a="1"/>
  <c r="U26" i="15" a="1"/>
  <c r="N26" i="11" a="1"/>
  <c r="V25" i="18" l="1"/>
  <c r="U26" i="18"/>
  <c r="N26" i="18"/>
  <c r="T26" i="18"/>
  <c r="V25" i="11"/>
  <c r="V25" i="15"/>
  <c r="K28" i="18"/>
  <c r="O27" i="18"/>
  <c r="L27" i="18"/>
  <c r="M27" i="18" s="1"/>
  <c r="V32" i="11"/>
  <c r="V48" i="11"/>
  <c r="N26" i="15"/>
  <c r="U26" i="15"/>
  <c r="T26" i="15"/>
  <c r="K28" i="15"/>
  <c r="O27" i="15"/>
  <c r="L27" i="15"/>
  <c r="M27" i="15" s="1"/>
  <c r="U49" i="11"/>
  <c r="N49" i="11"/>
  <c r="T49" i="11"/>
  <c r="L50" i="11"/>
  <c r="K51" i="11"/>
  <c r="O50" i="11"/>
  <c r="N33" i="11"/>
  <c r="T33" i="11"/>
  <c r="U33" i="11"/>
  <c r="L34" i="11"/>
  <c r="K35" i="11"/>
  <c r="O34" i="11"/>
  <c r="U26" i="11"/>
  <c r="T26" i="11"/>
  <c r="V26" i="11" s="1"/>
  <c r="N26" i="11"/>
  <c r="K28" i="11"/>
  <c r="O27" i="11"/>
  <c r="L27" i="11"/>
  <c r="T25" i="8"/>
  <c r="R26" i="8"/>
  <c r="S26" i="8" s="1"/>
  <c r="U26" i="8"/>
  <c r="AA43" i="8"/>
  <c r="Y44" i="8"/>
  <c r="Z44" i="8" s="1"/>
  <c r="AB44" i="8"/>
  <c r="K4" i="6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N34" i="11" a="1"/>
  <c r="I259" i="2" a="1"/>
  <c r="I282" i="2" a="1"/>
  <c r="I372" i="2" a="1"/>
  <c r="I575" i="2" a="1"/>
  <c r="I622" i="2" a="1"/>
  <c r="I475" i="2" a="1"/>
  <c r="I354" i="2" a="1"/>
  <c r="I582" i="2" a="1"/>
  <c r="I400" i="2" a="1"/>
  <c r="C20" i="6" a="1"/>
  <c r="I285" i="2" a="1"/>
  <c r="I263" i="2" a="1"/>
  <c r="I491" i="2" a="1"/>
  <c r="I70" i="2" a="1"/>
  <c r="I181" i="2" a="1"/>
  <c r="I591" i="2" a="1"/>
  <c r="I163" i="2" a="1"/>
  <c r="I412" i="2" a="1"/>
  <c r="I546" i="2" a="1"/>
  <c r="I165" i="2" a="1"/>
  <c r="I407" i="2" a="1"/>
  <c r="I391" i="2" a="1"/>
  <c r="I57" i="2" a="1"/>
  <c r="I396" i="2" a="1"/>
  <c r="I497" i="2" a="1"/>
  <c r="I518" i="2" a="1"/>
  <c r="I188" i="2" a="1"/>
  <c r="I120" i="2" a="1"/>
  <c r="I310" i="2" a="1"/>
  <c r="I242" i="2" a="1"/>
  <c r="I41" i="2" a="1"/>
  <c r="I127" i="2" a="1"/>
  <c r="I536" i="2" a="1"/>
  <c r="I68" i="2" a="1"/>
  <c r="C26" i="6" a="1"/>
  <c r="I234" i="2" a="1"/>
  <c r="I306" i="2" a="1"/>
  <c r="I199" i="2" a="1"/>
  <c r="I239" i="2" a="1"/>
  <c r="I547" i="2" a="1"/>
  <c r="I512" i="2" a="1"/>
  <c r="I271" i="2" a="1"/>
  <c r="I227" i="2" a="1"/>
  <c r="C27" i="6" a="1"/>
  <c r="I392" i="2" a="1"/>
  <c r="I60" i="2" a="1"/>
  <c r="I340" i="2" a="1"/>
  <c r="I151" i="2" a="1"/>
  <c r="I542" i="2" a="1"/>
  <c r="I159" i="2" a="1"/>
  <c r="I505" i="2" a="1"/>
  <c r="I359" i="2" a="1"/>
  <c r="I424" i="2" a="1"/>
  <c r="I235" i="2" a="1"/>
  <c r="I529" i="2" a="1"/>
  <c r="I67" i="2" a="1"/>
  <c r="I487" i="2" a="1"/>
  <c r="I526" i="2" a="1"/>
  <c r="I621" i="2" a="1"/>
  <c r="I393" i="2" a="1"/>
  <c r="I293" i="2" a="1"/>
  <c r="I186" i="2" a="1"/>
  <c r="I134" i="2" a="1"/>
  <c r="I59" i="2" a="1"/>
  <c r="I498" i="2" a="1"/>
  <c r="I121" i="2" a="1"/>
  <c r="I254" i="2" a="1"/>
  <c r="C21" i="6" a="1"/>
  <c r="I78" i="2" a="1"/>
  <c r="I589" i="2" a="1"/>
  <c r="I137" i="2" a="1"/>
  <c r="I394" i="2" a="1"/>
  <c r="I177" i="2" a="1"/>
  <c r="I212" i="2" a="1"/>
  <c r="C23" i="6" a="1"/>
  <c r="I278" i="2" a="1"/>
  <c r="I362" i="2" a="1"/>
  <c r="I85" i="2" a="1"/>
  <c r="I145" i="2" a="1"/>
  <c r="I133" i="2" a="1"/>
  <c r="I219" i="2" a="1"/>
  <c r="I277" i="2" a="1"/>
  <c r="U27" i="15" a="1"/>
  <c r="T27" i="18" a="1"/>
  <c r="I605" i="2" a="1"/>
  <c r="I539" i="2" a="1"/>
  <c r="I86" i="2" a="1"/>
  <c r="I139" i="2" a="1"/>
  <c r="I144" i="2" a="1"/>
  <c r="I36" i="2" a="1"/>
  <c r="I626" i="2" a="1"/>
  <c r="I482" i="2" a="1"/>
  <c r="I14" i="2" a="1"/>
  <c r="I106" i="2" a="1"/>
  <c r="I51" i="2" a="1"/>
  <c r="C30" i="6" a="1"/>
  <c r="I317" i="2" a="1"/>
  <c r="I460" i="2" a="1"/>
  <c r="N27" i="11" a="1"/>
  <c r="I437" i="2" a="1"/>
  <c r="I113" i="2" a="1"/>
  <c r="I592" i="2" a="1"/>
  <c r="I265" i="2" a="1"/>
  <c r="I76" i="2" a="1"/>
  <c r="C12" i="6" a="1"/>
  <c r="I488" i="2" a="1"/>
  <c r="I274" i="2" a="1"/>
  <c r="I466" i="2" a="1"/>
  <c r="I178" i="2" a="1"/>
  <c r="I117" i="2" a="1"/>
  <c r="I541" i="2" a="1"/>
  <c r="I100" i="2" a="1"/>
  <c r="I361" i="2" a="1"/>
  <c r="I631" i="2" a="1"/>
  <c r="I613" i="2" a="1"/>
  <c r="I312" i="2" a="1"/>
  <c r="I28" i="2" a="1"/>
  <c r="I504" i="2" a="1"/>
  <c r="I328" i="2" a="1"/>
  <c r="I565" i="2" a="1"/>
  <c r="I326" i="2" a="1"/>
  <c r="I334" i="2" a="1"/>
  <c r="I47" i="2" a="1"/>
  <c r="I456" i="2" a="1"/>
  <c r="I80" i="2" a="1"/>
  <c r="I210" i="2" a="1"/>
  <c r="I164" i="2" a="1"/>
  <c r="I450" i="2" a="1"/>
  <c r="I413" i="2" a="1"/>
  <c r="I185" i="2" a="1"/>
  <c r="I596" i="2" a="1"/>
  <c r="I446" i="2" a="1"/>
  <c r="I314" i="2" a="1"/>
  <c r="I202" i="2" a="1"/>
  <c r="I508" i="2" a="1"/>
  <c r="H27" i="6" a="1"/>
  <c r="I584" i="2" a="1"/>
  <c r="I428" i="2" a="1"/>
  <c r="I176" i="2" a="1"/>
  <c r="I553" i="2" a="1"/>
  <c r="I192" i="2" a="1"/>
  <c r="I264" i="2" a="1"/>
  <c r="I532" i="2" a="1"/>
  <c r="I319" i="2" a="1"/>
  <c r="I58" i="2" a="1"/>
  <c r="I376" i="2" a="1"/>
  <c r="I217" i="2" a="1"/>
  <c r="I590" i="2" a="1"/>
  <c r="I436" i="2" a="1"/>
  <c r="I442" i="2" a="1"/>
  <c r="I554" i="2" a="1"/>
  <c r="I612" i="2" a="1"/>
  <c r="C34" i="6" a="1"/>
  <c r="I91" i="2" a="1"/>
  <c r="I464" i="2" a="1"/>
  <c r="I280" i="2" a="1"/>
  <c r="I461" i="2" a="1"/>
  <c r="I390" i="2" a="1"/>
  <c r="I403" i="2" a="1"/>
  <c r="I401" i="2" a="1"/>
  <c r="I551" i="2" a="1"/>
  <c r="I351" i="2" a="1"/>
  <c r="I150" i="2" a="1"/>
  <c r="I197" i="2" a="1"/>
  <c r="I299" i="2" a="1"/>
  <c r="I434" i="2" a="1"/>
  <c r="I627" i="2" a="1"/>
  <c r="T27" i="15" a="1"/>
  <c r="N27" i="18" a="1"/>
  <c r="I143" i="2" a="1"/>
  <c r="I510" i="2" a="1"/>
  <c r="I304" i="2" a="1"/>
  <c r="I184" i="2" a="1"/>
  <c r="I77" i="2" a="1"/>
  <c r="I294" i="2" a="1"/>
  <c r="I110" i="2" a="1"/>
  <c r="I611" i="2" a="1"/>
  <c r="I515" i="2" a="1"/>
  <c r="I634" i="2" a="1"/>
  <c r="I54" i="2" a="1"/>
  <c r="K10" i="2" a="1"/>
  <c r="I289" i="2" a="1"/>
  <c r="I46" i="2" a="1"/>
  <c r="I16" i="2" a="1"/>
  <c r="I203" i="2" a="1"/>
  <c r="I435" i="2" a="1"/>
  <c r="I562" i="2" a="1"/>
  <c r="I408" i="2" a="1"/>
  <c r="I283" i="2" a="1"/>
  <c r="I352" i="2" a="1"/>
  <c r="I132" i="2" a="1"/>
  <c r="I337" i="2" a="1"/>
  <c r="I564" i="2" a="1"/>
  <c r="I109" i="2" a="1"/>
  <c r="I22" i="2" a="1"/>
  <c r="I371" i="2" a="1"/>
  <c r="I353" i="2" a="1"/>
  <c r="I320" i="2" a="1"/>
  <c r="I183" i="2" a="1"/>
  <c r="I224" i="2" a="1"/>
  <c r="I439" i="2" a="1"/>
  <c r="I26" i="2" a="1"/>
  <c r="I525" i="2" a="1"/>
  <c r="I632" i="2" a="1"/>
  <c r="H20" i="6" a="1"/>
  <c r="I105" i="2" a="1"/>
  <c r="I180" i="2" a="1"/>
  <c r="AA44" i="8" a="1"/>
  <c r="I286" i="2" a="1"/>
  <c r="I169" i="2" a="1"/>
  <c r="I209" i="2" a="1"/>
  <c r="I153" i="2" a="1"/>
  <c r="I521" i="2" a="1"/>
  <c r="I279" i="2" a="1"/>
  <c r="H31" i="6" a="1"/>
  <c r="I82" i="2" a="1"/>
  <c r="I490" i="2" a="1"/>
  <c r="I595" i="2" a="1"/>
  <c r="I75" i="2" a="1"/>
  <c r="I101" i="2" a="1"/>
  <c r="I295" i="2" a="1"/>
  <c r="I516" i="2" a="1"/>
  <c r="I226" i="2" a="1"/>
  <c r="C29" i="6" a="1"/>
  <c r="I462" i="2" a="1"/>
  <c r="I607" i="2" a="1"/>
  <c r="I520" i="2" a="1"/>
  <c r="I610" i="2" a="1"/>
  <c r="H25" i="6" a="1"/>
  <c r="I573" i="2" a="1"/>
  <c r="I415" i="2" a="1"/>
  <c r="I363" i="2" a="1"/>
  <c r="N50" i="11" a="1"/>
  <c r="I288" i="2" a="1"/>
  <c r="I313" i="2" a="1"/>
  <c r="I252" i="2" a="1"/>
  <c r="I125" i="2" a="1"/>
  <c r="I258" i="2" a="1"/>
  <c r="I220" i="2" a="1"/>
  <c r="I148" i="2" a="1"/>
  <c r="I545" i="2" a="1"/>
  <c r="I509" i="2" a="1"/>
  <c r="I208" i="2" a="1"/>
  <c r="I419" i="2" a="1"/>
  <c r="I395" i="2" a="1"/>
  <c r="I300" i="2" a="1"/>
  <c r="I465" i="2" a="1"/>
  <c r="I281" i="2" a="1"/>
  <c r="I624" i="2" a="1"/>
  <c r="I587" i="2" a="1"/>
  <c r="I23" i="2" a="1"/>
  <c r="I157" i="2" a="1"/>
  <c r="U34" i="11" a="1"/>
  <c r="U27" i="18" a="1"/>
  <c r="I397" i="2" a="1"/>
  <c r="I273" i="2" a="1"/>
  <c r="I24" i="2" a="1"/>
  <c r="I339" i="2" a="1"/>
  <c r="I418" i="2" a="1"/>
  <c r="I535" i="2" a="1"/>
  <c r="I162" i="2" a="1"/>
  <c r="I347" i="2" a="1"/>
  <c r="C25" i="6" a="1"/>
  <c r="I124" i="2" a="1"/>
  <c r="I269" i="2" a="1"/>
  <c r="I620" i="2" a="1"/>
  <c r="I614" i="2" a="1"/>
  <c r="I272" i="2" a="1"/>
  <c r="I64" i="2" a="1"/>
  <c r="I44" i="2" a="1"/>
  <c r="I284" i="2" a="1"/>
  <c r="I355" i="2" a="1"/>
  <c r="I473" i="2" a="1"/>
  <c r="I20" i="2" a="1"/>
  <c r="I216" i="2" a="1"/>
  <c r="I98" i="2" a="1"/>
  <c r="I90" i="2" a="1"/>
  <c r="I441" i="2" a="1"/>
  <c r="I364" i="2" a="1"/>
  <c r="I493" i="2" a="1"/>
  <c r="I463" i="2" a="1"/>
  <c r="I343" i="2" a="1"/>
  <c r="I161" i="2" a="1"/>
  <c r="I471" i="2" a="1"/>
  <c r="I329" i="2" a="1"/>
  <c r="H18" i="6" a="1"/>
  <c r="I94" i="2" a="1"/>
  <c r="C22" i="6" a="1"/>
  <c r="I62" i="2" a="1"/>
  <c r="I618" i="2" a="1"/>
  <c r="I249" i="2" a="1"/>
  <c r="I586" i="2" a="1"/>
  <c r="I318" i="2" a="1"/>
  <c r="I236" i="2" a="1"/>
  <c r="I578" i="2" a="1"/>
  <c r="I480" i="2" a="1"/>
  <c r="I360" i="2" a="1"/>
  <c r="I307" i="2" a="1"/>
  <c r="I389" i="2" a="1"/>
  <c r="I426" i="2" a="1"/>
  <c r="I21" i="2" a="1"/>
  <c r="I190" i="2" a="1"/>
  <c r="I33" i="2" a="1"/>
  <c r="I92" i="2" a="1"/>
  <c r="I147" i="2" a="1"/>
  <c r="I35" i="2" a="1"/>
  <c r="I451" i="2" a="1"/>
  <c r="I111" i="2" a="1"/>
  <c r="I104" i="2" a="1"/>
  <c r="I572" i="2" a="1"/>
  <c r="I558" i="2" a="1"/>
  <c r="I635" i="2" a="1"/>
  <c r="I231" i="2" a="1"/>
  <c r="I142" i="2" a="1"/>
  <c r="I175" i="2" a="1"/>
  <c r="I503" i="2" a="1"/>
  <c r="I73" i="2" a="1"/>
  <c r="I369" i="2" a="1"/>
  <c r="I358" i="2" a="1"/>
  <c r="I507" i="2" a="1"/>
  <c r="I200" i="2" a="1"/>
  <c r="H22" i="6" a="1"/>
  <c r="I146" i="2" a="1"/>
  <c r="I440" i="2" a="1"/>
  <c r="I484" i="2" a="1"/>
  <c r="I468" i="2" a="1"/>
  <c r="I292" i="2" a="1"/>
  <c r="I327" i="2" a="1"/>
  <c r="I543" i="2" a="1"/>
  <c r="I49" i="2" a="1"/>
  <c r="I571" i="2" a="1"/>
  <c r="I517" i="2" a="1"/>
  <c r="I365" i="2" a="1"/>
  <c r="I296" i="2" a="1"/>
  <c r="I530" i="2" a="1"/>
  <c r="I427" i="2" a="1"/>
  <c r="I34" i="2" a="1"/>
  <c r="T50" i="11" a="1"/>
  <c r="I414" i="2" a="1"/>
  <c r="I387" i="2" a="1"/>
  <c r="I636" i="2" a="1"/>
  <c r="I486" i="2" a="1"/>
  <c r="I604" i="2" a="1"/>
  <c r="I410" i="2" a="1"/>
  <c r="I116" i="2" a="1"/>
  <c r="I379" i="2" a="1"/>
  <c r="I53" i="2" a="1"/>
  <c r="I333" i="2" a="1"/>
  <c r="I275" i="2" a="1"/>
  <c r="I599" i="2" a="1"/>
  <c r="I30" i="2" a="1"/>
  <c r="C28" i="6" a="1"/>
  <c r="I245" i="2" a="1"/>
  <c r="I302" i="2" a="1"/>
  <c r="I411" i="2" a="1"/>
  <c r="I557" i="2" a="1"/>
  <c r="I56" i="2" a="1"/>
  <c r="I255" i="2" a="1"/>
  <c r="I519" i="2" a="1"/>
  <c r="I382" i="2" a="1"/>
  <c r="H26" i="6" a="1"/>
  <c r="I206" i="2" a="1"/>
  <c r="I431" i="2" a="1"/>
  <c r="I349" i="2" a="1"/>
  <c r="I467" i="2" a="1"/>
  <c r="I112" i="2" a="1"/>
  <c r="I103" i="2" a="1"/>
  <c r="I207" i="2" a="1"/>
  <c r="I69" i="2" a="1"/>
  <c r="I476" i="2" a="1"/>
  <c r="I248" i="2" a="1"/>
  <c r="I588" i="2" a="1"/>
  <c r="I500" i="2" a="1"/>
  <c r="I594" i="2" a="1"/>
  <c r="I597" i="2" a="1"/>
  <c r="I25" i="2" a="1"/>
  <c r="I416" i="2" a="1"/>
  <c r="I459" i="2" a="1"/>
  <c r="I346" i="2" a="1"/>
  <c r="I533" i="2" a="1"/>
  <c r="I158" i="2" a="1"/>
  <c r="I325" i="2" a="1"/>
  <c r="I256" i="2" a="1"/>
  <c r="I429" i="2" a="1"/>
  <c r="I522" i="2" a="1"/>
  <c r="I616" i="2" a="1"/>
  <c r="H23" i="6" a="1"/>
  <c r="I225" i="2" a="1"/>
  <c r="I338" i="2" a="1"/>
  <c r="I448" i="2" a="1"/>
  <c r="I331" i="2" a="1"/>
  <c r="I270" i="2" a="1"/>
  <c r="I45" i="2" a="1"/>
  <c r="I130" i="2" a="1"/>
  <c r="C31" i="6" a="1"/>
  <c r="C18" i="6" a="1"/>
  <c r="I118" i="2" a="1"/>
  <c r="I213" i="2" a="1"/>
  <c r="I74" i="2" a="1"/>
  <c r="I566" i="2" a="1"/>
  <c r="I609" i="2" a="1"/>
  <c r="I322" i="2" a="1"/>
  <c r="I600" i="2" a="1"/>
  <c r="I423" i="2" a="1"/>
  <c r="I52" i="2" a="1"/>
  <c r="I514" i="2" a="1"/>
  <c r="I266" i="2" a="1"/>
  <c r="I433" i="2" a="1"/>
  <c r="I324" i="2" a="1"/>
  <c r="I136" i="2" a="1"/>
  <c r="I167" i="2" a="1"/>
  <c r="I549" i="2" a="1"/>
  <c r="I489" i="2" a="1"/>
  <c r="I83" i="2" a="1"/>
  <c r="I581" i="2" a="1"/>
  <c r="I138" i="2" a="1"/>
  <c r="I506" i="2" a="1"/>
  <c r="I268" i="2" a="1"/>
  <c r="I494" i="2" a="1"/>
  <c r="I409" i="2" a="1"/>
  <c r="I501" i="2" a="1"/>
  <c r="T27" i="11" a="1"/>
  <c r="I378" i="2" a="1"/>
  <c r="I63" i="2" a="1"/>
  <c r="I97" i="2" a="1"/>
  <c r="I474" i="2" a="1"/>
  <c r="I114" i="2" a="1"/>
  <c r="I189" i="2" a="1"/>
  <c r="I135" i="2" a="1"/>
  <c r="I511" i="2" a="1"/>
  <c r="I455" i="2" a="1"/>
  <c r="I84" i="2" a="1"/>
  <c r="I580" i="2" a="1"/>
  <c r="I131" i="2" a="1"/>
  <c r="I348" i="2" a="1"/>
  <c r="I425" i="2" a="1"/>
  <c r="I15" i="2" a="1"/>
  <c r="I472" i="2" a="1"/>
  <c r="I297" i="2" a="1"/>
  <c r="I374" i="2" a="1"/>
  <c r="I247" i="2" a="1"/>
  <c r="C24" i="6" a="1"/>
  <c r="I128" i="2" a="1"/>
  <c r="I336" i="2" a="1"/>
  <c r="I262" i="2" a="1"/>
  <c r="I309" i="2" a="1"/>
  <c r="I454" i="2" a="1"/>
  <c r="I537" i="2" a="1"/>
  <c r="I341" i="2" a="1"/>
  <c r="I215" i="2" a="1"/>
  <c r="I99" i="2" a="1"/>
  <c r="I250" i="2" a="1"/>
  <c r="I563" i="2" a="1"/>
  <c r="I218" i="2" a="1"/>
  <c r="I108" i="2" a="1"/>
  <c r="I373" i="2" a="1"/>
  <c r="I240" i="2" a="1"/>
  <c r="I485" i="2" a="1"/>
  <c r="I531" i="2" a="1"/>
  <c r="H28" i="6" a="1"/>
  <c r="I608" i="2" a="1"/>
  <c r="I123" i="2" a="1"/>
  <c r="I119" i="2" a="1"/>
  <c r="I93" i="2" a="1"/>
  <c r="I237" i="2" a="1"/>
  <c r="I630" i="2" a="1"/>
  <c r="I308" i="2" a="1"/>
  <c r="I406" i="2" a="1"/>
  <c r="I402" i="2" a="1"/>
  <c r="I629" i="2" a="1"/>
  <c r="I404" i="2" a="1"/>
  <c r="I555" i="2" a="1"/>
  <c r="I305" i="2" a="1"/>
  <c r="I534" i="2" a="1"/>
  <c r="I552" i="2" a="1"/>
  <c r="I196" i="2" a="1"/>
  <c r="I40" i="2" a="1"/>
  <c r="I156" i="2" a="1"/>
  <c r="I321" i="2" a="1"/>
  <c r="I172" i="2" a="1"/>
  <c r="I568" i="2" a="1"/>
  <c r="I556" i="2" a="1"/>
  <c r="I201" i="2" a="1"/>
  <c r="I89" i="2" a="1"/>
  <c r="I115" i="2" a="1"/>
  <c r="I495" i="2" a="1"/>
  <c r="I381" i="2" a="1"/>
  <c r="I356" i="2" a="1"/>
  <c r="I171" i="2" a="1"/>
  <c r="I574" i="2" a="1"/>
  <c r="I228" i="2" a="1"/>
  <c r="I496" i="2" a="1"/>
  <c r="I548" i="2" a="1"/>
  <c r="I367" i="2" a="1"/>
  <c r="I593" i="2" a="1"/>
  <c r="I193" i="2" a="1"/>
  <c r="I39" i="2" a="1"/>
  <c r="I243" i="2" a="1"/>
  <c r="I229" i="2" a="1"/>
  <c r="I87" i="2" a="1"/>
  <c r="I291" i="2" a="1"/>
  <c r="I233" i="2" a="1"/>
  <c r="I65" i="2" a="1"/>
  <c r="I241" i="2" a="1"/>
  <c r="I567" i="2" a="1"/>
  <c r="U50" i="11" a="1"/>
  <c r="I524" i="2" a="1"/>
  <c r="I377" i="2" a="1"/>
  <c r="I170" i="2" a="1"/>
  <c r="I330" i="2" a="1"/>
  <c r="I569" i="2" a="1"/>
  <c r="I72" i="2" a="1"/>
  <c r="I470" i="2" a="1"/>
  <c r="I384" i="2" a="1"/>
  <c r="I458" i="2" a="1"/>
  <c r="I27" i="2" a="1"/>
  <c r="I37" i="2" a="1"/>
  <c r="I420" i="2" a="1"/>
  <c r="I96" i="2" a="1"/>
  <c r="I417" i="2" a="1"/>
  <c r="I528" i="2" a="1"/>
  <c r="I585" i="2" a="1"/>
  <c r="I481" i="2" a="1"/>
  <c r="I633" i="2" a="1"/>
  <c r="C33" i="6" a="1"/>
  <c r="I560" i="2" a="1"/>
  <c r="I380" i="2" a="1"/>
  <c r="I129" i="2" a="1"/>
  <c r="I179" i="2" a="1"/>
  <c r="I615" i="2" a="1"/>
  <c r="I513" i="2" a="1"/>
  <c r="I204" i="2" a="1"/>
  <c r="I383" i="2" a="1"/>
  <c r="I570" i="2" a="1"/>
  <c r="I335" i="2" a="1"/>
  <c r="I598" i="2" a="1"/>
  <c r="I523" i="2" a="1"/>
  <c r="I422" i="2" a="1"/>
  <c r="I479" i="2" a="1"/>
  <c r="I628" i="2" a="1"/>
  <c r="C19" i="6" a="1"/>
  <c r="I623" i="2" a="1"/>
  <c r="I253" i="2" a="1"/>
  <c r="I107" i="2" a="1"/>
  <c r="I617" i="2" a="1"/>
  <c r="I443" i="2" a="1"/>
  <c r="I445" i="2" a="1"/>
  <c r="I221" i="2" a="1"/>
  <c r="I222" i="2" a="1"/>
  <c r="I579" i="2" a="1"/>
  <c r="I311" i="2" a="1"/>
  <c r="I149" i="2" a="1"/>
  <c r="I323" i="2" a="1"/>
  <c r="I88" i="2" a="1"/>
  <c r="I223" i="2" a="1"/>
  <c r="I606" i="2" a="1"/>
  <c r="I405" i="2" a="1"/>
  <c r="I211" i="2" a="1"/>
  <c r="I550" i="2" a="1"/>
  <c r="I540" i="2" a="1"/>
  <c r="I32" i="2" a="1"/>
  <c r="I477" i="2" a="1"/>
  <c r="I342" i="2" a="1"/>
  <c r="C11" i="2" a="1"/>
  <c r="I194" i="2" a="1"/>
  <c r="I432" i="2" a="1"/>
  <c r="I29" i="2" a="1"/>
  <c r="I315" i="2" a="1"/>
  <c r="I50" i="2" a="1"/>
  <c r="I444" i="2" a="1"/>
  <c r="I267" i="2" a="1"/>
  <c r="I583" i="2" a="1"/>
  <c r="I438" i="2" a="1"/>
  <c r="I303" i="2" a="1"/>
  <c r="I602" i="2" a="1"/>
  <c r="H19" i="6" a="1"/>
  <c r="I368" i="2" a="1"/>
  <c r="I257" i="2" a="1"/>
  <c r="I332" i="2" a="1"/>
  <c r="I619" i="2" a="1"/>
  <c r="I79" i="2" a="1"/>
  <c r="I561" i="2" a="1"/>
  <c r="I287" i="2" a="1"/>
  <c r="I126" i="2" a="1"/>
  <c r="T26" i="8" a="1"/>
  <c r="I316" i="2" a="1"/>
  <c r="I544" i="2" a="1"/>
  <c r="H21" i="6" a="1"/>
  <c r="H24" i="6" a="1"/>
  <c r="T34" i="11" a="1"/>
  <c r="I449" i="2" a="1"/>
  <c r="I577" i="2" a="1"/>
  <c r="I182" i="2" a="1"/>
  <c r="I366" i="2" a="1"/>
  <c r="H30" i="6" a="1"/>
  <c r="I191" i="2" a="1"/>
  <c r="I195" i="2" a="1"/>
  <c r="I19" i="2" a="1"/>
  <c r="I502" i="2" a="1"/>
  <c r="I457" i="2" a="1"/>
  <c r="I152" i="2" a="1"/>
  <c r="I344" i="2" a="1"/>
  <c r="I232" i="2" a="1"/>
  <c r="I301" i="2" a="1"/>
  <c r="I246" i="2" a="1"/>
  <c r="I447" i="2" a="1"/>
  <c r="I421" i="2" a="1"/>
  <c r="I160" i="2" a="1"/>
  <c r="I385" i="2" a="1"/>
  <c r="I576" i="2" a="1"/>
  <c r="I453" i="2" a="1"/>
  <c r="I499" i="2" a="1"/>
  <c r="I559" i="2" a="1"/>
  <c r="I66" i="2" a="1"/>
  <c r="I260" i="2" a="1"/>
  <c r="I388" i="2" a="1"/>
  <c r="C35" i="6" a="1"/>
  <c r="I261" i="2" a="1"/>
  <c r="I603" i="2" a="1"/>
  <c r="I538" i="2" a="1"/>
  <c r="I122" i="2" a="1"/>
  <c r="I214" i="2" a="1"/>
  <c r="C32" i="6" a="1"/>
  <c r="I95" i="2" a="1"/>
  <c r="I399" i="2" a="1"/>
  <c r="I187" i="2" a="1"/>
  <c r="I290" i="2" a="1"/>
  <c r="I198" i="2" a="1"/>
  <c r="I166" i="2" a="1"/>
  <c r="I174" i="2" a="1"/>
  <c r="I43" i="2" a="1"/>
  <c r="I375" i="2" a="1"/>
  <c r="I350" i="2" a="1"/>
  <c r="I140" i="2" a="1"/>
  <c r="I230" i="2" a="1"/>
  <c r="I386" i="2" a="1"/>
  <c r="N27" i="15" a="1"/>
  <c r="I71" i="2" a="1"/>
  <c r="I102" i="2" a="1"/>
  <c r="I601" i="2" a="1"/>
  <c r="I18" i="2" a="1"/>
  <c r="I244" i="2" a="1"/>
  <c r="I154" i="2" a="1"/>
  <c r="I141" i="2" a="1"/>
  <c r="I398" i="2" a="1"/>
  <c r="I205" i="2" a="1"/>
  <c r="I168" i="2" a="1"/>
  <c r="I276" i="2" a="1"/>
  <c r="I31" i="2" a="1"/>
  <c r="I17" i="2" a="1"/>
  <c r="I61" i="2" a="1"/>
  <c r="I469" i="2" a="1"/>
  <c r="I173" i="2" a="1"/>
  <c r="I155" i="2" a="1"/>
  <c r="I452" i="2" a="1"/>
  <c r="I492" i="2" a="1"/>
  <c r="I55" i="2" a="1"/>
  <c r="I81" i="2" a="1"/>
  <c r="I251" i="2" a="1"/>
  <c r="I42" i="2" a="1"/>
  <c r="I483" i="2" a="1"/>
  <c r="I238" i="2" a="1"/>
  <c r="I625" i="2" a="1"/>
  <c r="I527" i="2" a="1"/>
  <c r="I38" i="2" a="1"/>
  <c r="I478" i="2" a="1"/>
  <c r="I345" i="2" a="1"/>
  <c r="I357" i="2" a="1"/>
  <c r="H29" i="6" a="1"/>
  <c r="I430" i="2" a="1"/>
  <c r="I298" i="2" a="1"/>
  <c r="I48" i="2" a="1"/>
  <c r="I370" i="2" a="1"/>
  <c r="U27" i="11" a="1"/>
  <c r="V26" i="15" l="1"/>
  <c r="V33" i="11"/>
  <c r="V49" i="11"/>
  <c r="V26" i="18"/>
  <c r="U27" i="18"/>
  <c r="N27" i="18"/>
  <c r="T27" i="18"/>
  <c r="K29" i="18"/>
  <c r="O28" i="18"/>
  <c r="L28" i="18"/>
  <c r="M28" i="18" s="1"/>
  <c r="N27" i="15"/>
  <c r="U27" i="15"/>
  <c r="T27" i="15"/>
  <c r="O28" i="15"/>
  <c r="K29" i="15"/>
  <c r="L28" i="15"/>
  <c r="M28" i="15" s="1"/>
  <c r="T50" i="11"/>
  <c r="U50" i="11"/>
  <c r="N50" i="11"/>
  <c r="K52" i="11"/>
  <c r="O51" i="11"/>
  <c r="L51" i="11"/>
  <c r="N34" i="11"/>
  <c r="U34" i="11"/>
  <c r="T34" i="11"/>
  <c r="L35" i="11"/>
  <c r="K36" i="11"/>
  <c r="O35" i="11"/>
  <c r="U27" i="11"/>
  <c r="T27" i="11"/>
  <c r="V27" i="11" s="1"/>
  <c r="N27" i="11"/>
  <c r="K29" i="11"/>
  <c r="O28" i="11"/>
  <c r="L28" i="11"/>
  <c r="T26" i="8"/>
  <c r="AA44" i="8"/>
  <c r="C7" i="8"/>
  <c r="C7" i="6"/>
  <c r="K10" i="2"/>
  <c r="C11" i="2"/>
  <c r="I276" i="2"/>
  <c r="I582" i="2"/>
  <c r="I396" i="2"/>
  <c r="I635" i="2"/>
  <c r="I468" i="2"/>
  <c r="I342" i="2"/>
  <c r="I630" i="2"/>
  <c r="I573" i="2"/>
  <c r="I554" i="2"/>
  <c r="I364" i="2"/>
  <c r="I569" i="2"/>
  <c r="I158" i="2"/>
  <c r="I22" i="2"/>
  <c r="I357" i="2"/>
  <c r="I221" i="2"/>
  <c r="I93" i="2"/>
  <c r="I68" i="2"/>
  <c r="I84" i="2"/>
  <c r="I371" i="2"/>
  <c r="I235" i="2"/>
  <c r="I107" i="2"/>
  <c r="I299" i="2"/>
  <c r="I322" i="2"/>
  <c r="I186" i="2"/>
  <c r="I58" i="2"/>
  <c r="I449" i="2"/>
  <c r="I273" i="2"/>
  <c r="I137" i="2"/>
  <c r="I497" i="2"/>
  <c r="I576" i="2"/>
  <c r="I440" i="2"/>
  <c r="I312" i="2"/>
  <c r="I184" i="2"/>
  <c r="I56" i="2"/>
  <c r="I535" i="2"/>
  <c r="I407" i="2"/>
  <c r="I279" i="2"/>
  <c r="I151" i="2"/>
  <c r="I23" i="2"/>
  <c r="I212" i="2"/>
  <c r="I564" i="2"/>
  <c r="I310" i="2"/>
  <c r="I597" i="2"/>
  <c r="I430" i="2"/>
  <c r="I300" i="2"/>
  <c r="I626" i="2"/>
  <c r="I555" i="2"/>
  <c r="I516" i="2"/>
  <c r="I534" i="2"/>
  <c r="I550" i="2"/>
  <c r="I150" i="2"/>
  <c r="I270" i="2"/>
  <c r="I349" i="2"/>
  <c r="I213" i="2"/>
  <c r="I85" i="2"/>
  <c r="I60" i="2"/>
  <c r="I523" i="2"/>
  <c r="I363" i="2"/>
  <c r="I227" i="2"/>
  <c r="I99" i="2"/>
  <c r="I506" i="2"/>
  <c r="I314" i="2"/>
  <c r="I178" i="2"/>
  <c r="I50" i="2"/>
  <c r="I425" i="2"/>
  <c r="I265" i="2"/>
  <c r="I129" i="2"/>
  <c r="I489" i="2"/>
  <c r="I568" i="2"/>
  <c r="I432" i="2"/>
  <c r="I304" i="2"/>
  <c r="I176" i="2"/>
  <c r="I48" i="2"/>
  <c r="I527" i="2"/>
  <c r="I399" i="2"/>
  <c r="I271" i="2"/>
  <c r="I143" i="2"/>
  <c r="I15" i="2"/>
  <c r="I634" i="2"/>
  <c r="I546" i="2"/>
  <c r="I586" i="2"/>
  <c r="I579" i="2"/>
  <c r="I388" i="2"/>
  <c r="I510" i="2"/>
  <c r="I610" i="2"/>
  <c r="I537" i="2"/>
  <c r="I374" i="2"/>
  <c r="I622" i="2"/>
  <c r="I532" i="2"/>
  <c r="I142" i="2"/>
  <c r="I254" i="2"/>
  <c r="I341" i="2"/>
  <c r="I205" i="2"/>
  <c r="I77" i="2"/>
  <c r="I52" i="2"/>
  <c r="I507" i="2"/>
  <c r="I355" i="2"/>
  <c r="I219" i="2"/>
  <c r="I91" i="2"/>
  <c r="I490" i="2"/>
  <c r="I306" i="2"/>
  <c r="I170" i="2"/>
  <c r="I42" i="2"/>
  <c r="I409" i="2"/>
  <c r="I257" i="2"/>
  <c r="I121" i="2"/>
  <c r="I473" i="2"/>
  <c r="I560" i="2"/>
  <c r="I424" i="2"/>
  <c r="I296" i="2"/>
  <c r="I168" i="2"/>
  <c r="I40" i="2"/>
  <c r="I519" i="2"/>
  <c r="I391" i="2"/>
  <c r="I263" i="2"/>
  <c r="I135" i="2"/>
  <c r="I14" i="2"/>
  <c r="I618" i="2"/>
  <c r="I505" i="2"/>
  <c r="I581" i="2"/>
  <c r="I561" i="2"/>
  <c r="I302" i="2"/>
  <c r="I542" i="2"/>
  <c r="I593" i="2"/>
  <c r="I517" i="2"/>
  <c r="I332" i="2"/>
  <c r="I606" i="2"/>
  <c r="I484" i="2"/>
  <c r="I134" i="2"/>
  <c r="I238" i="2"/>
  <c r="I333" i="2"/>
  <c r="I197" i="2"/>
  <c r="I69" i="2"/>
  <c r="I44" i="2"/>
  <c r="I491" i="2"/>
  <c r="I347" i="2"/>
  <c r="I211" i="2"/>
  <c r="I83" i="2"/>
  <c r="I474" i="2"/>
  <c r="I298" i="2"/>
  <c r="I162" i="2"/>
  <c r="I34" i="2"/>
  <c r="I393" i="2"/>
  <c r="I249" i="2"/>
  <c r="I113" i="2"/>
  <c r="I465" i="2"/>
  <c r="I552" i="2"/>
  <c r="I416" i="2"/>
  <c r="I288" i="2"/>
  <c r="I160" i="2"/>
  <c r="I32" i="2"/>
  <c r="I511" i="2"/>
  <c r="I383" i="2"/>
  <c r="I255" i="2"/>
  <c r="I127" i="2"/>
  <c r="I604" i="2"/>
  <c r="I602" i="2"/>
  <c r="I476" i="2"/>
  <c r="I598" i="2"/>
  <c r="I524" i="2"/>
  <c r="I252" i="2"/>
  <c r="I627" i="2"/>
  <c r="I574" i="2"/>
  <c r="I492" i="2"/>
  <c r="I620" i="2"/>
  <c r="I588" i="2"/>
  <c r="I366" i="2"/>
  <c r="I126" i="2"/>
  <c r="I222" i="2"/>
  <c r="I325" i="2"/>
  <c r="I189" i="2"/>
  <c r="I61" i="2"/>
  <c r="I36" i="2"/>
  <c r="I475" i="2"/>
  <c r="I339" i="2"/>
  <c r="I203" i="2"/>
  <c r="I75" i="2"/>
  <c r="I458" i="2"/>
  <c r="I290" i="2"/>
  <c r="I154" i="2"/>
  <c r="I26" i="2"/>
  <c r="I377" i="2"/>
  <c r="I241" i="2"/>
  <c r="I105" i="2"/>
  <c r="I433" i="2"/>
  <c r="I544" i="2"/>
  <c r="I408" i="2"/>
  <c r="I280" i="2"/>
  <c r="I152" i="2"/>
  <c r="I24" i="2"/>
  <c r="I503" i="2"/>
  <c r="I375" i="2"/>
  <c r="I247" i="2"/>
  <c r="I119" i="2"/>
  <c r="I619" i="2"/>
  <c r="I565" i="2"/>
  <c r="I398" i="2"/>
  <c r="I580" i="2"/>
  <c r="I501" i="2"/>
  <c r="I188" i="2"/>
  <c r="I611" i="2"/>
  <c r="I556" i="2"/>
  <c r="I457" i="2"/>
  <c r="I589" i="2"/>
  <c r="I570" i="2"/>
  <c r="I324" i="2"/>
  <c r="I118" i="2"/>
  <c r="I190" i="2"/>
  <c r="I317" i="2"/>
  <c r="I181" i="2"/>
  <c r="I53" i="2"/>
  <c r="I28" i="2"/>
  <c r="I467" i="2"/>
  <c r="I331" i="2"/>
  <c r="I195" i="2"/>
  <c r="I67" i="2"/>
  <c r="I442" i="2"/>
  <c r="I274" i="2"/>
  <c r="I146" i="2"/>
  <c r="I18" i="2"/>
  <c r="I369" i="2"/>
  <c r="I225" i="2"/>
  <c r="I97" i="2"/>
  <c r="I417" i="2"/>
  <c r="I536" i="2"/>
  <c r="I400" i="2"/>
  <c r="I272" i="2"/>
  <c r="I144" i="2"/>
  <c r="I16" i="2"/>
  <c r="I495" i="2"/>
  <c r="I367" i="2"/>
  <c r="I239" i="2"/>
  <c r="I111" i="2"/>
  <c r="I603" i="2"/>
  <c r="I547" i="2"/>
  <c r="I356" i="2"/>
  <c r="I562" i="2"/>
  <c r="I348" i="2"/>
  <c r="I531" i="2"/>
  <c r="I594" i="2"/>
  <c r="I538" i="2"/>
  <c r="I420" i="2"/>
  <c r="I571" i="2"/>
  <c r="I533" i="2"/>
  <c r="I220" i="2"/>
  <c r="I110" i="2"/>
  <c r="I46" i="2"/>
  <c r="I309" i="2"/>
  <c r="I173" i="2"/>
  <c r="I45" i="2"/>
  <c r="I20" i="2"/>
  <c r="I459" i="2"/>
  <c r="I323" i="2"/>
  <c r="I187" i="2"/>
  <c r="I59" i="2"/>
  <c r="I426" i="2"/>
  <c r="I266" i="2"/>
  <c r="I138" i="2"/>
  <c r="I498" i="2"/>
  <c r="I353" i="2"/>
  <c r="I217" i="2"/>
  <c r="I89" i="2"/>
  <c r="I401" i="2"/>
  <c r="I528" i="2"/>
  <c r="I392" i="2"/>
  <c r="I264" i="2"/>
  <c r="I136" i="2"/>
  <c r="I616" i="2"/>
  <c r="I487" i="2"/>
  <c r="I359" i="2"/>
  <c r="I231" i="2"/>
  <c r="I103" i="2"/>
  <c r="I585" i="2"/>
  <c r="I529" i="2"/>
  <c r="I268" i="2"/>
  <c r="I525" i="2"/>
  <c r="I614" i="2"/>
  <c r="I469" i="2"/>
  <c r="I557" i="2"/>
  <c r="I518" i="2"/>
  <c r="I334" i="2"/>
  <c r="I553" i="2"/>
  <c r="I513" i="2"/>
  <c r="I262" i="2"/>
  <c r="I102" i="2"/>
  <c r="I453" i="2"/>
  <c r="I301" i="2"/>
  <c r="I165" i="2"/>
  <c r="I37" i="2"/>
  <c r="I156" i="2"/>
  <c r="I451" i="2"/>
  <c r="I315" i="2"/>
  <c r="I179" i="2"/>
  <c r="I51" i="2"/>
  <c r="I410" i="2"/>
  <c r="I258" i="2"/>
  <c r="I130" i="2"/>
  <c r="I482" i="2"/>
  <c r="I345" i="2"/>
  <c r="I209" i="2"/>
  <c r="I81" i="2"/>
  <c r="I385" i="2"/>
  <c r="I512" i="2"/>
  <c r="I384" i="2"/>
  <c r="I256" i="2"/>
  <c r="I128" i="2"/>
  <c r="I520" i="2"/>
  <c r="I479" i="2"/>
  <c r="I351" i="2"/>
  <c r="I223" i="2"/>
  <c r="I95" i="2"/>
  <c r="I566" i="2"/>
  <c r="I508" i="2"/>
  <c r="I204" i="2"/>
  <c r="I502" i="2"/>
  <c r="I390" i="2"/>
  <c r="I628" i="2"/>
  <c r="I539" i="2"/>
  <c r="I493" i="2"/>
  <c r="I292" i="2"/>
  <c r="I514" i="2"/>
  <c r="I485" i="2"/>
  <c r="I246" i="2"/>
  <c r="I94" i="2"/>
  <c r="I445" i="2"/>
  <c r="I293" i="2"/>
  <c r="I157" i="2"/>
  <c r="I29" i="2"/>
  <c r="I148" i="2"/>
  <c r="I435" i="2"/>
  <c r="I307" i="2"/>
  <c r="I171" i="2"/>
  <c r="I43" i="2"/>
  <c r="I394" i="2"/>
  <c r="I250" i="2"/>
  <c r="I122" i="2"/>
  <c r="I466" i="2"/>
  <c r="I337" i="2"/>
  <c r="I201" i="2"/>
  <c r="I73" i="2"/>
  <c r="I361" i="2"/>
  <c r="I504" i="2"/>
  <c r="I376" i="2"/>
  <c r="I248" i="2"/>
  <c r="I120" i="2"/>
  <c r="I599" i="2"/>
  <c r="I471" i="2"/>
  <c r="I343" i="2"/>
  <c r="I215" i="2"/>
  <c r="I87" i="2"/>
  <c r="I548" i="2"/>
  <c r="I477" i="2"/>
  <c r="I446" i="2"/>
  <c r="I470" i="2"/>
  <c r="I629" i="2"/>
  <c r="I612" i="2"/>
  <c r="I494" i="2"/>
  <c r="I460" i="2"/>
  <c r="I236" i="2"/>
  <c r="I486" i="2"/>
  <c r="I452" i="2"/>
  <c r="I230" i="2"/>
  <c r="I86" i="2"/>
  <c r="I429" i="2"/>
  <c r="I285" i="2"/>
  <c r="I149" i="2"/>
  <c r="I21" i="2"/>
  <c r="I140" i="2"/>
  <c r="I427" i="2"/>
  <c r="I291" i="2"/>
  <c r="I163" i="2"/>
  <c r="I35" i="2"/>
  <c r="I386" i="2"/>
  <c r="I242" i="2"/>
  <c r="I114" i="2"/>
  <c r="I450" i="2"/>
  <c r="I329" i="2"/>
  <c r="I193" i="2"/>
  <c r="I65" i="2"/>
  <c r="I233" i="2"/>
  <c r="I496" i="2"/>
  <c r="I368" i="2"/>
  <c r="I240" i="2"/>
  <c r="I112" i="2"/>
  <c r="I591" i="2"/>
  <c r="I463" i="2"/>
  <c r="I335" i="2"/>
  <c r="I207" i="2"/>
  <c r="I79" i="2"/>
  <c r="I530" i="2"/>
  <c r="I441" i="2"/>
  <c r="I631" i="2"/>
  <c r="I436" i="2"/>
  <c r="I613" i="2"/>
  <c r="I595" i="2"/>
  <c r="I462" i="2"/>
  <c r="I422" i="2"/>
  <c r="I172" i="2"/>
  <c r="I454" i="2"/>
  <c r="I412" i="2"/>
  <c r="I214" i="2"/>
  <c r="I78" i="2"/>
  <c r="I413" i="2"/>
  <c r="I277" i="2"/>
  <c r="I141" i="2"/>
  <c r="I461" i="2"/>
  <c r="I132" i="2"/>
  <c r="I419" i="2"/>
  <c r="I283" i="2"/>
  <c r="I155" i="2"/>
  <c r="I27" i="2"/>
  <c r="I370" i="2"/>
  <c r="I234" i="2"/>
  <c r="I106" i="2"/>
  <c r="I434" i="2"/>
  <c r="I321" i="2"/>
  <c r="I185" i="2"/>
  <c r="I57" i="2"/>
  <c r="I632" i="2"/>
  <c r="I488" i="2"/>
  <c r="I360" i="2"/>
  <c r="I232" i="2"/>
  <c r="I104" i="2"/>
  <c r="I583" i="2"/>
  <c r="I455" i="2"/>
  <c r="I327" i="2"/>
  <c r="I199" i="2"/>
  <c r="I71" i="2"/>
  <c r="I509" i="2"/>
  <c r="I358" i="2"/>
  <c r="I615" i="2"/>
  <c r="I350" i="2"/>
  <c r="I596" i="2"/>
  <c r="I577" i="2"/>
  <c r="I382" i="2"/>
  <c r="I380" i="2"/>
  <c r="I278" i="2"/>
  <c r="I414" i="2"/>
  <c r="I326" i="2"/>
  <c r="I206" i="2"/>
  <c r="I70" i="2"/>
  <c r="I405" i="2"/>
  <c r="I269" i="2"/>
  <c r="I133" i="2"/>
  <c r="I437" i="2"/>
  <c r="I124" i="2"/>
  <c r="I411" i="2"/>
  <c r="I275" i="2"/>
  <c r="I147" i="2"/>
  <c r="I19" i="2"/>
  <c r="I362" i="2"/>
  <c r="I226" i="2"/>
  <c r="I98" i="2"/>
  <c r="I418" i="2"/>
  <c r="I313" i="2"/>
  <c r="I177" i="2"/>
  <c r="I49" i="2"/>
  <c r="I624" i="2"/>
  <c r="I480" i="2"/>
  <c r="I352" i="2"/>
  <c r="I224" i="2"/>
  <c r="I96" i="2"/>
  <c r="I575" i="2"/>
  <c r="I447" i="2"/>
  <c r="I319" i="2"/>
  <c r="I191" i="2"/>
  <c r="I63" i="2"/>
  <c r="I478" i="2"/>
  <c r="I316" i="2"/>
  <c r="I563" i="2"/>
  <c r="I308" i="2"/>
  <c r="I578" i="2"/>
  <c r="I558" i="2"/>
  <c r="I340" i="2"/>
  <c r="I294" i="2"/>
  <c r="I623" i="2"/>
  <c r="I372" i="2"/>
  <c r="I284" i="2"/>
  <c r="I198" i="2"/>
  <c r="I62" i="2"/>
  <c r="I397" i="2"/>
  <c r="I261" i="2"/>
  <c r="I125" i="2"/>
  <c r="I421" i="2"/>
  <c r="I116" i="2"/>
  <c r="I403" i="2"/>
  <c r="I267" i="2"/>
  <c r="I139" i="2"/>
  <c r="I515" i="2"/>
  <c r="I354" i="2"/>
  <c r="I218" i="2"/>
  <c r="I90" i="2"/>
  <c r="I402" i="2"/>
  <c r="I305" i="2"/>
  <c r="I169" i="2"/>
  <c r="I41" i="2"/>
  <c r="I608" i="2"/>
  <c r="I472" i="2"/>
  <c r="I344" i="2"/>
  <c r="I216" i="2"/>
  <c r="I88" i="2"/>
  <c r="I567" i="2"/>
  <c r="I439" i="2"/>
  <c r="I311" i="2"/>
  <c r="I183" i="2"/>
  <c r="I55" i="2"/>
  <c r="I444" i="2"/>
  <c r="I633" i="2"/>
  <c r="I545" i="2"/>
  <c r="I260" i="2"/>
  <c r="I541" i="2"/>
  <c r="I540" i="2"/>
  <c r="I244" i="2"/>
  <c r="I406" i="2"/>
  <c r="I607" i="2"/>
  <c r="I286" i="2"/>
  <c r="I621" i="2"/>
  <c r="I182" i="2"/>
  <c r="I54" i="2"/>
  <c r="I389" i="2"/>
  <c r="I245" i="2"/>
  <c r="I117" i="2"/>
  <c r="I381" i="2"/>
  <c r="I108" i="2"/>
  <c r="I395" i="2"/>
  <c r="I259" i="2"/>
  <c r="I131" i="2"/>
  <c r="I499" i="2"/>
  <c r="I346" i="2"/>
  <c r="I210" i="2"/>
  <c r="I82" i="2"/>
  <c r="I378" i="2"/>
  <c r="I297" i="2"/>
  <c r="I161" i="2"/>
  <c r="I33" i="2"/>
  <c r="I600" i="2"/>
  <c r="I464" i="2"/>
  <c r="I336" i="2"/>
  <c r="I208" i="2"/>
  <c r="I80" i="2"/>
  <c r="I559" i="2"/>
  <c r="I431" i="2"/>
  <c r="I303" i="2"/>
  <c r="I175" i="2"/>
  <c r="I47" i="2"/>
  <c r="I404" i="2"/>
  <c r="I617" i="2"/>
  <c r="I526" i="2"/>
  <c r="I196" i="2"/>
  <c r="I522" i="2"/>
  <c r="I521" i="2"/>
  <c r="I180" i="2"/>
  <c r="I625" i="2"/>
  <c r="I590" i="2"/>
  <c r="I228" i="2"/>
  <c r="I605" i="2"/>
  <c r="I174" i="2"/>
  <c r="I38" i="2"/>
  <c r="I373" i="2"/>
  <c r="I237" i="2"/>
  <c r="I109" i="2"/>
  <c r="I253" i="2"/>
  <c r="I100" i="2"/>
  <c r="I387" i="2"/>
  <c r="I251" i="2"/>
  <c r="I123" i="2"/>
  <c r="I483" i="2"/>
  <c r="I338" i="2"/>
  <c r="I202" i="2"/>
  <c r="I74" i="2"/>
  <c r="I282" i="2"/>
  <c r="I289" i="2"/>
  <c r="I153" i="2"/>
  <c r="I25" i="2"/>
  <c r="I592" i="2"/>
  <c r="I456" i="2"/>
  <c r="I328" i="2"/>
  <c r="I200" i="2"/>
  <c r="I72" i="2"/>
  <c r="I551" i="2"/>
  <c r="I423" i="2"/>
  <c r="I295" i="2"/>
  <c r="I167" i="2"/>
  <c r="I39" i="2"/>
  <c r="I318" i="2"/>
  <c r="I601" i="2"/>
  <c r="I438" i="2"/>
  <c r="I549" i="2"/>
  <c r="I500" i="2"/>
  <c r="I428" i="2"/>
  <c r="I636" i="2"/>
  <c r="I609" i="2"/>
  <c r="I572" i="2"/>
  <c r="I164" i="2"/>
  <c r="I587" i="2"/>
  <c r="I166" i="2"/>
  <c r="I30" i="2"/>
  <c r="I365" i="2"/>
  <c r="I229" i="2"/>
  <c r="I101" i="2"/>
  <c r="I76" i="2"/>
  <c r="I92" i="2"/>
  <c r="I379" i="2"/>
  <c r="I243" i="2"/>
  <c r="I115" i="2"/>
  <c r="I443" i="2"/>
  <c r="I330" i="2"/>
  <c r="I194" i="2"/>
  <c r="I66" i="2"/>
  <c r="I481" i="2"/>
  <c r="I281" i="2"/>
  <c r="I145" i="2"/>
  <c r="I17" i="2"/>
  <c r="I584" i="2"/>
  <c r="I448" i="2"/>
  <c r="I320" i="2"/>
  <c r="I192" i="2"/>
  <c r="I64" i="2"/>
  <c r="I543" i="2"/>
  <c r="I415" i="2"/>
  <c r="I287" i="2"/>
  <c r="I159" i="2"/>
  <c r="I31" i="2"/>
  <c r="T21" i="6"/>
  <c r="K10" i="6"/>
  <c r="K13" i="6"/>
  <c r="H22" i="6"/>
  <c r="I22" i="6" s="1"/>
  <c r="H28" i="6"/>
  <c r="I28" i="6" s="1"/>
  <c r="H19" i="6"/>
  <c r="I19" i="6" s="1"/>
  <c r="H26" i="6"/>
  <c r="I26" i="6" s="1"/>
  <c r="H29" i="6"/>
  <c r="I29" i="6" s="1"/>
  <c r="H20" i="6"/>
  <c r="I20" i="6" s="1"/>
  <c r="H25" i="6"/>
  <c r="I25" i="6" s="1"/>
  <c r="H24" i="6"/>
  <c r="I24" i="6" s="1"/>
  <c r="H30" i="6"/>
  <c r="I30" i="6" s="1"/>
  <c r="H21" i="6"/>
  <c r="I21" i="6" s="1"/>
  <c r="H27" i="6"/>
  <c r="I27" i="6" s="1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T28" i="18" a="1"/>
  <c r="N28" i="18" a="1"/>
  <c r="U28" i="18" a="1"/>
  <c r="U28" i="18" l="1"/>
  <c r="N28" i="18"/>
  <c r="T28" i="18"/>
  <c r="V27" i="18"/>
  <c r="K30" i="18"/>
  <c r="O29" i="18"/>
  <c r="L29" i="18"/>
  <c r="M29" i="18" s="1"/>
  <c r="V34" i="11"/>
  <c r="V50" i="11"/>
  <c r="V27" i="15"/>
  <c r="O29" i="15"/>
  <c r="K30" i="15"/>
  <c r="L29" i="15"/>
  <c r="M29" i="15" s="1"/>
  <c r="L52" i="11"/>
  <c r="K53" i="11"/>
  <c r="O52" i="11"/>
  <c r="L36" i="11"/>
  <c r="K37" i="11"/>
  <c r="O36" i="11"/>
  <c r="L29" i="11"/>
  <c r="O29" i="11"/>
  <c r="G12" i="8"/>
  <c r="G11" i="8"/>
  <c r="N330" i="2"/>
  <c r="N303" i="2"/>
  <c r="N411" i="2"/>
  <c r="N59" i="2"/>
  <c r="N159" i="2"/>
  <c r="N443" i="2"/>
  <c r="N428" i="2"/>
  <c r="N25" i="2"/>
  <c r="N38" i="2"/>
  <c r="N431" i="2"/>
  <c r="N259" i="2"/>
  <c r="N260" i="2"/>
  <c r="N305" i="2"/>
  <c r="N284" i="2"/>
  <c r="N96" i="2"/>
  <c r="N124" i="2"/>
  <c r="N358" i="2"/>
  <c r="N106" i="2"/>
  <c r="N172" i="2"/>
  <c r="N368" i="2"/>
  <c r="N149" i="2"/>
  <c r="N87" i="2"/>
  <c r="N394" i="2"/>
  <c r="N539" i="2"/>
  <c r="N385" i="2"/>
  <c r="N453" i="2"/>
  <c r="N359" i="2"/>
  <c r="N187" i="2"/>
  <c r="N348" i="2"/>
  <c r="N225" i="2"/>
  <c r="N324" i="2"/>
  <c r="N24" i="2"/>
  <c r="N475" i="2"/>
  <c r="N476" i="2"/>
  <c r="N34" i="2"/>
  <c r="N332" i="2"/>
  <c r="N296" i="2"/>
  <c r="N77" i="2"/>
  <c r="N15" i="2"/>
  <c r="N314" i="2"/>
  <c r="N626" i="2"/>
  <c r="N576" i="2"/>
  <c r="N357" i="2"/>
  <c r="N372" i="2"/>
  <c r="N628" i="2"/>
  <c r="N152" i="2"/>
  <c r="N205" i="2"/>
  <c r="N497" i="2"/>
  <c r="N287" i="2"/>
  <c r="N115" i="2"/>
  <c r="N500" i="2"/>
  <c r="N153" i="2"/>
  <c r="N174" i="2"/>
  <c r="N559" i="2"/>
  <c r="N395" i="2"/>
  <c r="N545" i="2"/>
  <c r="N402" i="2"/>
  <c r="N224" i="2"/>
  <c r="N437" i="2"/>
  <c r="N509" i="2"/>
  <c r="N234" i="2"/>
  <c r="N422" i="2"/>
  <c r="N496" i="2"/>
  <c r="N285" i="2"/>
  <c r="N215" i="2"/>
  <c r="N43" i="2"/>
  <c r="N81" i="2"/>
  <c r="N102" i="2"/>
  <c r="N487" i="2"/>
  <c r="N323" i="2"/>
  <c r="N562" i="2"/>
  <c r="N369" i="2"/>
  <c r="N570" i="2"/>
  <c r="N36" i="2"/>
  <c r="N602" i="2"/>
  <c r="N162" i="2"/>
  <c r="N517" i="2"/>
  <c r="N424" i="2"/>
  <c r="N143" i="2"/>
  <c r="N506" i="2"/>
  <c r="N300" i="2"/>
  <c r="N22" i="2"/>
  <c r="N415" i="2"/>
  <c r="N243" i="2"/>
  <c r="N549" i="2"/>
  <c r="N289" i="2"/>
  <c r="N605" i="2"/>
  <c r="N80" i="2"/>
  <c r="N108" i="2"/>
  <c r="N633" i="2"/>
  <c r="N90" i="2"/>
  <c r="N623" i="2"/>
  <c r="N352" i="2"/>
  <c r="N133" i="2"/>
  <c r="N71" i="2"/>
  <c r="N370" i="2"/>
  <c r="N462" i="2"/>
  <c r="N233" i="2"/>
  <c r="N429" i="2"/>
  <c r="N343" i="2"/>
  <c r="N171" i="2"/>
  <c r="N390" i="2"/>
  <c r="N209" i="2"/>
  <c r="N262" i="2"/>
  <c r="N616" i="2"/>
  <c r="N459" i="2"/>
  <c r="N356" i="2"/>
  <c r="N18" i="2"/>
  <c r="N589" i="2"/>
  <c r="N280" i="2"/>
  <c r="N61" i="2"/>
  <c r="N604" i="2"/>
  <c r="N298" i="2"/>
  <c r="N593" i="2"/>
  <c r="N560" i="2"/>
  <c r="N341" i="2"/>
  <c r="N271" i="2"/>
  <c r="N99" i="2"/>
  <c r="N430" i="2"/>
  <c r="N137" i="2"/>
  <c r="N158" i="2"/>
  <c r="N543" i="2"/>
  <c r="N65" i="2"/>
  <c r="N457" i="2"/>
  <c r="N473" i="2"/>
  <c r="N227" i="2"/>
  <c r="N273" i="2"/>
  <c r="N379" i="2"/>
  <c r="N438" i="2"/>
  <c r="N282" i="2"/>
  <c r="N228" i="2"/>
  <c r="N208" i="2"/>
  <c r="N381" i="2"/>
  <c r="N444" i="2"/>
  <c r="N218" i="2"/>
  <c r="N294" i="2"/>
  <c r="N480" i="2"/>
  <c r="N269" i="2"/>
  <c r="N199" i="2"/>
  <c r="N27" i="2"/>
  <c r="N595" i="2"/>
  <c r="N86" i="2"/>
  <c r="N471" i="2"/>
  <c r="N307" i="2"/>
  <c r="N502" i="2"/>
  <c r="N345" i="2"/>
  <c r="N513" i="2"/>
  <c r="N136" i="2"/>
  <c r="N20" i="2"/>
  <c r="N547" i="2"/>
  <c r="N146" i="2"/>
  <c r="N408" i="2"/>
  <c r="N189" i="2"/>
  <c r="N127" i="2"/>
  <c r="N474" i="2"/>
  <c r="N542" i="2"/>
  <c r="N254" i="2"/>
  <c r="N399" i="2"/>
  <c r="N597" i="2"/>
  <c r="N569" i="2"/>
  <c r="N64" i="2"/>
  <c r="N92" i="2"/>
  <c r="N601" i="2"/>
  <c r="N74" i="2"/>
  <c r="N590" i="2"/>
  <c r="N336" i="2"/>
  <c r="N117" i="2"/>
  <c r="N55" i="2"/>
  <c r="N354" i="2"/>
  <c r="N340" i="2"/>
  <c r="N624" i="2"/>
  <c r="N405" i="2"/>
  <c r="N327" i="2"/>
  <c r="N155" i="2"/>
  <c r="N613" i="2"/>
  <c r="N193" i="2"/>
  <c r="N230" i="2"/>
  <c r="N599" i="2"/>
  <c r="N435" i="2"/>
  <c r="N204" i="2"/>
  <c r="N482" i="2"/>
  <c r="N553" i="2"/>
  <c r="N264" i="2"/>
  <c r="N45" i="2"/>
  <c r="N603" i="2"/>
  <c r="N274" i="2"/>
  <c r="N556" i="2"/>
  <c r="N544" i="2"/>
  <c r="N325" i="2"/>
  <c r="N255" i="2"/>
  <c r="N83" i="2"/>
  <c r="N302" i="2"/>
  <c r="N121" i="2"/>
  <c r="N142" i="2"/>
  <c r="N527" i="2"/>
  <c r="N363" i="2"/>
  <c r="N310" i="2"/>
  <c r="N449" i="2"/>
  <c r="N364" i="2"/>
  <c r="N76" i="2"/>
  <c r="N318" i="2"/>
  <c r="N202" i="2"/>
  <c r="N625" i="2"/>
  <c r="N464" i="2"/>
  <c r="N245" i="2"/>
  <c r="N515" i="2"/>
  <c r="N558" i="2"/>
  <c r="N49" i="2"/>
  <c r="N70" i="2"/>
  <c r="N455" i="2"/>
  <c r="N283" i="2"/>
  <c r="N436" i="2"/>
  <c r="N329" i="2"/>
  <c r="N452" i="2"/>
  <c r="N120" i="2"/>
  <c r="N148" i="2"/>
  <c r="N508" i="2"/>
  <c r="N130" i="2"/>
  <c r="N334" i="2"/>
  <c r="N392" i="2"/>
  <c r="N173" i="2"/>
  <c r="N111" i="2"/>
  <c r="N442" i="2"/>
  <c r="N611" i="2"/>
  <c r="N433" i="2"/>
  <c r="N222" i="2"/>
  <c r="N383" i="2"/>
  <c r="N211" i="2"/>
  <c r="N561" i="2"/>
  <c r="N257" i="2"/>
  <c r="N532" i="2"/>
  <c r="N48" i="2"/>
  <c r="N523" i="2"/>
  <c r="N564" i="2"/>
  <c r="N58" i="2"/>
  <c r="N554" i="2"/>
  <c r="N309" i="2"/>
  <c r="N192" i="2"/>
  <c r="N183" i="2"/>
  <c r="N320" i="2"/>
  <c r="N101" i="2"/>
  <c r="N39" i="2"/>
  <c r="N338" i="2"/>
  <c r="N180" i="2"/>
  <c r="N600" i="2"/>
  <c r="N389" i="2"/>
  <c r="N311" i="2"/>
  <c r="N139" i="2"/>
  <c r="N578" i="2"/>
  <c r="N177" i="2"/>
  <c r="N206" i="2"/>
  <c r="N583" i="2"/>
  <c r="N419" i="2"/>
  <c r="N631" i="2"/>
  <c r="N450" i="2"/>
  <c r="N486" i="2"/>
  <c r="N248" i="2"/>
  <c r="N29" i="2"/>
  <c r="N566" i="2"/>
  <c r="N258" i="2"/>
  <c r="N518" i="2"/>
  <c r="N528" i="2"/>
  <c r="N239" i="2"/>
  <c r="N67" i="2"/>
  <c r="N188" i="2"/>
  <c r="N105" i="2"/>
  <c r="N126" i="2"/>
  <c r="N511" i="2"/>
  <c r="N347" i="2"/>
  <c r="N581" i="2"/>
  <c r="N409" i="2"/>
  <c r="N622" i="2"/>
  <c r="N176" i="2"/>
  <c r="N60" i="2"/>
  <c r="N212" i="2"/>
  <c r="N186" i="2"/>
  <c r="N573" i="2"/>
  <c r="N448" i="2"/>
  <c r="N229" i="2"/>
  <c r="N167" i="2"/>
  <c r="N483" i="2"/>
  <c r="N521" i="2"/>
  <c r="N33" i="2"/>
  <c r="N54" i="2"/>
  <c r="N439" i="2"/>
  <c r="N267" i="2"/>
  <c r="N308" i="2"/>
  <c r="N313" i="2"/>
  <c r="N326" i="2"/>
  <c r="N104" i="2"/>
  <c r="N132" i="2"/>
  <c r="N441" i="2"/>
  <c r="N114" i="2"/>
  <c r="N236" i="2"/>
  <c r="N376" i="2"/>
  <c r="N157" i="2"/>
  <c r="N95" i="2"/>
  <c r="N410" i="2"/>
  <c r="N557" i="2"/>
  <c r="N401" i="2"/>
  <c r="N46" i="2"/>
  <c r="N367" i="2"/>
  <c r="N195" i="2"/>
  <c r="N501" i="2"/>
  <c r="N241" i="2"/>
  <c r="N366" i="2"/>
  <c r="N32" i="2"/>
  <c r="N491" i="2"/>
  <c r="N505" i="2"/>
  <c r="N42" i="2"/>
  <c r="N374" i="2"/>
  <c r="N304" i="2"/>
  <c r="N85" i="2"/>
  <c r="N23" i="2"/>
  <c r="N322" i="2"/>
  <c r="N630" i="2"/>
  <c r="N161" i="2"/>
  <c r="N418" i="2"/>
  <c r="N461" i="2"/>
  <c r="N242" i="2"/>
  <c r="N504" i="2"/>
  <c r="N223" i="2"/>
  <c r="N51" i="2"/>
  <c r="N89" i="2"/>
  <c r="N110" i="2"/>
  <c r="N495" i="2"/>
  <c r="N331" i="2"/>
  <c r="N580" i="2"/>
  <c r="N588" i="2"/>
  <c r="N160" i="2"/>
  <c r="N44" i="2"/>
  <c r="N618" i="2"/>
  <c r="N170" i="2"/>
  <c r="N537" i="2"/>
  <c r="N432" i="2"/>
  <c r="N213" i="2"/>
  <c r="N151" i="2"/>
  <c r="N299" i="2"/>
  <c r="N584" i="2"/>
  <c r="N365" i="2"/>
  <c r="N295" i="2"/>
  <c r="N123" i="2"/>
  <c r="N522" i="2"/>
  <c r="N182" i="2"/>
  <c r="N567" i="2"/>
  <c r="N403" i="2"/>
  <c r="N563" i="2"/>
  <c r="N414" i="2"/>
  <c r="N232" i="2"/>
  <c r="N530" i="2"/>
  <c r="N460" i="2"/>
  <c r="N293" i="2"/>
  <c r="N469" i="2"/>
  <c r="N377" i="2"/>
  <c r="N342" i="2"/>
  <c r="N17" i="2"/>
  <c r="N30" i="2"/>
  <c r="N423" i="2"/>
  <c r="N251" i="2"/>
  <c r="N196" i="2"/>
  <c r="N297" i="2"/>
  <c r="N621" i="2"/>
  <c r="N88" i="2"/>
  <c r="N116" i="2"/>
  <c r="N316" i="2"/>
  <c r="N98" i="2"/>
  <c r="N278" i="2"/>
  <c r="N360" i="2"/>
  <c r="N141" i="2"/>
  <c r="N79" i="2"/>
  <c r="N386" i="2"/>
  <c r="N494" i="2"/>
  <c r="N361" i="2"/>
  <c r="N445" i="2"/>
  <c r="N351" i="2"/>
  <c r="N179" i="2"/>
  <c r="N614" i="2"/>
  <c r="N217" i="2"/>
  <c r="N220" i="2"/>
  <c r="N16" i="2"/>
  <c r="N467" i="2"/>
  <c r="N398" i="2"/>
  <c r="N26" i="2"/>
  <c r="N620" i="2"/>
  <c r="N288" i="2"/>
  <c r="N69" i="2"/>
  <c r="N14" i="2"/>
  <c r="N306" i="2"/>
  <c r="N610" i="2"/>
  <c r="N568" i="2"/>
  <c r="N349" i="2"/>
  <c r="N279" i="2"/>
  <c r="N107" i="2"/>
  <c r="N468" i="2"/>
  <c r="N145" i="2"/>
  <c r="N166" i="2"/>
  <c r="N551" i="2"/>
  <c r="N387" i="2"/>
  <c r="N526" i="2"/>
  <c r="N378" i="2"/>
  <c r="N286" i="2"/>
  <c r="N216" i="2"/>
  <c r="N421" i="2"/>
  <c r="N478" i="2"/>
  <c r="N226" i="2"/>
  <c r="N380" i="2"/>
  <c r="N488" i="2"/>
  <c r="N277" i="2"/>
  <c r="N207" i="2"/>
  <c r="N35" i="2"/>
  <c r="N612" i="2"/>
  <c r="N73" i="2"/>
  <c r="N94" i="2"/>
  <c r="N479" i="2"/>
  <c r="N315" i="2"/>
  <c r="N525" i="2"/>
  <c r="N353" i="2"/>
  <c r="N533" i="2"/>
  <c r="N144" i="2"/>
  <c r="N28" i="2"/>
  <c r="N565" i="2"/>
  <c r="N154" i="2"/>
  <c r="N492" i="2"/>
  <c r="N416" i="2"/>
  <c r="N197" i="2"/>
  <c r="N135" i="2"/>
  <c r="N490" i="2"/>
  <c r="N510" i="2"/>
  <c r="N489" i="2"/>
  <c r="N270" i="2"/>
  <c r="N407" i="2"/>
  <c r="N235" i="2"/>
  <c r="N635" i="2"/>
  <c r="N281" i="2"/>
  <c r="N587" i="2"/>
  <c r="N72" i="2"/>
  <c r="N100" i="2"/>
  <c r="N617" i="2"/>
  <c r="N82" i="2"/>
  <c r="N607" i="2"/>
  <c r="N344" i="2"/>
  <c r="N125" i="2"/>
  <c r="N63" i="2"/>
  <c r="N362" i="2"/>
  <c r="N382" i="2"/>
  <c r="N632" i="2"/>
  <c r="N413" i="2"/>
  <c r="N335" i="2"/>
  <c r="N163" i="2"/>
  <c r="N629" i="2"/>
  <c r="N201" i="2"/>
  <c r="N246" i="2"/>
  <c r="N520" i="2"/>
  <c r="N451" i="2"/>
  <c r="N268" i="2"/>
  <c r="N498" i="2"/>
  <c r="N571" i="2"/>
  <c r="N272" i="2"/>
  <c r="N53" i="2"/>
  <c r="N619" i="2"/>
  <c r="N290" i="2"/>
  <c r="N574" i="2"/>
  <c r="N552" i="2"/>
  <c r="N333" i="2"/>
  <c r="N263" i="2"/>
  <c r="N91" i="2"/>
  <c r="N388" i="2"/>
  <c r="N129" i="2"/>
  <c r="N150" i="2"/>
  <c r="N535" i="2"/>
  <c r="N371" i="2"/>
  <c r="N396" i="2"/>
  <c r="N481" i="2"/>
  <c r="N200" i="2"/>
  <c r="N253" i="2"/>
  <c r="N404" i="2"/>
  <c r="N210" i="2"/>
  <c r="N406" i="2"/>
  <c r="N472" i="2"/>
  <c r="N261" i="2"/>
  <c r="N191" i="2"/>
  <c r="N19" i="2"/>
  <c r="N577" i="2"/>
  <c r="N57" i="2"/>
  <c r="N78" i="2"/>
  <c r="N463" i="2"/>
  <c r="N291" i="2"/>
  <c r="N470" i="2"/>
  <c r="N337" i="2"/>
  <c r="N485" i="2"/>
  <c r="N128" i="2"/>
  <c r="N156" i="2"/>
  <c r="N529" i="2"/>
  <c r="N138" i="2"/>
  <c r="N420" i="2"/>
  <c r="N400" i="2"/>
  <c r="N181" i="2"/>
  <c r="N119" i="2"/>
  <c r="N458" i="2"/>
  <c r="N627" i="2"/>
  <c r="N465" i="2"/>
  <c r="N238" i="2"/>
  <c r="N391" i="2"/>
  <c r="N219" i="2"/>
  <c r="N579" i="2"/>
  <c r="N265" i="2"/>
  <c r="N550" i="2"/>
  <c r="N56" i="2"/>
  <c r="N84" i="2"/>
  <c r="N582" i="2"/>
  <c r="N538" i="2"/>
  <c r="N164" i="2"/>
  <c r="N66" i="2"/>
  <c r="N572" i="2"/>
  <c r="N328" i="2"/>
  <c r="N109" i="2"/>
  <c r="N47" i="2"/>
  <c r="N346" i="2"/>
  <c r="N244" i="2"/>
  <c r="N608" i="2"/>
  <c r="N397" i="2"/>
  <c r="N319" i="2"/>
  <c r="N147" i="2"/>
  <c r="N596" i="2"/>
  <c r="N185" i="2"/>
  <c r="N214" i="2"/>
  <c r="N591" i="2"/>
  <c r="N427" i="2"/>
  <c r="N446" i="2"/>
  <c r="N466" i="2"/>
  <c r="N514" i="2"/>
  <c r="N256" i="2"/>
  <c r="N37" i="2"/>
  <c r="N585" i="2"/>
  <c r="N266" i="2"/>
  <c r="N536" i="2"/>
  <c r="N317" i="2"/>
  <c r="N247" i="2"/>
  <c r="N75" i="2"/>
  <c r="N252" i="2"/>
  <c r="N113" i="2"/>
  <c r="N134" i="2"/>
  <c r="N519" i="2"/>
  <c r="N355" i="2"/>
  <c r="N586" i="2"/>
  <c r="N425" i="2"/>
  <c r="N534" i="2"/>
  <c r="N184" i="2"/>
  <c r="N68" i="2"/>
  <c r="N276" i="2"/>
  <c r="N194" i="2"/>
  <c r="N609" i="2"/>
  <c r="N456" i="2"/>
  <c r="N237" i="2"/>
  <c r="N175" i="2"/>
  <c r="N499" i="2"/>
  <c r="N540" i="2"/>
  <c r="N41" i="2"/>
  <c r="N62" i="2"/>
  <c r="N447" i="2"/>
  <c r="N275" i="2"/>
  <c r="N350" i="2"/>
  <c r="N321" i="2"/>
  <c r="N412" i="2"/>
  <c r="N112" i="2"/>
  <c r="N140" i="2"/>
  <c r="N477" i="2"/>
  <c r="N122" i="2"/>
  <c r="N292" i="2"/>
  <c r="N384" i="2"/>
  <c r="N165" i="2"/>
  <c r="N103" i="2"/>
  <c r="N426" i="2"/>
  <c r="N594" i="2"/>
  <c r="N417" i="2"/>
  <c r="N190" i="2"/>
  <c r="N375" i="2"/>
  <c r="N203" i="2"/>
  <c r="N524" i="2"/>
  <c r="N249" i="2"/>
  <c r="N484" i="2"/>
  <c r="N40" i="2"/>
  <c r="N507" i="2"/>
  <c r="N546" i="2"/>
  <c r="N50" i="2"/>
  <c r="N516" i="2"/>
  <c r="N312" i="2"/>
  <c r="N93" i="2"/>
  <c r="N31" i="2"/>
  <c r="N636" i="2"/>
  <c r="N592" i="2"/>
  <c r="N373" i="2"/>
  <c r="N131" i="2"/>
  <c r="N541" i="2"/>
  <c r="N169" i="2"/>
  <c r="N198" i="2"/>
  <c r="N575" i="2"/>
  <c r="N615" i="2"/>
  <c r="N434" i="2"/>
  <c r="N454" i="2"/>
  <c r="N240" i="2"/>
  <c r="N21" i="2"/>
  <c r="N548" i="2"/>
  <c r="N250" i="2"/>
  <c r="N493" i="2"/>
  <c r="N512" i="2"/>
  <c r="N301" i="2"/>
  <c r="N231" i="2"/>
  <c r="N531" i="2"/>
  <c r="N97" i="2"/>
  <c r="N118" i="2"/>
  <c r="N503" i="2"/>
  <c r="N339" i="2"/>
  <c r="N598" i="2"/>
  <c r="N393" i="2"/>
  <c r="N606" i="2"/>
  <c r="N168" i="2"/>
  <c r="N52" i="2"/>
  <c r="N634" i="2"/>
  <c r="N178" i="2"/>
  <c r="N555" i="2"/>
  <c r="N440" i="2"/>
  <c r="N221" i="2"/>
  <c r="G12" i="6"/>
  <c r="G11" i="6"/>
  <c r="C33" i="7"/>
  <c r="G31" i="7"/>
  <c r="G33" i="7" s="1"/>
  <c r="U29" i="18" a="1"/>
  <c r="T29" i="18" a="1"/>
  <c r="N29" i="18" a="1"/>
  <c r="V28" i="18" l="1"/>
  <c r="U29" i="18"/>
  <c r="N29" i="18"/>
  <c r="T29" i="18"/>
  <c r="K31" i="18"/>
  <c r="O30" i="18"/>
  <c r="L30" i="18"/>
  <c r="M30" i="18" s="1"/>
  <c r="L30" i="15"/>
  <c r="M30" i="15" s="1"/>
  <c r="O30" i="15"/>
  <c r="K31" i="15"/>
  <c r="L53" i="11"/>
  <c r="O53" i="11"/>
  <c r="K54" i="11"/>
  <c r="K38" i="11"/>
  <c r="L37" i="11"/>
  <c r="O37" i="11"/>
  <c r="P22" i="6"/>
  <c r="Q22" i="6" s="1"/>
  <c r="R22" i="6" s="1"/>
  <c r="G14" i="2"/>
  <c r="V29" i="18" l="1"/>
  <c r="K32" i="18"/>
  <c r="O31" i="18"/>
  <c r="L31" i="18"/>
  <c r="M31" i="18" s="1"/>
  <c r="O31" i="15"/>
  <c r="K32" i="15"/>
  <c r="L31" i="15"/>
  <c r="M31" i="15" s="1"/>
  <c r="L54" i="11"/>
  <c r="K55" i="11"/>
  <c r="O54" i="11"/>
  <c r="O38" i="11"/>
  <c r="K39" i="11"/>
  <c r="L38" i="11"/>
  <c r="E33" i="7"/>
  <c r="E32" i="7"/>
  <c r="E31" i="7"/>
  <c r="E30" i="7"/>
  <c r="P23" i="6"/>
  <c r="Q23" i="6" s="1"/>
  <c r="R23" i="6" s="1"/>
  <c r="T22" i="6"/>
  <c r="G15" i="2"/>
  <c r="G16" i="2"/>
  <c r="D312" i="2" a="1"/>
  <c r="E112" i="2" a="1"/>
  <c r="K51" i="2" a="1"/>
  <c r="D200" i="2" a="1"/>
  <c r="AD41" i="8" a="1"/>
  <c r="K610" i="2" a="1"/>
  <c r="K572" i="2" a="1"/>
  <c r="D467" i="2" a="1"/>
  <c r="E522" i="2" a="1"/>
  <c r="K448" i="2" a="1"/>
  <c r="D412" i="2" a="1"/>
  <c r="E631" i="2" a="1"/>
  <c r="K346" i="2" a="1"/>
  <c r="D452" i="2" a="1"/>
  <c r="D549" i="2" a="1"/>
  <c r="E252" i="2" a="1"/>
  <c r="D399" i="2" a="1"/>
  <c r="E545" i="2" a="1"/>
  <c r="K624" i="2" a="1"/>
  <c r="D81" i="2" a="1"/>
  <c r="D618" i="2" a="1"/>
  <c r="E622" i="2" a="1"/>
  <c r="K564" i="2" a="1"/>
  <c r="E536" i="2" a="1"/>
  <c r="E220" i="2" a="1"/>
  <c r="E315" i="2" a="1"/>
  <c r="K140" i="2" a="1"/>
  <c r="E566" i="2" a="1"/>
  <c r="K422" i="2" a="1"/>
  <c r="K97" i="2" a="1"/>
  <c r="D627" i="2" a="1"/>
  <c r="D196" i="2" a="1"/>
  <c r="E105" i="2" a="1"/>
  <c r="E285" i="2" a="1"/>
  <c r="K386" i="2" a="1"/>
  <c r="D40" i="2" a="1"/>
  <c r="D394" i="2" a="1"/>
  <c r="K394" i="2" a="1"/>
  <c r="K301" i="2" a="1"/>
  <c r="E155" i="2" a="1"/>
  <c r="D324" i="2" a="1"/>
  <c r="K118" i="2" a="1"/>
  <c r="D616" i="2" a="1"/>
  <c r="K612" i="2" a="1"/>
  <c r="D100" i="2" a="1"/>
  <c r="E548" i="2" a="1"/>
  <c r="D19" i="2" a="1"/>
  <c r="E402" i="2" a="1"/>
  <c r="M23" i="6" a="1"/>
  <c r="K417" i="2" a="1"/>
  <c r="E302" i="2" a="1"/>
  <c r="E208" i="2" a="1"/>
  <c r="E502" i="2" a="1"/>
  <c r="K26" i="2" a="1"/>
  <c r="D261" i="2" a="1"/>
  <c r="K87" i="2" a="1"/>
  <c r="E85" i="2" a="1"/>
  <c r="E542" i="2" a="1"/>
  <c r="E605" i="2" a="1"/>
  <c r="K342" i="2" a="1"/>
  <c r="E127" i="2" a="1"/>
  <c r="E249" i="2" a="1"/>
  <c r="E288" i="2" a="1"/>
  <c r="E14" i="2" a="1"/>
  <c r="D482" i="2" a="1"/>
  <c r="K389" i="2" a="1"/>
  <c r="K507" i="2" a="1"/>
  <c r="D518" i="2" a="1"/>
  <c r="E506" i="2" a="1"/>
  <c r="K203" i="2" a="1"/>
  <c r="D560" i="2" a="1"/>
  <c r="K345" i="2" a="1"/>
  <c r="K169" i="2" a="1"/>
  <c r="D557" i="2" a="1"/>
  <c r="E61" i="2" a="1"/>
  <c r="K279" i="2" a="1"/>
  <c r="E82" i="2" a="1"/>
  <c r="E107" i="2" a="1"/>
  <c r="J21" i="6" a="1"/>
  <c r="E29" i="6" a="1"/>
  <c r="E211" i="2" a="1"/>
  <c r="K93" i="2" a="1"/>
  <c r="D362" i="2" a="1"/>
  <c r="D304" i="2" a="1"/>
  <c r="K61" i="2" a="1"/>
  <c r="E591" i="2" a="1"/>
  <c r="E420" i="2" a="1"/>
  <c r="E110" i="2" a="1"/>
  <c r="K156" i="2" a="1"/>
  <c r="E258" i="2" a="1"/>
  <c r="K415" i="2" a="1"/>
  <c r="D161" i="2" a="1"/>
  <c r="E466" i="2" a="1"/>
  <c r="AC43" i="8" a="1"/>
  <c r="D73" i="2" a="1"/>
  <c r="J29" i="6" a="1"/>
  <c r="K580" i="2" a="1"/>
  <c r="E505" i="2" a="1"/>
  <c r="D49" i="2" a="1"/>
  <c r="K533" i="2" a="1"/>
  <c r="E117" i="2" a="1"/>
  <c r="D625" i="2" a="1"/>
  <c r="D249" i="2" a="1"/>
  <c r="K603" i="2" a="1"/>
  <c r="D440" i="2" a="1"/>
  <c r="E323" i="2" a="1"/>
  <c r="K103" i="2" a="1"/>
  <c r="D101" i="2" a="1"/>
  <c r="D153" i="2" a="1"/>
  <c r="K348" i="2" a="1"/>
  <c r="K255" i="2" a="1"/>
  <c r="K170" i="2" a="1"/>
  <c r="D31" i="2" a="1"/>
  <c r="E148" i="2" a="1"/>
  <c r="M29" i="6" a="1"/>
  <c r="K455" i="2" a="1"/>
  <c r="E52" i="2" a="1"/>
  <c r="AD40" i="8" a="1"/>
  <c r="E212" i="2" a="1"/>
  <c r="K594" i="2" a="1"/>
  <c r="D64" i="2" a="1"/>
  <c r="K452" i="2" a="1"/>
  <c r="E575" i="2" a="1"/>
  <c r="E138" i="2" a="1"/>
  <c r="E225" i="2" a="1"/>
  <c r="D415" i="2" a="1"/>
  <c r="N23" i="6" a="1"/>
  <c r="E19" i="6" a="1"/>
  <c r="K200" i="2" a="1"/>
  <c r="D238" i="2" a="1"/>
  <c r="D488" i="2" a="1"/>
  <c r="J26" i="6" a="1"/>
  <c r="E236" i="2" a="1"/>
  <c r="E526" i="2" a="1"/>
  <c r="K367" i="2" a="1"/>
  <c r="K239" i="2" a="1"/>
  <c r="D547" i="2" a="1"/>
  <c r="K284" i="2" a="1"/>
  <c r="E308" i="2" a="1"/>
  <c r="D248" i="2" a="1"/>
  <c r="K282" i="2" a="1"/>
  <c r="K517" i="2" a="1"/>
  <c r="E579" i="2" a="1"/>
  <c r="E438" i="2" a="1"/>
  <c r="E34" i="6" a="1"/>
  <c r="E115" i="2" a="1"/>
  <c r="D562" i="2" a="1"/>
  <c r="D158" i="2" a="1"/>
  <c r="K432" i="2" a="1"/>
  <c r="E327" i="2" a="1"/>
  <c r="D35" i="6" a="1"/>
  <c r="K205" i="2" a="1"/>
  <c r="E18" i="2" a="1"/>
  <c r="D219" i="2" a="1"/>
  <c r="K350" i="2" a="1"/>
  <c r="E66" i="2" a="1"/>
  <c r="E434" i="2" a="1"/>
  <c r="E179" i="2" a="1"/>
  <c r="D198" i="2" a="1"/>
  <c r="K81" i="2" a="1"/>
  <c r="D316" i="2" a="1"/>
  <c r="E264" i="2" a="1"/>
  <c r="K532" i="2" a="1"/>
  <c r="E35" i="6" a="1"/>
  <c r="E447" i="2" a="1"/>
  <c r="D581" i="2" a="1"/>
  <c r="K530" i="2" a="1"/>
  <c r="K374" i="2" a="1"/>
  <c r="E553" i="2" a="1"/>
  <c r="E142" i="2" a="1"/>
  <c r="E603" i="2" a="1"/>
  <c r="E525" i="2" a="1"/>
  <c r="D615" i="2" a="1"/>
  <c r="K556" i="2" a="1"/>
  <c r="E628" i="2" a="1"/>
  <c r="K128" i="2" a="1"/>
  <c r="D552" i="2" a="1"/>
  <c r="D314" i="2" a="1"/>
  <c r="K143" i="2" a="1"/>
  <c r="K293" i="2" a="1"/>
  <c r="D295" i="2" a="1"/>
  <c r="K428" i="2" a="1"/>
  <c r="D374" i="2" a="1"/>
  <c r="D429" i="2" a="1"/>
  <c r="K474" i="2" a="1"/>
  <c r="E166" i="2" a="1"/>
  <c r="N35" i="11" a="1"/>
  <c r="D321" i="2" a="1"/>
  <c r="N20" i="6" a="1"/>
  <c r="E150" i="2" a="1"/>
  <c r="K449" i="2" a="1"/>
  <c r="D275" i="2" a="1"/>
  <c r="D545" i="2" a="1"/>
  <c r="D498" i="2" a="1"/>
  <c r="K363" i="2" a="1"/>
  <c r="K40" i="2" a="1"/>
  <c r="E240" i="2" a="1"/>
  <c r="K424" i="2" a="1"/>
  <c r="K480" i="2" a="1"/>
  <c r="E104" i="2" a="1"/>
  <c r="D617" i="2" a="1"/>
  <c r="K53" i="2" a="1"/>
  <c r="E121" i="2" a="1"/>
  <c r="E76" i="2" a="1"/>
  <c r="K309" i="2" a="1"/>
  <c r="D449" i="2" a="1"/>
  <c r="K439" i="2" a="1"/>
  <c r="K221" i="2" a="1"/>
  <c r="E633" i="2" a="1"/>
  <c r="D115" i="2" a="1"/>
  <c r="D220" i="2" a="1"/>
  <c r="D594" i="2" a="1"/>
  <c r="K108" i="2" a="1"/>
  <c r="D265" i="2" a="1"/>
  <c r="K263" i="2" a="1"/>
  <c r="D189" i="2" a="1"/>
  <c r="K294" i="2" a="1"/>
  <c r="E214" i="2" a="1"/>
  <c r="E452" i="2" a="1"/>
  <c r="K204" i="2" a="1"/>
  <c r="K150" i="2" a="1"/>
  <c r="K568" i="2" a="1"/>
  <c r="D544" i="2" a="1"/>
  <c r="D486" i="2" a="1"/>
  <c r="K23" i="6" a="1"/>
  <c r="K197" i="2" a="1"/>
  <c r="D610" i="2" a="1"/>
  <c r="D546" i="2" a="1"/>
  <c r="K64" i="2" a="1"/>
  <c r="D105" i="2" a="1"/>
  <c r="D387" i="2" a="1"/>
  <c r="M27" i="6" a="1"/>
  <c r="K134" i="2" a="1"/>
  <c r="E595" i="2" a="1"/>
  <c r="K590" i="2" a="1"/>
  <c r="D378" i="2" a="1"/>
  <c r="D445" i="2" a="1"/>
  <c r="E568" i="2" a="1"/>
  <c r="E412" i="2" a="1"/>
  <c r="D450" i="2" a="1"/>
  <c r="K35" i="2" a="1"/>
  <c r="D251" i="2" a="1"/>
  <c r="D345" i="2" a="1"/>
  <c r="K582" i="2" a="1"/>
  <c r="E137" i="2" a="1"/>
  <c r="K381" i="2" a="1"/>
  <c r="D229" i="2" a="1"/>
  <c r="K161" i="2" a="1"/>
  <c r="E309" i="2" a="1"/>
  <c r="K25" i="6" a="1"/>
  <c r="D395" i="2" a="1"/>
  <c r="E519" i="2" a="1"/>
  <c r="E128" i="2" a="1"/>
  <c r="K629" i="2" a="1"/>
  <c r="E189" i="2" a="1"/>
  <c r="D589" i="2" a="1"/>
  <c r="K92" i="2" a="1"/>
  <c r="E433" i="2" a="1"/>
  <c r="E500" i="2" a="1"/>
  <c r="K553" i="2" a="1"/>
  <c r="K70" i="2" a="1"/>
  <c r="E392" i="2" a="1"/>
  <c r="E581" i="2" a="1"/>
  <c r="E25" i="6" a="1"/>
  <c r="K31" i="2" a="1"/>
  <c r="D635" i="2" a="1"/>
  <c r="K329" i="2" a="1"/>
  <c r="K142" i="2" a="1"/>
  <c r="D579" i="2" a="1"/>
  <c r="K340" i="2" a="1"/>
  <c r="K63" i="2" a="1"/>
  <c r="D51" i="2" a="1"/>
  <c r="AC40" i="8" a="1"/>
  <c r="K519" i="2" a="1"/>
  <c r="K29" i="2" a="1"/>
  <c r="D598" i="2" a="1"/>
  <c r="M28" i="6" a="1"/>
  <c r="D221" i="2" a="1"/>
  <c r="K440" i="2" a="1"/>
  <c r="E552" i="2" a="1"/>
  <c r="K528" i="2" a="1"/>
  <c r="D306" i="2" a="1"/>
  <c r="D177" i="2" a="1"/>
  <c r="J22" i="6" a="1"/>
  <c r="K541" i="2" a="1"/>
  <c r="K130" i="2" a="1"/>
  <c r="E48" i="2" a="1"/>
  <c r="D247" i="2" a="1"/>
  <c r="D315" i="2" a="1"/>
  <c r="K11" i="6" a="1"/>
  <c r="D453" i="2" a="1"/>
  <c r="D114" i="2" a="1"/>
  <c r="K461" i="2" a="1"/>
  <c r="D416" i="2" a="1"/>
  <c r="D228" i="2" a="1"/>
  <c r="K32" i="2" a="1"/>
  <c r="D236" i="2" a="1"/>
  <c r="K543" i="2" a="1"/>
  <c r="E74" i="2" a="1"/>
  <c r="K121" i="2" a="1"/>
  <c r="D96" i="2" a="1"/>
  <c r="E269" i="2" a="1"/>
  <c r="E499" i="2" a="1"/>
  <c r="K308" i="2" a="1"/>
  <c r="K303" i="2" a="1"/>
  <c r="E455" i="2" a="1"/>
  <c r="D290" i="2" a="1"/>
  <c r="K234" i="2" a="1"/>
  <c r="D351" i="2" a="1"/>
  <c r="D443" i="2" a="1"/>
  <c r="D543" i="2" a="1"/>
  <c r="K125" i="2" a="1"/>
  <c r="D167" i="2" a="1"/>
  <c r="AC41" i="8" a="1"/>
  <c r="D583" i="2" a="1"/>
  <c r="E246" i="2" a="1"/>
  <c r="D132" i="2" a="1"/>
  <c r="E577" i="2" a="1"/>
  <c r="D267" i="2" a="1"/>
  <c r="AC42" i="8" a="1"/>
  <c r="K229" i="2" a="1"/>
  <c r="D483" i="2" a="1"/>
  <c r="D323" i="2" a="1"/>
  <c r="K141" i="2" a="1"/>
  <c r="E560" i="2" a="1"/>
  <c r="D512" i="2" a="1"/>
  <c r="K132" i="2" a="1"/>
  <c r="K235" i="2" a="1"/>
  <c r="E286" i="2" a="1"/>
  <c r="K605" i="2" a="1"/>
  <c r="K252" i="2" a="1"/>
  <c r="D454" i="2" a="1"/>
  <c r="D259" i="2" a="1"/>
  <c r="D585" i="2" a="1"/>
  <c r="E245" i="2" a="1"/>
  <c r="K401" i="2" a="1"/>
  <c r="D137" i="2" a="1"/>
  <c r="E291" i="2" a="1"/>
  <c r="AD36" i="8" a="1"/>
  <c r="E84" i="2" a="1"/>
  <c r="D335" i="2" a="1"/>
  <c r="D530" i="2" a="1"/>
  <c r="K347" i="2" a="1"/>
  <c r="E462" i="2" a="1"/>
  <c r="V24" i="8" a="1"/>
  <c r="K84" i="2" a="1"/>
  <c r="E118" i="2" a="1"/>
  <c r="D393" i="2" a="1"/>
  <c r="D201" i="2" a="1"/>
  <c r="E535" i="2" a="1"/>
  <c r="K158" i="2" a="1"/>
  <c r="D123" i="2" a="1"/>
  <c r="E596" i="2" a="1"/>
  <c r="E361" i="2" a="1"/>
  <c r="D84" i="2" a="1"/>
  <c r="E556" i="2" a="1"/>
  <c r="K210" i="2" a="1"/>
  <c r="AD37" i="8" a="1"/>
  <c r="E119" i="2" a="1"/>
  <c r="D451" i="2" a="1"/>
  <c r="K54" i="2" a="1"/>
  <c r="E192" i="2" a="1"/>
  <c r="E284" i="2" a="1"/>
  <c r="E368" i="2" a="1"/>
  <c r="K588" i="2" a="1"/>
  <c r="K372" i="2" a="1"/>
  <c r="K163" i="2" a="1"/>
  <c r="E16" i="2" a="1"/>
  <c r="E567" i="2" a="1"/>
  <c r="K19" i="6" a="1"/>
  <c r="E93" i="2" a="1"/>
  <c r="E578" i="2" a="1"/>
  <c r="K520" i="2" a="1"/>
  <c r="K267" i="2" a="1"/>
  <c r="E488" i="2" a="1"/>
  <c r="K30" i="6" a="1"/>
  <c r="D478" i="2" a="1"/>
  <c r="E92" i="2" a="1"/>
  <c r="E590" i="2" a="1"/>
  <c r="E30" i="2" a="1"/>
  <c r="E511" i="2" a="1"/>
  <c r="D496" i="2" a="1"/>
  <c r="K354" i="2" a="1"/>
  <c r="K272" i="2" a="1"/>
  <c r="D37" i="2" a="1"/>
  <c r="E58" i="2" a="1"/>
  <c r="K238" i="2" a="1"/>
  <c r="E601" i="2" a="1"/>
  <c r="K305" i="2" a="1"/>
  <c r="V20" i="6" a="1"/>
  <c r="E377" i="2" a="1"/>
  <c r="D556" i="2" a="1"/>
  <c r="E33" i="2" a="1"/>
  <c r="D166" i="2" a="1"/>
  <c r="D433" i="2" a="1"/>
  <c r="E468" i="2" a="1"/>
  <c r="K119" i="2" a="1"/>
  <c r="E154" i="2" a="1"/>
  <c r="D268" i="2" a="1"/>
  <c r="N27" i="6" a="1"/>
  <c r="E247" i="2" a="1"/>
  <c r="E626" i="2" a="1"/>
  <c r="K152" i="2" a="1"/>
  <c r="D419" i="2" a="1"/>
  <c r="D333" i="2" a="1"/>
  <c r="D277" i="2" a="1"/>
  <c r="E255" i="2" a="1"/>
  <c r="E406" i="2" a="1"/>
  <c r="K216" i="2" a="1"/>
  <c r="E133" i="2" a="1"/>
  <c r="D527" i="2" a="1"/>
  <c r="D568" i="2" a="1"/>
  <c r="E282" i="2" a="1"/>
  <c r="M19" i="6" a="1"/>
  <c r="K391" i="2" a="1"/>
  <c r="E146" i="2" a="1"/>
  <c r="M26" i="6" a="1"/>
  <c r="D623" i="2" a="1"/>
  <c r="K465" i="2" a="1"/>
  <c r="D50" i="2" a="1"/>
  <c r="K187" i="2" a="1"/>
  <c r="K443" i="2" a="1"/>
  <c r="E19" i="2" a="1"/>
  <c r="E232" i="2" a="1"/>
  <c r="K107" i="2" a="1"/>
  <c r="E331" i="2" a="1"/>
  <c r="D365" i="2" a="1"/>
  <c r="W18" i="8" a="1"/>
  <c r="E89" i="2" a="1"/>
  <c r="D592" i="2" a="1"/>
  <c r="K426" i="2" a="1"/>
  <c r="E153" i="2" a="1"/>
  <c r="D258" i="2" a="1"/>
  <c r="K496" i="2" a="1"/>
  <c r="E375" i="2" a="1"/>
  <c r="E431" i="2" a="1"/>
  <c r="K468" i="2" a="1"/>
  <c r="E45" i="2" a="1"/>
  <c r="D106" i="2" a="1"/>
  <c r="K534" i="2" a="1"/>
  <c r="E126" i="2" a="1"/>
  <c r="E374" i="2" a="1"/>
  <c r="E401" i="2" a="1"/>
  <c r="K222" i="2" a="1"/>
  <c r="D435" i="2" a="1"/>
  <c r="K291" i="2" a="1"/>
  <c r="E439" i="2" a="1"/>
  <c r="D255" i="2" a="1"/>
  <c r="E274" i="2" a="1"/>
  <c r="K179" i="2" a="1"/>
  <c r="D78" i="2" a="1"/>
  <c r="D257" i="2" a="1"/>
  <c r="E108" i="2" a="1"/>
  <c r="E572" i="2" a="1"/>
  <c r="E219" i="2" a="1"/>
  <c r="K554" i="2" a="1"/>
  <c r="E168" i="2" a="1"/>
  <c r="D564" i="2" a="1"/>
  <c r="K22" i="6" a="1"/>
  <c r="E46" i="2" a="1"/>
  <c r="E27" i="6" a="1"/>
  <c r="K286" i="2" a="1"/>
  <c r="E476" i="2" a="1"/>
  <c r="D444" i="2" a="1"/>
  <c r="K298" i="2" a="1"/>
  <c r="E405" i="2" a="1"/>
  <c r="E571" i="2" a="1"/>
  <c r="E304" i="2" a="1"/>
  <c r="K193" i="2" a="1"/>
  <c r="D487" i="2" a="1"/>
  <c r="E15" i="2" a="1"/>
  <c r="E200" i="2" a="1"/>
  <c r="D501" i="2" a="1"/>
  <c r="E307" i="2" a="1"/>
  <c r="K74" i="2" a="1"/>
  <c r="K231" i="2" a="1"/>
  <c r="E494" i="2" a="1"/>
  <c r="E77" i="2" a="1"/>
  <c r="D85" i="2" a="1"/>
  <c r="K137" i="2" a="1"/>
  <c r="K207" i="2" a="1"/>
  <c r="E296" i="2" a="1"/>
  <c r="V22" i="8" a="1"/>
  <c r="D213" i="2" a="1"/>
  <c r="E576" i="2" a="1"/>
  <c r="D55" i="2" a="1"/>
  <c r="K419" i="2" a="1"/>
  <c r="D149" i="2" a="1"/>
  <c r="D262" i="2" a="1"/>
  <c r="K469" i="2" a="1"/>
  <c r="E182" i="2" a="1"/>
  <c r="K502" i="2" a="1"/>
  <c r="E207" i="2" a="1"/>
  <c r="D184" i="2" a="1"/>
  <c r="D569" i="2" a="1"/>
  <c r="D263" i="2" a="1"/>
  <c r="D119" i="2" a="1"/>
  <c r="K173" i="2" a="1"/>
  <c r="E393" i="2" a="1"/>
  <c r="E201" i="2" a="1"/>
  <c r="D497" i="2" a="1"/>
  <c r="D33" i="6" a="1"/>
  <c r="E44" i="2" a="1"/>
  <c r="E474" i="2" a="1"/>
  <c r="K352" i="2" a="1"/>
  <c r="K62" i="2" a="1"/>
  <c r="D425" i="2" a="1"/>
  <c r="AC44" i="8" a="1"/>
  <c r="K281" i="2" a="1"/>
  <c r="E320" i="2" a="1"/>
  <c r="D125" i="2" a="1"/>
  <c r="K451" i="2" a="1"/>
  <c r="E537" i="2" a="1"/>
  <c r="W24" i="8" a="1"/>
  <c r="J25" i="6" a="1"/>
  <c r="D629" i="2" a="1"/>
  <c r="D334" i="2" a="1"/>
  <c r="E481" i="2" a="1"/>
  <c r="K46" i="2" a="1"/>
  <c r="E311" i="2" a="1"/>
  <c r="J19" i="6" a="1"/>
  <c r="D548" i="2" a="1"/>
  <c r="E549" i="2" a="1"/>
  <c r="E585" i="2" a="1"/>
  <c r="K127" i="2" a="1"/>
  <c r="D391" i="2" a="1"/>
  <c r="D62" i="2" a="1"/>
  <c r="K631" i="2" a="1"/>
  <c r="M25" i="6" a="1"/>
  <c r="E382" i="2" a="1"/>
  <c r="D83" i="2" a="1"/>
  <c r="K246" i="2" a="1"/>
  <c r="K537" i="2" a="1"/>
  <c r="D209" i="2" a="1"/>
  <c r="V19" i="6" a="1"/>
  <c r="D135" i="2" a="1"/>
  <c r="E528" i="2" a="1"/>
  <c r="D25" i="2" a="1"/>
  <c r="K599" i="2" a="1"/>
  <c r="D134" i="2" a="1"/>
  <c r="K202" i="2" a="1"/>
  <c r="D111" i="2" a="1"/>
  <c r="E343" i="2" a="1"/>
  <c r="K310" i="2" a="1"/>
  <c r="K266" i="2" a="1"/>
  <c r="E539" i="2" a="1"/>
  <c r="K225" i="2" a="1"/>
  <c r="E237" i="2" a="1"/>
  <c r="E336" i="2" a="1"/>
  <c r="K462" i="2" a="1"/>
  <c r="E365" i="2" a="1"/>
  <c r="D325" i="2" a="1"/>
  <c r="E344" i="2" a="1"/>
  <c r="W21" i="8" a="1"/>
  <c r="E143" i="2" a="1"/>
  <c r="K214" i="2" a="1"/>
  <c r="D212" i="2" a="1"/>
  <c r="E21" i="6" a="1"/>
  <c r="D377" i="2" a="1"/>
  <c r="K175" i="2" a="1"/>
  <c r="D590" i="2" a="1"/>
  <c r="E160" i="2" a="1"/>
  <c r="K585" i="2" a="1"/>
  <c r="K353" i="2" a="1"/>
  <c r="E485" i="2" a="1"/>
  <c r="K80" i="2" a="1"/>
  <c r="D464" i="2" a="1"/>
  <c r="D613" i="2" a="1"/>
  <c r="N28" i="6" a="1"/>
  <c r="K565" i="2" a="1"/>
  <c r="K228" i="2" a="1"/>
  <c r="K28" i="2" a="1"/>
  <c r="E56" i="2" a="1"/>
  <c r="D195" i="2" a="1"/>
  <c r="K369" i="2" a="1"/>
  <c r="K297" i="2" a="1"/>
  <c r="D318" i="2" a="1"/>
  <c r="K506" i="2" a="1"/>
  <c r="D14" i="2" a="1"/>
  <c r="E625" i="2" a="1"/>
  <c r="K243" i="2" a="1"/>
  <c r="K471" i="2" a="1"/>
  <c r="D446" i="2" a="1"/>
  <c r="E416" i="2" a="1"/>
  <c r="W23" i="8" a="1"/>
  <c r="K596" i="2" a="1"/>
  <c r="E32" i="2" a="1"/>
  <c r="E429" i="2" a="1"/>
  <c r="D586" i="2" a="1"/>
  <c r="E157" i="2" a="1"/>
  <c r="K525" i="2" a="1"/>
  <c r="D65" i="2" a="1"/>
  <c r="D57" i="2" a="1"/>
  <c r="K196" i="2" a="1"/>
  <c r="D186" i="2" a="1"/>
  <c r="D165" i="2" a="1"/>
  <c r="D19" i="6" a="1"/>
  <c r="D126" i="2" a="1"/>
  <c r="E355" i="2" a="1"/>
  <c r="K392" i="2" a="1"/>
  <c r="K454" i="2" a="1"/>
  <c r="D225" i="2" a="1"/>
  <c r="E432" i="2" a="1"/>
  <c r="D152" i="2" a="1"/>
  <c r="E430" i="2" a="1"/>
  <c r="K616" i="2" a="1"/>
  <c r="D216" i="2" a="1"/>
  <c r="E276" i="2" a="1"/>
  <c r="K226" i="2" a="1"/>
  <c r="D344" i="2" a="1"/>
  <c r="K544" i="2" a="1"/>
  <c r="E124" i="2" a="1"/>
  <c r="K421" i="2" a="1"/>
  <c r="D622" i="2" a="1"/>
  <c r="U18" i="6" a="1"/>
  <c r="D129" i="2" a="1"/>
  <c r="E129" i="2" a="1"/>
  <c r="E397" i="2" a="1"/>
  <c r="D148" i="2" a="1"/>
  <c r="D250" i="2" a="1"/>
  <c r="K273" i="2" a="1"/>
  <c r="K635" i="2" a="1"/>
  <c r="D375" i="2" a="1"/>
  <c r="E620" i="2" a="1"/>
  <c r="K56" i="2" a="1"/>
  <c r="E50" i="2" a="1"/>
  <c r="K429" i="2" a="1"/>
  <c r="D21" i="6" a="1"/>
  <c r="D342" i="2" a="1"/>
  <c r="E604" i="2" a="1"/>
  <c r="K592" i="2" a="1"/>
  <c r="J18" i="6" a="1"/>
  <c r="K552" i="2" a="1"/>
  <c r="D217" i="2" a="1"/>
  <c r="E443" i="2" a="1"/>
  <c r="D628" i="2" a="1"/>
  <c r="E35" i="2" a="1"/>
  <c r="K189" i="2" a="1"/>
  <c r="D515" i="2" a="1"/>
  <c r="D192" i="2" a="1"/>
  <c r="K136" i="2" a="1"/>
  <c r="D484" i="2" a="1"/>
  <c r="E224" i="2" a="1"/>
  <c r="E230" i="2" a="1"/>
  <c r="D237" i="2" a="1"/>
  <c r="E403" i="2" a="1"/>
  <c r="K157" i="2" a="1"/>
  <c r="E409" i="2" a="1"/>
  <c r="E262" i="2" a="1"/>
  <c r="D411" i="2" a="1"/>
  <c r="K569" i="2" a="1"/>
  <c r="K19" i="2" a="1"/>
  <c r="E176" i="2" a="1"/>
  <c r="E563" i="2" a="1"/>
  <c r="K113" i="2" a="1"/>
  <c r="E172" i="2" a="1"/>
  <c r="E310" i="2" a="1"/>
  <c r="K463" i="2" a="1"/>
  <c r="D458" i="2" a="1"/>
  <c r="D116" i="2" a="1"/>
  <c r="K567" i="2" a="1"/>
  <c r="E28" i="2" a="1"/>
  <c r="K285" i="2" a="1"/>
  <c r="D370" i="2" a="1"/>
  <c r="K522" i="2" a="1"/>
  <c r="D230" i="2" a="1"/>
  <c r="D437" i="2" a="1"/>
  <c r="D360" i="2" a="1"/>
  <c r="K20" i="2" a="1"/>
  <c r="D45" i="2" a="1"/>
  <c r="E486" i="2" a="1"/>
  <c r="D79" i="2" a="1"/>
  <c r="K513" i="2" a="1"/>
  <c r="E342" i="2" a="1"/>
  <c r="E534" i="2" a="1"/>
  <c r="D180" i="2" a="1"/>
  <c r="K620" i="2" a="1"/>
  <c r="D187" i="2" a="1"/>
  <c r="K15" i="2" a="1"/>
  <c r="K135" i="2" a="1"/>
  <c r="D223" i="2" a="1"/>
  <c r="D226" i="2" a="1"/>
  <c r="D460" i="2" a="1"/>
  <c r="E251" i="2" a="1"/>
  <c r="K583" i="2" a="1"/>
  <c r="K636" i="2" a="1"/>
  <c r="D577" i="2" a="1"/>
  <c r="D383" i="2" a="1"/>
  <c r="K606" i="2" a="1"/>
  <c r="E400" i="2" a="1"/>
  <c r="E217" i="2" a="1"/>
  <c r="E202" i="2" a="1"/>
  <c r="E241" i="2" a="1"/>
  <c r="K69" i="2" a="1"/>
  <c r="K526" i="2" a="1"/>
  <c r="D414" i="2" a="1"/>
  <c r="D555" i="2" a="1"/>
  <c r="D232" i="2" a="1"/>
  <c r="E512" i="2" a="1"/>
  <c r="K167" i="2" a="1"/>
  <c r="K259" i="2" a="1"/>
  <c r="D422" i="2" a="1"/>
  <c r="D181" i="2" a="1"/>
  <c r="K562" i="2" a="1"/>
  <c r="D74" i="2" a="1"/>
  <c r="E473" i="2" a="1"/>
  <c r="E175" i="2" a="1"/>
  <c r="K478" i="2" a="1"/>
  <c r="E27" i="2" a="1"/>
  <c r="J20" i="6" a="1"/>
  <c r="D157" i="2" a="1"/>
  <c r="D278" i="2" a="1"/>
  <c r="E544" i="2" a="1"/>
  <c r="E354" i="2" a="1"/>
  <c r="E464" i="2" a="1"/>
  <c r="K604" i="2" a="1"/>
  <c r="K288" i="2" a="1"/>
  <c r="E612" i="2" a="1"/>
  <c r="D124" i="2" a="1"/>
  <c r="D67" i="2" a="1"/>
  <c r="D373" i="2" a="1"/>
  <c r="K17" i="2" a="1"/>
  <c r="AC36" i="8" a="1"/>
  <c r="D601" i="2" a="1"/>
  <c r="D35" i="2" a="1"/>
  <c r="K39" i="2" a="1"/>
  <c r="E417" i="2" a="1"/>
  <c r="D143" i="2" a="1"/>
  <c r="D477" i="2" a="1"/>
  <c r="K539" i="2" a="1"/>
  <c r="D550" i="2" a="1"/>
  <c r="K615" i="2" a="1"/>
  <c r="E554" i="2" a="1"/>
  <c r="D572" i="2" a="1"/>
  <c r="K262" i="2" a="1"/>
  <c r="E103" i="2" a="1"/>
  <c r="D418" i="2" a="1"/>
  <c r="K253" i="2" a="1"/>
  <c r="K100" i="2" a="1"/>
  <c r="D379" i="2" a="1"/>
  <c r="U19" i="6" a="1"/>
  <c r="E319" i="2" a="1"/>
  <c r="E348" i="2" a="1"/>
  <c r="K324" i="2" a="1"/>
  <c r="E68" i="2" a="1"/>
  <c r="E385" i="2" a="1"/>
  <c r="K438" i="2" a="1"/>
  <c r="E20" i="2" a="1"/>
  <c r="E203" i="2" a="1"/>
  <c r="K619" i="2" a="1"/>
  <c r="E384" i="2" a="1"/>
  <c r="W26" i="8" a="1"/>
  <c r="E131" i="2" a="1"/>
  <c r="D22" i="6" a="1"/>
  <c r="E423" i="2" a="1"/>
  <c r="D156" i="2" a="1"/>
  <c r="K72" i="2" a="1"/>
  <c r="E378" i="2" a="1"/>
  <c r="D24" i="2" a="1"/>
  <c r="K25" i="2" a="1"/>
  <c r="K240" i="2" a="1"/>
  <c r="D503" i="2" a="1"/>
  <c r="D214" i="2" a="1"/>
  <c r="E23" i="2" a="1"/>
  <c r="E482" i="2" a="1"/>
  <c r="K343" i="2" a="1"/>
  <c r="D160" i="2" a="1"/>
  <c r="D537" i="2" a="1"/>
  <c r="E272" i="2" a="1"/>
  <c r="E42" i="2" a="1"/>
  <c r="K78" i="2" a="1"/>
  <c r="D54" i="2" a="1"/>
  <c r="K260" i="2" a="1"/>
  <c r="D60" i="2" a="1"/>
  <c r="E475" i="2" a="1"/>
  <c r="D591" i="2" a="1"/>
  <c r="K614" i="2" a="1"/>
  <c r="E67" i="2" a="1"/>
  <c r="D337" i="2" a="1"/>
  <c r="K529" i="2" a="1"/>
  <c r="E516" i="2" a="1"/>
  <c r="N26" i="6" a="1"/>
  <c r="D253" i="2" a="1"/>
  <c r="K147" i="2" a="1"/>
  <c r="D170" i="2" a="1"/>
  <c r="E370" i="2" a="1"/>
  <c r="K628" i="2" a="1"/>
  <c r="D185" i="2" a="1"/>
  <c r="E197" i="2" a="1"/>
  <c r="K460" i="2" a="1"/>
  <c r="E424" i="2" a="1"/>
  <c r="E597" i="2" a="1"/>
  <c r="W22" i="8" a="1"/>
  <c r="D420" i="2" a="1"/>
  <c r="V26" i="8" a="1"/>
  <c r="E158" i="2" a="1"/>
  <c r="D121" i="2" a="1"/>
  <c r="D600" i="2" a="1"/>
  <c r="K257" i="2" a="1"/>
  <c r="E318" i="2" a="1"/>
  <c r="E458" i="2" a="1"/>
  <c r="K314" i="2" a="1"/>
  <c r="D175" i="2" a="1"/>
  <c r="D194" i="2" a="1"/>
  <c r="E39" i="2" a="1"/>
  <c r="D525" i="2" a="1"/>
  <c r="D151" i="2" a="1"/>
  <c r="D405" i="2" a="1"/>
  <c r="D442" i="2" a="1"/>
  <c r="K464" i="2" a="1"/>
  <c r="D339" i="2" a="1"/>
  <c r="E491" i="2" a="1"/>
  <c r="D481" i="2" a="1"/>
  <c r="AD42" i="8" a="1"/>
  <c r="D95" i="2" a="1"/>
  <c r="E57" i="2" a="1"/>
  <c r="K331" i="2" a="1"/>
  <c r="K379" i="2" a="1"/>
  <c r="D475" i="2" a="1"/>
  <c r="E345" i="2" a="1"/>
  <c r="D108" i="2" a="1"/>
  <c r="E445" i="2" a="1"/>
  <c r="D93" i="2" a="1"/>
  <c r="K341" i="2" a="1"/>
  <c r="D350" i="2" a="1"/>
  <c r="K560" i="2" a="1"/>
  <c r="K434" i="2" a="1"/>
  <c r="D349" i="2" a="1"/>
  <c r="D233" i="2" a="1"/>
  <c r="K545" i="2" a="1"/>
  <c r="E196" i="2" a="1"/>
  <c r="E64" i="2" a="1"/>
  <c r="D273" i="2" a="1"/>
  <c r="D633" i="2" a="1"/>
  <c r="E580" i="2" a="1"/>
  <c r="D406" i="2" a="1"/>
  <c r="D522" i="2" a="1"/>
  <c r="E380" i="2" a="1"/>
  <c r="D490" i="2" a="1"/>
  <c r="K58" i="2" a="1"/>
  <c r="K242" i="2" a="1"/>
  <c r="E141" i="2" a="1"/>
  <c r="E94" i="2" a="1"/>
  <c r="E145" i="2" a="1"/>
  <c r="K133" i="2" a="1"/>
  <c r="K378" i="2" a="1"/>
  <c r="E65" i="2" a="1"/>
  <c r="K395" i="2" a="1"/>
  <c r="D347" i="2" a="1"/>
  <c r="E627" i="2" a="1"/>
  <c r="E83" i="2" a="1"/>
  <c r="K306" i="2" a="1"/>
  <c r="E619" i="2" a="1"/>
  <c r="N22" i="6" a="1"/>
  <c r="K311" i="2" a="1"/>
  <c r="D127" i="2" a="1"/>
  <c r="K376" i="2" a="1"/>
  <c r="D30" i="2" a="1"/>
  <c r="D266" i="2" a="1"/>
  <c r="E357" i="2" a="1"/>
  <c r="D428" i="2" a="1"/>
  <c r="E573" i="2" a="1"/>
  <c r="K500" i="2" a="1"/>
  <c r="D597" i="2" a="1"/>
  <c r="K485" i="2" a="1"/>
  <c r="D142" i="2" a="1"/>
  <c r="M24" i="6" a="1"/>
  <c r="D565" i="2" a="1"/>
  <c r="D218" i="2" a="1"/>
  <c r="D30" i="6" a="1"/>
  <c r="K418" i="2" a="1"/>
  <c r="E524" i="2" a="1"/>
  <c r="K555" i="2" a="1"/>
  <c r="D136" i="2" a="1"/>
  <c r="E139" i="2" a="1"/>
  <c r="K307" i="2" a="1"/>
  <c r="E37" i="2" a="1"/>
  <c r="D511" i="2" a="1"/>
  <c r="K274" i="2" a="1"/>
  <c r="D604" i="2" a="1"/>
  <c r="E356" i="2" a="1"/>
  <c r="D183" i="2" a="1"/>
  <c r="K244" i="2" a="1"/>
  <c r="D32" i="2" a="1"/>
  <c r="K581" i="2" a="1"/>
  <c r="D447" i="2" a="1"/>
  <c r="D210" i="2" a="1"/>
  <c r="K337" i="2" a="1"/>
  <c r="K236" i="2" a="1"/>
  <c r="E184" i="2" a="1"/>
  <c r="E270" i="2" a="1"/>
  <c r="D620" i="2" a="1"/>
  <c r="D471" i="2" a="1"/>
  <c r="E335" i="2" a="1"/>
  <c r="D179" i="2" a="1"/>
  <c r="K185" i="2" a="1"/>
  <c r="K477" i="2" a="1"/>
  <c r="D264" i="2" a="1"/>
  <c r="K195" i="2" a="1"/>
  <c r="D131" i="2" a="1"/>
  <c r="M20" i="6" a="1"/>
  <c r="K546" i="2" a="1"/>
  <c r="K98" i="2" a="1"/>
  <c r="D313" i="2" a="1"/>
  <c r="E415" i="2" a="1"/>
  <c r="K230" i="2" a="1"/>
  <c r="D92" i="2" a="1"/>
  <c r="E178" i="2" a="1"/>
  <c r="K334" i="2" a="1"/>
  <c r="K540" i="2" a="1"/>
  <c r="D172" i="2" a="1"/>
  <c r="K482" i="2" a="1"/>
  <c r="K213" i="2" a="1"/>
  <c r="E305" i="2" a="1"/>
  <c r="D24" i="6" a="1"/>
  <c r="E151" i="2" a="1"/>
  <c r="D163" i="2" a="1"/>
  <c r="V23" i="8" a="1"/>
  <c r="K77" i="2" a="1"/>
  <c r="E314" i="2" a="1"/>
  <c r="K494" i="2" a="1"/>
  <c r="E229" i="2" a="1"/>
  <c r="E170" i="2" a="1"/>
  <c r="K617" i="2" a="1"/>
  <c r="K126" i="2" a="1"/>
  <c r="E527" i="2" a="1"/>
  <c r="E204" i="2" a="1"/>
  <c r="E532" i="2" a="1"/>
  <c r="K393" i="2" a="1"/>
  <c r="D505" i="2" a="1"/>
  <c r="K71" i="2" a="1"/>
  <c r="D86" i="2" a="1"/>
  <c r="E450" i="2" a="1"/>
  <c r="K625" i="2" a="1"/>
  <c r="K404" i="2" a="1"/>
  <c r="K550" i="2" a="1"/>
  <c r="E122" i="2" a="1"/>
  <c r="E125" i="2" a="1"/>
  <c r="V21" i="6" a="1"/>
  <c r="K360" i="2" a="1"/>
  <c r="E63" i="2" a="1"/>
  <c r="E90" i="2" a="1"/>
  <c r="K304" i="2" a="1"/>
  <c r="E608" i="2" a="1"/>
  <c r="E570" i="2" a="1"/>
  <c r="K362" i="2" a="1"/>
  <c r="D465" i="2" a="1"/>
  <c r="K34" i="2" a="1"/>
  <c r="K280" i="2" a="1"/>
  <c r="K206" i="2" a="1"/>
  <c r="D18" i="2" a="1"/>
  <c r="K194" i="2" a="1"/>
  <c r="E497" i="2" a="1"/>
  <c r="E32" i="6" a="1"/>
  <c r="E120" i="2" a="1"/>
  <c r="K276" i="2" a="1"/>
  <c r="D224" i="2" a="1"/>
  <c r="E352" i="2" a="1"/>
  <c r="K278" i="2" a="1"/>
  <c r="D470" i="2" a="1"/>
  <c r="E91" i="2" a="1"/>
  <c r="K20" i="6" a="1"/>
  <c r="E615" i="2" a="1"/>
  <c r="D468" i="2" a="1"/>
  <c r="K584" i="2" a="1"/>
  <c r="K41" i="2" a="1"/>
  <c r="E253" i="2" a="1"/>
  <c r="K512" i="2" a="1"/>
  <c r="E395" i="2" a="1"/>
  <c r="D348" i="2" a="1"/>
  <c r="K370" i="2" a="1"/>
  <c r="D299" i="2" a="1"/>
  <c r="E451" i="2" a="1"/>
  <c r="K490" i="2" a="1"/>
  <c r="D476" i="2" a="1"/>
  <c r="AD44" i="8" a="1"/>
  <c r="D588" i="2" a="1"/>
  <c r="K344" i="2" a="1"/>
  <c r="D439" i="2" a="1"/>
  <c r="M18" i="6" a="1"/>
  <c r="K14" i="2" a="1"/>
  <c r="E17" i="2" a="1"/>
  <c r="D141" i="2" a="1"/>
  <c r="D381" i="2" a="1"/>
  <c r="D38" i="2" a="1"/>
  <c r="K600" i="2" a="1"/>
  <c r="E547" i="2" a="1"/>
  <c r="D384" i="2" a="1"/>
  <c r="E411" i="2" a="1"/>
  <c r="K91" i="2" a="1"/>
  <c r="E346" i="2" a="1"/>
  <c r="E484" i="2" a="1"/>
  <c r="K208" i="2" a="1"/>
  <c r="E550" i="2" a="1"/>
  <c r="D609" i="2" a="1"/>
  <c r="K535" i="2" a="1"/>
  <c r="E226" i="2" a="1"/>
  <c r="D534" i="2" a="1"/>
  <c r="K536" i="2" a="1"/>
  <c r="D193" i="2" a="1"/>
  <c r="E414" i="2" a="1"/>
  <c r="E523" i="2" a="1"/>
  <c r="E609" i="2" a="1"/>
  <c r="K269" i="2" a="1"/>
  <c r="D301" i="2" a="1"/>
  <c r="E187" i="2" a="1"/>
  <c r="K365" i="2" a="1"/>
  <c r="D494" i="2" a="1"/>
  <c r="K493" i="2" a="1"/>
  <c r="D41" i="2" a="1"/>
  <c r="K561" i="2" a="1"/>
  <c r="E79" i="2" a="1"/>
  <c r="D91" i="2" a="1"/>
  <c r="D408" i="2" a="1"/>
  <c r="K287" i="2" a="1"/>
  <c r="D466" i="2" a="1"/>
  <c r="K457" i="2" a="1"/>
  <c r="D358" i="2" a="1"/>
  <c r="D340" i="2" a="1"/>
  <c r="K473" i="2" a="1"/>
  <c r="E298" i="2" a="1"/>
  <c r="E391" i="2" a="1"/>
  <c r="V18" i="8" a="1"/>
  <c r="K145" i="2" a="1"/>
  <c r="D21" i="2" a="1"/>
  <c r="D372" i="2" a="1"/>
  <c r="K574" i="2" a="1"/>
  <c r="E80" i="2" a="1"/>
  <c r="E273" i="2" a="1"/>
  <c r="K498" i="2" a="1"/>
  <c r="E366" i="2" a="1"/>
  <c r="D80" i="2" a="1"/>
  <c r="E24" i="2" a="1"/>
  <c r="K336" i="2" a="1"/>
  <c r="D397" i="2" a="1"/>
  <c r="D479" i="2" a="1"/>
  <c r="K447" i="2" a="1"/>
  <c r="E71" i="2" a="1"/>
  <c r="D16" i="2" a="1"/>
  <c r="K115" i="2" a="1"/>
  <c r="K575" i="2" a="1"/>
  <c r="E301" i="2" a="1"/>
  <c r="K149" i="2" a="1"/>
  <c r="K151" i="2" a="1"/>
  <c r="D287" i="2" a="1"/>
  <c r="D112" i="2" a="1"/>
  <c r="U20" i="6" a="1"/>
  <c r="E340" i="2" a="1"/>
  <c r="K355" i="2" a="1"/>
  <c r="D47" i="2" a="1"/>
  <c r="D18" i="6" a="1"/>
  <c r="E283" i="2" a="1"/>
  <c r="D317" i="2" a="1"/>
  <c r="M31" i="6" a="1"/>
  <c r="K414" i="2" a="1"/>
  <c r="K445" i="2" a="1"/>
  <c r="D222" i="2" a="1"/>
  <c r="K18" i="2" a="1"/>
  <c r="K112" i="2" a="1"/>
  <c r="D206" i="2" a="1"/>
  <c r="K403" i="2" a="1"/>
  <c r="K587" i="2" a="1"/>
  <c r="D480" i="2" a="1"/>
  <c r="E33" i="6" a="1"/>
  <c r="K218" i="2" a="1"/>
  <c r="E584" i="2" a="1"/>
  <c r="E386" i="2" a="1"/>
  <c r="K320" i="2" a="1"/>
  <c r="D519" i="2" a="1"/>
  <c r="D500" i="2" a="1"/>
  <c r="E557" i="2" a="1"/>
  <c r="K470" i="2" a="1"/>
  <c r="D431" i="2" a="1"/>
  <c r="J23" i="6" a="1"/>
  <c r="K579" i="2" a="1"/>
  <c r="K182" i="2" a="1"/>
  <c r="E23" i="6" a="1"/>
  <c r="D44" i="2" a="1"/>
  <c r="D566" i="2" a="1"/>
  <c r="E353" i="2" a="1"/>
  <c r="E325" i="2" a="1"/>
  <c r="K52" i="2" a="1"/>
  <c r="E144" i="2" a="1"/>
  <c r="K224" i="2" a="1"/>
  <c r="K634" i="2" a="1"/>
  <c r="E407" i="2" a="1"/>
  <c r="E41" i="2" a="1"/>
  <c r="K597" i="2" a="1"/>
  <c r="D286" i="2" a="1"/>
  <c r="D211" i="2" a="1"/>
  <c r="K215" i="2" a="1"/>
  <c r="K566" i="2" a="1"/>
  <c r="D514" i="2" a="1"/>
  <c r="E350" i="2" a="1"/>
  <c r="D285" i="2" a="1"/>
  <c r="K49" i="2" a="1"/>
  <c r="K43" i="2" a="1"/>
  <c r="D43" i="2" a="1"/>
  <c r="D332" i="2" a="1"/>
  <c r="E116" i="2" a="1"/>
  <c r="E206" i="2" a="1"/>
  <c r="D42" i="2" a="1"/>
  <c r="D98" i="2" a="1"/>
  <c r="D473" i="2" a="1"/>
  <c r="K209" i="2" a="1"/>
  <c r="K521" i="2" a="1"/>
  <c r="K178" i="2" a="1"/>
  <c r="D227" i="2" a="1"/>
  <c r="E558" i="2" a="1"/>
  <c r="D20" i="6" a="1"/>
  <c r="K88" i="2" a="1"/>
  <c r="E162" i="2" a="1"/>
  <c r="E322" i="2" a="1"/>
  <c r="K116" i="2" a="1"/>
  <c r="D542" i="2" a="1"/>
  <c r="E134" i="2" a="1"/>
  <c r="K430" i="2" a="1"/>
  <c r="E454" i="2" a="1"/>
  <c r="D292" i="2" a="1"/>
  <c r="D353" i="2" a="1"/>
  <c r="E586" i="2" a="1"/>
  <c r="D269" i="2" a="1"/>
  <c r="K549" i="2" a="1"/>
  <c r="E507" i="2" a="1"/>
  <c r="D571" i="2" a="1"/>
  <c r="E31" i="2" a="1"/>
  <c r="K106" i="2" a="1"/>
  <c r="K192" i="2" a="1"/>
  <c r="D36" i="2" a="1"/>
  <c r="D491" i="2" a="1"/>
  <c r="E260" i="2" a="1"/>
  <c r="D367" i="2" a="1"/>
  <c r="D293" i="2" a="1"/>
  <c r="E195" i="2" a="1"/>
  <c r="E504" i="2" a="1"/>
  <c r="E78" i="2" a="1"/>
  <c r="K527" i="2" a="1"/>
  <c r="K487" i="2" a="1"/>
  <c r="K198" i="2" a="1"/>
  <c r="N53" i="11" a="1"/>
  <c r="D188" i="2" a="1"/>
  <c r="T30" i="15" a="1"/>
  <c r="E533" i="2" a="1"/>
  <c r="K359" i="2" a="1"/>
  <c r="K138" i="2" a="1"/>
  <c r="E593" i="2" a="1"/>
  <c r="K26" i="6" a="1"/>
  <c r="D385" i="2" a="1"/>
  <c r="E95" i="2" a="1"/>
  <c r="E621" i="2" a="1"/>
  <c r="K410" i="2" a="1"/>
  <c r="E514" i="2" a="1"/>
  <c r="E59" i="2" a="1"/>
  <c r="K316" i="2" a="1"/>
  <c r="D303" i="2" a="1"/>
  <c r="E287" i="2" a="1"/>
  <c r="K67" i="2" a="1"/>
  <c r="K321" i="2" a="1"/>
  <c r="D409" i="2" a="1"/>
  <c r="E223" i="2" a="1"/>
  <c r="K174" i="2" a="1"/>
  <c r="E332" i="2" a="1"/>
  <c r="E263" i="2" a="1"/>
  <c r="K333" i="2" a="1"/>
  <c r="E489" i="2" a="1"/>
  <c r="D507" i="2" a="1"/>
  <c r="E227" i="2" a="1"/>
  <c r="K30" i="2" a="1"/>
  <c r="E551" i="2" a="1"/>
  <c r="E459" i="2" a="1"/>
  <c r="K499" i="2" a="1"/>
  <c r="N28" i="11" a="1"/>
  <c r="D174" i="2" a="1"/>
  <c r="E509" i="2" a="1"/>
  <c r="K144" i="2" a="1"/>
  <c r="K413" i="2" a="1"/>
  <c r="K601" i="2" a="1"/>
  <c r="AC39" i="8" a="1"/>
  <c r="D76" i="2" a="1"/>
  <c r="D256" i="2" a="1"/>
  <c r="D155" i="2" a="1"/>
  <c r="K542" i="2" a="1"/>
  <c r="E69" i="2" a="1"/>
  <c r="E373" i="2" a="1"/>
  <c r="K442" i="2" a="1"/>
  <c r="D456" i="2" a="1"/>
  <c r="K570" i="2" a="1"/>
  <c r="K523" i="2" a="1"/>
  <c r="K129" i="2" a="1"/>
  <c r="E190" i="2" a="1"/>
  <c r="E290" i="2" a="1"/>
  <c r="N29" i="6" a="1"/>
  <c r="E244" i="2" a="1"/>
  <c r="E209" i="2" a="1"/>
  <c r="K299" i="2" a="1"/>
  <c r="D532" i="2" a="1"/>
  <c r="D540" i="2" a="1"/>
  <c r="D607" i="2" a="1"/>
  <c r="K351" i="2" a="1"/>
  <c r="D363" i="2" a="1"/>
  <c r="D376" i="2" a="1"/>
  <c r="K85" i="2" a="1"/>
  <c r="D154" i="2" a="1"/>
  <c r="E390" i="2" a="1"/>
  <c r="K254" i="2" a="1"/>
  <c r="D283" i="2" a="1"/>
  <c r="D294" i="2" a="1"/>
  <c r="D56" i="2" a="1"/>
  <c r="K319" i="2" a="1"/>
  <c r="D168" i="2" a="1"/>
  <c r="M21" i="6" a="1"/>
  <c r="K510" i="2" a="1"/>
  <c r="E383" i="2" a="1"/>
  <c r="E86" i="2" a="1"/>
  <c r="D25" i="6" a="1"/>
  <c r="K446" i="2" a="1"/>
  <c r="D535" i="2" a="1"/>
  <c r="E24" i="6" a="1"/>
  <c r="K104" i="2" a="1"/>
  <c r="K368" i="2" a="1"/>
  <c r="E492" i="2" a="1"/>
  <c r="E329" i="2" a="1"/>
  <c r="E480" i="2" a="1"/>
  <c r="K576" i="2" a="1"/>
  <c r="D593" i="2" a="1"/>
  <c r="D291" i="2" a="1"/>
  <c r="K412" i="2" a="1"/>
  <c r="E422" i="2" a="1"/>
  <c r="E324" i="2" a="1"/>
  <c r="K186" i="2" a="1"/>
  <c r="E317" i="2" a="1"/>
  <c r="D94" i="2" a="1"/>
  <c r="K633" i="2" a="1"/>
  <c r="K489" i="2" a="1"/>
  <c r="D595" i="2" a="1"/>
  <c r="E456" i="2" a="1"/>
  <c r="K18" i="6" a="1"/>
  <c r="K105" i="2" a="1"/>
  <c r="D531" i="2" a="1"/>
  <c r="E467" i="2" a="1"/>
  <c r="D603" i="2" a="1"/>
  <c r="D133" i="2" a="1"/>
  <c r="E60" i="2" a="1"/>
  <c r="V25" i="8" a="1"/>
  <c r="D424" i="2" a="1"/>
  <c r="E328" i="2" a="1"/>
  <c r="D159" i="2" a="1"/>
  <c r="K384" i="2" a="1"/>
  <c r="K94" i="2" a="1"/>
  <c r="E20" i="6" a="1"/>
  <c r="K501" i="2" a="1"/>
  <c r="E267" i="2" a="1"/>
  <c r="E130" i="2" a="1"/>
  <c r="E624" i="2" a="1"/>
  <c r="D407" i="2" a="1"/>
  <c r="E321" i="2" a="1"/>
  <c r="D102" i="2" a="1"/>
  <c r="E233" i="2" a="1"/>
  <c r="K164" i="2" a="1"/>
  <c r="D89" i="2" a="1"/>
  <c r="D492" i="2" a="1"/>
  <c r="K73" i="2" a="1"/>
  <c r="K37" i="2" a="1"/>
  <c r="D70" i="2" a="1"/>
  <c r="D61" i="2" a="1"/>
  <c r="S22" i="6" a="1"/>
  <c r="N30" i="15" a="1"/>
  <c r="D630" i="2" a="1"/>
  <c r="U28" i="11" a="1"/>
  <c r="E289" i="2" a="1"/>
  <c r="E347" i="2" a="1"/>
  <c r="K551" i="2" a="1"/>
  <c r="E88" i="2" a="1"/>
  <c r="E592" i="2" a="1"/>
  <c r="D434" i="2" a="1"/>
  <c r="E62" i="2" a="1"/>
  <c r="D536" i="2" a="1"/>
  <c r="D529" i="2" a="1"/>
  <c r="D328" i="2" a="1"/>
  <c r="E465" i="2" a="1"/>
  <c r="K27" i="2" a="1"/>
  <c r="D29" i="6" a="1"/>
  <c r="D252" i="2" a="1"/>
  <c r="K146" i="2" a="1"/>
  <c r="K201" i="2" a="1"/>
  <c r="E213" i="2" a="1"/>
  <c r="D319" i="2" a="1"/>
  <c r="E259" i="2" a="1"/>
  <c r="D528" i="2" a="1"/>
  <c r="D390" i="2" a="1"/>
  <c r="K183" i="2" a="1"/>
  <c r="K300" i="2" a="1"/>
  <c r="D463" i="2" a="1"/>
  <c r="E221" i="2" a="1"/>
  <c r="K180" i="2" a="1"/>
  <c r="K99" i="2" a="1"/>
  <c r="D430" i="2" a="1"/>
  <c r="E442" i="2" a="1"/>
  <c r="K66" i="2" a="1"/>
  <c r="N28" i="15" a="1"/>
  <c r="D584" i="2" a="1"/>
  <c r="E98" i="2" a="1"/>
  <c r="K450" i="2" a="1"/>
  <c r="E495" i="2" a="1"/>
  <c r="D361" i="2" a="1"/>
  <c r="K50" i="2" a="1"/>
  <c r="D521" i="2" a="1"/>
  <c r="E530" i="2" a="1"/>
  <c r="K437" i="2" a="1"/>
  <c r="E394" i="2" a="1"/>
  <c r="D208" i="2" a="1"/>
  <c r="K227" i="2" a="1"/>
  <c r="K373" i="2" a="1"/>
  <c r="E136" i="2" a="1"/>
  <c r="K626" i="2" a="1"/>
  <c r="K295" i="2" a="1"/>
  <c r="D197" i="2" a="1"/>
  <c r="D489" i="2" a="1"/>
  <c r="E441" i="2" a="1"/>
  <c r="E299" i="2" a="1"/>
  <c r="E453" i="2" a="1"/>
  <c r="K433" i="2" a="1"/>
  <c r="E388" i="2" a="1"/>
  <c r="D75" i="2" a="1"/>
  <c r="D561" i="2" a="1"/>
  <c r="K264" i="2" a="1"/>
  <c r="D533" i="2" a="1"/>
  <c r="E281" i="2" a="1"/>
  <c r="K76" i="2" a="1"/>
  <c r="E379" i="2" a="1"/>
  <c r="D602" i="2" a="1"/>
  <c r="K509" i="2" a="1"/>
  <c r="K591" i="2" a="1"/>
  <c r="D504" i="2" a="1"/>
  <c r="D58" i="2" a="1"/>
  <c r="K160" i="2" a="1"/>
  <c r="D513" i="2" a="1"/>
  <c r="D474" i="2" a="1"/>
  <c r="K44" i="2" a="1"/>
  <c r="D99" i="2" a="1"/>
  <c r="D330" i="2" a="1"/>
  <c r="V21" i="8" a="1"/>
  <c r="K459" i="2" a="1"/>
  <c r="D462" i="2" a="1"/>
  <c r="D553" i="2" a="1"/>
  <c r="E239" i="2" a="1"/>
  <c r="E256" i="2" a="1"/>
  <c r="D578" i="2" a="1"/>
  <c r="K155" i="2" a="1"/>
  <c r="D15" i="2" a="1"/>
  <c r="E97" i="2" a="1"/>
  <c r="E598" i="2" a="1"/>
  <c r="K396" i="2" a="1"/>
  <c r="K361" i="2" a="1"/>
  <c r="E34" i="2" a="1"/>
  <c r="E109" i="2" a="1"/>
  <c r="V18" i="6" a="1"/>
  <c r="K456" i="2" a="1"/>
  <c r="E106" i="2" a="1"/>
  <c r="D26" i="6" a="1"/>
  <c r="K618" i="2" a="1"/>
  <c r="D400" i="2" a="1"/>
  <c r="E543" i="2" a="1"/>
  <c r="D239" i="2" a="1"/>
  <c r="K385" i="2" a="1"/>
  <c r="AD38" i="8" a="1"/>
  <c r="E629" i="2" a="1"/>
  <c r="D396" i="2" a="1"/>
  <c r="D357" i="2" a="1"/>
  <c r="E338" i="2" a="1"/>
  <c r="D551" i="2" a="1"/>
  <c r="E599" i="2" a="1"/>
  <c r="K524" i="2" a="1"/>
  <c r="E404" i="2" a="1"/>
  <c r="K411" i="2" a="1"/>
  <c r="K602" i="2" a="1"/>
  <c r="E408" i="2" a="1"/>
  <c r="D260" i="2" a="1"/>
  <c r="E520" i="2" a="1"/>
  <c r="K458" i="2" a="1"/>
  <c r="D510" i="2" a="1"/>
  <c r="E193" i="2" a="1"/>
  <c r="E169" i="2" a="1"/>
  <c r="D366" i="2" a="1"/>
  <c r="K547" i="2" a="1"/>
  <c r="K315" i="2" a="1"/>
  <c r="E40" i="2" a="1"/>
  <c r="K492" i="2" a="1"/>
  <c r="K322" i="2" a="1"/>
  <c r="D150" i="2" a="1"/>
  <c r="D338" i="2" a="1"/>
  <c r="K436" i="2" a="1"/>
  <c r="N52" i="11" a="1"/>
  <c r="E427" i="2" a="1"/>
  <c r="D23" i="2" a="1"/>
  <c r="U37" i="11" a="1"/>
  <c r="E333" i="2" a="1"/>
  <c r="D276" i="2" a="1"/>
  <c r="J28" i="6" a="1"/>
  <c r="E181" i="2" a="1"/>
  <c r="D320" i="2" a="1"/>
  <c r="K268" i="2" a="1"/>
  <c r="E70" i="2" a="1"/>
  <c r="E614" i="2" a="1"/>
  <c r="D27" i="2" a="1"/>
  <c r="K548" i="2" a="1"/>
  <c r="K632" i="2" a="1"/>
  <c r="K357" i="2" a="1"/>
  <c r="AC37" i="8" a="1"/>
  <c r="E496" i="2" a="1"/>
  <c r="E132" i="2" a="1"/>
  <c r="K377" i="2" a="1"/>
  <c r="D538" i="2" a="1"/>
  <c r="E477" i="2" a="1"/>
  <c r="D632" i="2" a="1"/>
  <c r="D587" i="2" a="1"/>
  <c r="K586" i="2" a="1"/>
  <c r="K86" i="2" a="1"/>
  <c r="D27" i="6" a="1"/>
  <c r="D606" i="2" a="1"/>
  <c r="E163" i="2" a="1"/>
  <c r="AC38" i="8" a="1"/>
  <c r="K277" i="2" a="1"/>
  <c r="D242" i="2" a="1"/>
  <c r="E171" i="2" a="1"/>
  <c r="K504" i="2" a="1"/>
  <c r="E562" i="2" a="1"/>
  <c r="D386" i="2" a="1"/>
  <c r="D417" i="2" a="1"/>
  <c r="K399" i="2" a="1"/>
  <c r="E113" i="2" a="1"/>
  <c r="D636" i="2" a="1"/>
  <c r="K481" i="2" a="1"/>
  <c r="E540" i="2" a="1"/>
  <c r="E238" i="2" a="1"/>
  <c r="W19" i="8" a="1"/>
  <c r="K420" i="2" a="1"/>
  <c r="D389" i="2" a="1"/>
  <c r="J31" i="6" a="1"/>
  <c r="K400" i="2" a="1"/>
  <c r="D130" i="2" a="1"/>
  <c r="K29" i="6" a="1"/>
  <c r="K211" i="2" a="1"/>
  <c r="E588" i="2" a="1"/>
  <c r="E461" i="2" a="1"/>
  <c r="E218" i="2" a="1"/>
  <c r="K531" i="2" a="1"/>
  <c r="D539" i="2" a="1"/>
  <c r="K475" i="2" a="1"/>
  <c r="K577" i="2" a="1"/>
  <c r="E313" i="2" a="1"/>
  <c r="D272" i="2" a="1"/>
  <c r="K323" i="2" a="1"/>
  <c r="K598" i="2" a="1"/>
  <c r="D404" i="2" a="1"/>
  <c r="E555" i="2" a="1"/>
  <c r="E360" i="2" a="1"/>
  <c r="D288" i="2" a="1"/>
  <c r="V20" i="8" a="1"/>
  <c r="K270" i="2" a="1"/>
  <c r="D596" i="2" a="1"/>
  <c r="E29" i="2" a="1"/>
  <c r="K508" i="2" a="1"/>
  <c r="D280" i="2" a="1"/>
  <c r="D359" i="2" a="1"/>
  <c r="E582" i="2" a="1"/>
  <c r="K380" i="2" a="1"/>
  <c r="D190" i="2" a="1"/>
  <c r="E51" i="2" a="1"/>
  <c r="E460" i="2" a="1"/>
  <c r="E446" i="2" a="1"/>
  <c r="E73" i="2" a="1"/>
  <c r="D118" i="2" a="1"/>
  <c r="D524" i="2" a="1"/>
  <c r="K608" i="2" a="1"/>
  <c r="D499" i="2" a="1"/>
  <c r="D274" i="2" a="1"/>
  <c r="K338" i="2" a="1"/>
  <c r="E210" i="2" a="1"/>
  <c r="D87" i="2" a="1"/>
  <c r="K258" i="2" a="1"/>
  <c r="D146" i="2" a="1"/>
  <c r="D554" i="2" a="1"/>
  <c r="D608" i="2" a="1"/>
  <c r="K621" i="2" a="1"/>
  <c r="E87" i="2" a="1"/>
  <c r="D309" i="2" a="1"/>
  <c r="K356" i="2" a="1"/>
  <c r="K27" i="6" a="1"/>
  <c r="D520" i="2" a="1"/>
  <c r="E277" i="2" a="1"/>
  <c r="J27" i="6" a="1"/>
  <c r="D509" i="2" a="1"/>
  <c r="D82" i="2" a="1"/>
  <c r="E613" i="2" a="1"/>
  <c r="K406" i="2" a="1"/>
  <c r="E268" i="2" a="1"/>
  <c r="E135" i="2" a="1"/>
  <c r="N19" i="6" a="1"/>
  <c r="K388" i="2" a="1"/>
  <c r="K177" i="2" a="1"/>
  <c r="K476" i="2" a="1"/>
  <c r="D311" i="2" a="1"/>
  <c r="D281" i="2" a="1"/>
  <c r="D145" i="2" a="1"/>
  <c r="K95" i="2" a="1"/>
  <c r="K466" i="2" a="1"/>
  <c r="E180" i="2" a="1"/>
  <c r="K518" i="2" a="1"/>
  <c r="K339" i="2" a="1"/>
  <c r="E469" i="2" a="1"/>
  <c r="K296" i="2" a="1"/>
  <c r="K159" i="2" a="1"/>
  <c r="D104" i="2" a="1"/>
  <c r="E38" i="2" a="1"/>
  <c r="K65" i="2" a="1"/>
  <c r="D331" i="2" a="1"/>
  <c r="E470" i="2" a="1"/>
  <c r="E561" i="2" a="1"/>
  <c r="N29" i="11" a="1"/>
  <c r="N29" i="15" a="1"/>
  <c r="T29" i="15" a="1"/>
  <c r="T51" i="11" a="1"/>
  <c r="D410" i="2" a="1"/>
  <c r="D402" i="2" a="1"/>
  <c r="D364" i="2" a="1"/>
  <c r="D162" i="2" a="1"/>
  <c r="D559" i="2" a="1"/>
  <c r="K123" i="2" a="1"/>
  <c r="K148" i="2" a="1"/>
  <c r="E349" i="2" a="1"/>
  <c r="E165" i="2" a="1"/>
  <c r="K153" i="2" a="1"/>
  <c r="K383" i="2" a="1"/>
  <c r="D59" i="2" a="1"/>
  <c r="K630" i="2" a="1"/>
  <c r="E376" i="2" a="1"/>
  <c r="E419" i="2" a="1"/>
  <c r="K101" i="2" a="1"/>
  <c r="D31" i="6" a="1"/>
  <c r="E510" i="2" a="1"/>
  <c r="E22" i="2" a="1"/>
  <c r="K364" i="2" a="1"/>
  <c r="K335" i="2" a="1"/>
  <c r="E123" i="2" a="1"/>
  <c r="D215" i="2" a="1"/>
  <c r="K109" i="2" a="1"/>
  <c r="D138" i="2" a="1"/>
  <c r="D241" i="2" a="1"/>
  <c r="K42" i="2" a="1"/>
  <c r="D619" i="2" a="1"/>
  <c r="D517" i="2" a="1"/>
  <c r="K611" i="2" a="1"/>
  <c r="K312" i="2" a="1"/>
  <c r="E529" i="2" a="1"/>
  <c r="D302" i="2" a="1"/>
  <c r="D23" i="6" a="1"/>
  <c r="E437" i="2" a="1"/>
  <c r="D270" i="2" a="1"/>
  <c r="K483" i="2" a="1"/>
  <c r="D69" i="2" a="1"/>
  <c r="E574" i="2" a="1"/>
  <c r="D246" i="2" a="1"/>
  <c r="K387" i="2" a="1"/>
  <c r="E440" i="2" a="1"/>
  <c r="D164" i="2" a="1"/>
  <c r="K402" i="2" a="1"/>
  <c r="D570" i="2" a="1"/>
  <c r="E396" i="2" a="1"/>
  <c r="K332" i="2" a="1"/>
  <c r="E167" i="2" a="1"/>
  <c r="E293" i="2" a="1"/>
  <c r="E587" i="2" a="1"/>
  <c r="K181" i="2" a="1"/>
  <c r="E448" i="2" a="1"/>
  <c r="N24" i="6" a="1"/>
  <c r="K405" i="2" a="1"/>
  <c r="D599" i="2" a="1"/>
  <c r="E161" i="2" a="1"/>
  <c r="E611" i="2" a="1"/>
  <c r="E101" i="2" a="1"/>
  <c r="E199" i="2" a="1"/>
  <c r="D140" i="2" a="1"/>
  <c r="E312" i="2" a="1"/>
  <c r="D455" i="2" a="1"/>
  <c r="D574" i="2" a="1"/>
  <c r="U21" i="6" a="1"/>
  <c r="K609" i="2" a="1"/>
  <c r="D322" i="2" a="1"/>
  <c r="D32" i="6" a="1"/>
  <c r="D388" i="2" a="1"/>
  <c r="D307" i="2" a="1"/>
  <c r="D191" i="2" a="1"/>
  <c r="K114" i="2" a="1"/>
  <c r="K117" i="2" a="1"/>
  <c r="E21" i="2" a="1"/>
  <c r="E228" i="2" a="1"/>
  <c r="K514" i="2" a="1"/>
  <c r="N51" i="11" a="1"/>
  <c r="D624" i="2" a="1"/>
  <c r="E174" i="2" a="1"/>
  <c r="K488" i="2" a="1"/>
  <c r="D243" i="2" a="1"/>
  <c r="E634" i="2" a="1"/>
  <c r="K60" i="2" a="1"/>
  <c r="E436" i="2" a="1"/>
  <c r="E177" i="2" a="1"/>
  <c r="K102" i="2" a="1"/>
  <c r="K427" i="2" a="1"/>
  <c r="D612" i="2" a="1"/>
  <c r="E339" i="2" a="1"/>
  <c r="K578" i="2" a="1"/>
  <c r="E300" i="2" a="1"/>
  <c r="D46" i="2" a="1"/>
  <c r="K431" i="2" a="1"/>
  <c r="D423" i="2" a="1"/>
  <c r="K190" i="2" a="1"/>
  <c r="E413" i="2" a="1"/>
  <c r="E617" i="2" a="1"/>
  <c r="D308" i="2" a="1"/>
  <c r="E147" i="2" a="1"/>
  <c r="E425" i="2" a="1"/>
  <c r="K467" i="2" a="1"/>
  <c r="K251" i="2" a="1"/>
  <c r="E449" i="2" a="1"/>
  <c r="K318" i="2" a="1"/>
  <c r="K212" i="2" a="1"/>
  <c r="E387" i="2" a="1"/>
  <c r="D144" i="2" a="1"/>
  <c r="E398" i="2" a="1"/>
  <c r="D426" i="2" a="1"/>
  <c r="K408" i="2" a="1"/>
  <c r="K45" i="2" a="1"/>
  <c r="D103" i="2" a="1"/>
  <c r="E359" i="2" a="1"/>
  <c r="D271" i="2" a="1"/>
  <c r="K154" i="2" a="1"/>
  <c r="E600" i="2" a="1"/>
  <c r="D282" i="2" a="1"/>
  <c r="K326" i="2" a="1"/>
  <c r="E616" i="2" a="1"/>
  <c r="D356" i="2" a="1"/>
  <c r="K453" i="2" a="1"/>
  <c r="E250" i="2" a="1"/>
  <c r="D120" i="2" a="1"/>
  <c r="D341" i="2" a="1"/>
  <c r="D203" i="2" a="1"/>
  <c r="E316" i="2" a="1"/>
  <c r="U30" i="15" a="1"/>
  <c r="U51" i="11" a="1"/>
  <c r="K563" i="2" a="1"/>
  <c r="D289" i="2" a="1"/>
  <c r="D355" i="2" a="1"/>
  <c r="K538" i="2" a="1"/>
  <c r="D117" i="2" a="1"/>
  <c r="J30" i="6" a="1"/>
  <c r="E156" i="2" a="1"/>
  <c r="E279" i="2" a="1"/>
  <c r="K265" i="2" a="1"/>
  <c r="K31" i="6" a="1"/>
  <c r="K595" i="2" a="1"/>
  <c r="D382" i="2" a="1"/>
  <c r="E22" i="6" a="1"/>
  <c r="E205" i="2" a="1"/>
  <c r="D401" i="2" a="1"/>
  <c r="D354" i="2" a="1"/>
  <c r="K223" i="2" a="1"/>
  <c r="E636" i="2" a="1"/>
  <c r="D573" i="2" a="1"/>
  <c r="K289" i="2" a="1"/>
  <c r="D63" i="2" a="1"/>
  <c r="D493" i="2" a="1"/>
  <c r="K33" i="2" a="1"/>
  <c r="K89" i="2" a="1"/>
  <c r="E635" i="2" a="1"/>
  <c r="D575" i="2" a="1"/>
  <c r="K82" i="2" a="1"/>
  <c r="E102" i="2" a="1"/>
  <c r="E234" i="2" a="1"/>
  <c r="K24" i="2" a="1"/>
  <c r="K166" i="2" a="1"/>
  <c r="E152" i="2" a="1"/>
  <c r="E426" i="2" a="1"/>
  <c r="W20" i="8" a="1"/>
  <c r="E257" i="2" a="1"/>
  <c r="E254" i="2" a="1"/>
  <c r="K55" i="2" a="1"/>
  <c r="D88" i="2" a="1"/>
  <c r="E358" i="2" a="1"/>
  <c r="D297" i="2" a="1"/>
  <c r="K327" i="2" a="1"/>
  <c r="K96" i="2" a="1"/>
  <c r="E559" i="2" a="1"/>
  <c r="E513" i="2" a="1"/>
  <c r="E266" i="2" a="1"/>
  <c r="E630" i="2" a="1"/>
  <c r="K24" i="6" a="1"/>
  <c r="K409" i="2" a="1"/>
  <c r="D173" i="2" a="1"/>
  <c r="E185" i="2" a="1"/>
  <c r="K622" i="2" a="1"/>
  <c r="E326" i="2" a="1"/>
  <c r="E602" i="2" a="1"/>
  <c r="D231" i="2" a="1"/>
  <c r="E81" i="2" a="1"/>
  <c r="K472" i="2" a="1"/>
  <c r="E483" i="2" a="1"/>
  <c r="D235" i="2" a="1"/>
  <c r="E479" i="2" a="1"/>
  <c r="E164" i="2" a="1"/>
  <c r="D305" i="2" a="1"/>
  <c r="E478" i="2" a="1"/>
  <c r="E278" i="2" a="1"/>
  <c r="D33" i="2" a="1"/>
  <c r="K607" i="2" a="1"/>
  <c r="K23" i="2" a="1"/>
  <c r="D495" i="2" a="1"/>
  <c r="E546" i="2" a="1"/>
  <c r="E444" i="2" a="1"/>
  <c r="D392" i="2" a="1"/>
  <c r="K28" i="6" a="1"/>
  <c r="K165" i="2" a="1"/>
  <c r="D441" i="2" a="1"/>
  <c r="K558" i="2" a="1"/>
  <c r="K275" i="2" a="1"/>
  <c r="E372" i="2" a="1"/>
  <c r="E363" i="2" a="1"/>
  <c r="E265" i="2" a="1"/>
  <c r="K120" i="2" a="1"/>
  <c r="K328" i="2" a="1"/>
  <c r="E280" i="2" a="1"/>
  <c r="K22" i="2" a="1"/>
  <c r="K256" i="2" a="1"/>
  <c r="D448" i="2" a="1"/>
  <c r="J24" i="6" a="1"/>
  <c r="K407" i="2" a="1"/>
  <c r="D502" i="2" a="1"/>
  <c r="E501" i="2" a="1"/>
  <c r="D110" i="2" a="1"/>
  <c r="D26" i="2" a="1"/>
  <c r="E55" i="2" a="1"/>
  <c r="D20" i="2" a="1"/>
  <c r="K47" i="2" a="1"/>
  <c r="K261" i="2" a="1"/>
  <c r="K75" i="2" a="1"/>
  <c r="E471" i="2" a="1"/>
  <c r="D326" i="2" a="1"/>
  <c r="E191" i="2" a="1"/>
  <c r="D199" i="2" a="1"/>
  <c r="K325" i="2" a="1"/>
  <c r="K317" i="2" a="1"/>
  <c r="E96" i="2" a="1"/>
  <c r="D128" i="2" a="1"/>
  <c r="K366" i="2" a="1"/>
  <c r="E487" i="2" a="1"/>
  <c r="E111" i="2" a="1"/>
  <c r="E594" i="2" a="1"/>
  <c r="D52" i="2" a="1"/>
  <c r="D279" i="2" a="1"/>
  <c r="D28" i="6" a="1"/>
  <c r="K441" i="2" a="1"/>
  <c r="D380" i="2" a="1"/>
  <c r="D327" i="2" a="1"/>
  <c r="K505" i="2" a="1"/>
  <c r="E632" i="2" a="1"/>
  <c r="D205" i="2" a="1"/>
  <c r="K302" i="2" a="1"/>
  <c r="E337" i="2" a="1"/>
  <c r="D369" i="2" a="1"/>
  <c r="D109" i="2" a="1"/>
  <c r="E173" i="2" a="1"/>
  <c r="D72" i="2" a="1"/>
  <c r="K398" i="2" a="1"/>
  <c r="E569" i="2" a="1"/>
  <c r="K57" i="2" a="1"/>
  <c r="T28" i="15" a="1"/>
  <c r="T36" i="11" a="1"/>
  <c r="E351" i="2" a="1"/>
  <c r="D427" i="2" a="1"/>
  <c r="D459" i="2" a="1"/>
  <c r="K479" i="2" a="1"/>
  <c r="D68" i="2" a="1"/>
  <c r="D421" i="2" a="1"/>
  <c r="K250" i="2" a="1"/>
  <c r="E364" i="2" a="1"/>
  <c r="E242" i="2" a="1"/>
  <c r="E531" i="2" a="1"/>
  <c r="E292" i="2" a="1"/>
  <c r="D621" i="2" a="1"/>
  <c r="K217" i="2" a="1"/>
  <c r="E53" i="2" a="1"/>
  <c r="D182" i="2" a="1"/>
  <c r="E521" i="2" a="1"/>
  <c r="K397" i="2" a="1"/>
  <c r="K371" i="2" a="1"/>
  <c r="D523" i="2" a="1"/>
  <c r="AD43" i="8" a="1"/>
  <c r="D611" i="2" a="1"/>
  <c r="D254" i="2" a="1"/>
  <c r="D398" i="2" a="1"/>
  <c r="K283" i="2" a="1"/>
  <c r="D329" i="2" a="1"/>
  <c r="D506" i="2" a="1"/>
  <c r="K495" i="2" a="1"/>
  <c r="E36" i="2" a="1"/>
  <c r="E188" i="2" a="1"/>
  <c r="N25" i="6" a="1"/>
  <c r="K557" i="2" a="1"/>
  <c r="E610" i="2" a="1"/>
  <c r="D541" i="2" a="1"/>
  <c r="D300" i="2" a="1"/>
  <c r="K219" i="2" a="1"/>
  <c r="D284" i="2" a="1"/>
  <c r="M30" i="6" a="1"/>
  <c r="D204" i="2" a="1"/>
  <c r="E243" i="2" a="1"/>
  <c r="D436" i="2" a="1"/>
  <c r="K162" i="2" a="1"/>
  <c r="N21" i="6" a="1"/>
  <c r="E25" i="2" a="1"/>
  <c r="E261" i="2" a="1"/>
  <c r="D485" i="2" a="1"/>
  <c r="D176" i="2" a="1"/>
  <c r="E606" i="2" a="1"/>
  <c r="E518" i="2" a="1"/>
  <c r="D472" i="2" a="1"/>
  <c r="K131" i="2" a="1"/>
  <c r="K613" i="2" a="1"/>
  <c r="K358" i="2" a="1"/>
  <c r="E303" i="2" a="1"/>
  <c r="E248" i="2" a="1"/>
  <c r="K171" i="2" a="1"/>
  <c r="K21" i="2" a="1"/>
  <c r="E72" i="2" a="1"/>
  <c r="K292" i="2" a="1"/>
  <c r="D508" i="2" a="1"/>
  <c r="D169" i="2" a="1"/>
  <c r="K247" i="2" a="1"/>
  <c r="K16" i="2" a="1"/>
  <c r="D53" i="2" a="1"/>
  <c r="E43" i="2" a="1"/>
  <c r="K124" i="2" a="1"/>
  <c r="E26" i="2" a="1"/>
  <c r="D207" i="2" a="1"/>
  <c r="D461" i="2" a="1"/>
  <c r="E334" i="2" a="1"/>
  <c r="E367" i="2" a="1"/>
  <c r="E472" i="2" a="1"/>
  <c r="K571" i="2" a="1"/>
  <c r="D526" i="2" a="1"/>
  <c r="N36" i="11" a="1"/>
  <c r="K79" i="2" a="1"/>
  <c r="K503" i="2" a="1"/>
  <c r="E114" i="2" a="1"/>
  <c r="D346" i="2" a="1"/>
  <c r="K390" i="2" a="1"/>
  <c r="K425" i="2" a="1"/>
  <c r="D371" i="2" a="1"/>
  <c r="E30" i="6" a="1"/>
  <c r="K245" i="2" a="1"/>
  <c r="E215" i="2" a="1"/>
  <c r="D77" i="2" a="1"/>
  <c r="K515" i="2" a="1"/>
  <c r="K497" i="2" a="1"/>
  <c r="E100" i="2" a="1"/>
  <c r="E235" i="2" a="1"/>
  <c r="E295" i="2" a="1"/>
  <c r="E26" i="6" a="1"/>
  <c r="E149" i="2" a="1"/>
  <c r="E362" i="2" a="1"/>
  <c r="K313" i="2" a="1"/>
  <c r="E538" i="2" a="1"/>
  <c r="E54" i="2" a="1"/>
  <c r="K90" i="2" a="1"/>
  <c r="D580" i="2" a="1"/>
  <c r="D22" i="2" a="1"/>
  <c r="K623" i="2" a="1"/>
  <c r="K416" i="2" a="1"/>
  <c r="E515" i="2" a="1"/>
  <c r="E294" i="2" a="1"/>
  <c r="K593" i="2" a="1"/>
  <c r="D576" i="2" a="1"/>
  <c r="D90" i="2" a="1"/>
  <c r="D296" i="2" a="1"/>
  <c r="E306" i="2" a="1"/>
  <c r="E222" i="2" a="1"/>
  <c r="AD39" i="8" a="1"/>
  <c r="K435" i="2" a="1"/>
  <c r="D245" i="2" a="1"/>
  <c r="D34" i="2" a="1"/>
  <c r="K271" i="2" a="1"/>
  <c r="E183" i="2" a="1"/>
  <c r="D71" i="2" a="1"/>
  <c r="E31" i="6" a="1"/>
  <c r="K375" i="2" a="1"/>
  <c r="E410" i="2" a="1"/>
  <c r="E623" i="2" a="1"/>
  <c r="K68" i="2" a="1"/>
  <c r="D336" i="2" a="1"/>
  <c r="K232" i="2" a="1"/>
  <c r="M22" i="6" a="1"/>
  <c r="K176" i="2" a="1"/>
  <c r="U29" i="15" a="1"/>
  <c r="U29" i="11" a="1"/>
  <c r="E508" i="2" a="1"/>
  <c r="E341" i="2" a="1"/>
  <c r="D457" i="2" a="1"/>
  <c r="E381" i="2" a="1"/>
  <c r="D171" i="2" a="1"/>
  <c r="E99" i="2" a="1"/>
  <c r="K139" i="2" a="1"/>
  <c r="D310" i="2" a="1"/>
  <c r="N31" i="6" a="1"/>
  <c r="D178" i="2" a="1"/>
  <c r="D343" i="2" a="1"/>
  <c r="D234" i="2" a="1"/>
  <c r="E18" i="6" a="1"/>
  <c r="D558" i="2" a="1"/>
  <c r="D122" i="2" a="1"/>
  <c r="K491" i="2" a="1"/>
  <c r="U35" i="11" a="1"/>
  <c r="T30" i="18" a="1"/>
  <c r="K444" i="2" a="1"/>
  <c r="K168" i="2" a="1"/>
  <c r="E275" i="2" a="1"/>
  <c r="K573" i="2" a="1"/>
  <c r="T53" i="11" a="1"/>
  <c r="E198" i="2" a="1"/>
  <c r="E159" i="2" a="1"/>
  <c r="E75" i="2" a="1"/>
  <c r="D403" i="2" a="1"/>
  <c r="K589" i="2" a="1"/>
  <c r="K199" i="2" a="1"/>
  <c r="K38" i="2" a="1"/>
  <c r="K36" i="2" a="1"/>
  <c r="E28" i="6" a="1"/>
  <c r="E47" i="2" a="1"/>
  <c r="K516" i="2" a="1"/>
  <c r="K484" i="2" a="1"/>
  <c r="K486" i="2" a="1"/>
  <c r="K249" i="2" a="1"/>
  <c r="E399" i="2" a="1"/>
  <c r="D66" i="2" a="1"/>
  <c r="K423" i="2" a="1"/>
  <c r="D48" i="2" a="1"/>
  <c r="E493" i="2" a="1"/>
  <c r="D139" i="2" a="1"/>
  <c r="K191" i="2" a="1"/>
  <c r="K559" i="2" a="1"/>
  <c r="D39" i="2" a="1"/>
  <c r="E421" i="2" a="1"/>
  <c r="E589" i="2" a="1"/>
  <c r="K220" i="2" a="1"/>
  <c r="K290" i="2" a="1"/>
  <c r="E140" i="2" a="1"/>
  <c r="K59" i="2" a="1"/>
  <c r="E503" i="2" a="1"/>
  <c r="T29" i="11" a="1"/>
  <c r="N30" i="18" a="1"/>
  <c r="D107" i="2" a="1"/>
  <c r="E389" i="2" a="1"/>
  <c r="K349" i="2" a="1"/>
  <c r="D432" i="2" a="1"/>
  <c r="E457" i="2" a="1"/>
  <c r="D605" i="2" a="1"/>
  <c r="D626" i="2" a="1"/>
  <c r="U30" i="18" a="1"/>
  <c r="D113" i="2" a="1"/>
  <c r="T37" i="11" a="1"/>
  <c r="D352" i="2" a="1"/>
  <c r="D563" i="2" a="1"/>
  <c r="E186" i="2" a="1"/>
  <c r="N30" i="6" a="1"/>
  <c r="T52" i="11" a="1"/>
  <c r="E216" i="2" a="1"/>
  <c r="E607" i="2" a="1"/>
  <c r="U36" i="11" a="1"/>
  <c r="E435" i="2" a="1"/>
  <c r="E418" i="2" a="1"/>
  <c r="K248" i="2" a="1"/>
  <c r="D29" i="2" a="1"/>
  <c r="D28" i="2" a="1"/>
  <c r="E231" i="2" a="1"/>
  <c r="N18" i="6" a="1"/>
  <c r="K122" i="2" a="1"/>
  <c r="D634" i="2" a="1"/>
  <c r="E371" i="2" a="1"/>
  <c r="K83" i="2" a="1"/>
  <c r="U28" i="15" a="1"/>
  <c r="E517" i="2" a="1"/>
  <c r="D298" i="2" a="1"/>
  <c r="D34" i="6" a="1"/>
  <c r="K172" i="2" a="1"/>
  <c r="E541" i="2" a="1"/>
  <c r="K330" i="2" a="1"/>
  <c r="K111" i="2" a="1"/>
  <c r="D567" i="2" a="1"/>
  <c r="E565" i="2" a="1"/>
  <c r="E463" i="2" a="1"/>
  <c r="K188" i="2" a="1"/>
  <c r="W25" i="8" a="1"/>
  <c r="D438" i="2" a="1"/>
  <c r="K511" i="2" a="1"/>
  <c r="D240" i="2" a="1"/>
  <c r="K627" i="2" a="1"/>
  <c r="E498" i="2" a="1"/>
  <c r="E297" i="2" a="1"/>
  <c r="V19" i="8" a="1"/>
  <c r="D614" i="2" a="1"/>
  <c r="E490" i="2" a="1"/>
  <c r="E194" i="2" a="1"/>
  <c r="U53" i="11" a="1"/>
  <c r="E564" i="2" a="1"/>
  <c r="D631" i="2" a="1"/>
  <c r="D244" i="2" a="1"/>
  <c r="D147" i="2" a="1"/>
  <c r="D413" i="2" a="1"/>
  <c r="E271" i="2" a="1"/>
  <c r="E49" i="2" a="1"/>
  <c r="K233" i="2" a="1"/>
  <c r="D202" i="2" a="1"/>
  <c r="E369" i="2" a="1"/>
  <c r="K48" i="2" a="1"/>
  <c r="N37" i="11" a="1"/>
  <c r="D17" i="2" a="1"/>
  <c r="K184" i="2" a="1"/>
  <c r="D582" i="2" a="1"/>
  <c r="D97" i="2" a="1"/>
  <c r="T28" i="11" a="1"/>
  <c r="K382" i="2" a="1"/>
  <c r="E330" i="2" a="1"/>
  <c r="K237" i="2" a="1"/>
  <c r="U52" i="11" a="1"/>
  <c r="K21" i="6" a="1"/>
  <c r="K241" i="2" a="1"/>
  <c r="D368" i="2" a="1"/>
  <c r="D469" i="2" a="1"/>
  <c r="E428" i="2" a="1"/>
  <c r="D516" i="2" a="1"/>
  <c r="E583" i="2" a="1"/>
  <c r="K110" i="2" a="1"/>
  <c r="E618" i="2" a="1"/>
  <c r="T35" i="11" a="1"/>
  <c r="L28" i="6" a="1"/>
  <c r="U31" i="15" a="1"/>
  <c r="U31" i="18" a="1"/>
  <c r="L23" i="6" a="1"/>
  <c r="L19" i="6" a="1"/>
  <c r="T31" i="15" a="1"/>
  <c r="S5" i="2" a="1"/>
  <c r="L24" i="6" a="1"/>
  <c r="N31" i="15" a="1"/>
  <c r="T54" i="11" a="1"/>
  <c r="L26" i="6" a="1"/>
  <c r="L31" i="6" a="1"/>
  <c r="L20" i="6" a="1"/>
  <c r="L18" i="6" a="1"/>
  <c r="T38" i="11" a="1"/>
  <c r="N31" i="18" a="1"/>
  <c r="L30" i="6" a="1"/>
  <c r="S23" i="6" a="1"/>
  <c r="L22" i="6" a="1"/>
  <c r="U54" i="11" a="1"/>
  <c r="L27" i="6" a="1"/>
  <c r="L21" i="6" a="1"/>
  <c r="U38" i="11" a="1"/>
  <c r="N38" i="11" a="1"/>
  <c r="L25" i="6" a="1"/>
  <c r="N54" i="11" a="1"/>
  <c r="L29" i="6" a="1"/>
  <c r="T31" i="18" a="1"/>
  <c r="T35" i="11" l="1"/>
  <c r="E618" i="2"/>
  <c r="L618" i="2" s="1"/>
  <c r="K110" i="2"/>
  <c r="E583" i="2"/>
  <c r="L583" i="2" s="1"/>
  <c r="D516" i="2"/>
  <c r="E428" i="2"/>
  <c r="L428" i="2" s="1"/>
  <c r="D469" i="2"/>
  <c r="D368" i="2"/>
  <c r="K241" i="2"/>
  <c r="K21" i="6"/>
  <c r="U52" i="11"/>
  <c r="K237" i="2"/>
  <c r="E330" i="2"/>
  <c r="L330" i="2" s="1"/>
  <c r="K382" i="2"/>
  <c r="T28" i="11"/>
  <c r="D97" i="2"/>
  <c r="D582" i="2"/>
  <c r="K184" i="2"/>
  <c r="D17" i="2"/>
  <c r="N37" i="11"/>
  <c r="K48" i="2"/>
  <c r="E369" i="2"/>
  <c r="L369" i="2" s="1"/>
  <c r="D202" i="2"/>
  <c r="K233" i="2"/>
  <c r="E49" i="2"/>
  <c r="L49" i="2" s="1"/>
  <c r="E271" i="2"/>
  <c r="L271" i="2" s="1"/>
  <c r="D413" i="2"/>
  <c r="D147" i="2"/>
  <c r="D244" i="2"/>
  <c r="D631" i="2"/>
  <c r="E564" i="2"/>
  <c r="L564" i="2" s="1"/>
  <c r="U53" i="11"/>
  <c r="E194" i="2"/>
  <c r="L194" i="2" s="1"/>
  <c r="E490" i="2"/>
  <c r="L490" i="2" s="1"/>
  <c r="D614" i="2"/>
  <c r="V19" i="8"/>
  <c r="E297" i="2"/>
  <c r="L297" i="2" s="1"/>
  <c r="E498" i="2"/>
  <c r="L498" i="2" s="1"/>
  <c r="K627" i="2"/>
  <c r="D240" i="2"/>
  <c r="K511" i="2"/>
  <c r="D438" i="2"/>
  <c r="W25" i="8"/>
  <c r="K188" i="2"/>
  <c r="E463" i="2"/>
  <c r="L463" i="2" s="1"/>
  <c r="E565" i="2"/>
  <c r="L565" i="2" s="1"/>
  <c r="D567" i="2"/>
  <c r="K111" i="2"/>
  <c r="K330" i="2"/>
  <c r="E541" i="2"/>
  <c r="L541" i="2" s="1"/>
  <c r="K172" i="2"/>
  <c r="D34" i="6"/>
  <c r="D298" i="2"/>
  <c r="E517" i="2"/>
  <c r="L517" i="2" s="1"/>
  <c r="U28" i="15"/>
  <c r="K83" i="2"/>
  <c r="E371" i="2"/>
  <c r="L371" i="2" s="1"/>
  <c r="D634" i="2"/>
  <c r="K122" i="2"/>
  <c r="N18" i="6"/>
  <c r="E231" i="2"/>
  <c r="L231" i="2" s="1"/>
  <c r="D28" i="2"/>
  <c r="D29" i="2"/>
  <c r="K248" i="2"/>
  <c r="E418" i="2"/>
  <c r="L418" i="2" s="1"/>
  <c r="E435" i="2"/>
  <c r="L435" i="2" s="1"/>
  <c r="U36" i="11"/>
  <c r="E607" i="2"/>
  <c r="L607" i="2" s="1"/>
  <c r="E216" i="2"/>
  <c r="L216" i="2" s="1"/>
  <c r="T52" i="11"/>
  <c r="N30" i="6"/>
  <c r="E186" i="2"/>
  <c r="L186" i="2" s="1"/>
  <c r="D563" i="2"/>
  <c r="D352" i="2"/>
  <c r="T37" i="11"/>
  <c r="D113" i="2"/>
  <c r="U30" i="18"/>
  <c r="D626" i="2"/>
  <c r="D605" i="2"/>
  <c r="E457" i="2"/>
  <c r="L457" i="2" s="1"/>
  <c r="D432" i="2"/>
  <c r="K349" i="2"/>
  <c r="E389" i="2"/>
  <c r="L389" i="2" s="1"/>
  <c r="D107" i="2"/>
  <c r="N30" i="18"/>
  <c r="T29" i="11"/>
  <c r="E503" i="2"/>
  <c r="L503" i="2" s="1"/>
  <c r="K59" i="2"/>
  <c r="E140" i="2"/>
  <c r="L140" i="2" s="1"/>
  <c r="K290" i="2"/>
  <c r="K220" i="2"/>
  <c r="E589" i="2"/>
  <c r="L589" i="2" s="1"/>
  <c r="E421" i="2"/>
  <c r="L421" i="2" s="1"/>
  <c r="D39" i="2"/>
  <c r="K559" i="2"/>
  <c r="K191" i="2"/>
  <c r="D139" i="2"/>
  <c r="E493" i="2"/>
  <c r="L493" i="2" s="1"/>
  <c r="D48" i="2"/>
  <c r="K423" i="2"/>
  <c r="D66" i="2"/>
  <c r="E399" i="2"/>
  <c r="L399" i="2" s="1"/>
  <c r="K249" i="2"/>
  <c r="K486" i="2"/>
  <c r="K484" i="2"/>
  <c r="K516" i="2"/>
  <c r="E47" i="2"/>
  <c r="L47" i="2" s="1"/>
  <c r="E28" i="6"/>
  <c r="K36" i="2"/>
  <c r="K38" i="2"/>
  <c r="K199" i="2"/>
  <c r="K589" i="2"/>
  <c r="D403" i="2"/>
  <c r="E75" i="2"/>
  <c r="L75" i="2" s="1"/>
  <c r="E159" i="2"/>
  <c r="L159" i="2" s="1"/>
  <c r="E198" i="2"/>
  <c r="L198" i="2" s="1"/>
  <c r="T53" i="11"/>
  <c r="K573" i="2"/>
  <c r="E275" i="2"/>
  <c r="L275" i="2" s="1"/>
  <c r="K168" i="2"/>
  <c r="K444" i="2"/>
  <c r="T30" i="18"/>
  <c r="V30" i="18" s="1"/>
  <c r="U35" i="11"/>
  <c r="K491" i="2"/>
  <c r="D122" i="2"/>
  <c r="D558" i="2"/>
  <c r="E18" i="6"/>
  <c r="D234" i="2"/>
  <c r="D343" i="2"/>
  <c r="D178" i="2"/>
  <c r="N31" i="6"/>
  <c r="D310" i="2"/>
  <c r="K139" i="2"/>
  <c r="E99" i="2"/>
  <c r="L99" i="2" s="1"/>
  <c r="D171" i="2"/>
  <c r="E381" i="2"/>
  <c r="L381" i="2" s="1"/>
  <c r="D457" i="2"/>
  <c r="E341" i="2"/>
  <c r="L341" i="2" s="1"/>
  <c r="E508" i="2"/>
  <c r="L508" i="2" s="1"/>
  <c r="U29" i="11"/>
  <c r="U29" i="15"/>
  <c r="K176" i="2"/>
  <c r="M22" i="6"/>
  <c r="K232" i="2"/>
  <c r="D336" i="2"/>
  <c r="K68" i="2"/>
  <c r="E623" i="2"/>
  <c r="L623" i="2" s="1"/>
  <c r="E410" i="2"/>
  <c r="L410" i="2" s="1"/>
  <c r="K375" i="2"/>
  <c r="E31" i="6"/>
  <c r="D71" i="2"/>
  <c r="E183" i="2"/>
  <c r="L183" i="2" s="1"/>
  <c r="K271" i="2"/>
  <c r="D34" i="2"/>
  <c r="D245" i="2"/>
  <c r="K435" i="2"/>
  <c r="AD39" i="8"/>
  <c r="E222" i="2"/>
  <c r="L222" i="2" s="1"/>
  <c r="E306" i="2"/>
  <c r="L306" i="2" s="1"/>
  <c r="D296" i="2"/>
  <c r="D90" i="2"/>
  <c r="D576" i="2"/>
  <c r="K593" i="2"/>
  <c r="E294" i="2"/>
  <c r="L294" i="2" s="1"/>
  <c r="E515" i="2"/>
  <c r="L515" i="2" s="1"/>
  <c r="K416" i="2"/>
  <c r="K623" i="2"/>
  <c r="D22" i="2"/>
  <c r="D580" i="2"/>
  <c r="K90" i="2"/>
  <c r="E54" i="2"/>
  <c r="L54" i="2" s="1"/>
  <c r="E538" i="2"/>
  <c r="L538" i="2" s="1"/>
  <c r="K313" i="2"/>
  <c r="E362" i="2"/>
  <c r="L362" i="2" s="1"/>
  <c r="E149" i="2"/>
  <c r="L149" i="2" s="1"/>
  <c r="E26" i="6"/>
  <c r="E295" i="2"/>
  <c r="L295" i="2" s="1"/>
  <c r="E235" i="2"/>
  <c r="L235" i="2" s="1"/>
  <c r="E100" i="2"/>
  <c r="L100" i="2" s="1"/>
  <c r="K497" i="2"/>
  <c r="K515" i="2"/>
  <c r="D77" i="2"/>
  <c r="E215" i="2"/>
  <c r="L215" i="2" s="1"/>
  <c r="K245" i="2"/>
  <c r="E30" i="6"/>
  <c r="D371" i="2"/>
  <c r="K425" i="2"/>
  <c r="K390" i="2"/>
  <c r="D346" i="2"/>
  <c r="E114" i="2"/>
  <c r="L114" i="2" s="1"/>
  <c r="K503" i="2"/>
  <c r="K79" i="2"/>
  <c r="N36" i="11"/>
  <c r="D526" i="2"/>
  <c r="K571" i="2"/>
  <c r="E472" i="2"/>
  <c r="L472" i="2" s="1"/>
  <c r="E367" i="2"/>
  <c r="L367" i="2" s="1"/>
  <c r="E334" i="2"/>
  <c r="L334" i="2" s="1"/>
  <c r="D461" i="2"/>
  <c r="D207" i="2"/>
  <c r="E26" i="2"/>
  <c r="L26" i="2" s="1"/>
  <c r="K124" i="2"/>
  <c r="E43" i="2"/>
  <c r="L43" i="2" s="1"/>
  <c r="D53" i="2"/>
  <c r="K16" i="2"/>
  <c r="K247" i="2"/>
  <c r="D169" i="2"/>
  <c r="D508" i="2"/>
  <c r="K292" i="2"/>
  <c r="E72" i="2"/>
  <c r="L72" i="2" s="1"/>
  <c r="K21" i="2"/>
  <c r="K171" i="2"/>
  <c r="E248" i="2"/>
  <c r="L248" i="2" s="1"/>
  <c r="E303" i="2"/>
  <c r="L303" i="2" s="1"/>
  <c r="K358" i="2"/>
  <c r="K613" i="2"/>
  <c r="K131" i="2"/>
  <c r="D472" i="2"/>
  <c r="E518" i="2"/>
  <c r="L518" i="2" s="1"/>
  <c r="E606" i="2"/>
  <c r="L606" i="2" s="1"/>
  <c r="D176" i="2"/>
  <c r="D485" i="2"/>
  <c r="E261" i="2"/>
  <c r="L261" i="2" s="1"/>
  <c r="E25" i="2"/>
  <c r="L25" i="2" s="1"/>
  <c r="N21" i="6"/>
  <c r="K162" i="2"/>
  <c r="D436" i="2"/>
  <c r="E243" i="2"/>
  <c r="L243" i="2" s="1"/>
  <c r="D204" i="2"/>
  <c r="M30" i="6"/>
  <c r="D284" i="2"/>
  <c r="K219" i="2"/>
  <c r="D300" i="2"/>
  <c r="D541" i="2"/>
  <c r="E610" i="2"/>
  <c r="L610" i="2" s="1"/>
  <c r="K557" i="2"/>
  <c r="N25" i="6"/>
  <c r="E188" i="2"/>
  <c r="L188" i="2" s="1"/>
  <c r="E36" i="2"/>
  <c r="L36" i="2" s="1"/>
  <c r="K495" i="2"/>
  <c r="D506" i="2"/>
  <c r="D329" i="2"/>
  <c r="K283" i="2"/>
  <c r="D398" i="2"/>
  <c r="D254" i="2"/>
  <c r="D611" i="2"/>
  <c r="AD43" i="8"/>
  <c r="D523" i="2"/>
  <c r="K371" i="2"/>
  <c r="K397" i="2"/>
  <c r="E521" i="2"/>
  <c r="L521" i="2" s="1"/>
  <c r="D182" i="2"/>
  <c r="E53" i="2"/>
  <c r="L53" i="2" s="1"/>
  <c r="K217" i="2"/>
  <c r="D621" i="2"/>
  <c r="E292" i="2"/>
  <c r="L292" i="2" s="1"/>
  <c r="E531" i="2"/>
  <c r="L531" i="2" s="1"/>
  <c r="E242" i="2"/>
  <c r="L242" i="2" s="1"/>
  <c r="E364" i="2"/>
  <c r="L364" i="2" s="1"/>
  <c r="K250" i="2"/>
  <c r="D421" i="2"/>
  <c r="D68" i="2"/>
  <c r="K479" i="2"/>
  <c r="D459" i="2"/>
  <c r="D427" i="2"/>
  <c r="E351" i="2"/>
  <c r="L351" i="2" s="1"/>
  <c r="T36" i="11"/>
  <c r="V36" i="11" s="1"/>
  <c r="T28" i="15"/>
  <c r="K57" i="2"/>
  <c r="E569" i="2"/>
  <c r="L569" i="2" s="1"/>
  <c r="K398" i="2"/>
  <c r="D72" i="2"/>
  <c r="E173" i="2"/>
  <c r="L173" i="2" s="1"/>
  <c r="D109" i="2"/>
  <c r="D369" i="2"/>
  <c r="E337" i="2"/>
  <c r="L337" i="2" s="1"/>
  <c r="K302" i="2"/>
  <c r="D205" i="2"/>
  <c r="E632" i="2"/>
  <c r="L632" i="2" s="1"/>
  <c r="K505" i="2"/>
  <c r="D327" i="2"/>
  <c r="D380" i="2"/>
  <c r="K441" i="2"/>
  <c r="D28" i="6"/>
  <c r="D279" i="2"/>
  <c r="D52" i="2"/>
  <c r="E594" i="2"/>
  <c r="L594" i="2" s="1"/>
  <c r="E111" i="2"/>
  <c r="L111" i="2" s="1"/>
  <c r="E487" i="2"/>
  <c r="L487" i="2" s="1"/>
  <c r="K366" i="2"/>
  <c r="D128" i="2"/>
  <c r="E96" i="2"/>
  <c r="L96" i="2" s="1"/>
  <c r="K317" i="2"/>
  <c r="K325" i="2"/>
  <c r="D199" i="2"/>
  <c r="E191" i="2"/>
  <c r="L191" i="2" s="1"/>
  <c r="D326" i="2"/>
  <c r="E471" i="2"/>
  <c r="L471" i="2" s="1"/>
  <c r="K75" i="2"/>
  <c r="K261" i="2"/>
  <c r="K47" i="2"/>
  <c r="D20" i="2"/>
  <c r="E55" i="2"/>
  <c r="L55" i="2" s="1"/>
  <c r="D26" i="2"/>
  <c r="D110" i="2"/>
  <c r="E501" i="2"/>
  <c r="L501" i="2" s="1"/>
  <c r="D502" i="2"/>
  <c r="K407" i="2"/>
  <c r="J24" i="6"/>
  <c r="D448" i="2"/>
  <c r="K256" i="2"/>
  <c r="K22" i="2"/>
  <c r="E280" i="2"/>
  <c r="L280" i="2" s="1"/>
  <c r="K328" i="2"/>
  <c r="K120" i="2"/>
  <c r="E265" i="2"/>
  <c r="L265" i="2" s="1"/>
  <c r="E363" i="2"/>
  <c r="L363" i="2" s="1"/>
  <c r="E372" i="2"/>
  <c r="L372" i="2" s="1"/>
  <c r="K275" i="2"/>
  <c r="K558" i="2"/>
  <c r="D441" i="2"/>
  <c r="K165" i="2"/>
  <c r="K28" i="6"/>
  <c r="D392" i="2"/>
  <c r="E444" i="2"/>
  <c r="L444" i="2" s="1"/>
  <c r="E546" i="2"/>
  <c r="L546" i="2" s="1"/>
  <c r="D495" i="2"/>
  <c r="K23" i="2"/>
  <c r="K607" i="2"/>
  <c r="D33" i="2"/>
  <c r="E278" i="2"/>
  <c r="L278" i="2" s="1"/>
  <c r="E478" i="2"/>
  <c r="L478" i="2" s="1"/>
  <c r="D305" i="2"/>
  <c r="E164" i="2"/>
  <c r="L164" i="2" s="1"/>
  <c r="E479" i="2"/>
  <c r="L479" i="2" s="1"/>
  <c r="D235" i="2"/>
  <c r="E483" i="2"/>
  <c r="L483" i="2" s="1"/>
  <c r="K472" i="2"/>
  <c r="E81" i="2"/>
  <c r="L81" i="2" s="1"/>
  <c r="D231" i="2"/>
  <c r="E602" i="2"/>
  <c r="L602" i="2" s="1"/>
  <c r="E326" i="2"/>
  <c r="L326" i="2" s="1"/>
  <c r="K622" i="2"/>
  <c r="E185" i="2"/>
  <c r="L185" i="2" s="1"/>
  <c r="D173" i="2"/>
  <c r="K409" i="2"/>
  <c r="K24" i="6"/>
  <c r="E630" i="2"/>
  <c r="L630" i="2" s="1"/>
  <c r="E266" i="2"/>
  <c r="L266" i="2" s="1"/>
  <c r="E513" i="2"/>
  <c r="L513" i="2" s="1"/>
  <c r="E559" i="2"/>
  <c r="L559" i="2" s="1"/>
  <c r="K96" i="2"/>
  <c r="K327" i="2"/>
  <c r="D297" i="2"/>
  <c r="E358" i="2"/>
  <c r="L358" i="2" s="1"/>
  <c r="D88" i="2"/>
  <c r="K55" i="2"/>
  <c r="E254" i="2"/>
  <c r="L254" i="2" s="1"/>
  <c r="E257" i="2"/>
  <c r="L257" i="2" s="1"/>
  <c r="W20" i="8"/>
  <c r="E426" i="2"/>
  <c r="L426" i="2" s="1"/>
  <c r="E152" i="2"/>
  <c r="L152" i="2" s="1"/>
  <c r="K166" i="2"/>
  <c r="K24" i="2"/>
  <c r="E234" i="2"/>
  <c r="L234" i="2" s="1"/>
  <c r="E102" i="2"/>
  <c r="L102" i="2" s="1"/>
  <c r="K82" i="2"/>
  <c r="D575" i="2"/>
  <c r="E635" i="2"/>
  <c r="L635" i="2" s="1"/>
  <c r="K89" i="2"/>
  <c r="K33" i="2"/>
  <c r="D493" i="2"/>
  <c r="D63" i="2"/>
  <c r="K289" i="2"/>
  <c r="D573" i="2"/>
  <c r="E636" i="2"/>
  <c r="L636" i="2" s="1"/>
  <c r="K223" i="2"/>
  <c r="D354" i="2"/>
  <c r="D401" i="2"/>
  <c r="E205" i="2"/>
  <c r="L205" i="2" s="1"/>
  <c r="E22" i="6"/>
  <c r="D382" i="2"/>
  <c r="K595" i="2"/>
  <c r="K31" i="6"/>
  <c r="K265" i="2"/>
  <c r="E279" i="2"/>
  <c r="L279" i="2" s="1"/>
  <c r="E156" i="2"/>
  <c r="L156" i="2" s="1"/>
  <c r="J30" i="6"/>
  <c r="D117" i="2"/>
  <c r="K538" i="2"/>
  <c r="D355" i="2"/>
  <c r="D289" i="2"/>
  <c r="K563" i="2"/>
  <c r="U51" i="11"/>
  <c r="U30" i="15"/>
  <c r="E316" i="2"/>
  <c r="L316" i="2" s="1"/>
  <c r="D203" i="2"/>
  <c r="D341" i="2"/>
  <c r="D120" i="2"/>
  <c r="E250" i="2"/>
  <c r="L250" i="2" s="1"/>
  <c r="K453" i="2"/>
  <c r="D356" i="2"/>
  <c r="E616" i="2"/>
  <c r="L616" i="2" s="1"/>
  <c r="K326" i="2"/>
  <c r="D282" i="2"/>
  <c r="E600" i="2"/>
  <c r="L600" i="2" s="1"/>
  <c r="K154" i="2"/>
  <c r="D271" i="2"/>
  <c r="E359" i="2"/>
  <c r="L359" i="2" s="1"/>
  <c r="D103" i="2"/>
  <c r="K45" i="2"/>
  <c r="K408" i="2"/>
  <c r="D426" i="2"/>
  <c r="E398" i="2"/>
  <c r="L398" i="2" s="1"/>
  <c r="D144" i="2"/>
  <c r="E387" i="2"/>
  <c r="L387" i="2" s="1"/>
  <c r="K212" i="2"/>
  <c r="K318" i="2"/>
  <c r="E449" i="2"/>
  <c r="L449" i="2" s="1"/>
  <c r="K251" i="2"/>
  <c r="K467" i="2"/>
  <c r="E425" i="2"/>
  <c r="L425" i="2" s="1"/>
  <c r="E147" i="2"/>
  <c r="L147" i="2" s="1"/>
  <c r="D308" i="2"/>
  <c r="E617" i="2"/>
  <c r="L617" i="2" s="1"/>
  <c r="E413" i="2"/>
  <c r="L413" i="2" s="1"/>
  <c r="K190" i="2"/>
  <c r="D423" i="2"/>
  <c r="K431" i="2"/>
  <c r="D46" i="2"/>
  <c r="E300" i="2"/>
  <c r="L300" i="2" s="1"/>
  <c r="K578" i="2"/>
  <c r="E339" i="2"/>
  <c r="L339" i="2" s="1"/>
  <c r="D612" i="2"/>
  <c r="K427" i="2"/>
  <c r="K102" i="2"/>
  <c r="E177" i="2"/>
  <c r="L177" i="2" s="1"/>
  <c r="E436" i="2"/>
  <c r="L436" i="2" s="1"/>
  <c r="K60" i="2"/>
  <c r="E634" i="2"/>
  <c r="L634" i="2" s="1"/>
  <c r="D243" i="2"/>
  <c r="K488" i="2"/>
  <c r="E174" i="2"/>
  <c r="L174" i="2" s="1"/>
  <c r="D624" i="2"/>
  <c r="N51" i="11"/>
  <c r="K514" i="2"/>
  <c r="E228" i="2"/>
  <c r="L228" i="2" s="1"/>
  <c r="E21" i="2"/>
  <c r="L21" i="2" s="1"/>
  <c r="K117" i="2"/>
  <c r="K114" i="2"/>
  <c r="D191" i="2"/>
  <c r="D307" i="2"/>
  <c r="D388" i="2"/>
  <c r="D32" i="6"/>
  <c r="D322" i="2"/>
  <c r="K609" i="2"/>
  <c r="U21" i="6"/>
  <c r="D574" i="2"/>
  <c r="D455" i="2"/>
  <c r="E312" i="2"/>
  <c r="L312" i="2" s="1"/>
  <c r="D140" i="2"/>
  <c r="E199" i="2"/>
  <c r="L199" i="2" s="1"/>
  <c r="E101" i="2"/>
  <c r="L101" i="2" s="1"/>
  <c r="E611" i="2"/>
  <c r="L611" i="2" s="1"/>
  <c r="E161" i="2"/>
  <c r="L161" i="2" s="1"/>
  <c r="D599" i="2"/>
  <c r="K405" i="2"/>
  <c r="N24" i="6"/>
  <c r="E448" i="2"/>
  <c r="L448" i="2" s="1"/>
  <c r="K181" i="2"/>
  <c r="E587" i="2"/>
  <c r="L587" i="2" s="1"/>
  <c r="E293" i="2"/>
  <c r="L293" i="2" s="1"/>
  <c r="E167" i="2"/>
  <c r="L167" i="2" s="1"/>
  <c r="K332" i="2"/>
  <c r="E396" i="2"/>
  <c r="L396" i="2" s="1"/>
  <c r="D570" i="2"/>
  <c r="K402" i="2"/>
  <c r="D164" i="2"/>
  <c r="E440" i="2"/>
  <c r="L440" i="2" s="1"/>
  <c r="K387" i="2"/>
  <c r="D246" i="2"/>
  <c r="E574" i="2"/>
  <c r="L574" i="2" s="1"/>
  <c r="D69" i="2"/>
  <c r="K483" i="2"/>
  <c r="D270" i="2"/>
  <c r="E437" i="2"/>
  <c r="L437" i="2" s="1"/>
  <c r="D23" i="6"/>
  <c r="D302" i="2"/>
  <c r="E529" i="2"/>
  <c r="L529" i="2" s="1"/>
  <c r="K312" i="2"/>
  <c r="K611" i="2"/>
  <c r="D517" i="2"/>
  <c r="D619" i="2"/>
  <c r="K42" i="2"/>
  <c r="D241" i="2"/>
  <c r="D138" i="2"/>
  <c r="K109" i="2"/>
  <c r="D215" i="2"/>
  <c r="E123" i="2"/>
  <c r="L123" i="2" s="1"/>
  <c r="K335" i="2"/>
  <c r="K364" i="2"/>
  <c r="E22" i="2"/>
  <c r="L22" i="2" s="1"/>
  <c r="E510" i="2"/>
  <c r="L510" i="2" s="1"/>
  <c r="D31" i="6"/>
  <c r="K101" i="2"/>
  <c r="E419" i="2"/>
  <c r="L419" i="2" s="1"/>
  <c r="E376" i="2"/>
  <c r="L376" i="2" s="1"/>
  <c r="K630" i="2"/>
  <c r="D59" i="2"/>
  <c r="K383" i="2"/>
  <c r="K153" i="2"/>
  <c r="E165" i="2"/>
  <c r="L165" i="2" s="1"/>
  <c r="E349" i="2"/>
  <c r="L349" i="2" s="1"/>
  <c r="K148" i="2"/>
  <c r="K123" i="2"/>
  <c r="D559" i="2"/>
  <c r="D162" i="2"/>
  <c r="D364" i="2"/>
  <c r="D402" i="2"/>
  <c r="D410" i="2"/>
  <c r="T51" i="11"/>
  <c r="V51" i="11" s="1"/>
  <c r="T29" i="15"/>
  <c r="N29" i="15"/>
  <c r="N29" i="11"/>
  <c r="E561" i="2"/>
  <c r="L561" i="2" s="1"/>
  <c r="E470" i="2"/>
  <c r="L470" i="2" s="1"/>
  <c r="D331" i="2"/>
  <c r="K65" i="2"/>
  <c r="E38" i="2"/>
  <c r="L38" i="2" s="1"/>
  <c r="D104" i="2"/>
  <c r="K159" i="2"/>
  <c r="K296" i="2"/>
  <c r="E469" i="2"/>
  <c r="L469" i="2" s="1"/>
  <c r="K339" i="2"/>
  <c r="K518" i="2"/>
  <c r="E180" i="2"/>
  <c r="L180" i="2" s="1"/>
  <c r="K466" i="2"/>
  <c r="K95" i="2"/>
  <c r="D145" i="2"/>
  <c r="D281" i="2"/>
  <c r="D311" i="2"/>
  <c r="K476" i="2"/>
  <c r="K177" i="2"/>
  <c r="K388" i="2"/>
  <c r="N19" i="6"/>
  <c r="E135" i="2"/>
  <c r="L135" i="2" s="1"/>
  <c r="E268" i="2"/>
  <c r="L268" i="2" s="1"/>
  <c r="K406" i="2"/>
  <c r="E613" i="2"/>
  <c r="L613" i="2" s="1"/>
  <c r="D82" i="2"/>
  <c r="D509" i="2"/>
  <c r="J27" i="6"/>
  <c r="E277" i="2"/>
  <c r="L277" i="2" s="1"/>
  <c r="D520" i="2"/>
  <c r="K27" i="6"/>
  <c r="K356" i="2"/>
  <c r="D309" i="2"/>
  <c r="E87" i="2"/>
  <c r="L87" i="2" s="1"/>
  <c r="K621" i="2"/>
  <c r="D608" i="2"/>
  <c r="D554" i="2"/>
  <c r="D146" i="2"/>
  <c r="K258" i="2"/>
  <c r="D87" i="2"/>
  <c r="E210" i="2"/>
  <c r="L210" i="2" s="1"/>
  <c r="K338" i="2"/>
  <c r="D274" i="2"/>
  <c r="D499" i="2"/>
  <c r="K608" i="2"/>
  <c r="D524" i="2"/>
  <c r="D118" i="2"/>
  <c r="E73" i="2"/>
  <c r="L73" i="2" s="1"/>
  <c r="E446" i="2"/>
  <c r="L446" i="2" s="1"/>
  <c r="E460" i="2"/>
  <c r="L460" i="2" s="1"/>
  <c r="E51" i="2"/>
  <c r="L51" i="2" s="1"/>
  <c r="D190" i="2"/>
  <c r="K380" i="2"/>
  <c r="E582" i="2"/>
  <c r="L582" i="2" s="1"/>
  <c r="D359" i="2"/>
  <c r="D280" i="2"/>
  <c r="K508" i="2"/>
  <c r="E29" i="2"/>
  <c r="L29" i="2" s="1"/>
  <c r="D596" i="2"/>
  <c r="K270" i="2"/>
  <c r="V20" i="8"/>
  <c r="D288" i="2"/>
  <c r="E360" i="2"/>
  <c r="L360" i="2" s="1"/>
  <c r="E555" i="2"/>
  <c r="L555" i="2" s="1"/>
  <c r="D404" i="2"/>
  <c r="K598" i="2"/>
  <c r="K323" i="2"/>
  <c r="D272" i="2"/>
  <c r="E313" i="2"/>
  <c r="L313" i="2" s="1"/>
  <c r="K577" i="2"/>
  <c r="K475" i="2"/>
  <c r="D539" i="2"/>
  <c r="K531" i="2"/>
  <c r="E218" i="2"/>
  <c r="L218" i="2" s="1"/>
  <c r="E461" i="2"/>
  <c r="L461" i="2" s="1"/>
  <c r="E588" i="2"/>
  <c r="L588" i="2" s="1"/>
  <c r="K211" i="2"/>
  <c r="K29" i="6"/>
  <c r="D130" i="2"/>
  <c r="K400" i="2"/>
  <c r="J31" i="6"/>
  <c r="D389" i="2"/>
  <c r="K420" i="2"/>
  <c r="W19" i="8"/>
  <c r="E238" i="2"/>
  <c r="L238" i="2" s="1"/>
  <c r="E540" i="2"/>
  <c r="L540" i="2" s="1"/>
  <c r="K481" i="2"/>
  <c r="D636" i="2"/>
  <c r="E113" i="2"/>
  <c r="L113" i="2" s="1"/>
  <c r="K399" i="2"/>
  <c r="D417" i="2"/>
  <c r="D386" i="2"/>
  <c r="E562" i="2"/>
  <c r="L562" i="2" s="1"/>
  <c r="K504" i="2"/>
  <c r="E171" i="2"/>
  <c r="L171" i="2" s="1"/>
  <c r="D242" i="2"/>
  <c r="K277" i="2"/>
  <c r="AC38" i="8"/>
  <c r="E163" i="2"/>
  <c r="L163" i="2" s="1"/>
  <c r="D606" i="2"/>
  <c r="D27" i="6"/>
  <c r="K86" i="2"/>
  <c r="K586" i="2"/>
  <c r="D587" i="2"/>
  <c r="D632" i="2"/>
  <c r="E477" i="2"/>
  <c r="L477" i="2" s="1"/>
  <c r="D538" i="2"/>
  <c r="K377" i="2"/>
  <c r="E132" i="2"/>
  <c r="L132" i="2" s="1"/>
  <c r="E496" i="2"/>
  <c r="L496" i="2" s="1"/>
  <c r="AC37" i="8"/>
  <c r="K357" i="2"/>
  <c r="K632" i="2"/>
  <c r="K548" i="2"/>
  <c r="D27" i="2"/>
  <c r="E614" i="2"/>
  <c r="L614" i="2" s="1"/>
  <c r="E70" i="2"/>
  <c r="L70" i="2" s="1"/>
  <c r="K268" i="2"/>
  <c r="D320" i="2"/>
  <c r="E181" i="2"/>
  <c r="L181" i="2" s="1"/>
  <c r="J28" i="6"/>
  <c r="D276" i="2"/>
  <c r="E333" i="2"/>
  <c r="L333" i="2" s="1"/>
  <c r="U37" i="11"/>
  <c r="D23" i="2"/>
  <c r="E427" i="2"/>
  <c r="L427" i="2" s="1"/>
  <c r="N52" i="11"/>
  <c r="K436" i="2"/>
  <c r="D338" i="2"/>
  <c r="D150" i="2"/>
  <c r="K322" i="2"/>
  <c r="K492" i="2"/>
  <c r="E40" i="2"/>
  <c r="L40" i="2" s="1"/>
  <c r="K315" i="2"/>
  <c r="K547" i="2"/>
  <c r="D366" i="2"/>
  <c r="E169" i="2"/>
  <c r="L169" i="2" s="1"/>
  <c r="E193" i="2"/>
  <c r="L193" i="2" s="1"/>
  <c r="D510" i="2"/>
  <c r="K458" i="2"/>
  <c r="E520" i="2"/>
  <c r="L520" i="2" s="1"/>
  <c r="D260" i="2"/>
  <c r="E408" i="2"/>
  <c r="L408" i="2" s="1"/>
  <c r="K602" i="2"/>
  <c r="K411" i="2"/>
  <c r="E404" i="2"/>
  <c r="L404" i="2" s="1"/>
  <c r="K524" i="2"/>
  <c r="E599" i="2"/>
  <c r="L599" i="2" s="1"/>
  <c r="D551" i="2"/>
  <c r="E338" i="2"/>
  <c r="L338" i="2" s="1"/>
  <c r="D357" i="2"/>
  <c r="D396" i="2"/>
  <c r="E629" i="2"/>
  <c r="L629" i="2" s="1"/>
  <c r="AD38" i="8"/>
  <c r="K385" i="2"/>
  <c r="D239" i="2"/>
  <c r="E543" i="2"/>
  <c r="L543" i="2" s="1"/>
  <c r="D400" i="2"/>
  <c r="K618" i="2"/>
  <c r="D26" i="6"/>
  <c r="E106" i="2"/>
  <c r="L106" i="2" s="1"/>
  <c r="K456" i="2"/>
  <c r="V18" i="6"/>
  <c r="E109" i="2"/>
  <c r="L109" i="2" s="1"/>
  <c r="E34" i="2"/>
  <c r="L34" i="2" s="1"/>
  <c r="K361" i="2"/>
  <c r="K396" i="2"/>
  <c r="E598" i="2"/>
  <c r="L598" i="2" s="1"/>
  <c r="E97" i="2"/>
  <c r="L97" i="2" s="1"/>
  <c r="D15" i="2"/>
  <c r="K155" i="2"/>
  <c r="D578" i="2"/>
  <c r="E256" i="2"/>
  <c r="L256" i="2" s="1"/>
  <c r="E239" i="2"/>
  <c r="L239" i="2" s="1"/>
  <c r="D553" i="2"/>
  <c r="D462" i="2"/>
  <c r="K459" i="2"/>
  <c r="V21" i="8"/>
  <c r="D330" i="2"/>
  <c r="D99" i="2"/>
  <c r="K44" i="2"/>
  <c r="D474" i="2"/>
  <c r="D513" i="2"/>
  <c r="K160" i="2"/>
  <c r="D58" i="2"/>
  <c r="D504" i="2"/>
  <c r="K591" i="2"/>
  <c r="K509" i="2"/>
  <c r="D602" i="2"/>
  <c r="E379" i="2"/>
  <c r="L379" i="2" s="1"/>
  <c r="K76" i="2"/>
  <c r="E281" i="2"/>
  <c r="L281" i="2" s="1"/>
  <c r="D533" i="2"/>
  <c r="K264" i="2"/>
  <c r="D561" i="2"/>
  <c r="D75" i="2"/>
  <c r="E388" i="2"/>
  <c r="L388" i="2" s="1"/>
  <c r="K433" i="2"/>
  <c r="E453" i="2"/>
  <c r="L453" i="2" s="1"/>
  <c r="E299" i="2"/>
  <c r="L299" i="2" s="1"/>
  <c r="E441" i="2"/>
  <c r="L441" i="2" s="1"/>
  <c r="D489" i="2"/>
  <c r="D197" i="2"/>
  <c r="K295" i="2"/>
  <c r="K626" i="2"/>
  <c r="E136" i="2"/>
  <c r="L136" i="2" s="1"/>
  <c r="K373" i="2"/>
  <c r="K227" i="2"/>
  <c r="D208" i="2"/>
  <c r="E394" i="2"/>
  <c r="L394" i="2" s="1"/>
  <c r="K437" i="2"/>
  <c r="E530" i="2"/>
  <c r="L530" i="2" s="1"/>
  <c r="D521" i="2"/>
  <c r="K50" i="2"/>
  <c r="D361" i="2"/>
  <c r="E495" i="2"/>
  <c r="L495" i="2" s="1"/>
  <c r="K450" i="2"/>
  <c r="E98" i="2"/>
  <c r="L98" i="2" s="1"/>
  <c r="D584" i="2"/>
  <c r="N28" i="15"/>
  <c r="K66" i="2"/>
  <c r="E442" i="2"/>
  <c r="L442" i="2" s="1"/>
  <c r="D430" i="2"/>
  <c r="K99" i="2"/>
  <c r="K180" i="2"/>
  <c r="E221" i="2"/>
  <c r="L221" i="2" s="1"/>
  <c r="D463" i="2"/>
  <c r="K300" i="2"/>
  <c r="K183" i="2"/>
  <c r="D390" i="2"/>
  <c r="D528" i="2"/>
  <c r="E259" i="2"/>
  <c r="L259" i="2" s="1"/>
  <c r="D319" i="2"/>
  <c r="E213" i="2"/>
  <c r="L213" i="2" s="1"/>
  <c r="K201" i="2"/>
  <c r="K146" i="2"/>
  <c r="D252" i="2"/>
  <c r="D29" i="6"/>
  <c r="K27" i="2"/>
  <c r="E465" i="2"/>
  <c r="L465" i="2" s="1"/>
  <c r="D328" i="2"/>
  <c r="D529" i="2"/>
  <c r="D536" i="2"/>
  <c r="E62" i="2"/>
  <c r="L62" i="2" s="1"/>
  <c r="D434" i="2"/>
  <c r="E592" i="2"/>
  <c r="L592" i="2" s="1"/>
  <c r="E88" i="2"/>
  <c r="L88" i="2" s="1"/>
  <c r="K551" i="2"/>
  <c r="E347" i="2"/>
  <c r="L347" i="2" s="1"/>
  <c r="E289" i="2"/>
  <c r="L289" i="2" s="1"/>
  <c r="U28" i="11"/>
  <c r="D630" i="2"/>
  <c r="N30" i="15"/>
  <c r="S22" i="6"/>
  <c r="D61" i="2"/>
  <c r="D70" i="2"/>
  <c r="K37" i="2"/>
  <c r="K73" i="2"/>
  <c r="D492" i="2"/>
  <c r="D89" i="2"/>
  <c r="K164" i="2"/>
  <c r="E233" i="2"/>
  <c r="L233" i="2" s="1"/>
  <c r="D102" i="2"/>
  <c r="E321" i="2"/>
  <c r="L321" i="2" s="1"/>
  <c r="D407" i="2"/>
  <c r="E624" i="2"/>
  <c r="L624" i="2" s="1"/>
  <c r="E130" i="2"/>
  <c r="L130" i="2" s="1"/>
  <c r="E267" i="2"/>
  <c r="L267" i="2" s="1"/>
  <c r="K501" i="2"/>
  <c r="E20" i="6"/>
  <c r="K94" i="2"/>
  <c r="K384" i="2"/>
  <c r="D159" i="2"/>
  <c r="E328" i="2"/>
  <c r="L328" i="2" s="1"/>
  <c r="D424" i="2"/>
  <c r="V25" i="8"/>
  <c r="E60" i="2"/>
  <c r="L60" i="2" s="1"/>
  <c r="D133" i="2"/>
  <c r="D603" i="2"/>
  <c r="E467" i="2"/>
  <c r="L467" i="2" s="1"/>
  <c r="D531" i="2"/>
  <c r="K105" i="2"/>
  <c r="K18" i="6"/>
  <c r="E456" i="2"/>
  <c r="L456" i="2" s="1"/>
  <c r="D595" i="2"/>
  <c r="K489" i="2"/>
  <c r="K633" i="2"/>
  <c r="D94" i="2"/>
  <c r="E317" i="2"/>
  <c r="L317" i="2" s="1"/>
  <c r="K186" i="2"/>
  <c r="E324" i="2"/>
  <c r="L324" i="2" s="1"/>
  <c r="E422" i="2"/>
  <c r="L422" i="2" s="1"/>
  <c r="K412" i="2"/>
  <c r="D291" i="2"/>
  <c r="D593" i="2"/>
  <c r="K576" i="2"/>
  <c r="E480" i="2"/>
  <c r="L480" i="2" s="1"/>
  <c r="E329" i="2"/>
  <c r="L329" i="2" s="1"/>
  <c r="E492" i="2"/>
  <c r="L492" i="2" s="1"/>
  <c r="K368" i="2"/>
  <c r="K104" i="2"/>
  <c r="E24" i="6"/>
  <c r="D535" i="2"/>
  <c r="K446" i="2"/>
  <c r="D25" i="6"/>
  <c r="E86" i="2"/>
  <c r="L86" i="2" s="1"/>
  <c r="E383" i="2"/>
  <c r="L383" i="2" s="1"/>
  <c r="K510" i="2"/>
  <c r="M21" i="6"/>
  <c r="D168" i="2"/>
  <c r="K319" i="2"/>
  <c r="D56" i="2"/>
  <c r="D294" i="2"/>
  <c r="D283" i="2"/>
  <c r="K254" i="2"/>
  <c r="E390" i="2"/>
  <c r="L390" i="2" s="1"/>
  <c r="D154" i="2"/>
  <c r="K85" i="2"/>
  <c r="D376" i="2"/>
  <c r="D363" i="2"/>
  <c r="K351" i="2"/>
  <c r="D607" i="2"/>
  <c r="D540" i="2"/>
  <c r="D532" i="2"/>
  <c r="K299" i="2"/>
  <c r="E209" i="2"/>
  <c r="L209" i="2" s="1"/>
  <c r="E244" i="2"/>
  <c r="L244" i="2" s="1"/>
  <c r="N29" i="6"/>
  <c r="E290" i="2"/>
  <c r="L290" i="2" s="1"/>
  <c r="E190" i="2"/>
  <c r="L190" i="2" s="1"/>
  <c r="K129" i="2"/>
  <c r="K523" i="2"/>
  <c r="K570" i="2"/>
  <c r="D456" i="2"/>
  <c r="K442" i="2"/>
  <c r="E373" i="2"/>
  <c r="L373" i="2" s="1"/>
  <c r="E69" i="2"/>
  <c r="L69" i="2" s="1"/>
  <c r="K542" i="2"/>
  <c r="D155" i="2"/>
  <c r="D256" i="2"/>
  <c r="D76" i="2"/>
  <c r="AC39" i="8"/>
  <c r="K601" i="2"/>
  <c r="K413" i="2"/>
  <c r="K144" i="2"/>
  <c r="E509" i="2"/>
  <c r="L509" i="2" s="1"/>
  <c r="D174" i="2"/>
  <c r="N28" i="11"/>
  <c r="K499" i="2"/>
  <c r="E459" i="2"/>
  <c r="L459" i="2" s="1"/>
  <c r="E551" i="2"/>
  <c r="L551" i="2" s="1"/>
  <c r="K30" i="2"/>
  <c r="E227" i="2"/>
  <c r="L227" i="2" s="1"/>
  <c r="D507" i="2"/>
  <c r="E489" i="2"/>
  <c r="L489" i="2" s="1"/>
  <c r="K333" i="2"/>
  <c r="E263" i="2"/>
  <c r="L263" i="2" s="1"/>
  <c r="E332" i="2"/>
  <c r="L332" i="2" s="1"/>
  <c r="K174" i="2"/>
  <c r="E223" i="2"/>
  <c r="L223" i="2" s="1"/>
  <c r="D409" i="2"/>
  <c r="K321" i="2"/>
  <c r="K67" i="2"/>
  <c r="E287" i="2"/>
  <c r="L287" i="2" s="1"/>
  <c r="D303" i="2"/>
  <c r="K316" i="2"/>
  <c r="E59" i="2"/>
  <c r="L59" i="2" s="1"/>
  <c r="E514" i="2"/>
  <c r="L514" i="2" s="1"/>
  <c r="K410" i="2"/>
  <c r="E621" i="2"/>
  <c r="L621" i="2" s="1"/>
  <c r="E95" i="2"/>
  <c r="L95" i="2" s="1"/>
  <c r="D385" i="2"/>
  <c r="K26" i="6"/>
  <c r="E593" i="2"/>
  <c r="L593" i="2" s="1"/>
  <c r="K138" i="2"/>
  <c r="K359" i="2"/>
  <c r="E533" i="2"/>
  <c r="L533" i="2" s="1"/>
  <c r="T30" i="15"/>
  <c r="D188" i="2"/>
  <c r="N53" i="11"/>
  <c r="K198" i="2"/>
  <c r="K487" i="2"/>
  <c r="K527" i="2"/>
  <c r="E78" i="2"/>
  <c r="L78" i="2" s="1"/>
  <c r="E504" i="2"/>
  <c r="L504" i="2" s="1"/>
  <c r="E195" i="2"/>
  <c r="L195" i="2" s="1"/>
  <c r="D293" i="2"/>
  <c r="D367" i="2"/>
  <c r="E260" i="2"/>
  <c r="L260" i="2" s="1"/>
  <c r="D491" i="2"/>
  <c r="D36" i="2"/>
  <c r="K192" i="2"/>
  <c r="K106" i="2"/>
  <c r="E31" i="2"/>
  <c r="L31" i="2" s="1"/>
  <c r="D571" i="2"/>
  <c r="E507" i="2"/>
  <c r="L507" i="2" s="1"/>
  <c r="K549" i="2"/>
  <c r="D269" i="2"/>
  <c r="E586" i="2"/>
  <c r="L586" i="2" s="1"/>
  <c r="D353" i="2"/>
  <c r="D292" i="2"/>
  <c r="E454" i="2"/>
  <c r="L454" i="2" s="1"/>
  <c r="K430" i="2"/>
  <c r="E134" i="2"/>
  <c r="L134" i="2" s="1"/>
  <c r="D542" i="2"/>
  <c r="K116" i="2"/>
  <c r="E322" i="2"/>
  <c r="L322" i="2" s="1"/>
  <c r="E162" i="2"/>
  <c r="L162" i="2" s="1"/>
  <c r="K88" i="2"/>
  <c r="D20" i="6"/>
  <c r="E558" i="2"/>
  <c r="L558" i="2" s="1"/>
  <c r="D227" i="2"/>
  <c r="K178" i="2"/>
  <c r="K521" i="2"/>
  <c r="K209" i="2"/>
  <c r="D473" i="2"/>
  <c r="D98" i="2"/>
  <c r="D42" i="2"/>
  <c r="E206" i="2"/>
  <c r="L206" i="2" s="1"/>
  <c r="E116" i="2"/>
  <c r="L116" i="2" s="1"/>
  <c r="D332" i="2"/>
  <c r="D43" i="2"/>
  <c r="K43" i="2"/>
  <c r="K49" i="2"/>
  <c r="D285" i="2"/>
  <c r="E350" i="2"/>
  <c r="L350" i="2" s="1"/>
  <c r="D514" i="2"/>
  <c r="K566" i="2"/>
  <c r="K215" i="2"/>
  <c r="D211" i="2"/>
  <c r="D286" i="2"/>
  <c r="K597" i="2"/>
  <c r="E41" i="2"/>
  <c r="L41" i="2" s="1"/>
  <c r="E407" i="2"/>
  <c r="L407" i="2" s="1"/>
  <c r="K634" i="2"/>
  <c r="K224" i="2"/>
  <c r="E144" i="2"/>
  <c r="L144" i="2" s="1"/>
  <c r="K52" i="2"/>
  <c r="E325" i="2"/>
  <c r="L325" i="2" s="1"/>
  <c r="E353" i="2"/>
  <c r="L353" i="2" s="1"/>
  <c r="D566" i="2"/>
  <c r="D44" i="2"/>
  <c r="E23" i="6"/>
  <c r="K182" i="2"/>
  <c r="K579" i="2"/>
  <c r="J23" i="6"/>
  <c r="D431" i="2"/>
  <c r="K470" i="2"/>
  <c r="E557" i="2"/>
  <c r="L557" i="2" s="1"/>
  <c r="D500" i="2"/>
  <c r="D519" i="2"/>
  <c r="K320" i="2"/>
  <c r="E386" i="2"/>
  <c r="L386" i="2" s="1"/>
  <c r="E584" i="2"/>
  <c r="L584" i="2" s="1"/>
  <c r="K218" i="2"/>
  <c r="E33" i="6"/>
  <c r="D480" i="2"/>
  <c r="K587" i="2"/>
  <c r="K403" i="2"/>
  <c r="D206" i="2"/>
  <c r="K112" i="2"/>
  <c r="K18" i="2"/>
  <c r="D222" i="2"/>
  <c r="K445" i="2"/>
  <c r="K414" i="2"/>
  <c r="M31" i="6"/>
  <c r="D317" i="2"/>
  <c r="E283" i="2"/>
  <c r="L283" i="2" s="1"/>
  <c r="D18" i="6"/>
  <c r="D47" i="2"/>
  <c r="K355" i="2"/>
  <c r="E340" i="2"/>
  <c r="L340" i="2" s="1"/>
  <c r="U20" i="6"/>
  <c r="D112" i="2"/>
  <c r="D287" i="2"/>
  <c r="K151" i="2"/>
  <c r="K149" i="2"/>
  <c r="E301" i="2"/>
  <c r="L301" i="2" s="1"/>
  <c r="K575" i="2"/>
  <c r="K115" i="2"/>
  <c r="D16" i="2"/>
  <c r="E71" i="2"/>
  <c r="L71" i="2" s="1"/>
  <c r="K447" i="2"/>
  <c r="D479" i="2"/>
  <c r="D397" i="2"/>
  <c r="K336" i="2"/>
  <c r="E24" i="2"/>
  <c r="L24" i="2" s="1"/>
  <c r="D80" i="2"/>
  <c r="E366" i="2"/>
  <c r="L366" i="2" s="1"/>
  <c r="K498" i="2"/>
  <c r="E273" i="2"/>
  <c r="L273" i="2" s="1"/>
  <c r="E80" i="2"/>
  <c r="L80" i="2" s="1"/>
  <c r="K574" i="2"/>
  <c r="D372" i="2"/>
  <c r="D21" i="2"/>
  <c r="K145" i="2"/>
  <c r="V18" i="8"/>
  <c r="E391" i="2"/>
  <c r="L391" i="2" s="1"/>
  <c r="E298" i="2"/>
  <c r="L298" i="2" s="1"/>
  <c r="K473" i="2"/>
  <c r="D340" i="2"/>
  <c r="D358" i="2"/>
  <c r="K457" i="2"/>
  <c r="D466" i="2"/>
  <c r="K287" i="2"/>
  <c r="D408" i="2"/>
  <c r="D91" i="2"/>
  <c r="E79" i="2"/>
  <c r="L79" i="2" s="1"/>
  <c r="K561" i="2"/>
  <c r="D41" i="2"/>
  <c r="K493" i="2"/>
  <c r="D494" i="2"/>
  <c r="K365" i="2"/>
  <c r="E187" i="2"/>
  <c r="L187" i="2" s="1"/>
  <c r="D301" i="2"/>
  <c r="K269" i="2"/>
  <c r="E609" i="2"/>
  <c r="L609" i="2" s="1"/>
  <c r="E523" i="2"/>
  <c r="L523" i="2" s="1"/>
  <c r="E414" i="2"/>
  <c r="L414" i="2" s="1"/>
  <c r="D193" i="2"/>
  <c r="K536" i="2"/>
  <c r="D534" i="2"/>
  <c r="E226" i="2"/>
  <c r="L226" i="2" s="1"/>
  <c r="K535" i="2"/>
  <c r="D609" i="2"/>
  <c r="E550" i="2"/>
  <c r="L550" i="2" s="1"/>
  <c r="K208" i="2"/>
  <c r="E484" i="2"/>
  <c r="L484" i="2" s="1"/>
  <c r="E346" i="2"/>
  <c r="L346" i="2" s="1"/>
  <c r="K91" i="2"/>
  <c r="E411" i="2"/>
  <c r="L411" i="2" s="1"/>
  <c r="D384" i="2"/>
  <c r="E547" i="2"/>
  <c r="L547" i="2" s="1"/>
  <c r="K600" i="2"/>
  <c r="D38" i="2"/>
  <c r="D381" i="2"/>
  <c r="D141" i="2"/>
  <c r="E17" i="2"/>
  <c r="L17" i="2" s="1"/>
  <c r="K14" i="2"/>
  <c r="M18" i="6"/>
  <c r="D439" i="2"/>
  <c r="K344" i="2"/>
  <c r="D588" i="2"/>
  <c r="AD44" i="8"/>
  <c r="D476" i="2"/>
  <c r="K490" i="2"/>
  <c r="E451" i="2"/>
  <c r="L451" i="2" s="1"/>
  <c r="D299" i="2"/>
  <c r="K370" i="2"/>
  <c r="D348" i="2"/>
  <c r="E395" i="2"/>
  <c r="L395" i="2" s="1"/>
  <c r="K512" i="2"/>
  <c r="E253" i="2"/>
  <c r="L253" i="2" s="1"/>
  <c r="K41" i="2"/>
  <c r="K584" i="2"/>
  <c r="D468" i="2"/>
  <c r="E615" i="2"/>
  <c r="L615" i="2" s="1"/>
  <c r="K20" i="6"/>
  <c r="E91" i="2"/>
  <c r="L91" i="2" s="1"/>
  <c r="D470" i="2"/>
  <c r="K278" i="2"/>
  <c r="E352" i="2"/>
  <c r="L352" i="2" s="1"/>
  <c r="D224" i="2"/>
  <c r="K276" i="2"/>
  <c r="E120" i="2"/>
  <c r="L120" i="2" s="1"/>
  <c r="E32" i="6"/>
  <c r="E497" i="2"/>
  <c r="L497" i="2" s="1"/>
  <c r="K194" i="2"/>
  <c r="D18" i="2"/>
  <c r="K206" i="2"/>
  <c r="K280" i="2"/>
  <c r="K34" i="2"/>
  <c r="D465" i="2"/>
  <c r="K362" i="2"/>
  <c r="E570" i="2"/>
  <c r="L570" i="2" s="1"/>
  <c r="E608" i="2"/>
  <c r="L608" i="2" s="1"/>
  <c r="K304" i="2"/>
  <c r="E90" i="2"/>
  <c r="L90" i="2" s="1"/>
  <c r="E63" i="2"/>
  <c r="L63" i="2" s="1"/>
  <c r="K360" i="2"/>
  <c r="V21" i="6"/>
  <c r="E125" i="2"/>
  <c r="L125" i="2" s="1"/>
  <c r="E122" i="2"/>
  <c r="L122" i="2" s="1"/>
  <c r="K550" i="2"/>
  <c r="K404" i="2"/>
  <c r="K625" i="2"/>
  <c r="E450" i="2"/>
  <c r="L450" i="2" s="1"/>
  <c r="D86" i="2"/>
  <c r="K71" i="2"/>
  <c r="D505" i="2"/>
  <c r="K393" i="2"/>
  <c r="E532" i="2"/>
  <c r="L532" i="2" s="1"/>
  <c r="E204" i="2"/>
  <c r="L204" i="2" s="1"/>
  <c r="E527" i="2"/>
  <c r="L527" i="2" s="1"/>
  <c r="K126" i="2"/>
  <c r="K617" i="2"/>
  <c r="E170" i="2"/>
  <c r="L170" i="2" s="1"/>
  <c r="E229" i="2"/>
  <c r="L229" i="2" s="1"/>
  <c r="K494" i="2"/>
  <c r="E314" i="2"/>
  <c r="L314" i="2" s="1"/>
  <c r="K77" i="2"/>
  <c r="V23" i="8"/>
  <c r="D163" i="2"/>
  <c r="E151" i="2"/>
  <c r="L151" i="2" s="1"/>
  <c r="D24" i="6"/>
  <c r="E305" i="2"/>
  <c r="L305" i="2" s="1"/>
  <c r="K213" i="2"/>
  <c r="K482" i="2"/>
  <c r="D172" i="2"/>
  <c r="K540" i="2"/>
  <c r="K334" i="2"/>
  <c r="E178" i="2"/>
  <c r="L178" i="2" s="1"/>
  <c r="D92" i="2"/>
  <c r="K230" i="2"/>
  <c r="E415" i="2"/>
  <c r="L415" i="2" s="1"/>
  <c r="D313" i="2"/>
  <c r="K98" i="2"/>
  <c r="K546" i="2"/>
  <c r="M20" i="6"/>
  <c r="D131" i="2"/>
  <c r="K195" i="2"/>
  <c r="D264" i="2"/>
  <c r="K477" i="2"/>
  <c r="K185" i="2"/>
  <c r="D179" i="2"/>
  <c r="E335" i="2"/>
  <c r="L335" i="2" s="1"/>
  <c r="D471" i="2"/>
  <c r="D620" i="2"/>
  <c r="E270" i="2"/>
  <c r="L270" i="2" s="1"/>
  <c r="E184" i="2"/>
  <c r="L184" i="2" s="1"/>
  <c r="K236" i="2"/>
  <c r="K337" i="2"/>
  <c r="D210" i="2"/>
  <c r="D447" i="2"/>
  <c r="K581" i="2"/>
  <c r="D32" i="2"/>
  <c r="K244" i="2"/>
  <c r="D183" i="2"/>
  <c r="E356" i="2"/>
  <c r="L356" i="2" s="1"/>
  <c r="D604" i="2"/>
  <c r="K274" i="2"/>
  <c r="D511" i="2"/>
  <c r="E37" i="2"/>
  <c r="L37" i="2" s="1"/>
  <c r="K307" i="2"/>
  <c r="E139" i="2"/>
  <c r="L139" i="2" s="1"/>
  <c r="D136" i="2"/>
  <c r="K555" i="2"/>
  <c r="E524" i="2"/>
  <c r="L524" i="2" s="1"/>
  <c r="K418" i="2"/>
  <c r="D30" i="6"/>
  <c r="D218" i="2"/>
  <c r="D565" i="2"/>
  <c r="M24" i="6"/>
  <c r="D142" i="2"/>
  <c r="K485" i="2"/>
  <c r="D597" i="2"/>
  <c r="K500" i="2"/>
  <c r="E573" i="2"/>
  <c r="L573" i="2" s="1"/>
  <c r="D428" i="2"/>
  <c r="E357" i="2"/>
  <c r="L357" i="2" s="1"/>
  <c r="D266" i="2"/>
  <c r="D30" i="2"/>
  <c r="K376" i="2"/>
  <c r="D127" i="2"/>
  <c r="K311" i="2"/>
  <c r="N22" i="6"/>
  <c r="E619" i="2"/>
  <c r="L619" i="2" s="1"/>
  <c r="K306" i="2"/>
  <c r="E83" i="2"/>
  <c r="L83" i="2" s="1"/>
  <c r="E627" i="2"/>
  <c r="L627" i="2" s="1"/>
  <c r="D347" i="2"/>
  <c r="K395" i="2"/>
  <c r="E65" i="2"/>
  <c r="L65" i="2" s="1"/>
  <c r="K378" i="2"/>
  <c r="K133" i="2"/>
  <c r="E145" i="2"/>
  <c r="L145" i="2" s="1"/>
  <c r="E94" i="2"/>
  <c r="L94" i="2" s="1"/>
  <c r="E141" i="2"/>
  <c r="L141" i="2" s="1"/>
  <c r="K242" i="2"/>
  <c r="K58" i="2"/>
  <c r="D490" i="2"/>
  <c r="E380" i="2"/>
  <c r="L380" i="2" s="1"/>
  <c r="D522" i="2"/>
  <c r="D406" i="2"/>
  <c r="E580" i="2"/>
  <c r="L580" i="2" s="1"/>
  <c r="D633" i="2"/>
  <c r="D273" i="2"/>
  <c r="E64" i="2"/>
  <c r="L64" i="2" s="1"/>
  <c r="E196" i="2"/>
  <c r="L196" i="2" s="1"/>
  <c r="K545" i="2"/>
  <c r="D233" i="2"/>
  <c r="D349" i="2"/>
  <c r="K434" i="2"/>
  <c r="K560" i="2"/>
  <c r="D350" i="2"/>
  <c r="K341" i="2"/>
  <c r="D93" i="2"/>
  <c r="E445" i="2"/>
  <c r="L445" i="2" s="1"/>
  <c r="D108" i="2"/>
  <c r="E345" i="2"/>
  <c r="L345" i="2" s="1"/>
  <c r="D475" i="2"/>
  <c r="K379" i="2"/>
  <c r="K331" i="2"/>
  <c r="E57" i="2"/>
  <c r="L57" i="2" s="1"/>
  <c r="D95" i="2"/>
  <c r="AD42" i="8"/>
  <c r="D481" i="2"/>
  <c r="E491" i="2"/>
  <c r="L491" i="2" s="1"/>
  <c r="D339" i="2"/>
  <c r="K464" i="2"/>
  <c r="D442" i="2"/>
  <c r="D405" i="2"/>
  <c r="D151" i="2"/>
  <c r="D525" i="2"/>
  <c r="E39" i="2"/>
  <c r="L39" i="2" s="1"/>
  <c r="D194" i="2"/>
  <c r="D175" i="2"/>
  <c r="K314" i="2"/>
  <c r="E458" i="2"/>
  <c r="L458" i="2" s="1"/>
  <c r="E318" i="2"/>
  <c r="L318" i="2" s="1"/>
  <c r="K257" i="2"/>
  <c r="D600" i="2"/>
  <c r="D121" i="2"/>
  <c r="E158" i="2"/>
  <c r="L158" i="2" s="1"/>
  <c r="V26" i="8"/>
  <c r="D420" i="2"/>
  <c r="W22" i="8"/>
  <c r="E597" i="2"/>
  <c r="L597" i="2" s="1"/>
  <c r="E424" i="2"/>
  <c r="L424" i="2" s="1"/>
  <c r="K460" i="2"/>
  <c r="E197" i="2"/>
  <c r="L197" i="2" s="1"/>
  <c r="D185" i="2"/>
  <c r="K628" i="2"/>
  <c r="E370" i="2"/>
  <c r="L370" i="2" s="1"/>
  <c r="D170" i="2"/>
  <c r="K147" i="2"/>
  <c r="D253" i="2"/>
  <c r="N26" i="6"/>
  <c r="E516" i="2"/>
  <c r="L516" i="2" s="1"/>
  <c r="K529" i="2"/>
  <c r="D337" i="2"/>
  <c r="E67" i="2"/>
  <c r="L67" i="2" s="1"/>
  <c r="K614" i="2"/>
  <c r="D591" i="2"/>
  <c r="E475" i="2"/>
  <c r="L475" i="2" s="1"/>
  <c r="D60" i="2"/>
  <c r="K260" i="2"/>
  <c r="D54" i="2"/>
  <c r="K78" i="2"/>
  <c r="E42" i="2"/>
  <c r="L42" i="2" s="1"/>
  <c r="E272" i="2"/>
  <c r="L272" i="2" s="1"/>
  <c r="D537" i="2"/>
  <c r="D160" i="2"/>
  <c r="K343" i="2"/>
  <c r="E482" i="2"/>
  <c r="L482" i="2" s="1"/>
  <c r="E23" i="2"/>
  <c r="L23" i="2" s="1"/>
  <c r="D214" i="2"/>
  <c r="D503" i="2"/>
  <c r="K240" i="2"/>
  <c r="K25" i="2"/>
  <c r="D24" i="2"/>
  <c r="E378" i="2"/>
  <c r="L378" i="2" s="1"/>
  <c r="K72" i="2"/>
  <c r="D156" i="2"/>
  <c r="E423" i="2"/>
  <c r="L423" i="2" s="1"/>
  <c r="D22" i="6"/>
  <c r="E131" i="2"/>
  <c r="L131" i="2" s="1"/>
  <c r="W26" i="8"/>
  <c r="E384" i="2"/>
  <c r="L384" i="2" s="1"/>
  <c r="K619" i="2"/>
  <c r="E203" i="2"/>
  <c r="L203" i="2" s="1"/>
  <c r="E20" i="2"/>
  <c r="L20" i="2" s="1"/>
  <c r="K438" i="2"/>
  <c r="E385" i="2"/>
  <c r="L385" i="2" s="1"/>
  <c r="E68" i="2"/>
  <c r="L68" i="2" s="1"/>
  <c r="K324" i="2"/>
  <c r="E348" i="2"/>
  <c r="L348" i="2" s="1"/>
  <c r="E319" i="2"/>
  <c r="L319" i="2" s="1"/>
  <c r="U19" i="6"/>
  <c r="D379" i="2"/>
  <c r="K100" i="2"/>
  <c r="K253" i="2"/>
  <c r="D418" i="2"/>
  <c r="E103" i="2"/>
  <c r="L103" i="2" s="1"/>
  <c r="K262" i="2"/>
  <c r="D572" i="2"/>
  <c r="E554" i="2"/>
  <c r="L554" i="2" s="1"/>
  <c r="K615" i="2"/>
  <c r="D550" i="2"/>
  <c r="K539" i="2"/>
  <c r="D477" i="2"/>
  <c r="D143" i="2"/>
  <c r="E417" i="2"/>
  <c r="L417" i="2" s="1"/>
  <c r="K39" i="2"/>
  <c r="D35" i="2"/>
  <c r="D601" i="2"/>
  <c r="AC36" i="8"/>
  <c r="K17" i="2"/>
  <c r="D373" i="2"/>
  <c r="D67" i="2"/>
  <c r="D124" i="2"/>
  <c r="E612" i="2"/>
  <c r="L612" i="2" s="1"/>
  <c r="K288" i="2"/>
  <c r="K604" i="2"/>
  <c r="E464" i="2"/>
  <c r="L464" i="2" s="1"/>
  <c r="E354" i="2"/>
  <c r="L354" i="2" s="1"/>
  <c r="E544" i="2"/>
  <c r="L544" i="2" s="1"/>
  <c r="D278" i="2"/>
  <c r="D157" i="2"/>
  <c r="J20" i="6"/>
  <c r="E27" i="2"/>
  <c r="L27" i="2" s="1"/>
  <c r="K478" i="2"/>
  <c r="E175" i="2"/>
  <c r="L175" i="2" s="1"/>
  <c r="E473" i="2"/>
  <c r="L473" i="2" s="1"/>
  <c r="D74" i="2"/>
  <c r="K562" i="2"/>
  <c r="D181" i="2"/>
  <c r="D422" i="2"/>
  <c r="K259" i="2"/>
  <c r="K167" i="2"/>
  <c r="E512" i="2"/>
  <c r="L512" i="2" s="1"/>
  <c r="D232" i="2"/>
  <c r="D555" i="2"/>
  <c r="D414" i="2"/>
  <c r="K526" i="2"/>
  <c r="K69" i="2"/>
  <c r="E241" i="2"/>
  <c r="L241" i="2" s="1"/>
  <c r="E202" i="2"/>
  <c r="L202" i="2" s="1"/>
  <c r="E217" i="2"/>
  <c r="L217" i="2" s="1"/>
  <c r="E400" i="2"/>
  <c r="L400" i="2" s="1"/>
  <c r="K606" i="2"/>
  <c r="D383" i="2"/>
  <c r="D577" i="2"/>
  <c r="K636" i="2"/>
  <c r="K583" i="2"/>
  <c r="E251" i="2"/>
  <c r="L251" i="2" s="1"/>
  <c r="D460" i="2"/>
  <c r="D226" i="2"/>
  <c r="D223" i="2"/>
  <c r="K135" i="2"/>
  <c r="K15" i="2"/>
  <c r="D187" i="2"/>
  <c r="K620" i="2"/>
  <c r="D180" i="2"/>
  <c r="E534" i="2"/>
  <c r="L534" i="2" s="1"/>
  <c r="E342" i="2"/>
  <c r="L342" i="2" s="1"/>
  <c r="K513" i="2"/>
  <c r="D79" i="2"/>
  <c r="E486" i="2"/>
  <c r="L486" i="2" s="1"/>
  <c r="D45" i="2"/>
  <c r="K20" i="2"/>
  <c r="D360" i="2"/>
  <c r="D437" i="2"/>
  <c r="D230" i="2"/>
  <c r="K522" i="2"/>
  <c r="D370" i="2"/>
  <c r="K285" i="2"/>
  <c r="E28" i="2"/>
  <c r="L28" i="2" s="1"/>
  <c r="K567" i="2"/>
  <c r="D116" i="2"/>
  <c r="D458" i="2"/>
  <c r="K463" i="2"/>
  <c r="E310" i="2"/>
  <c r="L310" i="2" s="1"/>
  <c r="E172" i="2"/>
  <c r="L172" i="2" s="1"/>
  <c r="K113" i="2"/>
  <c r="E563" i="2"/>
  <c r="L563" i="2" s="1"/>
  <c r="E176" i="2"/>
  <c r="L176" i="2" s="1"/>
  <c r="K19" i="2"/>
  <c r="K569" i="2"/>
  <c r="D411" i="2"/>
  <c r="E262" i="2"/>
  <c r="L262" i="2" s="1"/>
  <c r="E409" i="2"/>
  <c r="L409" i="2" s="1"/>
  <c r="K157" i="2"/>
  <c r="E403" i="2"/>
  <c r="L403" i="2" s="1"/>
  <c r="D237" i="2"/>
  <c r="E230" i="2"/>
  <c r="L230" i="2" s="1"/>
  <c r="E224" i="2"/>
  <c r="L224" i="2" s="1"/>
  <c r="D484" i="2"/>
  <c r="K136" i="2"/>
  <c r="D192" i="2"/>
  <c r="D515" i="2"/>
  <c r="K189" i="2"/>
  <c r="E35" i="2"/>
  <c r="L35" i="2" s="1"/>
  <c r="D628" i="2"/>
  <c r="E443" i="2"/>
  <c r="L443" i="2" s="1"/>
  <c r="D217" i="2"/>
  <c r="K552" i="2"/>
  <c r="J18" i="6"/>
  <c r="K592" i="2"/>
  <c r="E604" i="2"/>
  <c r="L604" i="2" s="1"/>
  <c r="D342" i="2"/>
  <c r="D21" i="6"/>
  <c r="K429" i="2"/>
  <c r="E50" i="2"/>
  <c r="L50" i="2" s="1"/>
  <c r="K56" i="2"/>
  <c r="E620" i="2"/>
  <c r="L620" i="2" s="1"/>
  <c r="D375" i="2"/>
  <c r="K635" i="2"/>
  <c r="K273" i="2"/>
  <c r="D250" i="2"/>
  <c r="D148" i="2"/>
  <c r="E397" i="2"/>
  <c r="L397" i="2" s="1"/>
  <c r="E129" i="2"/>
  <c r="L129" i="2" s="1"/>
  <c r="D129" i="2"/>
  <c r="U18" i="6"/>
  <c r="D622" i="2"/>
  <c r="K421" i="2"/>
  <c r="E124" i="2"/>
  <c r="L124" i="2" s="1"/>
  <c r="K544" i="2"/>
  <c r="D344" i="2"/>
  <c r="K226" i="2"/>
  <c r="E276" i="2"/>
  <c r="L276" i="2" s="1"/>
  <c r="D216" i="2"/>
  <c r="K616" i="2"/>
  <c r="E430" i="2"/>
  <c r="L430" i="2" s="1"/>
  <c r="D152" i="2"/>
  <c r="E432" i="2"/>
  <c r="L432" i="2" s="1"/>
  <c r="D225" i="2"/>
  <c r="K454" i="2"/>
  <c r="K392" i="2"/>
  <c r="E355" i="2"/>
  <c r="L355" i="2" s="1"/>
  <c r="D126" i="2"/>
  <c r="D19" i="6"/>
  <c r="D165" i="2"/>
  <c r="D186" i="2"/>
  <c r="K196" i="2"/>
  <c r="D57" i="2"/>
  <c r="D65" i="2"/>
  <c r="K525" i="2"/>
  <c r="E157" i="2"/>
  <c r="L157" i="2" s="1"/>
  <c r="D586" i="2"/>
  <c r="E429" i="2"/>
  <c r="L429" i="2" s="1"/>
  <c r="E32" i="2"/>
  <c r="L32" i="2" s="1"/>
  <c r="K596" i="2"/>
  <c r="W23" i="8"/>
  <c r="E416" i="2"/>
  <c r="L416" i="2" s="1"/>
  <c r="D446" i="2"/>
  <c r="K471" i="2"/>
  <c r="K243" i="2"/>
  <c r="E625" i="2"/>
  <c r="L625" i="2" s="1"/>
  <c r="D14" i="2"/>
  <c r="K506" i="2"/>
  <c r="D318" i="2"/>
  <c r="K297" i="2"/>
  <c r="K369" i="2"/>
  <c r="D195" i="2"/>
  <c r="E56" i="2"/>
  <c r="L56" i="2" s="1"/>
  <c r="K28" i="2"/>
  <c r="K228" i="2"/>
  <c r="K565" i="2"/>
  <c r="N28" i="6"/>
  <c r="D613" i="2"/>
  <c r="D464" i="2"/>
  <c r="K80" i="2"/>
  <c r="E485" i="2"/>
  <c r="L485" i="2" s="1"/>
  <c r="K353" i="2"/>
  <c r="K585" i="2"/>
  <c r="E160" i="2"/>
  <c r="L160" i="2" s="1"/>
  <c r="D590" i="2"/>
  <c r="K175" i="2"/>
  <c r="D377" i="2"/>
  <c r="E21" i="6"/>
  <c r="D212" i="2"/>
  <c r="K214" i="2"/>
  <c r="E143" i="2"/>
  <c r="L143" i="2" s="1"/>
  <c r="W21" i="8"/>
  <c r="E344" i="2"/>
  <c r="L344" i="2" s="1"/>
  <c r="D325" i="2"/>
  <c r="E365" i="2"/>
  <c r="L365" i="2" s="1"/>
  <c r="K462" i="2"/>
  <c r="E336" i="2"/>
  <c r="L336" i="2" s="1"/>
  <c r="E237" i="2"/>
  <c r="L237" i="2" s="1"/>
  <c r="K225" i="2"/>
  <c r="E539" i="2"/>
  <c r="L539" i="2" s="1"/>
  <c r="K266" i="2"/>
  <c r="K310" i="2"/>
  <c r="E343" i="2"/>
  <c r="L343" i="2" s="1"/>
  <c r="D111" i="2"/>
  <c r="K202" i="2"/>
  <c r="D134" i="2"/>
  <c r="K599" i="2"/>
  <c r="D25" i="2"/>
  <c r="E528" i="2"/>
  <c r="L528" i="2" s="1"/>
  <c r="D135" i="2"/>
  <c r="V19" i="6"/>
  <c r="D209" i="2"/>
  <c r="K537" i="2"/>
  <c r="K246" i="2"/>
  <c r="D83" i="2"/>
  <c r="E382" i="2"/>
  <c r="L382" i="2" s="1"/>
  <c r="M25" i="6"/>
  <c r="K631" i="2"/>
  <c r="D62" i="2"/>
  <c r="D391" i="2"/>
  <c r="K127" i="2"/>
  <c r="E585" i="2"/>
  <c r="L585" i="2" s="1"/>
  <c r="E549" i="2"/>
  <c r="L549" i="2" s="1"/>
  <c r="D548" i="2"/>
  <c r="J19" i="6"/>
  <c r="E311" i="2"/>
  <c r="L311" i="2" s="1"/>
  <c r="K46" i="2"/>
  <c r="E481" i="2"/>
  <c r="L481" i="2" s="1"/>
  <c r="D334" i="2"/>
  <c r="D629" i="2"/>
  <c r="J25" i="6"/>
  <c r="W24" i="8"/>
  <c r="E537" i="2"/>
  <c r="L537" i="2" s="1"/>
  <c r="K451" i="2"/>
  <c r="D125" i="2"/>
  <c r="E320" i="2"/>
  <c r="L320" i="2" s="1"/>
  <c r="K281" i="2"/>
  <c r="AC44" i="8"/>
  <c r="D425" i="2"/>
  <c r="K62" i="2"/>
  <c r="K352" i="2"/>
  <c r="E474" i="2"/>
  <c r="L474" i="2" s="1"/>
  <c r="E44" i="2"/>
  <c r="L44" i="2" s="1"/>
  <c r="D33" i="6"/>
  <c r="D497" i="2"/>
  <c r="E201" i="2"/>
  <c r="L201" i="2" s="1"/>
  <c r="E393" i="2"/>
  <c r="L393" i="2" s="1"/>
  <c r="K173" i="2"/>
  <c r="D119" i="2"/>
  <c r="D263" i="2"/>
  <c r="D569" i="2"/>
  <c r="D184" i="2"/>
  <c r="E207" i="2"/>
  <c r="L207" i="2" s="1"/>
  <c r="K502" i="2"/>
  <c r="E182" i="2"/>
  <c r="L182" i="2" s="1"/>
  <c r="K469" i="2"/>
  <c r="D262" i="2"/>
  <c r="D149" i="2"/>
  <c r="K419" i="2"/>
  <c r="D55" i="2"/>
  <c r="E576" i="2"/>
  <c r="L576" i="2" s="1"/>
  <c r="D213" i="2"/>
  <c r="V22" i="8"/>
  <c r="E296" i="2"/>
  <c r="L296" i="2" s="1"/>
  <c r="K207" i="2"/>
  <c r="K137" i="2"/>
  <c r="D85" i="2"/>
  <c r="E77" i="2"/>
  <c r="L77" i="2" s="1"/>
  <c r="E494" i="2"/>
  <c r="L494" i="2" s="1"/>
  <c r="K231" i="2"/>
  <c r="K74" i="2"/>
  <c r="E307" i="2"/>
  <c r="L307" i="2" s="1"/>
  <c r="D501" i="2"/>
  <c r="E200" i="2"/>
  <c r="L200" i="2" s="1"/>
  <c r="E15" i="2"/>
  <c r="L15" i="2" s="1"/>
  <c r="D487" i="2"/>
  <c r="K193" i="2"/>
  <c r="E304" i="2"/>
  <c r="L304" i="2" s="1"/>
  <c r="E571" i="2"/>
  <c r="L571" i="2" s="1"/>
  <c r="E405" i="2"/>
  <c r="L405" i="2" s="1"/>
  <c r="K298" i="2"/>
  <c r="D444" i="2"/>
  <c r="E476" i="2"/>
  <c r="L476" i="2" s="1"/>
  <c r="K286" i="2"/>
  <c r="E27" i="6"/>
  <c r="E46" i="2"/>
  <c r="L46" i="2" s="1"/>
  <c r="K22" i="6"/>
  <c r="D564" i="2"/>
  <c r="E168" i="2"/>
  <c r="L168" i="2" s="1"/>
  <c r="K554" i="2"/>
  <c r="E219" i="2"/>
  <c r="L219" i="2" s="1"/>
  <c r="E572" i="2"/>
  <c r="L572" i="2" s="1"/>
  <c r="E108" i="2"/>
  <c r="L108" i="2" s="1"/>
  <c r="D257" i="2"/>
  <c r="D78" i="2"/>
  <c r="K179" i="2"/>
  <c r="E274" i="2"/>
  <c r="L274" i="2" s="1"/>
  <c r="D255" i="2"/>
  <c r="E439" i="2"/>
  <c r="L439" i="2" s="1"/>
  <c r="K291" i="2"/>
  <c r="D435" i="2"/>
  <c r="K222" i="2"/>
  <c r="E401" i="2"/>
  <c r="L401" i="2" s="1"/>
  <c r="E374" i="2"/>
  <c r="L374" i="2" s="1"/>
  <c r="E126" i="2"/>
  <c r="L126" i="2" s="1"/>
  <c r="K534" i="2"/>
  <c r="D106" i="2"/>
  <c r="E45" i="2"/>
  <c r="L45" i="2" s="1"/>
  <c r="K468" i="2"/>
  <c r="E431" i="2"/>
  <c r="L431" i="2" s="1"/>
  <c r="E375" i="2"/>
  <c r="L375" i="2" s="1"/>
  <c r="K496" i="2"/>
  <c r="D258" i="2"/>
  <c r="E153" i="2"/>
  <c r="L153" i="2" s="1"/>
  <c r="K426" i="2"/>
  <c r="D592" i="2"/>
  <c r="E89" i="2"/>
  <c r="L89" i="2" s="1"/>
  <c r="W18" i="8"/>
  <c r="D365" i="2"/>
  <c r="E331" i="2"/>
  <c r="L331" i="2" s="1"/>
  <c r="K107" i="2"/>
  <c r="E232" i="2"/>
  <c r="L232" i="2" s="1"/>
  <c r="E19" i="2"/>
  <c r="L19" i="2" s="1"/>
  <c r="K443" i="2"/>
  <c r="K187" i="2"/>
  <c r="D50" i="2"/>
  <c r="K465" i="2"/>
  <c r="D623" i="2"/>
  <c r="M26" i="6"/>
  <c r="E146" i="2"/>
  <c r="L146" i="2" s="1"/>
  <c r="K391" i="2"/>
  <c r="M19" i="6"/>
  <c r="E282" i="2"/>
  <c r="L282" i="2" s="1"/>
  <c r="D568" i="2"/>
  <c r="D527" i="2"/>
  <c r="E133" i="2"/>
  <c r="L133" i="2" s="1"/>
  <c r="K216" i="2"/>
  <c r="E406" i="2"/>
  <c r="L406" i="2" s="1"/>
  <c r="E255" i="2"/>
  <c r="L255" i="2" s="1"/>
  <c r="D277" i="2"/>
  <c r="D333" i="2"/>
  <c r="D419" i="2"/>
  <c r="K152" i="2"/>
  <c r="E626" i="2"/>
  <c r="L626" i="2" s="1"/>
  <c r="E247" i="2"/>
  <c r="L247" i="2" s="1"/>
  <c r="N27" i="6"/>
  <c r="D268" i="2"/>
  <c r="E154" i="2"/>
  <c r="L154" i="2" s="1"/>
  <c r="K119" i="2"/>
  <c r="E468" i="2"/>
  <c r="L468" i="2" s="1"/>
  <c r="D433" i="2"/>
  <c r="D166" i="2"/>
  <c r="E33" i="2"/>
  <c r="L33" i="2" s="1"/>
  <c r="D556" i="2"/>
  <c r="E377" i="2"/>
  <c r="L377" i="2" s="1"/>
  <c r="V20" i="6"/>
  <c r="K305" i="2"/>
  <c r="E601" i="2"/>
  <c r="L601" i="2" s="1"/>
  <c r="K238" i="2"/>
  <c r="E58" i="2"/>
  <c r="L58" i="2" s="1"/>
  <c r="D37" i="2"/>
  <c r="K272" i="2"/>
  <c r="K354" i="2"/>
  <c r="D496" i="2"/>
  <c r="E511" i="2"/>
  <c r="L511" i="2" s="1"/>
  <c r="E30" i="2"/>
  <c r="L30" i="2" s="1"/>
  <c r="E590" i="2"/>
  <c r="L590" i="2" s="1"/>
  <c r="E92" i="2"/>
  <c r="L92" i="2" s="1"/>
  <c r="D478" i="2"/>
  <c r="K30" i="6"/>
  <c r="E488" i="2"/>
  <c r="L488" i="2" s="1"/>
  <c r="K267" i="2"/>
  <c r="K520" i="2"/>
  <c r="E578" i="2"/>
  <c r="L578" i="2" s="1"/>
  <c r="E93" i="2"/>
  <c r="L93" i="2" s="1"/>
  <c r="K19" i="6"/>
  <c r="E567" i="2"/>
  <c r="L567" i="2" s="1"/>
  <c r="E16" i="2"/>
  <c r="L16" i="2" s="1"/>
  <c r="K163" i="2"/>
  <c r="K372" i="2"/>
  <c r="K588" i="2"/>
  <c r="E368" i="2"/>
  <c r="L368" i="2" s="1"/>
  <c r="E284" i="2"/>
  <c r="L284" i="2" s="1"/>
  <c r="E192" i="2"/>
  <c r="L192" i="2" s="1"/>
  <c r="K54" i="2"/>
  <c r="D451" i="2"/>
  <c r="E119" i="2"/>
  <c r="L119" i="2" s="1"/>
  <c r="AD37" i="8"/>
  <c r="K210" i="2"/>
  <c r="E556" i="2"/>
  <c r="L556" i="2" s="1"/>
  <c r="D84" i="2"/>
  <c r="E361" i="2"/>
  <c r="L361" i="2" s="1"/>
  <c r="E596" i="2"/>
  <c r="L596" i="2" s="1"/>
  <c r="D123" i="2"/>
  <c r="K158" i="2"/>
  <c r="E535" i="2"/>
  <c r="L535" i="2" s="1"/>
  <c r="D201" i="2"/>
  <c r="D393" i="2"/>
  <c r="E118" i="2"/>
  <c r="L118" i="2" s="1"/>
  <c r="K84" i="2"/>
  <c r="V24" i="8"/>
  <c r="E462" i="2"/>
  <c r="L462" i="2" s="1"/>
  <c r="K347" i="2"/>
  <c r="D530" i="2"/>
  <c r="D335" i="2"/>
  <c r="E84" i="2"/>
  <c r="L84" i="2" s="1"/>
  <c r="AD36" i="8"/>
  <c r="E291" i="2"/>
  <c r="L291" i="2" s="1"/>
  <c r="D137" i="2"/>
  <c r="K401" i="2"/>
  <c r="E245" i="2"/>
  <c r="L245" i="2" s="1"/>
  <c r="D585" i="2"/>
  <c r="D259" i="2"/>
  <c r="D454" i="2"/>
  <c r="K252" i="2"/>
  <c r="K605" i="2"/>
  <c r="E286" i="2"/>
  <c r="L286" i="2" s="1"/>
  <c r="K235" i="2"/>
  <c r="K132" i="2"/>
  <c r="D512" i="2"/>
  <c r="E560" i="2"/>
  <c r="L560" i="2" s="1"/>
  <c r="K141" i="2"/>
  <c r="D323" i="2"/>
  <c r="D483" i="2"/>
  <c r="K229" i="2"/>
  <c r="AC42" i="8"/>
  <c r="D267" i="2"/>
  <c r="E577" i="2"/>
  <c r="L577" i="2" s="1"/>
  <c r="D132" i="2"/>
  <c r="E246" i="2"/>
  <c r="L246" i="2" s="1"/>
  <c r="D583" i="2"/>
  <c r="AC41" i="8"/>
  <c r="D167" i="2"/>
  <c r="K125" i="2"/>
  <c r="D543" i="2"/>
  <c r="D443" i="2"/>
  <c r="D351" i="2"/>
  <c r="K234" i="2"/>
  <c r="D290" i="2"/>
  <c r="E455" i="2"/>
  <c r="L455" i="2" s="1"/>
  <c r="K303" i="2"/>
  <c r="K308" i="2"/>
  <c r="E499" i="2"/>
  <c r="L499" i="2" s="1"/>
  <c r="E269" i="2"/>
  <c r="L269" i="2" s="1"/>
  <c r="D96" i="2"/>
  <c r="K121" i="2"/>
  <c r="E74" i="2"/>
  <c r="L74" i="2" s="1"/>
  <c r="K543" i="2"/>
  <c r="D236" i="2"/>
  <c r="K32" i="2"/>
  <c r="D228" i="2"/>
  <c r="D416" i="2"/>
  <c r="K461" i="2"/>
  <c r="D114" i="2"/>
  <c r="D453" i="2"/>
  <c r="K11" i="6"/>
  <c r="D315" i="2"/>
  <c r="D247" i="2"/>
  <c r="E48" i="2"/>
  <c r="L48" i="2" s="1"/>
  <c r="K130" i="2"/>
  <c r="K541" i="2"/>
  <c r="J22" i="6"/>
  <c r="D177" i="2"/>
  <c r="D306" i="2"/>
  <c r="K528" i="2"/>
  <c r="E552" i="2"/>
  <c r="L552" i="2" s="1"/>
  <c r="K440" i="2"/>
  <c r="D221" i="2"/>
  <c r="M28" i="6"/>
  <c r="D598" i="2"/>
  <c r="K29" i="2"/>
  <c r="K519" i="2"/>
  <c r="AC40" i="8"/>
  <c r="D51" i="2"/>
  <c r="K63" i="2"/>
  <c r="K340" i="2"/>
  <c r="D579" i="2"/>
  <c r="K142" i="2"/>
  <c r="K329" i="2"/>
  <c r="D635" i="2"/>
  <c r="K31" i="2"/>
  <c r="E25" i="6"/>
  <c r="E581" i="2"/>
  <c r="L581" i="2" s="1"/>
  <c r="E392" i="2"/>
  <c r="L392" i="2" s="1"/>
  <c r="K70" i="2"/>
  <c r="K553" i="2"/>
  <c r="E500" i="2"/>
  <c r="L500" i="2" s="1"/>
  <c r="E433" i="2"/>
  <c r="L433" i="2" s="1"/>
  <c r="K92" i="2"/>
  <c r="D589" i="2"/>
  <c r="E189" i="2"/>
  <c r="L189" i="2" s="1"/>
  <c r="K629" i="2"/>
  <c r="E128" i="2"/>
  <c r="L128" i="2" s="1"/>
  <c r="E519" i="2"/>
  <c r="L519" i="2" s="1"/>
  <c r="D395" i="2"/>
  <c r="K25" i="6"/>
  <c r="E309" i="2"/>
  <c r="L309" i="2" s="1"/>
  <c r="K161" i="2"/>
  <c r="D229" i="2"/>
  <c r="K381" i="2"/>
  <c r="E137" i="2"/>
  <c r="L137" i="2" s="1"/>
  <c r="K582" i="2"/>
  <c r="D345" i="2"/>
  <c r="D251" i="2"/>
  <c r="K35" i="2"/>
  <c r="D450" i="2"/>
  <c r="E412" i="2"/>
  <c r="L412" i="2" s="1"/>
  <c r="E568" i="2"/>
  <c r="L568" i="2" s="1"/>
  <c r="D445" i="2"/>
  <c r="D378" i="2"/>
  <c r="K590" i="2"/>
  <c r="E595" i="2"/>
  <c r="L595" i="2" s="1"/>
  <c r="K134" i="2"/>
  <c r="M27" i="6"/>
  <c r="D387" i="2"/>
  <c r="D105" i="2"/>
  <c r="K64" i="2"/>
  <c r="D546" i="2"/>
  <c r="D610" i="2"/>
  <c r="K197" i="2"/>
  <c r="K23" i="6"/>
  <c r="D486" i="2"/>
  <c r="D544" i="2"/>
  <c r="K568" i="2"/>
  <c r="K150" i="2"/>
  <c r="K204" i="2"/>
  <c r="E452" i="2"/>
  <c r="L452" i="2" s="1"/>
  <c r="E214" i="2"/>
  <c r="L214" i="2" s="1"/>
  <c r="K294" i="2"/>
  <c r="D189" i="2"/>
  <c r="K263" i="2"/>
  <c r="D265" i="2"/>
  <c r="K108" i="2"/>
  <c r="D594" i="2"/>
  <c r="D220" i="2"/>
  <c r="D115" i="2"/>
  <c r="E633" i="2"/>
  <c r="L633" i="2" s="1"/>
  <c r="K221" i="2"/>
  <c r="K439" i="2"/>
  <c r="D449" i="2"/>
  <c r="K309" i="2"/>
  <c r="E76" i="2"/>
  <c r="L76" i="2" s="1"/>
  <c r="E121" i="2"/>
  <c r="L121" i="2" s="1"/>
  <c r="K53" i="2"/>
  <c r="D617" i="2"/>
  <c r="E104" i="2"/>
  <c r="L104" i="2" s="1"/>
  <c r="K480" i="2"/>
  <c r="K424" i="2"/>
  <c r="E240" i="2"/>
  <c r="L240" i="2" s="1"/>
  <c r="K40" i="2"/>
  <c r="K363" i="2"/>
  <c r="D498" i="2"/>
  <c r="D545" i="2"/>
  <c r="D275" i="2"/>
  <c r="K449" i="2"/>
  <c r="E150" i="2"/>
  <c r="L150" i="2" s="1"/>
  <c r="N20" i="6"/>
  <c r="D321" i="2"/>
  <c r="N35" i="11"/>
  <c r="E166" i="2"/>
  <c r="L166" i="2" s="1"/>
  <c r="K474" i="2"/>
  <c r="D429" i="2"/>
  <c r="D374" i="2"/>
  <c r="K428" i="2"/>
  <c r="D295" i="2"/>
  <c r="K293" i="2"/>
  <c r="K143" i="2"/>
  <c r="D314" i="2"/>
  <c r="D552" i="2"/>
  <c r="K128" i="2"/>
  <c r="E628" i="2"/>
  <c r="L628" i="2" s="1"/>
  <c r="K556" i="2"/>
  <c r="D615" i="2"/>
  <c r="E525" i="2"/>
  <c r="L525" i="2" s="1"/>
  <c r="E603" i="2"/>
  <c r="L603" i="2" s="1"/>
  <c r="E142" i="2"/>
  <c r="L142" i="2" s="1"/>
  <c r="E553" i="2"/>
  <c r="L553" i="2" s="1"/>
  <c r="K374" i="2"/>
  <c r="K530" i="2"/>
  <c r="D581" i="2"/>
  <c r="E447" i="2"/>
  <c r="L447" i="2" s="1"/>
  <c r="E35" i="6"/>
  <c r="K532" i="2"/>
  <c r="E264" i="2"/>
  <c r="L264" i="2" s="1"/>
  <c r="D316" i="2"/>
  <c r="K81" i="2"/>
  <c r="D198" i="2"/>
  <c r="E179" i="2"/>
  <c r="L179" i="2" s="1"/>
  <c r="E434" i="2"/>
  <c r="L434" i="2" s="1"/>
  <c r="E66" i="2"/>
  <c r="L66" i="2" s="1"/>
  <c r="K350" i="2"/>
  <c r="D219" i="2"/>
  <c r="E18" i="2"/>
  <c r="L18" i="2" s="1"/>
  <c r="K205" i="2"/>
  <c r="D35" i="6"/>
  <c r="E327" i="2"/>
  <c r="L327" i="2" s="1"/>
  <c r="K432" i="2"/>
  <c r="D158" i="2"/>
  <c r="D562" i="2"/>
  <c r="E115" i="2"/>
  <c r="L115" i="2" s="1"/>
  <c r="E34" i="6"/>
  <c r="E438" i="2"/>
  <c r="L438" i="2" s="1"/>
  <c r="E579" i="2"/>
  <c r="L579" i="2" s="1"/>
  <c r="K517" i="2"/>
  <c r="K282" i="2"/>
  <c r="D248" i="2"/>
  <c r="E308" i="2"/>
  <c r="L308" i="2" s="1"/>
  <c r="K284" i="2"/>
  <c r="D547" i="2"/>
  <c r="K239" i="2"/>
  <c r="K367" i="2"/>
  <c r="E526" i="2"/>
  <c r="L526" i="2" s="1"/>
  <c r="E236" i="2"/>
  <c r="L236" i="2" s="1"/>
  <c r="J26" i="6"/>
  <c r="D488" i="2"/>
  <c r="D238" i="2"/>
  <c r="K200" i="2"/>
  <c r="E19" i="6"/>
  <c r="N23" i="6"/>
  <c r="D415" i="2"/>
  <c r="E225" i="2"/>
  <c r="L225" i="2" s="1"/>
  <c r="E138" i="2"/>
  <c r="L138" i="2" s="1"/>
  <c r="E575" i="2"/>
  <c r="L575" i="2" s="1"/>
  <c r="K452" i="2"/>
  <c r="D64" i="2"/>
  <c r="K594" i="2"/>
  <c r="E212" i="2"/>
  <c r="L212" i="2" s="1"/>
  <c r="AD40" i="8"/>
  <c r="E52" i="2"/>
  <c r="L52" i="2" s="1"/>
  <c r="K455" i="2"/>
  <c r="M29" i="6"/>
  <c r="E148" i="2"/>
  <c r="L148" i="2" s="1"/>
  <c r="D31" i="2"/>
  <c r="K170" i="2"/>
  <c r="K255" i="2"/>
  <c r="K348" i="2"/>
  <c r="D153" i="2"/>
  <c r="D101" i="2"/>
  <c r="K103" i="2"/>
  <c r="E323" i="2"/>
  <c r="L323" i="2" s="1"/>
  <c r="D440" i="2"/>
  <c r="K603" i="2"/>
  <c r="D249" i="2"/>
  <c r="D625" i="2"/>
  <c r="E117" i="2"/>
  <c r="L117" i="2" s="1"/>
  <c r="K533" i="2"/>
  <c r="D49" i="2"/>
  <c r="E505" i="2"/>
  <c r="L505" i="2" s="1"/>
  <c r="K580" i="2"/>
  <c r="J29" i="6"/>
  <c r="D73" i="2"/>
  <c r="AC43" i="8"/>
  <c r="E466" i="2"/>
  <c r="L466" i="2" s="1"/>
  <c r="D161" i="2"/>
  <c r="K415" i="2"/>
  <c r="E258" i="2"/>
  <c r="L258" i="2" s="1"/>
  <c r="K156" i="2"/>
  <c r="E110" i="2"/>
  <c r="L110" i="2" s="1"/>
  <c r="E420" i="2"/>
  <c r="L420" i="2" s="1"/>
  <c r="E591" i="2"/>
  <c r="L591" i="2" s="1"/>
  <c r="K61" i="2"/>
  <c r="D304" i="2"/>
  <c r="D362" i="2"/>
  <c r="K93" i="2"/>
  <c r="E211" i="2"/>
  <c r="L211" i="2" s="1"/>
  <c r="E29" i="6"/>
  <c r="J21" i="6"/>
  <c r="E107" i="2"/>
  <c r="L107" i="2" s="1"/>
  <c r="E82" i="2"/>
  <c r="L82" i="2" s="1"/>
  <c r="K279" i="2"/>
  <c r="E61" i="2"/>
  <c r="L61" i="2" s="1"/>
  <c r="D557" i="2"/>
  <c r="K169" i="2"/>
  <c r="K345" i="2"/>
  <c r="D560" i="2"/>
  <c r="K203" i="2"/>
  <c r="E506" i="2"/>
  <c r="L506" i="2" s="1"/>
  <c r="D518" i="2"/>
  <c r="K507" i="2"/>
  <c r="K389" i="2"/>
  <c r="D482" i="2"/>
  <c r="E14" i="2"/>
  <c r="L14" i="2" s="1"/>
  <c r="E288" i="2"/>
  <c r="L288" i="2" s="1"/>
  <c r="E249" i="2"/>
  <c r="L249" i="2" s="1"/>
  <c r="E127" i="2"/>
  <c r="L127" i="2" s="1"/>
  <c r="K342" i="2"/>
  <c r="E605" i="2"/>
  <c r="L605" i="2" s="1"/>
  <c r="E542" i="2"/>
  <c r="L542" i="2" s="1"/>
  <c r="E85" i="2"/>
  <c r="L85" i="2" s="1"/>
  <c r="K87" i="2"/>
  <c r="D261" i="2"/>
  <c r="K26" i="2"/>
  <c r="E502" i="2"/>
  <c r="L502" i="2" s="1"/>
  <c r="E208" i="2"/>
  <c r="L208" i="2" s="1"/>
  <c r="E302" i="2"/>
  <c r="L302" i="2" s="1"/>
  <c r="K417" i="2"/>
  <c r="M23" i="6"/>
  <c r="E402" i="2"/>
  <c r="L402" i="2" s="1"/>
  <c r="D19" i="2"/>
  <c r="E548" i="2"/>
  <c r="L548" i="2" s="1"/>
  <c r="D100" i="2"/>
  <c r="K612" i="2"/>
  <c r="D616" i="2"/>
  <c r="K118" i="2"/>
  <c r="D324" i="2"/>
  <c r="E155" i="2"/>
  <c r="L155" i="2" s="1"/>
  <c r="K301" i="2"/>
  <c r="K394" i="2"/>
  <c r="D394" i="2"/>
  <c r="D40" i="2"/>
  <c r="K386" i="2"/>
  <c r="E285" i="2"/>
  <c r="L285" i="2" s="1"/>
  <c r="E105" i="2"/>
  <c r="L105" i="2" s="1"/>
  <c r="D196" i="2"/>
  <c r="D627" i="2"/>
  <c r="K97" i="2"/>
  <c r="K422" i="2"/>
  <c r="E566" i="2"/>
  <c r="L566" i="2" s="1"/>
  <c r="K140" i="2"/>
  <c r="E315" i="2"/>
  <c r="L315" i="2" s="1"/>
  <c r="E220" i="2"/>
  <c r="L220" i="2" s="1"/>
  <c r="E536" i="2"/>
  <c r="L536" i="2" s="1"/>
  <c r="K564" i="2"/>
  <c r="E622" i="2"/>
  <c r="L622" i="2" s="1"/>
  <c r="D618" i="2"/>
  <c r="D81" i="2"/>
  <c r="K624" i="2"/>
  <c r="E545" i="2"/>
  <c r="L545" i="2" s="1"/>
  <c r="D399" i="2"/>
  <c r="E252" i="2"/>
  <c r="L252" i="2" s="1"/>
  <c r="D549" i="2"/>
  <c r="D452" i="2"/>
  <c r="K346" i="2"/>
  <c r="E631" i="2"/>
  <c r="L631" i="2" s="1"/>
  <c r="D412" i="2"/>
  <c r="K448" i="2"/>
  <c r="E522" i="2"/>
  <c r="L522" i="2" s="1"/>
  <c r="D467" i="2"/>
  <c r="K572" i="2"/>
  <c r="K610" i="2"/>
  <c r="AD41" i="8"/>
  <c r="D200" i="2"/>
  <c r="K51" i="2"/>
  <c r="E112" i="2"/>
  <c r="L112" i="2" s="1"/>
  <c r="D312" i="2"/>
  <c r="U31" i="18"/>
  <c r="N31" i="18"/>
  <c r="T31" i="18"/>
  <c r="L32" i="18"/>
  <c r="M32" i="18" s="1"/>
  <c r="K33" i="18"/>
  <c r="O32" i="18"/>
  <c r="V29" i="15"/>
  <c r="V53" i="11"/>
  <c r="V29" i="11"/>
  <c r="V52" i="11"/>
  <c r="V28" i="11"/>
  <c r="V30" i="15"/>
  <c r="N31" i="15"/>
  <c r="U31" i="15"/>
  <c r="T31" i="15"/>
  <c r="O32" i="15"/>
  <c r="K33" i="15"/>
  <c r="L32" i="15"/>
  <c r="M32" i="15" s="1"/>
  <c r="T54" i="11"/>
  <c r="U54" i="11"/>
  <c r="N54" i="11"/>
  <c r="K56" i="11"/>
  <c r="O55" i="11"/>
  <c r="L55" i="11"/>
  <c r="N38" i="11"/>
  <c r="T38" i="11"/>
  <c r="U38" i="11"/>
  <c r="L39" i="11"/>
  <c r="O39" i="11"/>
  <c r="K40" i="11"/>
  <c r="L18" i="6"/>
  <c r="L20" i="6"/>
  <c r="L27" i="6"/>
  <c r="L19" i="6"/>
  <c r="L26" i="6"/>
  <c r="L21" i="6"/>
  <c r="L28" i="6"/>
  <c r="L25" i="6"/>
  <c r="L24" i="6"/>
  <c r="L29" i="6"/>
  <c r="L31" i="6"/>
  <c r="L23" i="6"/>
  <c r="L30" i="6"/>
  <c r="L22" i="6"/>
  <c r="S23" i="6"/>
  <c r="P24" i="6"/>
  <c r="Q24" i="6" s="1"/>
  <c r="R24" i="6" s="1"/>
  <c r="T23" i="6"/>
  <c r="S5" i="2"/>
  <c r="G17" i="2"/>
  <c r="S24" i="6" a="1"/>
  <c r="U39" i="11" a="1"/>
  <c r="T39" i="11" a="1"/>
  <c r="V22" i="6" a="1"/>
  <c r="U22" i="6" a="1"/>
  <c r="N32" i="15" a="1"/>
  <c r="V23" i="6" a="1"/>
  <c r="U32" i="18" a="1"/>
  <c r="N55" i="11" a="1"/>
  <c r="N32" i="18" a="1"/>
  <c r="U32" i="15" a="1"/>
  <c r="T32" i="18" a="1"/>
  <c r="T32" i="15" a="1"/>
  <c r="N39" i="11" a="1"/>
  <c r="U55" i="11" a="1"/>
  <c r="U23" i="6" a="1"/>
  <c r="T55" i="11" a="1"/>
  <c r="U22" i="6" l="1"/>
  <c r="V22" i="6"/>
  <c r="V28" i="15"/>
  <c r="V37" i="11"/>
  <c r="V35" i="11"/>
  <c r="V31" i="18"/>
  <c r="T32" i="18"/>
  <c r="V32" i="18" s="1"/>
  <c r="N32" i="18"/>
  <c r="U32" i="18"/>
  <c r="V54" i="11"/>
  <c r="L33" i="18"/>
  <c r="M33" i="18" s="1"/>
  <c r="K34" i="18"/>
  <c r="O33" i="18"/>
  <c r="V31" i="15"/>
  <c r="V38" i="11"/>
  <c r="U32" i="15"/>
  <c r="T32" i="15"/>
  <c r="V32" i="15" s="1"/>
  <c r="N32" i="15"/>
  <c r="O33" i="15"/>
  <c r="K34" i="15"/>
  <c r="L33" i="15"/>
  <c r="M33" i="15" s="1"/>
  <c r="N55" i="11"/>
  <c r="T55" i="11"/>
  <c r="V55" i="11" s="1"/>
  <c r="U55" i="11"/>
  <c r="L56" i="11"/>
  <c r="K57" i="11"/>
  <c r="O56" i="11"/>
  <c r="N39" i="11"/>
  <c r="T39" i="11"/>
  <c r="U39" i="11"/>
  <c r="L40" i="11"/>
  <c r="K41" i="11"/>
  <c r="O40" i="11"/>
  <c r="S24" i="6"/>
  <c r="U23" i="6"/>
  <c r="V23" i="6"/>
  <c r="P25" i="6"/>
  <c r="Q25" i="6" s="1"/>
  <c r="R25" i="6" s="1"/>
  <c r="T24" i="6"/>
  <c r="G18" i="2"/>
  <c r="U24" i="6" a="1"/>
  <c r="F17" i="2" a="1"/>
  <c r="N56" i="11" a="1"/>
  <c r="T33" i="18" a="1"/>
  <c r="N40" i="11" a="1"/>
  <c r="F18" i="2" a="1"/>
  <c r="U33" i="18" a="1"/>
  <c r="F15" i="2" a="1"/>
  <c r="T33" i="15" a="1"/>
  <c r="N33" i="18" a="1"/>
  <c r="V24" i="6" a="1"/>
  <c r="U33" i="15" a="1"/>
  <c r="U40" i="11" a="1"/>
  <c r="F14" i="2" a="1"/>
  <c r="S25" i="6" a="1"/>
  <c r="T56" i="11" a="1"/>
  <c r="F16" i="2" a="1"/>
  <c r="F19" i="2" a="1"/>
  <c r="U56" i="11" a="1"/>
  <c r="N33" i="15" a="1"/>
  <c r="T40" i="11" a="1"/>
  <c r="V39" i="11" l="1"/>
  <c r="N33" i="18"/>
  <c r="U33" i="18"/>
  <c r="T33" i="18"/>
  <c r="V33" i="18" s="1"/>
  <c r="O34" i="18"/>
  <c r="L34" i="18"/>
  <c r="M34" i="18" s="1"/>
  <c r="K35" i="18"/>
  <c r="U33" i="15"/>
  <c r="N33" i="15"/>
  <c r="T33" i="15"/>
  <c r="K35" i="15"/>
  <c r="L34" i="15"/>
  <c r="M34" i="15" s="1"/>
  <c r="O34" i="15"/>
  <c r="N56" i="11"/>
  <c r="T56" i="11"/>
  <c r="U56" i="11"/>
  <c r="L57" i="11"/>
  <c r="O57" i="11"/>
  <c r="K58" i="11"/>
  <c r="N40" i="11"/>
  <c r="T40" i="11"/>
  <c r="U40" i="11"/>
  <c r="L41" i="11"/>
  <c r="K42" i="11"/>
  <c r="O41" i="11"/>
  <c r="S25" i="6"/>
  <c r="V24" i="6"/>
  <c r="U24" i="6"/>
  <c r="F14" i="2"/>
  <c r="P26" i="6"/>
  <c r="T25" i="6"/>
  <c r="F15" i="2"/>
  <c r="F19" i="2"/>
  <c r="F18" i="2"/>
  <c r="F17" i="2"/>
  <c r="F16" i="2"/>
  <c r="G19" i="2"/>
  <c r="N57" i="11" a="1"/>
  <c r="T34" i="18" a="1"/>
  <c r="U25" i="6" a="1"/>
  <c r="U34" i="18" a="1"/>
  <c r="U41" i="11" a="1"/>
  <c r="T34" i="15" a="1"/>
  <c r="N34" i="18" a="1"/>
  <c r="U57" i="11" a="1"/>
  <c r="U34" i="15" a="1"/>
  <c r="T41" i="11" a="1"/>
  <c r="N41" i="11" a="1"/>
  <c r="T57" i="11" a="1"/>
  <c r="V25" i="6" a="1"/>
  <c r="N34" i="15" a="1"/>
  <c r="V56" i="11" l="1"/>
  <c r="V40" i="11"/>
  <c r="V33" i="15"/>
  <c r="N34" i="18"/>
  <c r="U34" i="18"/>
  <c r="T34" i="18"/>
  <c r="V34" i="18" s="1"/>
  <c r="K36" i="18"/>
  <c r="O35" i="18"/>
  <c r="L35" i="18"/>
  <c r="M35" i="18" s="1"/>
  <c r="N34" i="15"/>
  <c r="U34" i="15"/>
  <c r="T34" i="15"/>
  <c r="O35" i="15"/>
  <c r="K36" i="15"/>
  <c r="L35" i="15"/>
  <c r="M35" i="15" s="1"/>
  <c r="U57" i="11"/>
  <c r="N57" i="11"/>
  <c r="T57" i="11"/>
  <c r="L58" i="11"/>
  <c r="O58" i="11"/>
  <c r="K59" i="11"/>
  <c r="U41" i="11"/>
  <c r="N41" i="11"/>
  <c r="T41" i="11"/>
  <c r="L42" i="11"/>
  <c r="O42" i="11"/>
  <c r="U25" i="6"/>
  <c r="V25" i="6"/>
  <c r="T26" i="6"/>
  <c r="Q26" i="6"/>
  <c r="R26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M18" i="2"/>
  <c r="G20" i="2"/>
  <c r="N58" i="11" a="1"/>
  <c r="T42" i="11" a="1"/>
  <c r="N35" i="15" a="1"/>
  <c r="T58" i="11" a="1"/>
  <c r="U35" i="18" a="1"/>
  <c r="U42" i="11" a="1"/>
  <c r="F20" i="2" a="1"/>
  <c r="U58" i="11" a="1"/>
  <c r="S26" i="6" a="1"/>
  <c r="N42" i="11" a="1"/>
  <c r="T35" i="18" a="1"/>
  <c r="N35" i="18" a="1"/>
  <c r="U35" i="15" a="1"/>
  <c r="T35" i="15" a="1"/>
  <c r="V57" i="11" l="1"/>
  <c r="V41" i="11"/>
  <c r="N35" i="18"/>
  <c r="U35" i="18"/>
  <c r="T35" i="18"/>
  <c r="V35" i="18" s="1"/>
  <c r="L36" i="18"/>
  <c r="M36" i="18" s="1"/>
  <c r="K37" i="18"/>
  <c r="O36" i="18"/>
  <c r="V34" i="15"/>
  <c r="U35" i="15"/>
  <c r="T35" i="15"/>
  <c r="N35" i="15"/>
  <c r="K37" i="15"/>
  <c r="L36" i="15"/>
  <c r="M36" i="15" s="1"/>
  <c r="O36" i="15"/>
  <c r="T58" i="11"/>
  <c r="U58" i="11"/>
  <c r="N58" i="11"/>
  <c r="K60" i="11"/>
  <c r="O59" i="11"/>
  <c r="L59" i="11"/>
  <c r="U42" i="11"/>
  <c r="T42" i="11"/>
  <c r="V42" i="11" s="1"/>
  <c r="N42" i="11"/>
  <c r="S26" i="6"/>
  <c r="J19" i="2"/>
  <c r="F20" i="2"/>
  <c r="P16" i="2"/>
  <c r="P17" i="2"/>
  <c r="P15" i="2"/>
  <c r="O18" i="2"/>
  <c r="O14" i="2"/>
  <c r="P14" i="2"/>
  <c r="G21" i="2"/>
  <c r="U59" i="11" a="1"/>
  <c r="T36" i="18" a="1"/>
  <c r="F21" i="2" a="1"/>
  <c r="N59" i="11" a="1"/>
  <c r="T59" i="11" a="1"/>
  <c r="N36" i="15" a="1"/>
  <c r="N36" i="18" a="1"/>
  <c r="U26" i="6" a="1"/>
  <c r="U36" i="18" a="1"/>
  <c r="U36" i="15" a="1"/>
  <c r="V26" i="6" a="1"/>
  <c r="T36" i="15" a="1"/>
  <c r="T36" i="18" l="1"/>
  <c r="N36" i="18"/>
  <c r="U36" i="18"/>
  <c r="V58" i="11"/>
  <c r="L37" i="18"/>
  <c r="M37" i="18" s="1"/>
  <c r="K38" i="18"/>
  <c r="O37" i="18"/>
  <c r="V35" i="15"/>
  <c r="U36" i="15"/>
  <c r="T36" i="15"/>
  <c r="N36" i="15"/>
  <c r="L37" i="15"/>
  <c r="M37" i="15" s="1"/>
  <c r="K38" i="15"/>
  <c r="O37" i="15"/>
  <c r="N59" i="11"/>
  <c r="T59" i="11"/>
  <c r="V59" i="11" s="1"/>
  <c r="U59" i="11"/>
  <c r="L60" i="11"/>
  <c r="K61" i="11"/>
  <c r="O60" i="11"/>
  <c r="V26" i="6"/>
  <c r="U26" i="6"/>
  <c r="M19" i="2"/>
  <c r="O19" i="2" s="1"/>
  <c r="F21" i="2"/>
  <c r="J20" i="2"/>
  <c r="P19" i="2"/>
  <c r="P18" i="2"/>
  <c r="G22" i="2"/>
  <c r="U60" i="11" a="1"/>
  <c r="U37" i="18" a="1"/>
  <c r="T37" i="15" a="1"/>
  <c r="T60" i="11" a="1"/>
  <c r="N60" i="11" a="1"/>
  <c r="U37" i="15" a="1"/>
  <c r="T37" i="18" a="1"/>
  <c r="F22" i="2" a="1"/>
  <c r="N37" i="18" a="1"/>
  <c r="N37" i="15" a="1"/>
  <c r="N37" i="18" l="1"/>
  <c r="U37" i="18"/>
  <c r="T37" i="18"/>
  <c r="V37" i="18" s="1"/>
  <c r="V36" i="18"/>
  <c r="O38" i="18"/>
  <c r="L38" i="18"/>
  <c r="M38" i="18" s="1"/>
  <c r="K39" i="18"/>
  <c r="V36" i="15"/>
  <c r="U37" i="15"/>
  <c r="T37" i="15"/>
  <c r="N37" i="15"/>
  <c r="K39" i="15"/>
  <c r="O38" i="15"/>
  <c r="L38" i="15"/>
  <c r="M38" i="15" s="1"/>
  <c r="N60" i="11"/>
  <c r="T60" i="11"/>
  <c r="U60" i="11"/>
  <c r="L61" i="11"/>
  <c r="O61" i="11"/>
  <c r="K62" i="11"/>
  <c r="M20" i="2"/>
  <c r="O20" i="2" s="1"/>
  <c r="J21" i="2"/>
  <c r="F22" i="2"/>
  <c r="P20" i="2"/>
  <c r="G23" i="2"/>
  <c r="T38" i="18" a="1"/>
  <c r="T61" i="11" a="1"/>
  <c r="N61" i="11" a="1"/>
  <c r="U38" i="18" a="1"/>
  <c r="N38" i="18" a="1"/>
  <c r="T38" i="15" a="1"/>
  <c r="F23" i="2" a="1"/>
  <c r="U61" i="11" a="1"/>
  <c r="N38" i="15" a="1"/>
  <c r="U38" i="15" a="1"/>
  <c r="V60" i="11" l="1"/>
  <c r="N38" i="18"/>
  <c r="U38" i="18"/>
  <c r="T38" i="18"/>
  <c r="V38" i="18" s="1"/>
  <c r="V37" i="15"/>
  <c r="K40" i="18"/>
  <c r="O39" i="18"/>
  <c r="L39" i="18"/>
  <c r="M39" i="18" s="1"/>
  <c r="U38" i="15"/>
  <c r="T38" i="15"/>
  <c r="N38" i="15"/>
  <c r="O39" i="15"/>
  <c r="K40" i="15"/>
  <c r="L39" i="15"/>
  <c r="M39" i="15" s="1"/>
  <c r="U61" i="11"/>
  <c r="N61" i="11"/>
  <c r="T61" i="11"/>
  <c r="L62" i="11"/>
  <c r="O62" i="11"/>
  <c r="K63" i="11"/>
  <c r="M21" i="2"/>
  <c r="O21" i="2" s="1"/>
  <c r="J22" i="2"/>
  <c r="F23" i="2"/>
  <c r="P21" i="2"/>
  <c r="G24" i="2"/>
  <c r="T39" i="18" a="1"/>
  <c r="N62" i="11" a="1"/>
  <c r="U39" i="18" a="1"/>
  <c r="U39" i="15" a="1"/>
  <c r="U62" i="11" a="1"/>
  <c r="F24" i="2" a="1"/>
  <c r="N39" i="18" a="1"/>
  <c r="N39" i="15" a="1"/>
  <c r="T39" i="15" a="1"/>
  <c r="T62" i="11" a="1"/>
  <c r="N39" i="18" l="1"/>
  <c r="U39" i="18"/>
  <c r="T39" i="18"/>
  <c r="V38" i="15"/>
  <c r="L40" i="18"/>
  <c r="M40" i="18" s="1"/>
  <c r="K41" i="18"/>
  <c r="O40" i="18"/>
  <c r="V61" i="11"/>
  <c r="U39" i="15"/>
  <c r="T39" i="15"/>
  <c r="N39" i="15"/>
  <c r="K41" i="15"/>
  <c r="O40" i="15"/>
  <c r="L40" i="15"/>
  <c r="M40" i="15" s="1"/>
  <c r="T62" i="11"/>
  <c r="U62" i="11"/>
  <c r="N62" i="11"/>
  <c r="K64" i="11"/>
  <c r="O63" i="11"/>
  <c r="L63" i="11"/>
  <c r="M22" i="2"/>
  <c r="O22" i="2" s="1"/>
  <c r="J23" i="2"/>
  <c r="F24" i="2"/>
  <c r="G25" i="2"/>
  <c r="N40" i="15" a="1"/>
  <c r="N40" i="18" a="1"/>
  <c r="F25" i="2" a="1"/>
  <c r="T40" i="18" a="1"/>
  <c r="T63" i="11" a="1"/>
  <c r="N63" i="11" a="1"/>
  <c r="U40" i="15" a="1"/>
  <c r="U63" i="11" a="1"/>
  <c r="T40" i="15" a="1"/>
  <c r="U40" i="18" a="1"/>
  <c r="V39" i="18" l="1"/>
  <c r="V62" i="11"/>
  <c r="V39" i="15"/>
  <c r="T40" i="18"/>
  <c r="N40" i="18"/>
  <c r="U40" i="18"/>
  <c r="L41" i="18"/>
  <c r="M41" i="18" s="1"/>
  <c r="K42" i="18"/>
  <c r="O41" i="18"/>
  <c r="U40" i="15"/>
  <c r="T40" i="15"/>
  <c r="V40" i="15" s="1"/>
  <c r="N40" i="15"/>
  <c r="O41" i="15"/>
  <c r="K42" i="15"/>
  <c r="L41" i="15"/>
  <c r="M41" i="15" s="1"/>
  <c r="N63" i="11"/>
  <c r="T63" i="11"/>
  <c r="U63" i="11"/>
  <c r="L64" i="11"/>
  <c r="K65" i="11"/>
  <c r="O64" i="11"/>
  <c r="M23" i="2"/>
  <c r="O23" i="2" s="1"/>
  <c r="J24" i="2"/>
  <c r="F25" i="2"/>
  <c r="P22" i="2"/>
  <c r="G26" i="2"/>
  <c r="T41" i="18" a="1"/>
  <c r="N64" i="11" a="1"/>
  <c r="U41" i="18" a="1"/>
  <c r="N41" i="15" a="1"/>
  <c r="N41" i="18" a="1"/>
  <c r="T41" i="15" a="1"/>
  <c r="F26" i="2" a="1"/>
  <c r="U41" i="15" a="1"/>
  <c r="T64" i="11" a="1"/>
  <c r="U64" i="11" a="1"/>
  <c r="V63" i="11" l="1"/>
  <c r="V40" i="18"/>
  <c r="N41" i="18"/>
  <c r="U41" i="18"/>
  <c r="T41" i="18"/>
  <c r="V41" i="18" s="1"/>
  <c r="O42" i="18"/>
  <c r="L42" i="18"/>
  <c r="M42" i="18" s="1"/>
  <c r="K43" i="18"/>
  <c r="T41" i="15"/>
  <c r="V41" i="15" s="1"/>
  <c r="N41" i="15"/>
  <c r="U41" i="15"/>
  <c r="O42" i="15"/>
  <c r="L42" i="15"/>
  <c r="M42" i="15" s="1"/>
  <c r="K43" i="15"/>
  <c r="N64" i="11"/>
  <c r="T64" i="11"/>
  <c r="U64" i="11"/>
  <c r="L65" i="11"/>
  <c r="O65" i="11"/>
  <c r="K66" i="11"/>
  <c r="M24" i="2"/>
  <c r="O24" i="2" s="1"/>
  <c r="J25" i="2"/>
  <c r="F26" i="2"/>
  <c r="P24" i="2"/>
  <c r="P23" i="2"/>
  <c r="G27" i="2"/>
  <c r="U65" i="11" a="1"/>
  <c r="T42" i="18" a="1"/>
  <c r="F27" i="2" a="1"/>
  <c r="U42" i="18" a="1"/>
  <c r="U42" i="15" a="1"/>
  <c r="N42" i="15" a="1"/>
  <c r="N42" i="18" a="1"/>
  <c r="N65" i="11" a="1"/>
  <c r="T65" i="11" a="1"/>
  <c r="T42" i="15" a="1"/>
  <c r="V64" i="11" l="1"/>
  <c r="N42" i="18"/>
  <c r="U42" i="18"/>
  <c r="T42" i="18"/>
  <c r="V42" i="18" s="1"/>
  <c r="K44" i="18"/>
  <c r="O43" i="18"/>
  <c r="L43" i="18"/>
  <c r="M43" i="18" s="1"/>
  <c r="T42" i="15"/>
  <c r="N42" i="15"/>
  <c r="U42" i="15"/>
  <c r="O43" i="15"/>
  <c r="K44" i="15"/>
  <c r="L43" i="15"/>
  <c r="M43" i="15" s="1"/>
  <c r="U65" i="11"/>
  <c r="N65" i="11"/>
  <c r="T65" i="11"/>
  <c r="V65" i="11" s="1"/>
  <c r="L66" i="11"/>
  <c r="O66" i="11"/>
  <c r="K67" i="11"/>
  <c r="M25" i="2"/>
  <c r="O25" i="2" s="1"/>
  <c r="J26" i="2"/>
  <c r="F27" i="2"/>
  <c r="G28" i="2"/>
  <c r="F28" i="2" a="1"/>
  <c r="N43" i="18" a="1"/>
  <c r="N43" i="15" a="1"/>
  <c r="U43" i="15" a="1"/>
  <c r="T43" i="15" a="1"/>
  <c r="T66" i="11" a="1"/>
  <c r="U43" i="18" a="1"/>
  <c r="N66" i="11" a="1"/>
  <c r="U66" i="11" a="1"/>
  <c r="T43" i="18" a="1"/>
  <c r="V42" i="15" l="1"/>
  <c r="N43" i="18"/>
  <c r="U43" i="18"/>
  <c r="T43" i="18"/>
  <c r="V43" i="18" s="1"/>
  <c r="L44" i="18"/>
  <c r="M44" i="18" s="1"/>
  <c r="K45" i="18"/>
  <c r="O44" i="18"/>
  <c r="T43" i="15"/>
  <c r="N43" i="15"/>
  <c r="U43" i="15"/>
  <c r="K45" i="15"/>
  <c r="O44" i="15"/>
  <c r="L44" i="15"/>
  <c r="M44" i="15" s="1"/>
  <c r="T66" i="11"/>
  <c r="V66" i="11" s="1"/>
  <c r="U66" i="11"/>
  <c r="N66" i="11"/>
  <c r="K68" i="11"/>
  <c r="O67" i="11"/>
  <c r="L67" i="11"/>
  <c r="M26" i="2"/>
  <c r="O26" i="2" s="1"/>
  <c r="J27" i="2"/>
  <c r="F28" i="2"/>
  <c r="P26" i="2"/>
  <c r="P25" i="2"/>
  <c r="G29" i="2"/>
  <c r="U44" i="18" a="1"/>
  <c r="F29" i="2" a="1"/>
  <c r="T44" i="15" a="1"/>
  <c r="U67" i="11" a="1"/>
  <c r="N44" i="15" a="1"/>
  <c r="N44" i="18" a="1"/>
  <c r="N67" i="11" a="1"/>
  <c r="T44" i="18" a="1"/>
  <c r="U44" i="15" a="1"/>
  <c r="T67" i="11" a="1"/>
  <c r="T44" i="18" l="1"/>
  <c r="V44" i="18" s="1"/>
  <c r="N44" i="18"/>
  <c r="U44" i="18"/>
  <c r="L45" i="18"/>
  <c r="M45" i="18" s="1"/>
  <c r="K46" i="18"/>
  <c r="O45" i="18"/>
  <c r="V43" i="15"/>
  <c r="N44" i="15"/>
  <c r="U44" i="15"/>
  <c r="T44" i="15"/>
  <c r="O45" i="15"/>
  <c r="K46" i="15"/>
  <c r="L45" i="15"/>
  <c r="M45" i="15" s="1"/>
  <c r="N67" i="11"/>
  <c r="T67" i="11"/>
  <c r="V67" i="11" s="1"/>
  <c r="U67" i="11"/>
  <c r="K69" i="11"/>
  <c r="O68" i="11"/>
  <c r="L68" i="11"/>
  <c r="M27" i="2"/>
  <c r="O27" i="2" s="1"/>
  <c r="J28" i="2"/>
  <c r="F29" i="2"/>
  <c r="P27" i="2"/>
  <c r="G30" i="2"/>
  <c r="F30" i="2" a="1"/>
  <c r="N45" i="18" a="1"/>
  <c r="T45" i="15" a="1"/>
  <c r="T68" i="11" a="1"/>
  <c r="U68" i="11" a="1"/>
  <c r="N68" i="11" a="1"/>
  <c r="U45" i="15" a="1"/>
  <c r="T45" i="18" a="1"/>
  <c r="N45" i="15" a="1"/>
  <c r="U45" i="18" a="1"/>
  <c r="N45" i="18" l="1"/>
  <c r="U45" i="18"/>
  <c r="T45" i="18"/>
  <c r="V45" i="18" s="1"/>
  <c r="V44" i="15"/>
  <c r="O46" i="18"/>
  <c r="L46" i="18"/>
  <c r="M46" i="18" s="1"/>
  <c r="K47" i="18"/>
  <c r="N45" i="15"/>
  <c r="U45" i="15"/>
  <c r="T45" i="15"/>
  <c r="K47" i="15"/>
  <c r="O46" i="15"/>
  <c r="L46" i="15"/>
  <c r="M46" i="15" s="1"/>
  <c r="N68" i="11"/>
  <c r="U68" i="11"/>
  <c r="T68" i="11"/>
  <c r="V68" i="11" s="1"/>
  <c r="L69" i="11"/>
  <c r="O69" i="11"/>
  <c r="K70" i="11"/>
  <c r="M28" i="2"/>
  <c r="O28" i="2" s="1"/>
  <c r="J29" i="2"/>
  <c r="F30" i="2"/>
  <c r="P28" i="2"/>
  <c r="G31" i="2"/>
  <c r="U46" i="15" a="1"/>
  <c r="U69" i="11" a="1"/>
  <c r="N46" i="18" a="1"/>
  <c r="T69" i="11" a="1"/>
  <c r="F31" i="2" a="1"/>
  <c r="U46" i="18" a="1"/>
  <c r="N69" i="11" a="1"/>
  <c r="N46" i="15" a="1"/>
  <c r="T46" i="18" a="1"/>
  <c r="T46" i="15" a="1"/>
  <c r="V45" i="15" l="1"/>
  <c r="N46" i="18"/>
  <c r="U46" i="18"/>
  <c r="T46" i="18"/>
  <c r="V46" i="18" s="1"/>
  <c r="K48" i="18"/>
  <c r="O47" i="18"/>
  <c r="L47" i="18"/>
  <c r="M47" i="18" s="1"/>
  <c r="N46" i="15"/>
  <c r="U46" i="15"/>
  <c r="T46" i="15"/>
  <c r="O47" i="15"/>
  <c r="K48" i="15"/>
  <c r="L47" i="15"/>
  <c r="M47" i="15" s="1"/>
  <c r="U69" i="11"/>
  <c r="N69" i="11"/>
  <c r="T69" i="11"/>
  <c r="K71" i="11"/>
  <c r="L70" i="11"/>
  <c r="O70" i="11"/>
  <c r="M29" i="2"/>
  <c r="O29" i="2" s="1"/>
  <c r="J30" i="2"/>
  <c r="F31" i="2"/>
  <c r="P29" i="2"/>
  <c r="G32" i="2"/>
  <c r="T47" i="15" a="1"/>
  <c r="N47" i="18" a="1"/>
  <c r="T47" i="18" a="1"/>
  <c r="F32" i="2" a="1"/>
  <c r="U47" i="15" a="1"/>
  <c r="U70" i="11" a="1"/>
  <c r="N47" i="15" a="1"/>
  <c r="N70" i="11" a="1"/>
  <c r="U47" i="18" a="1"/>
  <c r="T70" i="11" a="1"/>
  <c r="T47" i="18" l="1"/>
  <c r="V47" i="18" s="1"/>
  <c r="N47" i="18"/>
  <c r="U47" i="18"/>
  <c r="V69" i="11"/>
  <c r="V46" i="15"/>
  <c r="K49" i="18"/>
  <c r="L48" i="18"/>
  <c r="M48" i="18" s="1"/>
  <c r="O48" i="18"/>
  <c r="N47" i="15"/>
  <c r="U47" i="15"/>
  <c r="T47" i="15"/>
  <c r="V47" i="15" s="1"/>
  <c r="K49" i="15"/>
  <c r="O48" i="15"/>
  <c r="L48" i="15"/>
  <c r="M48" i="15" s="1"/>
  <c r="U70" i="11"/>
  <c r="N70" i="11"/>
  <c r="T70" i="11"/>
  <c r="K72" i="11"/>
  <c r="L71" i="11"/>
  <c r="O71" i="11"/>
  <c r="M30" i="2"/>
  <c r="O30" i="2" s="1"/>
  <c r="J31" i="2"/>
  <c r="F32" i="2"/>
  <c r="P30" i="2"/>
  <c r="G33" i="2"/>
  <c r="T71" i="11" a="1"/>
  <c r="U48" i="18" a="1"/>
  <c r="N48" i="15" a="1"/>
  <c r="T48" i="18" a="1"/>
  <c r="F33" i="2" a="1"/>
  <c r="N48" i="18" a="1"/>
  <c r="N71" i="11" a="1"/>
  <c r="U71" i="11" a="1"/>
  <c r="T48" i="15" a="1"/>
  <c r="U48" i="15" a="1"/>
  <c r="N48" i="18" l="1"/>
  <c r="U48" i="18"/>
  <c r="T48" i="18"/>
  <c r="V70" i="11"/>
  <c r="K50" i="18"/>
  <c r="O49" i="18"/>
  <c r="L49" i="18"/>
  <c r="M49" i="18" s="1"/>
  <c r="N48" i="15"/>
  <c r="U48" i="15"/>
  <c r="T48" i="15"/>
  <c r="O49" i="15"/>
  <c r="L49" i="15"/>
  <c r="M49" i="15" s="1"/>
  <c r="K50" i="15"/>
  <c r="N71" i="11"/>
  <c r="T71" i="11"/>
  <c r="U71" i="11"/>
  <c r="K73" i="11"/>
  <c r="O72" i="11"/>
  <c r="L72" i="11"/>
  <c r="M31" i="2"/>
  <c r="O31" i="2" s="1"/>
  <c r="F33" i="2"/>
  <c r="J32" i="2"/>
  <c r="P31" i="2"/>
  <c r="G34" i="2"/>
  <c r="U72" i="11" a="1"/>
  <c r="N49" i="18" a="1"/>
  <c r="N72" i="11" a="1"/>
  <c r="T49" i="18" a="1"/>
  <c r="F34" i="2" a="1"/>
  <c r="T49" i="15" a="1"/>
  <c r="N49" i="15" a="1"/>
  <c r="U49" i="15" a="1"/>
  <c r="U49" i="18" a="1"/>
  <c r="T72" i="11" a="1"/>
  <c r="V48" i="18" l="1"/>
  <c r="V71" i="11"/>
  <c r="T49" i="18"/>
  <c r="N49" i="18"/>
  <c r="U49" i="18"/>
  <c r="V48" i="15"/>
  <c r="K51" i="18"/>
  <c r="L50" i="18"/>
  <c r="M50" i="18" s="1"/>
  <c r="O50" i="18"/>
  <c r="N49" i="15"/>
  <c r="U49" i="15"/>
  <c r="T49" i="15"/>
  <c r="O50" i="15"/>
  <c r="K51" i="15"/>
  <c r="L50" i="15"/>
  <c r="M50" i="15" s="1"/>
  <c r="N72" i="11"/>
  <c r="U72" i="11"/>
  <c r="T72" i="11"/>
  <c r="L73" i="11"/>
  <c r="O73" i="11"/>
  <c r="K74" i="11"/>
  <c r="M32" i="2"/>
  <c r="O32" i="2" s="1"/>
  <c r="J33" i="2"/>
  <c r="F34" i="2"/>
  <c r="P32" i="2"/>
  <c r="G35" i="2"/>
  <c r="T50" i="18" a="1"/>
  <c r="U50" i="18" a="1"/>
  <c r="T73" i="11" a="1"/>
  <c r="U50" i="15" a="1"/>
  <c r="F35" i="2" a="1"/>
  <c r="N50" i="18" a="1"/>
  <c r="T50" i="15" a="1"/>
  <c r="N50" i="15" a="1"/>
  <c r="N73" i="11" a="1"/>
  <c r="U73" i="11" a="1"/>
  <c r="V49" i="18" l="1"/>
  <c r="V49" i="15"/>
  <c r="N50" i="18"/>
  <c r="U50" i="18"/>
  <c r="T50" i="18"/>
  <c r="V50" i="18" s="1"/>
  <c r="V72" i="11"/>
  <c r="K52" i="18"/>
  <c r="O51" i="18"/>
  <c r="L51" i="18"/>
  <c r="M51" i="18" s="1"/>
  <c r="T50" i="15"/>
  <c r="U50" i="15"/>
  <c r="N50" i="15"/>
  <c r="O51" i="15"/>
  <c r="L51" i="15"/>
  <c r="M51" i="15" s="1"/>
  <c r="K52" i="15"/>
  <c r="U73" i="11"/>
  <c r="N73" i="11"/>
  <c r="T73" i="11"/>
  <c r="K75" i="11"/>
  <c r="L74" i="11"/>
  <c r="O74" i="11"/>
  <c r="M33" i="2"/>
  <c r="O33" i="2" s="1"/>
  <c r="J34" i="2"/>
  <c r="F35" i="2"/>
  <c r="P33" i="2"/>
  <c r="G36" i="2"/>
  <c r="U51" i="18" a="1"/>
  <c r="F36" i="2" a="1"/>
  <c r="T51" i="15" a="1"/>
  <c r="U74" i="11" a="1"/>
  <c r="N51" i="18" a="1"/>
  <c r="U51" i="15" a="1"/>
  <c r="T74" i="11" a="1"/>
  <c r="T51" i="18" a="1"/>
  <c r="N74" i="11" a="1"/>
  <c r="N51" i="15" a="1"/>
  <c r="V73" i="11" l="1"/>
  <c r="T51" i="18"/>
  <c r="N51" i="18"/>
  <c r="U51" i="18"/>
  <c r="K53" i="18"/>
  <c r="L52" i="18"/>
  <c r="M52" i="18" s="1"/>
  <c r="O52" i="18"/>
  <c r="V50" i="15"/>
  <c r="U51" i="15"/>
  <c r="T51" i="15"/>
  <c r="N51" i="15"/>
  <c r="O52" i="15"/>
  <c r="K53" i="15"/>
  <c r="L52" i="15"/>
  <c r="M52" i="15" s="1"/>
  <c r="U74" i="11"/>
  <c r="N74" i="11"/>
  <c r="T74" i="11"/>
  <c r="V74" i="11" s="1"/>
  <c r="K76" i="11"/>
  <c r="L75" i="11"/>
  <c r="O75" i="11"/>
  <c r="M34" i="2"/>
  <c r="O34" i="2" s="1"/>
  <c r="J35" i="2"/>
  <c r="F36" i="2"/>
  <c r="P34" i="2"/>
  <c r="G37" i="2"/>
  <c r="U52" i="18" a="1"/>
  <c r="N52" i="15" a="1"/>
  <c r="N52" i="18" a="1"/>
  <c r="U75" i="11" a="1"/>
  <c r="T52" i="15" a="1"/>
  <c r="U52" i="15" a="1"/>
  <c r="N75" i="11" a="1"/>
  <c r="F37" i="2" a="1"/>
  <c r="T52" i="18" a="1"/>
  <c r="T75" i="11" a="1"/>
  <c r="N52" i="18" l="1"/>
  <c r="U52" i="18"/>
  <c r="T52" i="18"/>
  <c r="V52" i="18" s="1"/>
  <c r="V51" i="18"/>
  <c r="K54" i="18"/>
  <c r="O53" i="18"/>
  <c r="L53" i="18"/>
  <c r="M53" i="18" s="1"/>
  <c r="V51" i="15"/>
  <c r="U52" i="15"/>
  <c r="T52" i="15"/>
  <c r="N52" i="15"/>
  <c r="L53" i="15"/>
  <c r="M53" i="15" s="1"/>
  <c r="K54" i="15"/>
  <c r="O53" i="15"/>
  <c r="N75" i="11"/>
  <c r="T75" i="11"/>
  <c r="U75" i="11"/>
  <c r="K77" i="11"/>
  <c r="O76" i="11"/>
  <c r="L76" i="11"/>
  <c r="M35" i="2"/>
  <c r="O35" i="2" s="1"/>
  <c r="F37" i="2"/>
  <c r="J36" i="2"/>
  <c r="P35" i="2"/>
  <c r="G38" i="2"/>
  <c r="U53" i="18" a="1"/>
  <c r="T53" i="18" a="1"/>
  <c r="T53" i="15" a="1"/>
  <c r="N53" i="15" a="1"/>
  <c r="N53" i="18" a="1"/>
  <c r="T76" i="11" a="1"/>
  <c r="U76" i="11" a="1"/>
  <c r="U53" i="15" a="1"/>
  <c r="F38" i="2" a="1"/>
  <c r="N76" i="11" a="1"/>
  <c r="T53" i="18" l="1"/>
  <c r="V53" i="18" s="1"/>
  <c r="N53" i="18"/>
  <c r="U53" i="18"/>
  <c r="V75" i="11"/>
  <c r="V52" i="15"/>
  <c r="K55" i="18"/>
  <c r="O54" i="18"/>
  <c r="L54" i="18"/>
  <c r="M54" i="18" s="1"/>
  <c r="N53" i="15"/>
  <c r="U53" i="15"/>
  <c r="T53" i="15"/>
  <c r="O54" i="15"/>
  <c r="K55" i="15"/>
  <c r="L54" i="15"/>
  <c r="M54" i="15" s="1"/>
  <c r="N76" i="11"/>
  <c r="U76" i="11"/>
  <c r="T76" i="11"/>
  <c r="L77" i="11"/>
  <c r="K78" i="11"/>
  <c r="O77" i="11"/>
  <c r="M36" i="2"/>
  <c r="O36" i="2" s="1"/>
  <c r="F38" i="2"/>
  <c r="J37" i="2"/>
  <c r="P36" i="2"/>
  <c r="G39" i="2"/>
  <c r="T54" i="18" a="1"/>
  <c r="T77" i="11" a="1"/>
  <c r="U54" i="18" a="1"/>
  <c r="U54" i="15" a="1"/>
  <c r="N77" i="11" a="1"/>
  <c r="T54" i="15" a="1"/>
  <c r="N54" i="18" a="1"/>
  <c r="N54" i="15" a="1"/>
  <c r="F39" i="2" a="1"/>
  <c r="U77" i="11" a="1"/>
  <c r="V76" i="11" l="1"/>
  <c r="N54" i="18"/>
  <c r="U54" i="18"/>
  <c r="T54" i="18"/>
  <c r="V54" i="18" s="1"/>
  <c r="V53" i="15"/>
  <c r="K56" i="18"/>
  <c r="L55" i="18"/>
  <c r="M55" i="18" s="1"/>
  <c r="O55" i="18"/>
  <c r="T54" i="15"/>
  <c r="N54" i="15"/>
  <c r="U54" i="15"/>
  <c r="O55" i="15"/>
  <c r="L55" i="15"/>
  <c r="M55" i="15" s="1"/>
  <c r="K56" i="15"/>
  <c r="U77" i="11"/>
  <c r="N77" i="11"/>
  <c r="T77" i="11"/>
  <c r="V77" i="11" s="1"/>
  <c r="K79" i="11"/>
  <c r="L78" i="11"/>
  <c r="O78" i="11"/>
  <c r="M37" i="2"/>
  <c r="O37" i="2" s="1"/>
  <c r="F39" i="2"/>
  <c r="J38" i="2"/>
  <c r="P37" i="2"/>
  <c r="G40" i="2"/>
  <c r="T78" i="11" a="1"/>
  <c r="T55" i="18" a="1"/>
  <c r="T55" i="15" a="1"/>
  <c r="N55" i="18" a="1"/>
  <c r="N78" i="11" a="1"/>
  <c r="U55" i="18" a="1"/>
  <c r="N55" i="15" a="1"/>
  <c r="F40" i="2" a="1"/>
  <c r="U55" i="15" a="1"/>
  <c r="U78" i="11" a="1"/>
  <c r="U55" i="18" l="1"/>
  <c r="T55" i="18"/>
  <c r="N55" i="18"/>
  <c r="K57" i="18"/>
  <c r="O56" i="18"/>
  <c r="L56" i="18"/>
  <c r="M56" i="18" s="1"/>
  <c r="V54" i="15"/>
  <c r="U55" i="15"/>
  <c r="T55" i="15"/>
  <c r="N55" i="15"/>
  <c r="O56" i="15"/>
  <c r="K57" i="15"/>
  <c r="L56" i="15"/>
  <c r="M56" i="15" s="1"/>
  <c r="U78" i="11"/>
  <c r="N78" i="11"/>
  <c r="T78" i="11"/>
  <c r="V78" i="11" s="1"/>
  <c r="K80" i="11"/>
  <c r="O79" i="11"/>
  <c r="L79" i="11"/>
  <c r="M38" i="2"/>
  <c r="O38" i="2" s="1"/>
  <c r="J39" i="2"/>
  <c r="F40" i="2"/>
  <c r="P38" i="2"/>
  <c r="G41" i="2"/>
  <c r="N79" i="11" a="1"/>
  <c r="U56" i="18" a="1"/>
  <c r="T79" i="11" a="1"/>
  <c r="T56" i="15" a="1"/>
  <c r="N56" i="18" a="1"/>
  <c r="F41" i="2" a="1"/>
  <c r="U56" i="15" a="1"/>
  <c r="T56" i="18" a="1"/>
  <c r="U79" i="11" a="1"/>
  <c r="N56" i="15" a="1"/>
  <c r="V55" i="18" l="1"/>
  <c r="N56" i="18"/>
  <c r="U56" i="18"/>
  <c r="T56" i="18"/>
  <c r="V56" i="18" s="1"/>
  <c r="K58" i="18"/>
  <c r="L57" i="18"/>
  <c r="M57" i="18" s="1"/>
  <c r="O57" i="18"/>
  <c r="V55" i="15"/>
  <c r="N56" i="15"/>
  <c r="T56" i="15"/>
  <c r="U56" i="15"/>
  <c r="L57" i="15"/>
  <c r="M57" i="15" s="1"/>
  <c r="K58" i="15"/>
  <c r="O57" i="15"/>
  <c r="N79" i="11"/>
  <c r="T79" i="11"/>
  <c r="U79" i="11"/>
  <c r="K81" i="11"/>
  <c r="O80" i="11"/>
  <c r="L80" i="11"/>
  <c r="M39" i="2"/>
  <c r="O39" i="2" s="1"/>
  <c r="J40" i="2"/>
  <c r="F41" i="2"/>
  <c r="P39" i="2"/>
  <c r="G42" i="2"/>
  <c r="T57" i="18" a="1"/>
  <c r="T57" i="15" a="1"/>
  <c r="U80" i="11" a="1"/>
  <c r="U57" i="18" a="1"/>
  <c r="N57" i="15" a="1"/>
  <c r="T80" i="11" a="1"/>
  <c r="N57" i="18" a="1"/>
  <c r="U57" i="15" a="1"/>
  <c r="F42" i="2" a="1"/>
  <c r="N80" i="11" a="1"/>
  <c r="V56" i="15" l="1"/>
  <c r="V79" i="11"/>
  <c r="N57" i="18"/>
  <c r="U57" i="18"/>
  <c r="T57" i="18"/>
  <c r="V57" i="18" s="1"/>
  <c r="K59" i="18"/>
  <c r="O58" i="18"/>
  <c r="L58" i="18"/>
  <c r="M58" i="18" s="1"/>
  <c r="N57" i="15"/>
  <c r="U57" i="15"/>
  <c r="T57" i="15"/>
  <c r="O58" i="15"/>
  <c r="K59" i="15"/>
  <c r="L58" i="15"/>
  <c r="M58" i="15" s="1"/>
  <c r="N80" i="11"/>
  <c r="T80" i="11"/>
  <c r="V80" i="11" s="1"/>
  <c r="U80" i="11"/>
  <c r="L81" i="11"/>
  <c r="K82" i="11"/>
  <c r="O81" i="11"/>
  <c r="M40" i="2"/>
  <c r="O40" i="2" s="1"/>
  <c r="F42" i="2"/>
  <c r="J41" i="2"/>
  <c r="P40" i="2"/>
  <c r="G43" i="2"/>
  <c r="U58" i="18" a="1"/>
  <c r="U58" i="15" a="1"/>
  <c r="N58" i="18" a="1"/>
  <c r="T58" i="15" a="1"/>
  <c r="F43" i="2" a="1"/>
  <c r="T58" i="18" a="1"/>
  <c r="N81" i="11" a="1"/>
  <c r="T81" i="11" a="1"/>
  <c r="N58" i="15" a="1"/>
  <c r="U81" i="11" a="1"/>
  <c r="V57" i="15" l="1"/>
  <c r="T58" i="18"/>
  <c r="N58" i="18"/>
  <c r="U58" i="18"/>
  <c r="K60" i="18"/>
  <c r="O59" i="18"/>
  <c r="L59" i="18"/>
  <c r="M59" i="18" s="1"/>
  <c r="U58" i="15"/>
  <c r="T58" i="15"/>
  <c r="N58" i="15"/>
  <c r="O59" i="15"/>
  <c r="L59" i="15"/>
  <c r="M59" i="15" s="1"/>
  <c r="K60" i="15"/>
  <c r="U81" i="11"/>
  <c r="N81" i="11"/>
  <c r="T81" i="11"/>
  <c r="K83" i="11"/>
  <c r="L82" i="11"/>
  <c r="O82" i="11"/>
  <c r="M41" i="2"/>
  <c r="O41" i="2" s="1"/>
  <c r="F43" i="2"/>
  <c r="J42" i="2"/>
  <c r="P41" i="2"/>
  <c r="G44" i="2"/>
  <c r="N59" i="15" a="1"/>
  <c r="U59" i="18" a="1"/>
  <c r="U82" i="11" a="1"/>
  <c r="N59" i="18" a="1"/>
  <c r="T82" i="11" a="1"/>
  <c r="F44" i="2" a="1"/>
  <c r="T59" i="15" a="1"/>
  <c r="N82" i="11" a="1"/>
  <c r="T59" i="18" a="1"/>
  <c r="U59" i="15" a="1"/>
  <c r="V58" i="18" l="1"/>
  <c r="V58" i="15"/>
  <c r="N59" i="18"/>
  <c r="U59" i="18"/>
  <c r="T59" i="18"/>
  <c r="V59" i="18" s="1"/>
  <c r="V81" i="11"/>
  <c r="K61" i="18"/>
  <c r="L60" i="18"/>
  <c r="M60" i="18" s="1"/>
  <c r="O60" i="18"/>
  <c r="U59" i="15"/>
  <c r="T59" i="15"/>
  <c r="N59" i="15"/>
  <c r="O60" i="15"/>
  <c r="K61" i="15"/>
  <c r="L60" i="15"/>
  <c r="M60" i="15" s="1"/>
  <c r="U82" i="11"/>
  <c r="T82" i="11"/>
  <c r="V82" i="11" s="1"/>
  <c r="N82" i="11"/>
  <c r="K84" i="11"/>
  <c r="L83" i="11"/>
  <c r="O83" i="11"/>
  <c r="M42" i="2"/>
  <c r="O42" i="2" s="1"/>
  <c r="F44" i="2"/>
  <c r="J43" i="2"/>
  <c r="P42" i="2"/>
  <c r="G45" i="2"/>
  <c r="N60" i="15" a="1"/>
  <c r="N60" i="18" a="1"/>
  <c r="T83" i="11" a="1"/>
  <c r="T60" i="18" a="1"/>
  <c r="N83" i="11" a="1"/>
  <c r="U60" i="15" a="1"/>
  <c r="F45" i="2" a="1"/>
  <c r="U60" i="18" a="1"/>
  <c r="T60" i="15" a="1"/>
  <c r="U83" i="11" a="1"/>
  <c r="U60" i="18" l="1"/>
  <c r="T60" i="18"/>
  <c r="N60" i="18"/>
  <c r="K62" i="18"/>
  <c r="O61" i="18"/>
  <c r="L61" i="18"/>
  <c r="M61" i="18" s="1"/>
  <c r="V59" i="15"/>
  <c r="N60" i="15"/>
  <c r="U60" i="15"/>
  <c r="T60" i="15"/>
  <c r="L61" i="15"/>
  <c r="M61" i="15" s="1"/>
  <c r="K62" i="15"/>
  <c r="O61" i="15"/>
  <c r="N83" i="11"/>
  <c r="T83" i="11"/>
  <c r="V83" i="11" s="1"/>
  <c r="U83" i="11"/>
  <c r="K85" i="11"/>
  <c r="O84" i="11"/>
  <c r="L84" i="11"/>
  <c r="M43" i="2"/>
  <c r="O43" i="2" s="1"/>
  <c r="F45" i="2"/>
  <c r="J44" i="2"/>
  <c r="P43" i="2"/>
  <c r="G46" i="2"/>
  <c r="N84" i="11" a="1"/>
  <c r="N61" i="18" a="1"/>
  <c r="T61" i="15" a="1"/>
  <c r="F46" i="2" a="1"/>
  <c r="T84" i="11" a="1"/>
  <c r="U61" i="15" a="1"/>
  <c r="N61" i="15" a="1"/>
  <c r="U84" i="11" a="1"/>
  <c r="U61" i="18" a="1"/>
  <c r="T61" i="18" a="1"/>
  <c r="V60" i="15" l="1"/>
  <c r="V60" i="18"/>
  <c r="T61" i="18"/>
  <c r="N61" i="18"/>
  <c r="U61" i="18"/>
  <c r="K63" i="18"/>
  <c r="O62" i="18"/>
  <c r="L62" i="18"/>
  <c r="M62" i="18" s="1"/>
  <c r="N61" i="15"/>
  <c r="U61" i="15"/>
  <c r="T61" i="15"/>
  <c r="O62" i="15"/>
  <c r="K63" i="15"/>
  <c r="L62" i="15"/>
  <c r="M62" i="15" s="1"/>
  <c r="N84" i="11"/>
  <c r="T84" i="11"/>
  <c r="U84" i="11"/>
  <c r="L85" i="11"/>
  <c r="O85" i="11"/>
  <c r="K86" i="11"/>
  <c r="M44" i="2"/>
  <c r="O44" i="2" s="1"/>
  <c r="J45" i="2"/>
  <c r="F46" i="2"/>
  <c r="P44" i="2"/>
  <c r="G47" i="2"/>
  <c r="F47" i="2" a="1"/>
  <c r="N62" i="18" a="1"/>
  <c r="U85" i="11" a="1"/>
  <c r="N85" i="11" a="1"/>
  <c r="T62" i="15" a="1"/>
  <c r="N62" i="15" a="1"/>
  <c r="T62" i="18" a="1"/>
  <c r="U62" i="18" a="1"/>
  <c r="U62" i="15" a="1"/>
  <c r="T85" i="11" a="1"/>
  <c r="V61" i="18" l="1"/>
  <c r="N62" i="18"/>
  <c r="U62" i="18"/>
  <c r="T62" i="18"/>
  <c r="V62" i="18" s="1"/>
  <c r="V84" i="11"/>
  <c r="V61" i="15"/>
  <c r="K64" i="18"/>
  <c r="L63" i="18"/>
  <c r="M63" i="18" s="1"/>
  <c r="O63" i="18"/>
  <c r="U62" i="15"/>
  <c r="T62" i="15"/>
  <c r="N62" i="15"/>
  <c r="O63" i="15"/>
  <c r="L63" i="15"/>
  <c r="M63" i="15" s="1"/>
  <c r="K64" i="15"/>
  <c r="U85" i="11"/>
  <c r="N85" i="11"/>
  <c r="T85" i="11"/>
  <c r="O86" i="11"/>
  <c r="L86" i="11"/>
  <c r="K87" i="11"/>
  <c r="M45" i="2"/>
  <c r="O45" i="2" s="1"/>
  <c r="J46" i="2"/>
  <c r="F47" i="2"/>
  <c r="G48" i="2"/>
  <c r="N63" i="18" a="1"/>
  <c r="N86" i="11" a="1"/>
  <c r="N63" i="15" a="1"/>
  <c r="U63" i="18" a="1"/>
  <c r="T86" i="11" a="1"/>
  <c r="F48" i="2" a="1"/>
  <c r="U63" i="15" a="1"/>
  <c r="U86" i="11" a="1"/>
  <c r="T63" i="18" a="1"/>
  <c r="T63" i="15" a="1"/>
  <c r="V62" i="15" l="1"/>
  <c r="U63" i="18"/>
  <c r="T63" i="18"/>
  <c r="N63" i="18"/>
  <c r="V85" i="11"/>
  <c r="K65" i="18"/>
  <c r="O64" i="18"/>
  <c r="L64" i="18"/>
  <c r="M64" i="18" s="1"/>
  <c r="U63" i="15"/>
  <c r="T63" i="15"/>
  <c r="N63" i="15"/>
  <c r="O64" i="15"/>
  <c r="K65" i="15"/>
  <c r="L64" i="15"/>
  <c r="M64" i="15" s="1"/>
  <c r="U86" i="11"/>
  <c r="N86" i="11"/>
  <c r="T86" i="11"/>
  <c r="V86" i="11" s="1"/>
  <c r="K88" i="11"/>
  <c r="L87" i="11"/>
  <c r="O87" i="11"/>
  <c r="M46" i="2"/>
  <c r="O46" i="2" s="1"/>
  <c r="J47" i="2"/>
  <c r="F48" i="2"/>
  <c r="P45" i="2"/>
  <c r="P46" i="2"/>
  <c r="G49" i="2"/>
  <c r="T87" i="11" a="1"/>
  <c r="U64" i="18" a="1"/>
  <c r="U87" i="11" a="1"/>
  <c r="N87" i="11" a="1"/>
  <c r="T64" i="18" a="1"/>
  <c r="N64" i="15" a="1"/>
  <c r="N64" i="18" a="1"/>
  <c r="T64" i="15" a="1"/>
  <c r="U64" i="15" a="1"/>
  <c r="F49" i="2" a="1"/>
  <c r="V63" i="18" l="1"/>
  <c r="N64" i="18"/>
  <c r="U64" i="18"/>
  <c r="T64" i="18"/>
  <c r="V64" i="18" s="1"/>
  <c r="K66" i="18"/>
  <c r="L65" i="18"/>
  <c r="M65" i="18" s="1"/>
  <c r="O65" i="18"/>
  <c r="V63" i="15"/>
  <c r="N64" i="15"/>
  <c r="U64" i="15"/>
  <c r="T64" i="15"/>
  <c r="L65" i="15"/>
  <c r="M65" i="15" s="1"/>
  <c r="K66" i="15"/>
  <c r="O65" i="15"/>
  <c r="N87" i="11"/>
  <c r="T87" i="11"/>
  <c r="V87" i="11" s="1"/>
  <c r="U87" i="11"/>
  <c r="K89" i="11"/>
  <c r="O88" i="11"/>
  <c r="L88" i="11"/>
  <c r="M47" i="2"/>
  <c r="O47" i="2" s="1"/>
  <c r="J48" i="2"/>
  <c r="F49" i="2"/>
  <c r="P47" i="2"/>
  <c r="G50" i="2"/>
  <c r="T65" i="18" a="1"/>
  <c r="N65" i="18" a="1"/>
  <c r="U88" i="11" a="1"/>
  <c r="T88" i="11" a="1"/>
  <c r="N88" i="11" a="1"/>
  <c r="U65" i="18" a="1"/>
  <c r="T65" i="15" a="1"/>
  <c r="F50" i="2" a="1"/>
  <c r="U65" i="15" a="1"/>
  <c r="N65" i="15" a="1"/>
  <c r="V64" i="15" l="1"/>
  <c r="N65" i="18"/>
  <c r="U65" i="18"/>
  <c r="T65" i="18"/>
  <c r="V65" i="18" s="1"/>
  <c r="K67" i="18"/>
  <c r="O66" i="18"/>
  <c r="L66" i="18"/>
  <c r="M66" i="18" s="1"/>
  <c r="N65" i="15"/>
  <c r="U65" i="15"/>
  <c r="T65" i="15"/>
  <c r="O66" i="15"/>
  <c r="K67" i="15"/>
  <c r="L66" i="15"/>
  <c r="M66" i="15" s="1"/>
  <c r="U88" i="11"/>
  <c r="T88" i="11"/>
  <c r="V88" i="11" s="1"/>
  <c r="N88" i="11"/>
  <c r="L89" i="11"/>
  <c r="K90" i="11"/>
  <c r="O89" i="11"/>
  <c r="M48" i="2"/>
  <c r="O48" i="2" s="1"/>
  <c r="F50" i="2"/>
  <c r="J49" i="2"/>
  <c r="P48" i="2"/>
  <c r="G51" i="2"/>
  <c r="U66" i="15" a="1"/>
  <c r="T66" i="18" a="1"/>
  <c r="U89" i="11" a="1"/>
  <c r="N66" i="15" a="1"/>
  <c r="U66" i="18" a="1"/>
  <c r="F51" i="2" a="1"/>
  <c r="T89" i="11" a="1"/>
  <c r="N89" i="11" a="1"/>
  <c r="T66" i="15" a="1"/>
  <c r="N66" i="18" a="1"/>
  <c r="V65" i="15" l="1"/>
  <c r="U66" i="18"/>
  <c r="T66" i="18"/>
  <c r="N66" i="18"/>
  <c r="K68" i="18"/>
  <c r="O67" i="18"/>
  <c r="L67" i="18"/>
  <c r="M67" i="18" s="1"/>
  <c r="U66" i="15"/>
  <c r="T66" i="15"/>
  <c r="N66" i="15"/>
  <c r="O67" i="15"/>
  <c r="K68" i="15"/>
  <c r="L67" i="15"/>
  <c r="M67" i="15" s="1"/>
  <c r="U89" i="11"/>
  <c r="N89" i="11"/>
  <c r="T89" i="11"/>
  <c r="V89" i="11" s="1"/>
  <c r="O90" i="11"/>
  <c r="K91" i="11"/>
  <c r="L90" i="11"/>
  <c r="M49" i="2"/>
  <c r="O49" i="2" s="1"/>
  <c r="F51" i="2"/>
  <c r="J50" i="2"/>
  <c r="P49" i="2"/>
  <c r="G52" i="2"/>
  <c r="N90" i="11" a="1"/>
  <c r="T67" i="18" a="1"/>
  <c r="U67" i="15" a="1"/>
  <c r="U67" i="18" a="1"/>
  <c r="T90" i="11" a="1"/>
  <c r="F52" i="2" a="1"/>
  <c r="U90" i="11" a="1"/>
  <c r="N67" i="18" a="1"/>
  <c r="N67" i="15" a="1"/>
  <c r="T67" i="15" a="1"/>
  <c r="U67" i="18" l="1"/>
  <c r="T67" i="18"/>
  <c r="N67" i="18"/>
  <c r="V66" i="18"/>
  <c r="K69" i="18"/>
  <c r="O68" i="18"/>
  <c r="L68" i="18"/>
  <c r="M68" i="18" s="1"/>
  <c r="V66" i="15"/>
  <c r="U67" i="15"/>
  <c r="T67" i="15"/>
  <c r="N67" i="15"/>
  <c r="O68" i="15"/>
  <c r="K69" i="15"/>
  <c r="L68" i="15"/>
  <c r="M68" i="15" s="1"/>
  <c r="N90" i="11"/>
  <c r="U90" i="11"/>
  <c r="T90" i="11"/>
  <c r="K92" i="11"/>
  <c r="O91" i="11"/>
  <c r="L91" i="11"/>
  <c r="M50" i="2"/>
  <c r="O50" i="2" s="1"/>
  <c r="J51" i="2"/>
  <c r="F52" i="2"/>
  <c r="P50" i="2"/>
  <c r="G53" i="2"/>
  <c r="U68" i="18" a="1"/>
  <c r="U91" i="11" a="1"/>
  <c r="T91" i="11" a="1"/>
  <c r="N68" i="18" a="1"/>
  <c r="F53" i="2" a="1"/>
  <c r="N91" i="11" a="1"/>
  <c r="U68" i="15" a="1"/>
  <c r="T68" i="18" a="1"/>
  <c r="N68" i="15" a="1"/>
  <c r="T68" i="15" a="1"/>
  <c r="V67" i="18" l="1"/>
  <c r="T68" i="18"/>
  <c r="N68" i="18"/>
  <c r="U68" i="18"/>
  <c r="V90" i="11"/>
  <c r="K70" i="18"/>
  <c r="O69" i="18"/>
  <c r="L69" i="18"/>
  <c r="M69" i="18" s="1"/>
  <c r="V67" i="15"/>
  <c r="N68" i="15"/>
  <c r="U68" i="15"/>
  <c r="T68" i="15"/>
  <c r="V68" i="15" s="1"/>
  <c r="L69" i="15"/>
  <c r="M69" i="15" s="1"/>
  <c r="O69" i="15"/>
  <c r="K70" i="15"/>
  <c r="T91" i="11"/>
  <c r="N91" i="11"/>
  <c r="U91" i="11"/>
  <c r="K93" i="11"/>
  <c r="O92" i="11"/>
  <c r="L92" i="11"/>
  <c r="M51" i="2"/>
  <c r="O51" i="2" s="1"/>
  <c r="J52" i="2"/>
  <c r="F53" i="2"/>
  <c r="P51" i="2"/>
  <c r="G54" i="2"/>
  <c r="T69" i="18" a="1"/>
  <c r="F54" i="2" a="1"/>
  <c r="U69" i="18" a="1"/>
  <c r="N69" i="18" a="1"/>
  <c r="N69" i="15" a="1"/>
  <c r="N92" i="11" a="1"/>
  <c r="U69" i="15" a="1"/>
  <c r="T69" i="15" a="1"/>
  <c r="T92" i="11" a="1"/>
  <c r="U92" i="11" a="1"/>
  <c r="V91" i="11" l="1"/>
  <c r="V68" i="18"/>
  <c r="N69" i="18"/>
  <c r="U69" i="18"/>
  <c r="T69" i="18"/>
  <c r="V69" i="18" s="1"/>
  <c r="K71" i="18"/>
  <c r="O70" i="18"/>
  <c r="L70" i="18"/>
  <c r="M70" i="18" s="1"/>
  <c r="N69" i="15"/>
  <c r="U69" i="15"/>
  <c r="T69" i="15"/>
  <c r="O70" i="15"/>
  <c r="K71" i="15"/>
  <c r="L70" i="15"/>
  <c r="M70" i="15" s="1"/>
  <c r="N92" i="11"/>
  <c r="T92" i="11"/>
  <c r="U92" i="11"/>
  <c r="L93" i="11"/>
  <c r="K94" i="11"/>
  <c r="O93" i="11"/>
  <c r="M52" i="2"/>
  <c r="O52" i="2" s="1"/>
  <c r="J53" i="2"/>
  <c r="F54" i="2"/>
  <c r="P52" i="2"/>
  <c r="G55" i="2"/>
  <c r="T70" i="18" a="1"/>
  <c r="N93" i="11" a="1"/>
  <c r="N70" i="18" a="1"/>
  <c r="T93" i="11" a="1"/>
  <c r="T70" i="15" a="1"/>
  <c r="U70" i="18" a="1"/>
  <c r="U93" i="11" a="1"/>
  <c r="F55" i="2" a="1"/>
  <c r="N70" i="15" a="1"/>
  <c r="U70" i="15" a="1"/>
  <c r="V92" i="11" l="1"/>
  <c r="V69" i="15"/>
  <c r="U70" i="18"/>
  <c r="N70" i="18"/>
  <c r="T70" i="18"/>
  <c r="V70" i="18" s="1"/>
  <c r="K72" i="18"/>
  <c r="O71" i="18"/>
  <c r="L71" i="18"/>
  <c r="M71" i="18" s="1"/>
  <c r="U70" i="15"/>
  <c r="T70" i="15"/>
  <c r="N70" i="15"/>
  <c r="O71" i="15"/>
  <c r="K72" i="15"/>
  <c r="L71" i="15"/>
  <c r="M71" i="15" s="1"/>
  <c r="T93" i="11"/>
  <c r="V93" i="11" s="1"/>
  <c r="N93" i="11"/>
  <c r="U93" i="11"/>
  <c r="K95" i="11"/>
  <c r="L94" i="11"/>
  <c r="O94" i="11"/>
  <c r="M53" i="2"/>
  <c r="O53" i="2" s="1"/>
  <c r="J54" i="2"/>
  <c r="F55" i="2"/>
  <c r="P53" i="2"/>
  <c r="G56" i="2"/>
  <c r="T71" i="18" a="1"/>
  <c r="U94" i="11" a="1"/>
  <c r="N71" i="18" a="1"/>
  <c r="T94" i="11" a="1"/>
  <c r="F56" i="2" a="1"/>
  <c r="U71" i="18" a="1"/>
  <c r="T71" i="15" a="1"/>
  <c r="N71" i="15" a="1"/>
  <c r="N94" i="11" a="1"/>
  <c r="U71" i="15" a="1"/>
  <c r="U71" i="18" l="1"/>
  <c r="N71" i="18"/>
  <c r="T71" i="18"/>
  <c r="V70" i="15"/>
  <c r="K73" i="18"/>
  <c r="O72" i="18"/>
  <c r="L72" i="18"/>
  <c r="M72" i="18" s="1"/>
  <c r="U71" i="15"/>
  <c r="T71" i="15"/>
  <c r="N71" i="15"/>
  <c r="O72" i="15"/>
  <c r="K73" i="15"/>
  <c r="L72" i="15"/>
  <c r="M72" i="15" s="1"/>
  <c r="T94" i="11"/>
  <c r="N94" i="11"/>
  <c r="U94" i="11"/>
  <c r="K96" i="11"/>
  <c r="L95" i="11"/>
  <c r="O95" i="11"/>
  <c r="M54" i="2"/>
  <c r="O54" i="2" s="1"/>
  <c r="J55" i="2"/>
  <c r="F56" i="2"/>
  <c r="P54" i="2"/>
  <c r="G57" i="2"/>
  <c r="U95" i="11" a="1"/>
  <c r="N72" i="18" a="1"/>
  <c r="T72" i="15" a="1"/>
  <c r="F57" i="2" a="1"/>
  <c r="U72" i="18" a="1"/>
  <c r="T95" i="11" a="1"/>
  <c r="U72" i="15" a="1"/>
  <c r="N95" i="11" a="1"/>
  <c r="N72" i="15" a="1"/>
  <c r="T72" i="18" a="1"/>
  <c r="V94" i="11" l="1"/>
  <c r="V71" i="18"/>
  <c r="U72" i="18"/>
  <c r="N72" i="18"/>
  <c r="T72" i="18"/>
  <c r="O73" i="18"/>
  <c r="K74" i="18"/>
  <c r="L73" i="18"/>
  <c r="M73" i="18" s="1"/>
  <c r="V71" i="15"/>
  <c r="N72" i="15"/>
  <c r="U72" i="15"/>
  <c r="T72" i="15"/>
  <c r="L73" i="15"/>
  <c r="M73" i="15" s="1"/>
  <c r="K74" i="15"/>
  <c r="O73" i="15"/>
  <c r="T95" i="11"/>
  <c r="U95" i="11"/>
  <c r="N95" i="11"/>
  <c r="K97" i="11"/>
  <c r="O96" i="11"/>
  <c r="L96" i="11"/>
  <c r="M55" i="2"/>
  <c r="O55" i="2" s="1"/>
  <c r="J56" i="2"/>
  <c r="F57" i="2"/>
  <c r="P55" i="2"/>
  <c r="G58" i="2"/>
  <c r="N73" i="15" a="1"/>
  <c r="T73" i="18" a="1"/>
  <c r="U73" i="15" a="1"/>
  <c r="N96" i="11" a="1"/>
  <c r="N73" i="18" a="1"/>
  <c r="T73" i="15" a="1"/>
  <c r="T96" i="11" a="1"/>
  <c r="U73" i="18" a="1"/>
  <c r="F58" i="2" a="1"/>
  <c r="U96" i="11" a="1"/>
  <c r="U73" i="18" l="1"/>
  <c r="N73" i="18"/>
  <c r="T73" i="18"/>
  <c r="V95" i="11"/>
  <c r="V72" i="18"/>
  <c r="V72" i="15"/>
  <c r="O74" i="18"/>
  <c r="K75" i="18"/>
  <c r="L74" i="18"/>
  <c r="M74" i="18" s="1"/>
  <c r="N73" i="15"/>
  <c r="U73" i="15"/>
  <c r="T73" i="15"/>
  <c r="V73" i="15" s="1"/>
  <c r="O74" i="15"/>
  <c r="K75" i="15"/>
  <c r="L74" i="15"/>
  <c r="M74" i="15" s="1"/>
  <c r="N96" i="11"/>
  <c r="T96" i="11"/>
  <c r="U96" i="11"/>
  <c r="L97" i="11"/>
  <c r="O97" i="11"/>
  <c r="K98" i="11"/>
  <c r="M56" i="2"/>
  <c r="O56" i="2" s="1"/>
  <c r="J57" i="2"/>
  <c r="F58" i="2"/>
  <c r="P56" i="2"/>
  <c r="G59" i="2"/>
  <c r="T74" i="15" a="1"/>
  <c r="F59" i="2" a="1"/>
  <c r="U74" i="15" a="1"/>
  <c r="T97" i="11" a="1"/>
  <c r="N74" i="18" a="1"/>
  <c r="U74" i="18" a="1"/>
  <c r="N97" i="11" a="1"/>
  <c r="N74" i="15" a="1"/>
  <c r="U97" i="11" a="1"/>
  <c r="T74" i="18" a="1"/>
  <c r="V96" i="11" l="1"/>
  <c r="U74" i="18"/>
  <c r="N74" i="18"/>
  <c r="T74" i="18"/>
  <c r="V73" i="18"/>
  <c r="O75" i="18"/>
  <c r="L75" i="18"/>
  <c r="M75" i="18" s="1"/>
  <c r="K76" i="18"/>
  <c r="U74" i="15"/>
  <c r="T74" i="15"/>
  <c r="N74" i="15"/>
  <c r="O75" i="15"/>
  <c r="K76" i="15"/>
  <c r="L75" i="15"/>
  <c r="M75" i="15" s="1"/>
  <c r="N97" i="11"/>
  <c r="T97" i="11"/>
  <c r="V97" i="11" s="1"/>
  <c r="U97" i="11"/>
  <c r="O98" i="11"/>
  <c r="K99" i="11"/>
  <c r="L98" i="11"/>
  <c r="M57" i="2"/>
  <c r="O57" i="2" s="1"/>
  <c r="J58" i="2"/>
  <c r="F59" i="2"/>
  <c r="P57" i="2"/>
  <c r="G60" i="2"/>
  <c r="T75" i="18" a="1"/>
  <c r="F60" i="2" a="1"/>
  <c r="T98" i="11" a="1"/>
  <c r="N75" i="18" a="1"/>
  <c r="T75" i="15" a="1"/>
  <c r="U75" i="18" a="1"/>
  <c r="U98" i="11" a="1"/>
  <c r="N75" i="15" a="1"/>
  <c r="U75" i="15" a="1"/>
  <c r="N98" i="11" a="1"/>
  <c r="V74" i="15" l="1"/>
  <c r="U75" i="18"/>
  <c r="N75" i="18"/>
  <c r="T75" i="18"/>
  <c r="V74" i="18"/>
  <c r="O76" i="18"/>
  <c r="L76" i="18"/>
  <c r="M76" i="18" s="1"/>
  <c r="K77" i="18"/>
  <c r="U75" i="15"/>
  <c r="T75" i="15"/>
  <c r="N75" i="15"/>
  <c r="O76" i="15"/>
  <c r="K77" i="15"/>
  <c r="L76" i="15"/>
  <c r="M76" i="15" s="1"/>
  <c r="N98" i="11"/>
  <c r="T98" i="11"/>
  <c r="U98" i="11"/>
  <c r="K100" i="11"/>
  <c r="O99" i="11"/>
  <c r="L99" i="11"/>
  <c r="M58" i="2"/>
  <c r="O58" i="2" s="1"/>
  <c r="J59" i="2"/>
  <c r="F60" i="2"/>
  <c r="P58" i="2"/>
  <c r="G61" i="2"/>
  <c r="T76" i="18" a="1"/>
  <c r="T99" i="11" a="1"/>
  <c r="N99" i="11" a="1"/>
  <c r="N76" i="18" a="1"/>
  <c r="T76" i="15" a="1"/>
  <c r="N76" i="15" a="1"/>
  <c r="F61" i="2" a="1"/>
  <c r="U76" i="18" a="1"/>
  <c r="U76" i="15" a="1"/>
  <c r="U99" i="11" a="1"/>
  <c r="V98" i="11" l="1"/>
  <c r="V75" i="18"/>
  <c r="U76" i="18"/>
  <c r="N76" i="18"/>
  <c r="T76" i="18"/>
  <c r="V76" i="18" s="1"/>
  <c r="O77" i="18"/>
  <c r="L77" i="18"/>
  <c r="M77" i="18" s="1"/>
  <c r="K78" i="18"/>
  <c r="V75" i="15"/>
  <c r="N76" i="15"/>
  <c r="U76" i="15"/>
  <c r="T76" i="15"/>
  <c r="V76" i="15" s="1"/>
  <c r="L77" i="15"/>
  <c r="M77" i="15" s="1"/>
  <c r="K78" i="15"/>
  <c r="O77" i="15"/>
  <c r="T99" i="11"/>
  <c r="N99" i="11"/>
  <c r="U99" i="11"/>
  <c r="K101" i="11"/>
  <c r="O100" i="11"/>
  <c r="L100" i="11"/>
  <c r="M59" i="2"/>
  <c r="O59" i="2" s="1"/>
  <c r="J60" i="2"/>
  <c r="F61" i="2"/>
  <c r="P59" i="2"/>
  <c r="G62" i="2"/>
  <c r="T77" i="18" a="1"/>
  <c r="N77" i="15" a="1"/>
  <c r="N77" i="18" a="1"/>
  <c r="U77" i="18" a="1"/>
  <c r="N100" i="11" a="1"/>
  <c r="U77" i="15" a="1"/>
  <c r="F62" i="2" a="1"/>
  <c r="T77" i="15" a="1"/>
  <c r="U100" i="11" a="1"/>
  <c r="T100" i="11" a="1"/>
  <c r="V99" i="11" l="1"/>
  <c r="U77" i="18"/>
  <c r="N77" i="18"/>
  <c r="T77" i="18"/>
  <c r="O78" i="18"/>
  <c r="L78" i="18"/>
  <c r="M78" i="18" s="1"/>
  <c r="K79" i="18"/>
  <c r="N77" i="15"/>
  <c r="U77" i="15"/>
  <c r="T77" i="15"/>
  <c r="O78" i="15"/>
  <c r="K79" i="15"/>
  <c r="L78" i="15"/>
  <c r="M78" i="15" s="1"/>
  <c r="U100" i="11"/>
  <c r="N100" i="11"/>
  <c r="T100" i="11"/>
  <c r="V100" i="11" s="1"/>
  <c r="O101" i="11"/>
  <c r="K102" i="11"/>
  <c r="L101" i="11"/>
  <c r="M60" i="2"/>
  <c r="O60" i="2" s="1"/>
  <c r="F62" i="2"/>
  <c r="J61" i="2"/>
  <c r="P60" i="2"/>
  <c r="G63" i="2"/>
  <c r="U101" i="11" a="1"/>
  <c r="N78" i="18" a="1"/>
  <c r="F63" i="2" a="1"/>
  <c r="U78" i="18" a="1"/>
  <c r="N78" i="15" a="1"/>
  <c r="N101" i="11" a="1"/>
  <c r="T78" i="15" a="1"/>
  <c r="T101" i="11" a="1"/>
  <c r="U78" i="15" a="1"/>
  <c r="T78" i="18" a="1"/>
  <c r="V77" i="18" l="1"/>
  <c r="U78" i="18"/>
  <c r="N78" i="18"/>
  <c r="T78" i="18"/>
  <c r="V77" i="15"/>
  <c r="O79" i="18"/>
  <c r="L79" i="18"/>
  <c r="M79" i="18" s="1"/>
  <c r="K80" i="18"/>
  <c r="U78" i="15"/>
  <c r="T78" i="15"/>
  <c r="N78" i="15"/>
  <c r="O79" i="15"/>
  <c r="K80" i="15"/>
  <c r="L79" i="15"/>
  <c r="M79" i="15" s="1"/>
  <c r="T101" i="11"/>
  <c r="U101" i="11"/>
  <c r="N101" i="11"/>
  <c r="O102" i="11"/>
  <c r="K103" i="11"/>
  <c r="L102" i="11"/>
  <c r="M61" i="2"/>
  <c r="O61" i="2" s="1"/>
  <c r="F63" i="2"/>
  <c r="J62" i="2"/>
  <c r="P61" i="2"/>
  <c r="G64" i="2"/>
  <c r="T79" i="18" a="1"/>
  <c r="N79" i="18" a="1"/>
  <c r="F64" i="2" a="1"/>
  <c r="U102" i="11" a="1"/>
  <c r="T79" i="15" a="1"/>
  <c r="U79" i="18" a="1"/>
  <c r="N79" i="15" a="1"/>
  <c r="U79" i="15" a="1"/>
  <c r="T102" i="11" a="1"/>
  <c r="N102" i="11" a="1"/>
  <c r="V101" i="11" l="1"/>
  <c r="V78" i="15"/>
  <c r="U79" i="18"/>
  <c r="N79" i="18"/>
  <c r="T79" i="18"/>
  <c r="V78" i="18"/>
  <c r="O80" i="18"/>
  <c r="L80" i="18"/>
  <c r="M80" i="18" s="1"/>
  <c r="K81" i="18"/>
  <c r="U79" i="15"/>
  <c r="T79" i="15"/>
  <c r="N79" i="15"/>
  <c r="O80" i="15"/>
  <c r="K81" i="15"/>
  <c r="L80" i="15"/>
  <c r="M80" i="15" s="1"/>
  <c r="N102" i="11"/>
  <c r="T102" i="11"/>
  <c r="U102" i="11"/>
  <c r="K104" i="11"/>
  <c r="O103" i="11"/>
  <c r="L103" i="11"/>
  <c r="M62" i="2"/>
  <c r="O62" i="2" s="1"/>
  <c r="J63" i="2"/>
  <c r="F64" i="2"/>
  <c r="P62" i="2"/>
  <c r="G65" i="2"/>
  <c r="T80" i="18" a="1"/>
  <c r="T80" i="15" a="1"/>
  <c r="N103" i="11" a="1"/>
  <c r="N80" i="18" a="1"/>
  <c r="U80" i="18" a="1"/>
  <c r="N80" i="15" a="1"/>
  <c r="T103" i="11" a="1"/>
  <c r="F65" i="2" a="1"/>
  <c r="U80" i="15" a="1"/>
  <c r="U103" i="11" a="1"/>
  <c r="V102" i="11" l="1"/>
  <c r="V79" i="18"/>
  <c r="U80" i="18"/>
  <c r="N80" i="18"/>
  <c r="T80" i="18"/>
  <c r="K82" i="18"/>
  <c r="O81" i="18"/>
  <c r="L81" i="18"/>
  <c r="M81" i="18" s="1"/>
  <c r="V79" i="15"/>
  <c r="N80" i="15"/>
  <c r="U80" i="15"/>
  <c r="T80" i="15"/>
  <c r="K82" i="15"/>
  <c r="L81" i="15"/>
  <c r="M81" i="15" s="1"/>
  <c r="O81" i="15"/>
  <c r="N103" i="11"/>
  <c r="T103" i="11"/>
  <c r="U103" i="11"/>
  <c r="K105" i="11"/>
  <c r="O104" i="11"/>
  <c r="L104" i="11"/>
  <c r="M63" i="2"/>
  <c r="O63" i="2" s="1"/>
  <c r="J64" i="2"/>
  <c r="F65" i="2"/>
  <c r="P63" i="2"/>
  <c r="G66" i="2"/>
  <c r="T81" i="18" a="1"/>
  <c r="N81" i="15" a="1"/>
  <c r="N104" i="11" a="1"/>
  <c r="U81" i="18" a="1"/>
  <c r="T104" i="11" a="1"/>
  <c r="T81" i="15" a="1"/>
  <c r="N81" i="18" a="1"/>
  <c r="U104" i="11" a="1"/>
  <c r="F66" i="2" a="1"/>
  <c r="U81" i="15" a="1"/>
  <c r="N81" i="18" l="1"/>
  <c r="U81" i="18"/>
  <c r="T81" i="18"/>
  <c r="V81" i="18" s="1"/>
  <c r="V103" i="11"/>
  <c r="V80" i="18"/>
  <c r="V80" i="15"/>
  <c r="L82" i="18"/>
  <c r="M82" i="18" s="1"/>
  <c r="K83" i="18"/>
  <c r="O82" i="18"/>
  <c r="N81" i="15"/>
  <c r="U81" i="15"/>
  <c r="T81" i="15"/>
  <c r="L82" i="15"/>
  <c r="M82" i="15" s="1"/>
  <c r="O82" i="15"/>
  <c r="K83" i="15"/>
  <c r="N104" i="11"/>
  <c r="T104" i="11"/>
  <c r="V104" i="11" s="1"/>
  <c r="U104" i="11"/>
  <c r="L105" i="11"/>
  <c r="O105" i="11"/>
  <c r="K106" i="11"/>
  <c r="M64" i="2"/>
  <c r="O64" i="2" s="1"/>
  <c r="J65" i="2"/>
  <c r="F66" i="2"/>
  <c r="P64" i="2"/>
  <c r="G67" i="2"/>
  <c r="U82" i="18" a="1"/>
  <c r="T105" i="11" a="1"/>
  <c r="N82" i="18" a="1"/>
  <c r="N82" i="15" a="1"/>
  <c r="U105" i="11" a="1"/>
  <c r="F67" i="2" a="1"/>
  <c r="T82" i="18" a="1"/>
  <c r="U82" i="15" a="1"/>
  <c r="N105" i="11" a="1"/>
  <c r="T82" i="15" a="1"/>
  <c r="T82" i="18" l="1"/>
  <c r="V82" i="18" s="1"/>
  <c r="N82" i="18"/>
  <c r="U82" i="18"/>
  <c r="L83" i="18"/>
  <c r="M83" i="18" s="1"/>
  <c r="K84" i="18"/>
  <c r="O83" i="18"/>
  <c r="V81" i="15"/>
  <c r="U82" i="15"/>
  <c r="T82" i="15"/>
  <c r="V82" i="15" s="1"/>
  <c r="N82" i="15"/>
  <c r="O83" i="15"/>
  <c r="K84" i="15"/>
  <c r="L83" i="15"/>
  <c r="M83" i="15" s="1"/>
  <c r="N105" i="11"/>
  <c r="T105" i="11"/>
  <c r="U105" i="11"/>
  <c r="L106" i="11"/>
  <c r="K107" i="11"/>
  <c r="O106" i="11"/>
  <c r="M65" i="2"/>
  <c r="O65" i="2" s="1"/>
  <c r="J66" i="2"/>
  <c r="F67" i="2"/>
  <c r="P65" i="2"/>
  <c r="G68" i="2"/>
  <c r="T106" i="11" a="1"/>
  <c r="N106" i="11" a="1"/>
  <c r="N83" i="18" a="1"/>
  <c r="U83" i="15" a="1"/>
  <c r="U83" i="18" a="1"/>
  <c r="F68" i="2" a="1"/>
  <c r="N83" i="15" a="1"/>
  <c r="T83" i="15" a="1"/>
  <c r="U106" i="11" a="1"/>
  <c r="T83" i="18" a="1"/>
  <c r="V105" i="11" l="1"/>
  <c r="N83" i="18"/>
  <c r="U83" i="18"/>
  <c r="T83" i="18"/>
  <c r="V83" i="18" s="1"/>
  <c r="O84" i="18"/>
  <c r="L84" i="18"/>
  <c r="M84" i="18" s="1"/>
  <c r="K85" i="18"/>
  <c r="U83" i="15"/>
  <c r="T83" i="15"/>
  <c r="N83" i="15"/>
  <c r="O84" i="15"/>
  <c r="L84" i="15"/>
  <c r="M84" i="15" s="1"/>
  <c r="K85" i="15"/>
  <c r="N106" i="11"/>
  <c r="T106" i="11"/>
  <c r="U106" i="11"/>
  <c r="K108" i="11"/>
  <c r="L107" i="11"/>
  <c r="O107" i="11"/>
  <c r="M66" i="2"/>
  <c r="O66" i="2" s="1"/>
  <c r="J67" i="2"/>
  <c r="F68" i="2"/>
  <c r="P66" i="2"/>
  <c r="G69" i="2"/>
  <c r="T107" i="11" a="1"/>
  <c r="U84" i="18" a="1"/>
  <c r="N84" i="15" a="1"/>
  <c r="U107" i="11" a="1"/>
  <c r="T84" i="15" a="1"/>
  <c r="T84" i="18" a="1"/>
  <c r="N107" i="11" a="1"/>
  <c r="U84" i="15" a="1"/>
  <c r="F69" i="2" a="1"/>
  <c r="N84" i="18" a="1"/>
  <c r="V83" i="15" l="1"/>
  <c r="V106" i="11"/>
  <c r="N84" i="18"/>
  <c r="U84" i="18"/>
  <c r="T84" i="18"/>
  <c r="V84" i="18" s="1"/>
  <c r="K86" i="18"/>
  <c r="O85" i="18"/>
  <c r="L85" i="18"/>
  <c r="M85" i="18" s="1"/>
  <c r="U84" i="15"/>
  <c r="T84" i="15"/>
  <c r="N84" i="15"/>
  <c r="K86" i="15"/>
  <c r="O85" i="15"/>
  <c r="L85" i="15"/>
  <c r="M85" i="15" s="1"/>
  <c r="T107" i="11"/>
  <c r="V107" i="11" s="1"/>
  <c r="U107" i="11"/>
  <c r="N107" i="11"/>
  <c r="K109" i="11"/>
  <c r="L108" i="11"/>
  <c r="O108" i="11"/>
  <c r="M67" i="2"/>
  <c r="O67" i="2" s="1"/>
  <c r="F69" i="2"/>
  <c r="J68" i="2"/>
  <c r="P67" i="2"/>
  <c r="G70" i="2"/>
  <c r="U108" i="11" a="1"/>
  <c r="U85" i="18" a="1"/>
  <c r="N108" i="11" a="1"/>
  <c r="T108" i="11" a="1"/>
  <c r="F70" i="2" a="1"/>
  <c r="N85" i="18" a="1"/>
  <c r="T85" i="15" a="1"/>
  <c r="U85" i="15" a="1"/>
  <c r="N85" i="15" a="1"/>
  <c r="T85" i="18" a="1"/>
  <c r="N85" i="18" l="1"/>
  <c r="U85" i="18"/>
  <c r="T85" i="18"/>
  <c r="K87" i="18"/>
  <c r="L86" i="18"/>
  <c r="M86" i="18" s="1"/>
  <c r="O86" i="18"/>
  <c r="V84" i="15"/>
  <c r="U85" i="15"/>
  <c r="T85" i="15"/>
  <c r="N85" i="15"/>
  <c r="O86" i="15"/>
  <c r="K87" i="15"/>
  <c r="L86" i="15"/>
  <c r="M86" i="15" s="1"/>
  <c r="T108" i="11"/>
  <c r="U108" i="11"/>
  <c r="N108" i="11"/>
  <c r="K110" i="11"/>
  <c r="L109" i="11"/>
  <c r="O109" i="11"/>
  <c r="M68" i="2"/>
  <c r="O68" i="2" s="1"/>
  <c r="J69" i="2"/>
  <c r="F70" i="2"/>
  <c r="P68" i="2"/>
  <c r="G71" i="2"/>
  <c r="U109" i="11" a="1"/>
  <c r="T86" i="18" a="1"/>
  <c r="N86" i="15" a="1"/>
  <c r="T109" i="11" a="1"/>
  <c r="F71" i="2" a="1"/>
  <c r="T86" i="15" a="1"/>
  <c r="U86" i="15" a="1"/>
  <c r="N109" i="11" a="1"/>
  <c r="N86" i="18" a="1"/>
  <c r="U86" i="18" a="1"/>
  <c r="V108" i="11" l="1"/>
  <c r="V85" i="18"/>
  <c r="U86" i="18"/>
  <c r="T86" i="18"/>
  <c r="N86" i="18"/>
  <c r="V85" i="15"/>
  <c r="K88" i="18"/>
  <c r="O87" i="18"/>
  <c r="L87" i="18"/>
  <c r="M87" i="18" s="1"/>
  <c r="U86" i="15"/>
  <c r="T86" i="15"/>
  <c r="N86" i="15"/>
  <c r="O87" i="15"/>
  <c r="L87" i="15"/>
  <c r="M87" i="15" s="1"/>
  <c r="K88" i="15"/>
  <c r="T109" i="11"/>
  <c r="V109" i="11" s="1"/>
  <c r="N109" i="11"/>
  <c r="U109" i="11"/>
  <c r="L110" i="11"/>
  <c r="K111" i="11"/>
  <c r="O110" i="11"/>
  <c r="M69" i="2"/>
  <c r="O69" i="2" s="1"/>
  <c r="J70" i="2"/>
  <c r="F71" i="2"/>
  <c r="P69" i="2"/>
  <c r="G72" i="2"/>
  <c r="T87" i="18" a="1"/>
  <c r="N87" i="18" a="1"/>
  <c r="U87" i="15" a="1"/>
  <c r="F72" i="2" a="1"/>
  <c r="U87" i="18" a="1"/>
  <c r="T87" i="15" a="1"/>
  <c r="T110" i="11" a="1"/>
  <c r="U110" i="11" a="1"/>
  <c r="N110" i="11" a="1"/>
  <c r="N87" i="15" a="1"/>
  <c r="N87" i="18" l="1"/>
  <c r="U87" i="18"/>
  <c r="T87" i="18"/>
  <c r="V87" i="18" s="1"/>
  <c r="V86" i="18"/>
  <c r="K89" i="18"/>
  <c r="L88" i="18"/>
  <c r="M88" i="18" s="1"/>
  <c r="O88" i="18"/>
  <c r="V86" i="15"/>
  <c r="U87" i="15"/>
  <c r="T87" i="15"/>
  <c r="N87" i="15"/>
  <c r="K89" i="15"/>
  <c r="O88" i="15"/>
  <c r="L88" i="15"/>
  <c r="M88" i="15" s="1"/>
  <c r="T110" i="11"/>
  <c r="N110" i="11"/>
  <c r="U110" i="11"/>
  <c r="K112" i="11"/>
  <c r="O111" i="11"/>
  <c r="L111" i="11"/>
  <c r="M70" i="2"/>
  <c r="O70" i="2" s="1"/>
  <c r="J71" i="2"/>
  <c r="F72" i="2"/>
  <c r="P70" i="2"/>
  <c r="G73" i="2"/>
  <c r="N88" i="18" a="1"/>
  <c r="U111" i="11" a="1"/>
  <c r="F73" i="2" a="1"/>
  <c r="N88" i="15" a="1"/>
  <c r="N111" i="11" a="1"/>
  <c r="T88" i="18" a="1"/>
  <c r="U88" i="18" a="1"/>
  <c r="T111" i="11" a="1"/>
  <c r="T88" i="15" a="1"/>
  <c r="U88" i="15" a="1"/>
  <c r="V110" i="11" l="1"/>
  <c r="V87" i="15"/>
  <c r="U88" i="18"/>
  <c r="T88" i="18"/>
  <c r="N88" i="18"/>
  <c r="K90" i="18"/>
  <c r="O89" i="18"/>
  <c r="L89" i="18"/>
  <c r="M89" i="18" s="1"/>
  <c r="U88" i="15"/>
  <c r="T88" i="15"/>
  <c r="N88" i="15"/>
  <c r="K90" i="15"/>
  <c r="O89" i="15"/>
  <c r="L89" i="15"/>
  <c r="M89" i="15" s="1"/>
  <c r="N111" i="11"/>
  <c r="T111" i="11"/>
  <c r="U111" i="11"/>
  <c r="K113" i="11"/>
  <c r="O112" i="11"/>
  <c r="L112" i="11"/>
  <c r="M71" i="2"/>
  <c r="O71" i="2" s="1"/>
  <c r="J72" i="2"/>
  <c r="F73" i="2"/>
  <c r="P71" i="2"/>
  <c r="G74" i="2"/>
  <c r="T89" i="18" a="1"/>
  <c r="U89" i="18" a="1"/>
  <c r="T112" i="11" a="1"/>
  <c r="F74" i="2" a="1"/>
  <c r="N89" i="18" a="1"/>
  <c r="U89" i="15" a="1"/>
  <c r="U112" i="11" a="1"/>
  <c r="T89" i="15" a="1"/>
  <c r="N112" i="11" a="1"/>
  <c r="N89" i="15" a="1"/>
  <c r="V111" i="11" l="1"/>
  <c r="N89" i="18"/>
  <c r="U89" i="18"/>
  <c r="T89" i="18"/>
  <c r="V89" i="18" s="1"/>
  <c r="V88" i="15"/>
  <c r="V88" i="18"/>
  <c r="K91" i="18"/>
  <c r="L90" i="18"/>
  <c r="M90" i="18" s="1"/>
  <c r="O90" i="18"/>
  <c r="U89" i="15"/>
  <c r="T89" i="15"/>
  <c r="V89" i="15" s="1"/>
  <c r="N89" i="15"/>
  <c r="O90" i="15"/>
  <c r="K91" i="15"/>
  <c r="L90" i="15"/>
  <c r="M90" i="15" s="1"/>
  <c r="N112" i="11"/>
  <c r="T112" i="11"/>
  <c r="V112" i="11" s="1"/>
  <c r="U112" i="11"/>
  <c r="O113" i="11"/>
  <c r="K114" i="11"/>
  <c r="L113" i="11"/>
  <c r="M72" i="2"/>
  <c r="O72" i="2" s="1"/>
  <c r="J73" i="2"/>
  <c r="F74" i="2"/>
  <c r="P72" i="2"/>
  <c r="G75" i="2"/>
  <c r="N90" i="18" a="1"/>
  <c r="F75" i="2" a="1"/>
  <c r="U90" i="18" a="1"/>
  <c r="N90" i="15" a="1"/>
  <c r="U113" i="11" a="1"/>
  <c r="T90" i="18" a="1"/>
  <c r="T113" i="11" a="1"/>
  <c r="N113" i="11" a="1"/>
  <c r="U90" i="15" a="1"/>
  <c r="T90" i="15" a="1"/>
  <c r="U90" i="18" l="1"/>
  <c r="T90" i="18"/>
  <c r="N90" i="18"/>
  <c r="K92" i="18"/>
  <c r="O91" i="18"/>
  <c r="L91" i="18"/>
  <c r="M91" i="18" s="1"/>
  <c r="U90" i="15"/>
  <c r="T90" i="15"/>
  <c r="V90" i="15" s="1"/>
  <c r="N90" i="15"/>
  <c r="O91" i="15"/>
  <c r="K92" i="15"/>
  <c r="L91" i="15"/>
  <c r="M91" i="15" s="1"/>
  <c r="N113" i="11"/>
  <c r="U113" i="11"/>
  <c r="T113" i="11"/>
  <c r="V113" i="11" s="1"/>
  <c r="O114" i="11"/>
  <c r="L114" i="11"/>
  <c r="K115" i="11"/>
  <c r="M73" i="2"/>
  <c r="O73" i="2" s="1"/>
  <c r="J74" i="2"/>
  <c r="F75" i="2"/>
  <c r="P73" i="2"/>
  <c r="G76" i="2"/>
  <c r="T114" i="11" a="1"/>
  <c r="N91" i="18" a="1"/>
  <c r="U91" i="15" a="1"/>
  <c r="F76" i="2" a="1"/>
  <c r="N91" i="15" a="1"/>
  <c r="U114" i="11" a="1"/>
  <c r="N114" i="11" a="1"/>
  <c r="T91" i="18" a="1"/>
  <c r="T91" i="15" a="1"/>
  <c r="U91" i="18" a="1"/>
  <c r="V90" i="18" l="1"/>
  <c r="N91" i="18"/>
  <c r="U91" i="18"/>
  <c r="T91" i="18"/>
  <c r="K93" i="18"/>
  <c r="L92" i="18"/>
  <c r="M92" i="18" s="1"/>
  <c r="O92" i="18"/>
  <c r="T91" i="15"/>
  <c r="U91" i="15"/>
  <c r="N91" i="15"/>
  <c r="O92" i="15"/>
  <c r="K93" i="15"/>
  <c r="L92" i="15"/>
  <c r="M92" i="15" s="1"/>
  <c r="N114" i="11"/>
  <c r="U114" i="11"/>
  <c r="T114" i="11"/>
  <c r="V114" i="11" s="1"/>
  <c r="K116" i="11"/>
  <c r="L115" i="11"/>
  <c r="O115" i="11"/>
  <c r="M74" i="2"/>
  <c r="O74" i="2" s="1"/>
  <c r="J75" i="2"/>
  <c r="F76" i="2"/>
  <c r="P74" i="2"/>
  <c r="G77" i="2"/>
  <c r="N115" i="11" a="1"/>
  <c r="T92" i="18" a="1"/>
  <c r="F77" i="2" a="1"/>
  <c r="N92" i="15" a="1"/>
  <c r="T115" i="11" a="1"/>
  <c r="U92" i="15" a="1"/>
  <c r="U92" i="18" a="1"/>
  <c r="U115" i="11" a="1"/>
  <c r="N92" i="18" a="1"/>
  <c r="T92" i="15" a="1"/>
  <c r="V91" i="18" l="1"/>
  <c r="V91" i="15"/>
  <c r="U92" i="18"/>
  <c r="T92" i="18"/>
  <c r="V92" i="18" s="1"/>
  <c r="N92" i="18"/>
  <c r="K94" i="18"/>
  <c r="O93" i="18"/>
  <c r="L93" i="18"/>
  <c r="M93" i="18" s="1"/>
  <c r="U92" i="15"/>
  <c r="T92" i="15"/>
  <c r="N92" i="15"/>
  <c r="K94" i="15"/>
  <c r="L93" i="15"/>
  <c r="M93" i="15" s="1"/>
  <c r="O93" i="15"/>
  <c r="N115" i="11"/>
  <c r="T115" i="11"/>
  <c r="U115" i="11"/>
  <c r="K117" i="11"/>
  <c r="L116" i="11"/>
  <c r="O116" i="11"/>
  <c r="M75" i="2"/>
  <c r="O75" i="2" s="1"/>
  <c r="J76" i="2"/>
  <c r="F77" i="2"/>
  <c r="P75" i="2"/>
  <c r="G78" i="2"/>
  <c r="T93" i="18" a="1"/>
  <c r="N116" i="11" a="1"/>
  <c r="U93" i="18" a="1"/>
  <c r="N93" i="15" a="1"/>
  <c r="U93" i="15" a="1"/>
  <c r="N93" i="18" a="1"/>
  <c r="F78" i="2" a="1"/>
  <c r="T116" i="11" a="1"/>
  <c r="T93" i="15" a="1"/>
  <c r="U116" i="11" a="1"/>
  <c r="V115" i="11" l="1"/>
  <c r="N93" i="18"/>
  <c r="U93" i="18"/>
  <c r="T93" i="18"/>
  <c r="V93" i="18" s="1"/>
  <c r="K95" i="18"/>
  <c r="O94" i="18"/>
  <c r="L94" i="18"/>
  <c r="M94" i="18" s="1"/>
  <c r="V92" i="15"/>
  <c r="U93" i="15"/>
  <c r="T93" i="15"/>
  <c r="N93" i="15"/>
  <c r="L94" i="15"/>
  <c r="M94" i="15" s="1"/>
  <c r="K95" i="15"/>
  <c r="O94" i="15"/>
  <c r="N116" i="11"/>
  <c r="U116" i="11"/>
  <c r="T116" i="11"/>
  <c r="V116" i="11" s="1"/>
  <c r="L117" i="11"/>
  <c r="K118" i="11"/>
  <c r="O117" i="11"/>
  <c r="M76" i="2"/>
  <c r="O76" i="2" s="1"/>
  <c r="F78" i="2"/>
  <c r="J77" i="2"/>
  <c r="P76" i="2"/>
  <c r="G79" i="2"/>
  <c r="N94" i="18" a="1"/>
  <c r="U117" i="11" a="1"/>
  <c r="T94" i="18" a="1"/>
  <c r="T117" i="11" a="1"/>
  <c r="T94" i="15" a="1"/>
  <c r="N117" i="11" a="1"/>
  <c r="N94" i="15" a="1"/>
  <c r="U94" i="18" a="1"/>
  <c r="F79" i="2" a="1"/>
  <c r="U94" i="15" a="1"/>
  <c r="U94" i="18" l="1"/>
  <c r="T94" i="18"/>
  <c r="N94" i="18"/>
  <c r="K96" i="18"/>
  <c r="O95" i="18"/>
  <c r="L95" i="18"/>
  <c r="M95" i="18" s="1"/>
  <c r="V93" i="15"/>
  <c r="T94" i="15"/>
  <c r="N94" i="15"/>
  <c r="U94" i="15"/>
  <c r="O95" i="15"/>
  <c r="L95" i="15"/>
  <c r="M95" i="15" s="1"/>
  <c r="K96" i="15"/>
  <c r="N117" i="11"/>
  <c r="T117" i="11"/>
  <c r="U117" i="11"/>
  <c r="L118" i="11"/>
  <c r="O118" i="11"/>
  <c r="K119" i="11"/>
  <c r="M77" i="2"/>
  <c r="O77" i="2" s="1"/>
  <c r="J78" i="2"/>
  <c r="F79" i="2"/>
  <c r="P77" i="2"/>
  <c r="G80" i="2"/>
  <c r="T118" i="11" a="1"/>
  <c r="N118" i="11" a="1"/>
  <c r="U95" i="18" a="1"/>
  <c r="F80" i="2" a="1"/>
  <c r="U95" i="15" a="1"/>
  <c r="N95" i="15" a="1"/>
  <c r="U118" i="11" a="1"/>
  <c r="T95" i="15" a="1"/>
  <c r="T95" i="18" a="1"/>
  <c r="N95" i="18" a="1"/>
  <c r="V117" i="11" l="1"/>
  <c r="U95" i="18"/>
  <c r="T95" i="18"/>
  <c r="V95" i="18" s="1"/>
  <c r="N95" i="18"/>
  <c r="V94" i="18"/>
  <c r="K97" i="18"/>
  <c r="O96" i="18"/>
  <c r="L96" i="18"/>
  <c r="M96" i="18" s="1"/>
  <c r="V94" i="15"/>
  <c r="T95" i="15"/>
  <c r="N95" i="15"/>
  <c r="U95" i="15"/>
  <c r="O96" i="15"/>
  <c r="K97" i="15"/>
  <c r="L96" i="15"/>
  <c r="M96" i="15" s="1"/>
  <c r="U118" i="11"/>
  <c r="N118" i="11"/>
  <c r="T118" i="11"/>
  <c r="K120" i="11"/>
  <c r="L119" i="11"/>
  <c r="O119" i="11"/>
  <c r="M78" i="2"/>
  <c r="O78" i="2" s="1"/>
  <c r="F80" i="2"/>
  <c r="J79" i="2"/>
  <c r="P78" i="2"/>
  <c r="G81" i="2"/>
  <c r="U119" i="11" a="1"/>
  <c r="U96" i="18" a="1"/>
  <c r="N96" i="18" a="1"/>
  <c r="T119" i="11" a="1"/>
  <c r="F81" i="2" a="1"/>
  <c r="N96" i="15" a="1"/>
  <c r="T96" i="15" a="1"/>
  <c r="U96" i="15" a="1"/>
  <c r="T96" i="18" a="1"/>
  <c r="N119" i="11" a="1"/>
  <c r="T96" i="18" l="1"/>
  <c r="V96" i="18" s="1"/>
  <c r="N96" i="18"/>
  <c r="U96" i="18"/>
  <c r="V118" i="11"/>
  <c r="L97" i="18"/>
  <c r="M97" i="18" s="1"/>
  <c r="K98" i="18"/>
  <c r="O97" i="18"/>
  <c r="V95" i="15"/>
  <c r="U96" i="15"/>
  <c r="T96" i="15"/>
  <c r="N96" i="15"/>
  <c r="K98" i="15"/>
  <c r="L97" i="15"/>
  <c r="M97" i="15" s="1"/>
  <c r="O97" i="15"/>
  <c r="U119" i="11"/>
  <c r="N119" i="11"/>
  <c r="T119" i="11"/>
  <c r="K121" i="11"/>
  <c r="L120" i="11"/>
  <c r="O120" i="11"/>
  <c r="M79" i="2"/>
  <c r="O79" i="2" s="1"/>
  <c r="J80" i="2"/>
  <c r="F81" i="2"/>
  <c r="P79" i="2"/>
  <c r="G82" i="2"/>
  <c r="U97" i="18" a="1"/>
  <c r="N97" i="18" a="1"/>
  <c r="N120" i="11" a="1"/>
  <c r="U97" i="15" a="1"/>
  <c r="T120" i="11" a="1"/>
  <c r="T97" i="18" a="1"/>
  <c r="F82" i="2" a="1"/>
  <c r="N97" i="15" a="1"/>
  <c r="U120" i="11" a="1"/>
  <c r="T97" i="15" a="1"/>
  <c r="V119" i="11" l="1"/>
  <c r="T97" i="18"/>
  <c r="N97" i="18"/>
  <c r="U97" i="18"/>
  <c r="V96" i="15"/>
  <c r="L98" i="18"/>
  <c r="M98" i="18" s="1"/>
  <c r="K99" i="18"/>
  <c r="O98" i="18"/>
  <c r="U97" i="15"/>
  <c r="T97" i="15"/>
  <c r="N97" i="15"/>
  <c r="K99" i="15"/>
  <c r="O98" i="15"/>
  <c r="L98" i="15"/>
  <c r="M98" i="15" s="1"/>
  <c r="N120" i="11"/>
  <c r="U120" i="11"/>
  <c r="T120" i="11"/>
  <c r="K122" i="11"/>
  <c r="O121" i="11"/>
  <c r="L121" i="11"/>
  <c r="M80" i="2"/>
  <c r="O80" i="2" s="1"/>
  <c r="F82" i="2"/>
  <c r="J81" i="2"/>
  <c r="P80" i="2"/>
  <c r="G83" i="2"/>
  <c r="U98" i="18" a="1"/>
  <c r="U121" i="11" a="1"/>
  <c r="N98" i="18" a="1"/>
  <c r="N98" i="15" a="1"/>
  <c r="F83" i="2" a="1"/>
  <c r="T98" i="18" a="1"/>
  <c r="T98" i="15" a="1"/>
  <c r="U98" i="15" a="1"/>
  <c r="T121" i="11" a="1"/>
  <c r="N121" i="11" a="1"/>
  <c r="V97" i="18" l="1"/>
  <c r="T98" i="18"/>
  <c r="N98" i="18"/>
  <c r="U98" i="18"/>
  <c r="V120" i="11"/>
  <c r="L99" i="18"/>
  <c r="M99" i="18" s="1"/>
  <c r="K100" i="18"/>
  <c r="O99" i="18"/>
  <c r="V97" i="15"/>
  <c r="T98" i="15"/>
  <c r="V98" i="15" s="1"/>
  <c r="U98" i="15"/>
  <c r="N98" i="15"/>
  <c r="O99" i="15"/>
  <c r="L99" i="15"/>
  <c r="M99" i="15" s="1"/>
  <c r="K100" i="15"/>
  <c r="N121" i="11"/>
  <c r="U121" i="11"/>
  <c r="T121" i="11"/>
  <c r="K123" i="11"/>
  <c r="O122" i="11"/>
  <c r="L122" i="11"/>
  <c r="M81" i="2"/>
  <c r="O81" i="2" s="1"/>
  <c r="F83" i="2"/>
  <c r="J82" i="2"/>
  <c r="P81" i="2"/>
  <c r="G84" i="2"/>
  <c r="U99" i="18" a="1"/>
  <c r="N122" i="11" a="1"/>
  <c r="N99" i="18" a="1"/>
  <c r="U99" i="15" a="1"/>
  <c r="N99" i="15" a="1"/>
  <c r="T122" i="11" a="1"/>
  <c r="T99" i="18" a="1"/>
  <c r="F84" i="2" a="1"/>
  <c r="U122" i="11" a="1"/>
  <c r="T99" i="15" a="1"/>
  <c r="V98" i="18" l="1"/>
  <c r="T99" i="18"/>
  <c r="N99" i="18"/>
  <c r="U99" i="18"/>
  <c r="V121" i="11"/>
  <c r="L100" i="18"/>
  <c r="M100" i="18" s="1"/>
  <c r="K101" i="18"/>
  <c r="O100" i="18"/>
  <c r="T99" i="15"/>
  <c r="U99" i="15"/>
  <c r="N99" i="15"/>
  <c r="O100" i="15"/>
  <c r="K101" i="15"/>
  <c r="L100" i="15"/>
  <c r="M100" i="15" s="1"/>
  <c r="U122" i="11"/>
  <c r="N122" i="11"/>
  <c r="T122" i="11"/>
  <c r="L123" i="11"/>
  <c r="O123" i="11"/>
  <c r="K124" i="11"/>
  <c r="M82" i="2"/>
  <c r="O82" i="2" s="1"/>
  <c r="F84" i="2"/>
  <c r="J83" i="2"/>
  <c r="P82" i="2"/>
  <c r="G85" i="2"/>
  <c r="U100" i="18" a="1"/>
  <c r="U123" i="11" a="1"/>
  <c r="T123" i="11" a="1"/>
  <c r="N100" i="18" a="1"/>
  <c r="N100" i="15" a="1"/>
  <c r="F85" i="2" a="1"/>
  <c r="T100" i="18" a="1"/>
  <c r="N123" i="11" a="1"/>
  <c r="U100" i="15" a="1"/>
  <c r="T100" i="15" a="1"/>
  <c r="V99" i="18" l="1"/>
  <c r="V122" i="11"/>
  <c r="V99" i="15"/>
  <c r="T100" i="18"/>
  <c r="N100" i="18"/>
  <c r="U100" i="18"/>
  <c r="L101" i="18"/>
  <c r="M101" i="18" s="1"/>
  <c r="K102" i="18"/>
  <c r="O101" i="18"/>
  <c r="N100" i="15"/>
  <c r="U100" i="15"/>
  <c r="T100" i="15"/>
  <c r="V100" i="15" s="1"/>
  <c r="K102" i="15"/>
  <c r="L101" i="15"/>
  <c r="M101" i="15" s="1"/>
  <c r="O101" i="15"/>
  <c r="U123" i="11"/>
  <c r="N123" i="11"/>
  <c r="T123" i="11"/>
  <c r="K125" i="11"/>
  <c r="L124" i="11"/>
  <c r="O124" i="11"/>
  <c r="M83" i="2"/>
  <c r="O83" i="2" s="1"/>
  <c r="J84" i="2"/>
  <c r="F85" i="2"/>
  <c r="P83" i="2"/>
  <c r="G86" i="2"/>
  <c r="U101" i="18" a="1"/>
  <c r="T124" i="11" a="1"/>
  <c r="N101" i="18" a="1"/>
  <c r="U124" i="11" a="1"/>
  <c r="N124" i="11" a="1"/>
  <c r="T101" i="18" a="1"/>
  <c r="T101" i="15" a="1"/>
  <c r="F86" i="2" a="1"/>
  <c r="N101" i="15" a="1"/>
  <c r="U101" i="15" a="1"/>
  <c r="V100" i="18" l="1"/>
  <c r="T101" i="18"/>
  <c r="V101" i="18" s="1"/>
  <c r="N101" i="18"/>
  <c r="U101" i="18"/>
  <c r="V123" i="11"/>
  <c r="L102" i="18"/>
  <c r="M102" i="18" s="1"/>
  <c r="K103" i="18"/>
  <c r="O102" i="18"/>
  <c r="U101" i="15"/>
  <c r="T101" i="15"/>
  <c r="N101" i="15"/>
  <c r="O102" i="15"/>
  <c r="L102" i="15"/>
  <c r="M102" i="15" s="1"/>
  <c r="K103" i="15"/>
  <c r="N124" i="11"/>
  <c r="U124" i="11"/>
  <c r="T124" i="11"/>
  <c r="K126" i="11"/>
  <c r="L125" i="11"/>
  <c r="O125" i="11"/>
  <c r="M84" i="2"/>
  <c r="O84" i="2" s="1"/>
  <c r="F86" i="2"/>
  <c r="J85" i="2"/>
  <c r="P84" i="2"/>
  <c r="G87" i="2"/>
  <c r="F87" i="2" a="1"/>
  <c r="N102" i="18" a="1"/>
  <c r="T102" i="15" a="1"/>
  <c r="U125" i="11" a="1"/>
  <c r="T102" i="18" a="1"/>
  <c r="U102" i="18" a="1"/>
  <c r="T125" i="11" a="1"/>
  <c r="N102" i="15" a="1"/>
  <c r="N125" i="11" a="1"/>
  <c r="U102" i="15" a="1"/>
  <c r="T102" i="18" l="1"/>
  <c r="N102" i="18"/>
  <c r="U102" i="18"/>
  <c r="V124" i="11"/>
  <c r="L103" i="18"/>
  <c r="M103" i="18" s="1"/>
  <c r="K104" i="18"/>
  <c r="O103" i="18"/>
  <c r="V101" i="15"/>
  <c r="T102" i="15"/>
  <c r="U102" i="15"/>
  <c r="N102" i="15"/>
  <c r="O103" i="15"/>
  <c r="L103" i="15"/>
  <c r="M103" i="15" s="1"/>
  <c r="K104" i="15"/>
  <c r="N125" i="11"/>
  <c r="U125" i="11"/>
  <c r="T125" i="11"/>
  <c r="O126" i="11"/>
  <c r="L126" i="11"/>
  <c r="K127" i="11"/>
  <c r="M85" i="2"/>
  <c r="O85" i="2" s="1"/>
  <c r="J86" i="2"/>
  <c r="F87" i="2"/>
  <c r="P85" i="2"/>
  <c r="G88" i="2"/>
  <c r="U103" i="18" a="1"/>
  <c r="U103" i="15" a="1"/>
  <c r="N126" i="11" a="1"/>
  <c r="U126" i="11" a="1"/>
  <c r="N103" i="18" a="1"/>
  <c r="T103" i="15" a="1"/>
  <c r="N103" i="15" a="1"/>
  <c r="T103" i="18" a="1"/>
  <c r="F88" i="2" a="1"/>
  <c r="T126" i="11" a="1"/>
  <c r="V125" i="11" l="1"/>
  <c r="V102" i="18"/>
  <c r="T103" i="18"/>
  <c r="N103" i="18"/>
  <c r="U103" i="18"/>
  <c r="L104" i="18"/>
  <c r="M104" i="18" s="1"/>
  <c r="K105" i="18"/>
  <c r="O104" i="18"/>
  <c r="V102" i="15"/>
  <c r="T103" i="15"/>
  <c r="U103" i="15"/>
  <c r="N103" i="15"/>
  <c r="O104" i="15"/>
  <c r="K105" i="15"/>
  <c r="L104" i="15"/>
  <c r="M104" i="15" s="1"/>
  <c r="U126" i="11"/>
  <c r="T126" i="11"/>
  <c r="N126" i="11"/>
  <c r="K128" i="11"/>
  <c r="L127" i="11"/>
  <c r="O127" i="11"/>
  <c r="M86" i="2"/>
  <c r="O86" i="2" s="1"/>
  <c r="J87" i="2"/>
  <c r="F88" i="2"/>
  <c r="P86" i="2"/>
  <c r="G89" i="2"/>
  <c r="U104" i="18" a="1"/>
  <c r="N127" i="11" a="1"/>
  <c r="N104" i="18" a="1"/>
  <c r="U127" i="11" a="1"/>
  <c r="T104" i="18" a="1"/>
  <c r="F89" i="2" a="1"/>
  <c r="N104" i="15" a="1"/>
  <c r="T104" i="15" a="1"/>
  <c r="U104" i="15" a="1"/>
  <c r="T127" i="11" a="1"/>
  <c r="V103" i="18" l="1"/>
  <c r="V103" i="15"/>
  <c r="V126" i="11"/>
  <c r="T104" i="18"/>
  <c r="N104" i="18"/>
  <c r="U104" i="18"/>
  <c r="L105" i="18"/>
  <c r="M105" i="18" s="1"/>
  <c r="K106" i="18"/>
  <c r="O105" i="18"/>
  <c r="T104" i="15"/>
  <c r="U104" i="15"/>
  <c r="N104" i="15"/>
  <c r="O105" i="15"/>
  <c r="K106" i="15"/>
  <c r="L105" i="15"/>
  <c r="M105" i="15" s="1"/>
  <c r="U127" i="11"/>
  <c r="N127" i="11"/>
  <c r="T127" i="11"/>
  <c r="K129" i="11"/>
  <c r="L128" i="11"/>
  <c r="O128" i="11"/>
  <c r="M87" i="2"/>
  <c r="O87" i="2" s="1"/>
  <c r="F89" i="2"/>
  <c r="J88" i="2"/>
  <c r="P87" i="2"/>
  <c r="G90" i="2"/>
  <c r="U128" i="11" a="1"/>
  <c r="N105" i="18" a="1"/>
  <c r="U105" i="18" a="1"/>
  <c r="N105" i="15" a="1"/>
  <c r="F90" i="2" a="1"/>
  <c r="T105" i="18" a="1"/>
  <c r="T128" i="11" a="1"/>
  <c r="T105" i="15" a="1"/>
  <c r="U105" i="15" a="1"/>
  <c r="N128" i="11" a="1"/>
  <c r="V104" i="18" l="1"/>
  <c r="V127" i="11"/>
  <c r="T105" i="18"/>
  <c r="V105" i="18" s="1"/>
  <c r="U105" i="18"/>
  <c r="N105" i="18"/>
  <c r="V104" i="15"/>
  <c r="L106" i="18"/>
  <c r="M106" i="18" s="1"/>
  <c r="K107" i="18"/>
  <c r="O106" i="18"/>
  <c r="N105" i="15"/>
  <c r="U105" i="15"/>
  <c r="T105" i="15"/>
  <c r="L106" i="15"/>
  <c r="M106" i="15" s="1"/>
  <c r="K107" i="15"/>
  <c r="O106" i="15"/>
  <c r="N128" i="11"/>
  <c r="T128" i="11"/>
  <c r="V128" i="11" s="1"/>
  <c r="U128" i="11"/>
  <c r="K130" i="11"/>
  <c r="L129" i="11"/>
  <c r="O129" i="11"/>
  <c r="M88" i="2"/>
  <c r="O88" i="2" s="1"/>
  <c r="F90" i="2"/>
  <c r="J89" i="2"/>
  <c r="P88" i="2"/>
  <c r="G91" i="2"/>
  <c r="N106" i="18" a="1"/>
  <c r="N129" i="11" a="1"/>
  <c r="U106" i="15" a="1"/>
  <c r="T129" i="11" a="1"/>
  <c r="U106" i="18" a="1"/>
  <c r="N106" i="15" a="1"/>
  <c r="F91" i="2" a="1"/>
  <c r="T106" i="18" a="1"/>
  <c r="U129" i="11" a="1"/>
  <c r="T106" i="15" a="1"/>
  <c r="T106" i="18" l="1"/>
  <c r="U106" i="18"/>
  <c r="N106" i="18"/>
  <c r="V105" i="15"/>
  <c r="L107" i="18"/>
  <c r="M107" i="18" s="1"/>
  <c r="K108" i="18"/>
  <c r="O107" i="18"/>
  <c r="U106" i="15"/>
  <c r="T106" i="15"/>
  <c r="N106" i="15"/>
  <c r="O107" i="15"/>
  <c r="K108" i="15"/>
  <c r="L107" i="15"/>
  <c r="M107" i="15" s="1"/>
  <c r="N129" i="11"/>
  <c r="U129" i="11"/>
  <c r="T129" i="11"/>
  <c r="V129" i="11" s="1"/>
  <c r="L130" i="11"/>
  <c r="O130" i="11"/>
  <c r="K131" i="11"/>
  <c r="M89" i="2"/>
  <c r="O89" i="2" s="1"/>
  <c r="F91" i="2"/>
  <c r="J90" i="2"/>
  <c r="P89" i="2"/>
  <c r="G92" i="2"/>
  <c r="F92" i="2" a="1"/>
  <c r="U107" i="18" a="1"/>
  <c r="N107" i="15" a="1"/>
  <c r="T107" i="18" a="1"/>
  <c r="T107" i="15" a="1"/>
  <c r="U107" i="15" a="1"/>
  <c r="N130" i="11" a="1"/>
  <c r="N107" i="18" a="1"/>
  <c r="T130" i="11" a="1"/>
  <c r="U130" i="11" a="1"/>
  <c r="T107" i="18" l="1"/>
  <c r="U107" i="18"/>
  <c r="N107" i="18"/>
  <c r="V106" i="15"/>
  <c r="V106" i="18"/>
  <c r="L108" i="18"/>
  <c r="M108" i="18" s="1"/>
  <c r="O108" i="18"/>
  <c r="K109" i="18"/>
  <c r="U107" i="15"/>
  <c r="T107" i="15"/>
  <c r="N107" i="15"/>
  <c r="O108" i="15"/>
  <c r="K109" i="15"/>
  <c r="L108" i="15"/>
  <c r="M108" i="15" s="1"/>
  <c r="U130" i="11"/>
  <c r="T130" i="11"/>
  <c r="N130" i="11"/>
  <c r="L131" i="11"/>
  <c r="K132" i="11"/>
  <c r="O131" i="11"/>
  <c r="M90" i="2"/>
  <c r="O90" i="2" s="1"/>
  <c r="F92" i="2"/>
  <c r="J91" i="2"/>
  <c r="P90" i="2"/>
  <c r="G93" i="2"/>
  <c r="U108" i="18" a="1"/>
  <c r="U131" i="11" a="1"/>
  <c r="N108" i="18" a="1"/>
  <c r="T131" i="11" a="1"/>
  <c r="T108" i="18" a="1"/>
  <c r="N131" i="11" a="1"/>
  <c r="T108" i="15" a="1"/>
  <c r="F93" i="2" a="1"/>
  <c r="U108" i="15" a="1"/>
  <c r="N108" i="15" a="1"/>
  <c r="V130" i="11" l="1"/>
  <c r="V107" i="15"/>
  <c r="T108" i="18"/>
  <c r="N108" i="18"/>
  <c r="U108" i="18"/>
  <c r="V107" i="18"/>
  <c r="L109" i="18"/>
  <c r="M109" i="18" s="1"/>
  <c r="K110" i="18"/>
  <c r="O109" i="18"/>
  <c r="T108" i="15"/>
  <c r="V108" i="15" s="1"/>
  <c r="N108" i="15"/>
  <c r="U108" i="15"/>
  <c r="O109" i="15"/>
  <c r="K110" i="15"/>
  <c r="L109" i="15"/>
  <c r="M109" i="15" s="1"/>
  <c r="U131" i="11"/>
  <c r="N131" i="11"/>
  <c r="T131" i="11"/>
  <c r="V131" i="11" s="1"/>
  <c r="K133" i="11"/>
  <c r="L132" i="11"/>
  <c r="O132" i="11"/>
  <c r="M91" i="2"/>
  <c r="O91" i="2" s="1"/>
  <c r="J92" i="2"/>
  <c r="F93" i="2"/>
  <c r="P91" i="2"/>
  <c r="G94" i="2"/>
  <c r="T109" i="18" a="1"/>
  <c r="T132" i="11" a="1"/>
  <c r="U109" i="18" a="1"/>
  <c r="N132" i="11" a="1"/>
  <c r="F94" i="2" a="1"/>
  <c r="N109" i="18" a="1"/>
  <c r="T109" i="15" a="1"/>
  <c r="U132" i="11" a="1"/>
  <c r="U109" i="15" a="1"/>
  <c r="N109" i="15" a="1"/>
  <c r="V108" i="18" l="1"/>
  <c r="N109" i="18"/>
  <c r="U109" i="18"/>
  <c r="T109" i="18"/>
  <c r="V109" i="18" s="1"/>
  <c r="O110" i="18"/>
  <c r="L110" i="18"/>
  <c r="M110" i="18" s="1"/>
  <c r="K111" i="18"/>
  <c r="N109" i="15"/>
  <c r="T109" i="15"/>
  <c r="V109" i="15" s="1"/>
  <c r="U109" i="15"/>
  <c r="L110" i="15"/>
  <c r="M110" i="15" s="1"/>
  <c r="O110" i="15"/>
  <c r="K111" i="15"/>
  <c r="N132" i="11"/>
  <c r="T132" i="11"/>
  <c r="U132" i="11"/>
  <c r="K134" i="11"/>
  <c r="L133" i="11"/>
  <c r="O133" i="11"/>
  <c r="M92" i="2"/>
  <c r="O92" i="2" s="1"/>
  <c r="J93" i="2"/>
  <c r="F94" i="2"/>
  <c r="P92" i="2"/>
  <c r="G95" i="2"/>
  <c r="N133" i="11" a="1"/>
  <c r="F95" i="2" a="1"/>
  <c r="N110" i="18" a="1"/>
  <c r="N110" i="15" a="1"/>
  <c r="T110" i="15" a="1"/>
  <c r="T110" i="18" a="1"/>
  <c r="T133" i="11" a="1"/>
  <c r="U133" i="11" a="1"/>
  <c r="U110" i="18" a="1"/>
  <c r="U110" i="15" a="1"/>
  <c r="V132" i="11" l="1"/>
  <c r="N110" i="18"/>
  <c r="T110" i="18"/>
  <c r="V110" i="18" s="1"/>
  <c r="U110" i="18"/>
  <c r="K112" i="18"/>
  <c r="O111" i="18"/>
  <c r="L111" i="18"/>
  <c r="M111" i="18" s="1"/>
  <c r="U110" i="15"/>
  <c r="T110" i="15"/>
  <c r="N110" i="15"/>
  <c r="O111" i="15"/>
  <c r="K112" i="15"/>
  <c r="L111" i="15"/>
  <c r="M111" i="15" s="1"/>
  <c r="N133" i="11"/>
  <c r="T133" i="11"/>
  <c r="U133" i="11"/>
  <c r="K135" i="11"/>
  <c r="L134" i="11"/>
  <c r="O134" i="11"/>
  <c r="M93" i="2"/>
  <c r="O93" i="2" s="1"/>
  <c r="J94" i="2"/>
  <c r="F95" i="2"/>
  <c r="P93" i="2"/>
  <c r="G96" i="2"/>
  <c r="U134" i="11" a="1"/>
  <c r="N111" i="18" a="1"/>
  <c r="F96" i="2" a="1"/>
  <c r="T111" i="18" a="1"/>
  <c r="T134" i="11" a="1"/>
  <c r="N111" i="15" a="1"/>
  <c r="T111" i="15" a="1"/>
  <c r="U111" i="15" a="1"/>
  <c r="N134" i="11" a="1"/>
  <c r="U111" i="18" a="1"/>
  <c r="V133" i="11" l="1"/>
  <c r="T111" i="18"/>
  <c r="V111" i="18" s="1"/>
  <c r="N111" i="18"/>
  <c r="U111" i="18"/>
  <c r="L112" i="18"/>
  <c r="M112" i="18" s="1"/>
  <c r="K113" i="18"/>
  <c r="O112" i="18"/>
  <c r="V110" i="15"/>
  <c r="U111" i="15"/>
  <c r="T111" i="15"/>
  <c r="N111" i="15"/>
  <c r="O112" i="15"/>
  <c r="K113" i="15"/>
  <c r="L112" i="15"/>
  <c r="M112" i="15" s="1"/>
  <c r="U134" i="11"/>
  <c r="N134" i="11"/>
  <c r="T134" i="11"/>
  <c r="V134" i="11" s="1"/>
  <c r="K136" i="11"/>
  <c r="L135" i="11"/>
  <c r="O135" i="11"/>
  <c r="M94" i="2"/>
  <c r="O94" i="2" s="1"/>
  <c r="F96" i="2"/>
  <c r="J95" i="2"/>
  <c r="P94" i="2"/>
  <c r="G97" i="2"/>
  <c r="N112" i="18" a="1"/>
  <c r="U135" i="11" a="1"/>
  <c r="F97" i="2" a="1"/>
  <c r="U112" i="18" a="1"/>
  <c r="N135" i="11" a="1"/>
  <c r="T112" i="18" a="1"/>
  <c r="N112" i="15" a="1"/>
  <c r="T135" i="11" a="1"/>
  <c r="T112" i="15" a="1"/>
  <c r="U112" i="15" a="1"/>
  <c r="U112" i="18" l="1"/>
  <c r="T112" i="18"/>
  <c r="N112" i="18"/>
  <c r="V111" i="15"/>
  <c r="O113" i="18"/>
  <c r="L113" i="18"/>
  <c r="M113" i="18" s="1"/>
  <c r="K114" i="18"/>
  <c r="T112" i="15"/>
  <c r="N112" i="15"/>
  <c r="U112" i="15"/>
  <c r="O113" i="15"/>
  <c r="K114" i="15"/>
  <c r="L113" i="15"/>
  <c r="M113" i="15" s="1"/>
  <c r="U135" i="11"/>
  <c r="N135" i="11"/>
  <c r="T135" i="11"/>
  <c r="V135" i="11" s="1"/>
  <c r="K137" i="11"/>
  <c r="L136" i="11"/>
  <c r="O136" i="11"/>
  <c r="M95" i="2"/>
  <c r="O95" i="2" s="1"/>
  <c r="F97" i="2"/>
  <c r="J96" i="2"/>
  <c r="P95" i="2"/>
  <c r="G98" i="2"/>
  <c r="T113" i="15" a="1"/>
  <c r="N113" i="18" a="1"/>
  <c r="N113" i="15" a="1"/>
  <c r="T136" i="11" a="1"/>
  <c r="N136" i="11" a="1"/>
  <c r="U136" i="11" a="1"/>
  <c r="U113" i="15" a="1"/>
  <c r="T113" i="18" a="1"/>
  <c r="F98" i="2" a="1"/>
  <c r="U113" i="18" a="1"/>
  <c r="V112" i="18" l="1"/>
  <c r="N113" i="18"/>
  <c r="U113" i="18"/>
  <c r="T113" i="18"/>
  <c r="K115" i="18"/>
  <c r="O114" i="18"/>
  <c r="L114" i="18"/>
  <c r="M114" i="18" s="1"/>
  <c r="V112" i="15"/>
  <c r="N113" i="15"/>
  <c r="T113" i="15"/>
  <c r="U113" i="15"/>
  <c r="L114" i="15"/>
  <c r="M114" i="15" s="1"/>
  <c r="O114" i="15"/>
  <c r="K115" i="15"/>
  <c r="N136" i="11"/>
  <c r="T136" i="11"/>
  <c r="V136" i="11" s="1"/>
  <c r="U136" i="11"/>
  <c r="K138" i="11"/>
  <c r="L137" i="11"/>
  <c r="O137" i="11"/>
  <c r="M96" i="2"/>
  <c r="O96" i="2" s="1"/>
  <c r="F98" i="2"/>
  <c r="J97" i="2"/>
  <c r="P96" i="2"/>
  <c r="G99" i="2"/>
  <c r="T114" i="18" a="1"/>
  <c r="U137" i="11" a="1"/>
  <c r="U114" i="18" a="1"/>
  <c r="N137" i="11" a="1"/>
  <c r="T114" i="15" a="1"/>
  <c r="N114" i="18" a="1"/>
  <c r="N114" i="15" a="1"/>
  <c r="F99" i="2" a="1"/>
  <c r="T137" i="11" a="1"/>
  <c r="U114" i="15" a="1"/>
  <c r="V113" i="18" l="1"/>
  <c r="N114" i="18"/>
  <c r="U114" i="18"/>
  <c r="T114" i="18"/>
  <c r="V114" i="18" s="1"/>
  <c r="K116" i="18"/>
  <c r="O115" i="18"/>
  <c r="L115" i="18"/>
  <c r="M115" i="18" s="1"/>
  <c r="V113" i="15"/>
  <c r="U114" i="15"/>
  <c r="T114" i="15"/>
  <c r="N114" i="15"/>
  <c r="O115" i="15"/>
  <c r="K116" i="15"/>
  <c r="L115" i="15"/>
  <c r="M115" i="15" s="1"/>
  <c r="N137" i="11"/>
  <c r="T137" i="11"/>
  <c r="V137" i="11" s="1"/>
  <c r="U137" i="11"/>
  <c r="L138" i="11"/>
  <c r="K139" i="11"/>
  <c r="O138" i="11"/>
  <c r="M97" i="2"/>
  <c r="O97" i="2" s="1"/>
  <c r="F99" i="2"/>
  <c r="J98" i="2"/>
  <c r="P97" i="2"/>
  <c r="G100" i="2"/>
  <c r="U115" i="18" a="1"/>
  <c r="T115" i="18" a="1"/>
  <c r="T138" i="11" a="1"/>
  <c r="N138" i="11" a="1"/>
  <c r="N115" i="18" a="1"/>
  <c r="F100" i="2" a="1"/>
  <c r="U138" i="11" a="1"/>
  <c r="U115" i="15" a="1"/>
  <c r="T115" i="15" a="1"/>
  <c r="N115" i="15" a="1"/>
  <c r="V114" i="15" l="1"/>
  <c r="T115" i="18"/>
  <c r="V115" i="18" s="1"/>
  <c r="N115" i="18"/>
  <c r="U115" i="18"/>
  <c r="K117" i="18"/>
  <c r="L116" i="18"/>
  <c r="M116" i="18" s="1"/>
  <c r="O116" i="18"/>
  <c r="U115" i="15"/>
  <c r="T115" i="15"/>
  <c r="N115" i="15"/>
  <c r="O116" i="15"/>
  <c r="K117" i="15"/>
  <c r="L116" i="15"/>
  <c r="M116" i="15" s="1"/>
  <c r="U138" i="11"/>
  <c r="N138" i="11"/>
  <c r="T138" i="11"/>
  <c r="V138" i="11" s="1"/>
  <c r="L139" i="11"/>
  <c r="O139" i="11"/>
  <c r="K140" i="11"/>
  <c r="M98" i="2"/>
  <c r="O98" i="2" s="1"/>
  <c r="J99" i="2"/>
  <c r="F100" i="2"/>
  <c r="P98" i="2"/>
  <c r="G101" i="2"/>
  <c r="N116" i="15" a="1"/>
  <c r="U116" i="18" a="1"/>
  <c r="T139" i="11" a="1"/>
  <c r="T116" i="15" a="1"/>
  <c r="N139" i="11" a="1"/>
  <c r="N116" i="18" a="1"/>
  <c r="F101" i="2" a="1"/>
  <c r="T116" i="18" a="1"/>
  <c r="U116" i="15" a="1"/>
  <c r="U139" i="11" a="1"/>
  <c r="U116" i="18" l="1"/>
  <c r="T116" i="18"/>
  <c r="N116" i="18"/>
  <c r="V115" i="15"/>
  <c r="K118" i="18"/>
  <c r="O117" i="18"/>
  <c r="L117" i="18"/>
  <c r="M117" i="18" s="1"/>
  <c r="T116" i="15"/>
  <c r="N116" i="15"/>
  <c r="U116" i="15"/>
  <c r="O117" i="15"/>
  <c r="K118" i="15"/>
  <c r="L117" i="15"/>
  <c r="M117" i="15" s="1"/>
  <c r="N139" i="11"/>
  <c r="T139" i="11"/>
  <c r="U139" i="11"/>
  <c r="K141" i="11"/>
  <c r="L140" i="11"/>
  <c r="O140" i="11"/>
  <c r="M99" i="2"/>
  <c r="O99" i="2" s="1"/>
  <c r="J100" i="2"/>
  <c r="F101" i="2"/>
  <c r="P99" i="2"/>
  <c r="G103" i="2"/>
  <c r="G102" i="2"/>
  <c r="F103" i="2" a="1"/>
  <c r="N117" i="15" a="1"/>
  <c r="N117" i="18" a="1"/>
  <c r="U140" i="11" a="1"/>
  <c r="U117" i="18" a="1"/>
  <c r="U117" i="15" a="1"/>
  <c r="N140" i="11" a="1"/>
  <c r="F102" i="2" a="1"/>
  <c r="T140" i="11" a="1"/>
  <c r="T117" i="18" a="1"/>
  <c r="T117" i="15" a="1"/>
  <c r="V139" i="11" l="1"/>
  <c r="V116" i="18"/>
  <c r="N117" i="18"/>
  <c r="U117" i="18"/>
  <c r="T117" i="18"/>
  <c r="K119" i="18"/>
  <c r="L118" i="18"/>
  <c r="M118" i="18" s="1"/>
  <c r="O118" i="18"/>
  <c r="V116" i="15"/>
  <c r="N117" i="15"/>
  <c r="T117" i="15"/>
  <c r="U117" i="15"/>
  <c r="L118" i="15"/>
  <c r="M118" i="15" s="1"/>
  <c r="O118" i="15"/>
  <c r="K119" i="15"/>
  <c r="N140" i="11"/>
  <c r="U140" i="11"/>
  <c r="T140" i="11"/>
  <c r="K142" i="11"/>
  <c r="L141" i="11"/>
  <c r="O141" i="11"/>
  <c r="M100" i="2"/>
  <c r="O100" i="2" s="1"/>
  <c r="J101" i="2"/>
  <c r="F103" i="2"/>
  <c r="F102" i="2"/>
  <c r="P100" i="2"/>
  <c r="G104" i="2"/>
  <c r="N118" i="15" a="1"/>
  <c r="N118" i="18" a="1"/>
  <c r="T118" i="15" a="1"/>
  <c r="T118" i="18" a="1"/>
  <c r="U118" i="15" a="1"/>
  <c r="U118" i="18" a="1"/>
  <c r="U141" i="11" a="1"/>
  <c r="N141" i="11" a="1"/>
  <c r="F104" i="2" a="1"/>
  <c r="T141" i="11" a="1"/>
  <c r="U118" i="18" l="1"/>
  <c r="T118" i="18"/>
  <c r="N118" i="18"/>
  <c r="V140" i="11"/>
  <c r="V117" i="18"/>
  <c r="V117" i="15"/>
  <c r="K120" i="18"/>
  <c r="O119" i="18"/>
  <c r="L119" i="18"/>
  <c r="M119" i="18" s="1"/>
  <c r="U118" i="15"/>
  <c r="T118" i="15"/>
  <c r="N118" i="15"/>
  <c r="O119" i="15"/>
  <c r="K120" i="15"/>
  <c r="L119" i="15"/>
  <c r="M119" i="15" s="1"/>
  <c r="U141" i="11"/>
  <c r="N141" i="11"/>
  <c r="T141" i="11"/>
  <c r="O142" i="11"/>
  <c r="L142" i="11"/>
  <c r="K143" i="11"/>
  <c r="M101" i="2"/>
  <c r="O101" i="2" s="1"/>
  <c r="J102" i="2"/>
  <c r="F104" i="2"/>
  <c r="J103" i="2"/>
  <c r="P101" i="2"/>
  <c r="G105" i="2"/>
  <c r="F105" i="2" a="1"/>
  <c r="N142" i="11" a="1"/>
  <c r="U142" i="11" a="1"/>
  <c r="T142" i="11" a="1"/>
  <c r="N119" i="15" a="1"/>
  <c r="T119" i="18" a="1"/>
  <c r="N119" i="18" a="1"/>
  <c r="U119" i="18" a="1"/>
  <c r="U119" i="15" a="1"/>
  <c r="T119" i="15" a="1"/>
  <c r="N119" i="18" l="1"/>
  <c r="U119" i="18"/>
  <c r="T119" i="18"/>
  <c r="V119" i="18" s="1"/>
  <c r="V118" i="15"/>
  <c r="V141" i="11"/>
  <c r="V118" i="18"/>
  <c r="K121" i="18"/>
  <c r="L120" i="18"/>
  <c r="M120" i="18" s="1"/>
  <c r="O120" i="18"/>
  <c r="U119" i="15"/>
  <c r="T119" i="15"/>
  <c r="N119" i="15"/>
  <c r="O120" i="15"/>
  <c r="K121" i="15"/>
  <c r="L120" i="15"/>
  <c r="M120" i="15" s="1"/>
  <c r="U142" i="11"/>
  <c r="N142" i="11"/>
  <c r="T142" i="11"/>
  <c r="O143" i="11"/>
  <c r="K144" i="11"/>
  <c r="L143" i="11"/>
  <c r="M103" i="2"/>
  <c r="O103" i="2" s="1"/>
  <c r="M102" i="2"/>
  <c r="O102" i="2" s="1"/>
  <c r="J104" i="2"/>
  <c r="F105" i="2"/>
  <c r="P103" i="2"/>
  <c r="G106" i="2"/>
  <c r="P102" i="2"/>
  <c r="T120" i="15" a="1"/>
  <c r="T120" i="18" a="1"/>
  <c r="F106" i="2" a="1"/>
  <c r="N120" i="18" a="1"/>
  <c r="U143" i="11" a="1"/>
  <c r="U120" i="15" a="1"/>
  <c r="N120" i="15" a="1"/>
  <c r="N143" i="11" a="1"/>
  <c r="U120" i="18" a="1"/>
  <c r="T143" i="11" a="1"/>
  <c r="U120" i="18" l="1"/>
  <c r="T120" i="18"/>
  <c r="N120" i="18"/>
  <c r="V142" i="11"/>
  <c r="K122" i="18"/>
  <c r="O121" i="18"/>
  <c r="L121" i="18"/>
  <c r="M121" i="18" s="1"/>
  <c r="V119" i="15"/>
  <c r="T120" i="15"/>
  <c r="N120" i="15"/>
  <c r="U120" i="15"/>
  <c r="O121" i="15"/>
  <c r="K122" i="15"/>
  <c r="L121" i="15"/>
  <c r="M121" i="15" s="1"/>
  <c r="U143" i="11"/>
  <c r="N143" i="11"/>
  <c r="T143" i="11"/>
  <c r="K145" i="11"/>
  <c r="O144" i="11"/>
  <c r="L144" i="11"/>
  <c r="M104" i="2"/>
  <c r="O104" i="2" s="1"/>
  <c r="J105" i="2"/>
  <c r="F106" i="2"/>
  <c r="P104" i="2"/>
  <c r="G107" i="2"/>
  <c r="U121" i="18" a="1"/>
  <c r="U144" i="11" a="1"/>
  <c r="N121" i="18" a="1"/>
  <c r="T121" i="15" a="1"/>
  <c r="N121" i="15" a="1"/>
  <c r="U121" i="15" a="1"/>
  <c r="T121" i="18" a="1"/>
  <c r="F107" i="2" a="1"/>
  <c r="T144" i="11" a="1"/>
  <c r="N144" i="11" a="1"/>
  <c r="V120" i="18" l="1"/>
  <c r="T121" i="18"/>
  <c r="N121" i="18"/>
  <c r="U121" i="18"/>
  <c r="V143" i="11"/>
  <c r="K123" i="18"/>
  <c r="O122" i="18"/>
  <c r="L122" i="18"/>
  <c r="M122" i="18" s="1"/>
  <c r="V120" i="15"/>
  <c r="N121" i="15"/>
  <c r="U121" i="15"/>
  <c r="T121" i="15"/>
  <c r="V121" i="15" s="1"/>
  <c r="L122" i="15"/>
  <c r="M122" i="15" s="1"/>
  <c r="O122" i="15"/>
  <c r="K123" i="15"/>
  <c r="N144" i="11"/>
  <c r="T144" i="11"/>
  <c r="V144" i="11" s="1"/>
  <c r="U144" i="11"/>
  <c r="K146" i="11"/>
  <c r="O145" i="11"/>
  <c r="L145" i="11"/>
  <c r="M105" i="2"/>
  <c r="O105" i="2" s="1"/>
  <c r="F107" i="2"/>
  <c r="J106" i="2"/>
  <c r="P105" i="2"/>
  <c r="G108" i="2"/>
  <c r="T122" i="18" a="1"/>
  <c r="U145" i="11" a="1"/>
  <c r="N122" i="18" a="1"/>
  <c r="F108" i="2" a="1"/>
  <c r="U122" i="18" a="1"/>
  <c r="T145" i="11" a="1"/>
  <c r="N145" i="11" a="1"/>
  <c r="N122" i="15" a="1"/>
  <c r="T122" i="15" a="1"/>
  <c r="U122" i="15" a="1"/>
  <c r="N122" i="18" l="1"/>
  <c r="U122" i="18"/>
  <c r="T122" i="18"/>
  <c r="V122" i="18" s="1"/>
  <c r="V121" i="18"/>
  <c r="K124" i="18"/>
  <c r="O123" i="18"/>
  <c r="L123" i="18"/>
  <c r="M123" i="18" s="1"/>
  <c r="U122" i="15"/>
  <c r="T122" i="15"/>
  <c r="N122" i="15"/>
  <c r="O123" i="15"/>
  <c r="K124" i="15"/>
  <c r="L123" i="15"/>
  <c r="M123" i="15" s="1"/>
  <c r="U145" i="11"/>
  <c r="T145" i="11"/>
  <c r="V145" i="11" s="1"/>
  <c r="N145" i="11"/>
  <c r="O146" i="11"/>
  <c r="K147" i="11"/>
  <c r="L146" i="11"/>
  <c r="M106" i="2"/>
  <c r="O106" i="2" s="1"/>
  <c r="J107" i="2"/>
  <c r="F108" i="2"/>
  <c r="P106" i="2"/>
  <c r="G109" i="2"/>
  <c r="N146" i="11" a="1"/>
  <c r="F109" i="2" a="1"/>
  <c r="N123" i="18" a="1"/>
  <c r="N123" i="15" a="1"/>
  <c r="U123" i="15" a="1"/>
  <c r="U146" i="11" a="1"/>
  <c r="T146" i="11" a="1"/>
  <c r="T123" i="15" a="1"/>
  <c r="T123" i="18" a="1"/>
  <c r="U123" i="18" a="1"/>
  <c r="N123" i="18" l="1"/>
  <c r="U123" i="18"/>
  <c r="T123" i="18"/>
  <c r="K125" i="18"/>
  <c r="O124" i="18"/>
  <c r="L124" i="18"/>
  <c r="M124" i="18" s="1"/>
  <c r="V122" i="15"/>
  <c r="U123" i="15"/>
  <c r="T123" i="15"/>
  <c r="N123" i="15"/>
  <c r="O124" i="15"/>
  <c r="K125" i="15"/>
  <c r="L124" i="15"/>
  <c r="M124" i="15" s="1"/>
  <c r="T146" i="11"/>
  <c r="V146" i="11" s="1"/>
  <c r="U146" i="11"/>
  <c r="N146" i="11"/>
  <c r="O147" i="11"/>
  <c r="K148" i="11"/>
  <c r="L147" i="11"/>
  <c r="M107" i="2"/>
  <c r="O107" i="2" s="1"/>
  <c r="F109" i="2"/>
  <c r="J108" i="2"/>
  <c r="G110" i="2"/>
  <c r="P107" i="2"/>
  <c r="U147" i="11" a="1"/>
  <c r="T124" i="18" a="1"/>
  <c r="U124" i="15" a="1"/>
  <c r="T147" i="11" a="1"/>
  <c r="U124" i="18" a="1"/>
  <c r="N124" i="15" a="1"/>
  <c r="N124" i="18" a="1"/>
  <c r="N147" i="11" a="1"/>
  <c r="T124" i="15" a="1"/>
  <c r="F110" i="2" a="1"/>
  <c r="V123" i="18" l="1"/>
  <c r="V123" i="15"/>
  <c r="U124" i="18"/>
  <c r="T124" i="18"/>
  <c r="V124" i="18" s="1"/>
  <c r="N124" i="18"/>
  <c r="K126" i="18"/>
  <c r="O125" i="18"/>
  <c r="L125" i="18"/>
  <c r="M125" i="18" s="1"/>
  <c r="T124" i="15"/>
  <c r="V124" i="15" s="1"/>
  <c r="N124" i="15"/>
  <c r="U124" i="15"/>
  <c r="O125" i="15"/>
  <c r="K126" i="15"/>
  <c r="L125" i="15"/>
  <c r="M125" i="15" s="1"/>
  <c r="N147" i="11"/>
  <c r="T147" i="11"/>
  <c r="U147" i="11"/>
  <c r="K149" i="11"/>
  <c r="O148" i="11"/>
  <c r="L148" i="11"/>
  <c r="M108" i="2"/>
  <c r="O108" i="2" s="1"/>
  <c r="F110" i="2"/>
  <c r="J109" i="2"/>
  <c r="P108" i="2"/>
  <c r="G111" i="2"/>
  <c r="U125" i="18" a="1"/>
  <c r="U148" i="11" a="1"/>
  <c r="N125" i="15" a="1"/>
  <c r="T148" i="11" a="1"/>
  <c r="N125" i="18" a="1"/>
  <c r="U125" i="15" a="1"/>
  <c r="T125" i="18" a="1"/>
  <c r="N148" i="11" a="1"/>
  <c r="F111" i="2" a="1"/>
  <c r="T125" i="15" a="1"/>
  <c r="V147" i="11" l="1"/>
  <c r="T125" i="18"/>
  <c r="N125" i="18"/>
  <c r="U125" i="18"/>
  <c r="K127" i="18"/>
  <c r="O126" i="18"/>
  <c r="L126" i="18"/>
  <c r="M126" i="18" s="1"/>
  <c r="N125" i="15"/>
  <c r="U125" i="15"/>
  <c r="T125" i="15"/>
  <c r="L126" i="15"/>
  <c r="M126" i="15" s="1"/>
  <c r="O126" i="15"/>
  <c r="K127" i="15"/>
  <c r="N148" i="11"/>
  <c r="T148" i="11"/>
  <c r="U148" i="11"/>
  <c r="K150" i="11"/>
  <c r="O149" i="11"/>
  <c r="L149" i="11"/>
  <c r="M109" i="2"/>
  <c r="O109" i="2" s="1"/>
  <c r="J110" i="2"/>
  <c r="F111" i="2"/>
  <c r="G112" i="2"/>
  <c r="P109" i="2"/>
  <c r="T149" i="11" a="1"/>
  <c r="U126" i="18" a="1"/>
  <c r="T126" i="18" a="1"/>
  <c r="F112" i="2" a="1"/>
  <c r="N126" i="18" a="1"/>
  <c r="N126" i="15" a="1"/>
  <c r="T126" i="15" a="1"/>
  <c r="N149" i="11" a="1"/>
  <c r="U149" i="11" a="1"/>
  <c r="U126" i="15" a="1"/>
  <c r="V148" i="11" l="1"/>
  <c r="V125" i="18"/>
  <c r="N126" i="18"/>
  <c r="U126" i="18"/>
  <c r="T126" i="18"/>
  <c r="V126" i="18" s="1"/>
  <c r="K128" i="18"/>
  <c r="O127" i="18"/>
  <c r="L127" i="18"/>
  <c r="M127" i="18" s="1"/>
  <c r="V125" i="15"/>
  <c r="U126" i="15"/>
  <c r="T126" i="15"/>
  <c r="N126" i="15"/>
  <c r="O127" i="15"/>
  <c r="K128" i="15"/>
  <c r="L127" i="15"/>
  <c r="M127" i="15" s="1"/>
  <c r="N149" i="11"/>
  <c r="T149" i="11"/>
  <c r="U149" i="11"/>
  <c r="L150" i="11"/>
  <c r="O150" i="11"/>
  <c r="K151" i="11"/>
  <c r="M110" i="2"/>
  <c r="O110" i="2" s="1"/>
  <c r="J111" i="2"/>
  <c r="F112" i="2"/>
  <c r="P110" i="2"/>
  <c r="G113" i="2"/>
  <c r="N127" i="15" a="1"/>
  <c r="T127" i="18" a="1"/>
  <c r="U150" i="11" a="1"/>
  <c r="U127" i="18" a="1"/>
  <c r="T127" i="15" a="1"/>
  <c r="T150" i="11" a="1"/>
  <c r="N150" i="11" a="1"/>
  <c r="N127" i="18" a="1"/>
  <c r="U127" i="15" a="1"/>
  <c r="F113" i="2" a="1"/>
  <c r="V149" i="11" l="1"/>
  <c r="N127" i="18"/>
  <c r="U127" i="18"/>
  <c r="T127" i="18"/>
  <c r="V126" i="15"/>
  <c r="K129" i="18"/>
  <c r="O128" i="18"/>
  <c r="L128" i="18"/>
  <c r="M128" i="18" s="1"/>
  <c r="U127" i="15"/>
  <c r="T127" i="15"/>
  <c r="N127" i="15"/>
  <c r="O128" i="15"/>
  <c r="K129" i="15"/>
  <c r="L128" i="15"/>
  <c r="M128" i="15" s="1"/>
  <c r="N150" i="11"/>
  <c r="T150" i="11"/>
  <c r="U150" i="11"/>
  <c r="L151" i="11"/>
  <c r="K152" i="11"/>
  <c r="O151" i="11"/>
  <c r="M111" i="2"/>
  <c r="O111" i="2" s="1"/>
  <c r="F113" i="2"/>
  <c r="J112" i="2"/>
  <c r="P111" i="2"/>
  <c r="G114" i="2"/>
  <c r="N128" i="18" a="1"/>
  <c r="T128" i="18" a="1"/>
  <c r="T151" i="11" a="1"/>
  <c r="N151" i="11" a="1"/>
  <c r="U128" i="18" a="1"/>
  <c r="U128" i="15" a="1"/>
  <c r="T128" i="15" a="1"/>
  <c r="U151" i="11" a="1"/>
  <c r="N128" i="15" a="1"/>
  <c r="F114" i="2" a="1"/>
  <c r="V150" i="11" l="1"/>
  <c r="V127" i="18"/>
  <c r="V127" i="15"/>
  <c r="U128" i="18"/>
  <c r="T128" i="18"/>
  <c r="N128" i="18"/>
  <c r="K130" i="18"/>
  <c r="O129" i="18"/>
  <c r="L129" i="18"/>
  <c r="M129" i="18" s="1"/>
  <c r="T128" i="15"/>
  <c r="V128" i="15" s="1"/>
  <c r="N128" i="15"/>
  <c r="U128" i="15"/>
  <c r="O129" i="15"/>
  <c r="K130" i="15"/>
  <c r="L129" i="15"/>
  <c r="M129" i="15" s="1"/>
  <c r="N151" i="11"/>
  <c r="T151" i="11"/>
  <c r="U151" i="11"/>
  <c r="K153" i="11"/>
  <c r="L152" i="11"/>
  <c r="O152" i="11"/>
  <c r="M112" i="2"/>
  <c r="O112" i="2" s="1"/>
  <c r="J113" i="2"/>
  <c r="F114" i="2"/>
  <c r="P112" i="2"/>
  <c r="G115" i="2"/>
  <c r="N129" i="18" a="1"/>
  <c r="T152" i="11" a="1"/>
  <c r="T129" i="18" a="1"/>
  <c r="N129" i="15" a="1"/>
  <c r="U129" i="15" a="1"/>
  <c r="U129" i="18" a="1"/>
  <c r="N152" i="11" a="1"/>
  <c r="F115" i="2" a="1"/>
  <c r="T129" i="15" a="1"/>
  <c r="U152" i="11" a="1"/>
  <c r="V151" i="11" l="1"/>
  <c r="V128" i="18"/>
  <c r="U129" i="18"/>
  <c r="T129" i="18"/>
  <c r="V129" i="18" s="1"/>
  <c r="N129" i="18"/>
  <c r="K131" i="18"/>
  <c r="O130" i="18"/>
  <c r="L130" i="18"/>
  <c r="M130" i="18" s="1"/>
  <c r="N129" i="15"/>
  <c r="U129" i="15"/>
  <c r="T129" i="15"/>
  <c r="L130" i="15"/>
  <c r="M130" i="15" s="1"/>
  <c r="O130" i="15"/>
  <c r="K131" i="15"/>
  <c r="N152" i="11"/>
  <c r="T152" i="11"/>
  <c r="U152" i="11"/>
  <c r="K154" i="11"/>
  <c r="O153" i="11"/>
  <c r="L153" i="11"/>
  <c r="M113" i="2"/>
  <c r="O113" i="2" s="1"/>
  <c r="J114" i="2"/>
  <c r="P114" i="2"/>
  <c r="F115" i="2"/>
  <c r="P113" i="2"/>
  <c r="G116" i="2"/>
  <c r="U130" i="18" a="1"/>
  <c r="T130" i="15" a="1"/>
  <c r="N130" i="18" a="1"/>
  <c r="N130" i="15" a="1"/>
  <c r="F116" i="2" a="1"/>
  <c r="T153" i="11" a="1"/>
  <c r="T130" i="18" a="1"/>
  <c r="N153" i="11" a="1"/>
  <c r="U130" i="15" a="1"/>
  <c r="U153" i="11" a="1"/>
  <c r="V152" i="11" l="1"/>
  <c r="V129" i="15"/>
  <c r="T130" i="18"/>
  <c r="N130" i="18"/>
  <c r="U130" i="18"/>
  <c r="K132" i="18"/>
  <c r="O131" i="18"/>
  <c r="L131" i="18"/>
  <c r="M131" i="18" s="1"/>
  <c r="U130" i="15"/>
  <c r="T130" i="15"/>
  <c r="N130" i="15"/>
  <c r="O131" i="15"/>
  <c r="K132" i="15"/>
  <c r="L131" i="15"/>
  <c r="M131" i="15" s="1"/>
  <c r="N153" i="11"/>
  <c r="T153" i="11"/>
  <c r="U153" i="11"/>
  <c r="L154" i="11"/>
  <c r="K155" i="11"/>
  <c r="O154" i="11"/>
  <c r="M114" i="2"/>
  <c r="O114" i="2" s="1"/>
  <c r="J115" i="2"/>
  <c r="F116" i="2"/>
  <c r="G117" i="2"/>
  <c r="T154" i="11" a="1"/>
  <c r="T131" i="18" a="1"/>
  <c r="N131" i="15" a="1"/>
  <c r="T131" i="15" a="1"/>
  <c r="N131" i="18" a="1"/>
  <c r="U131" i="15" a="1"/>
  <c r="F117" i="2" a="1"/>
  <c r="N154" i="11" a="1"/>
  <c r="U131" i="18" a="1"/>
  <c r="U154" i="11" a="1"/>
  <c r="V130" i="18" l="1"/>
  <c r="V153" i="11"/>
  <c r="V130" i="15"/>
  <c r="T131" i="18"/>
  <c r="N131" i="18"/>
  <c r="U131" i="18"/>
  <c r="K133" i="18"/>
  <c r="O132" i="18"/>
  <c r="L132" i="18"/>
  <c r="M132" i="18" s="1"/>
  <c r="U131" i="15"/>
  <c r="T131" i="15"/>
  <c r="N131" i="15"/>
  <c r="O132" i="15"/>
  <c r="L132" i="15"/>
  <c r="M132" i="15" s="1"/>
  <c r="K133" i="15"/>
  <c r="U154" i="11"/>
  <c r="T154" i="11"/>
  <c r="N154" i="11"/>
  <c r="K156" i="11"/>
  <c r="L155" i="11"/>
  <c r="O155" i="11"/>
  <c r="M115" i="2"/>
  <c r="O115" i="2" s="1"/>
  <c r="J116" i="2"/>
  <c r="P116" i="2"/>
  <c r="F117" i="2"/>
  <c r="P115" i="2"/>
  <c r="G118" i="2"/>
  <c r="T132" i="15" a="1"/>
  <c r="U132" i="15" a="1"/>
  <c r="F118" i="2" a="1"/>
  <c r="N132" i="15" a="1"/>
  <c r="T132" i="18" a="1"/>
  <c r="U132" i="18" a="1"/>
  <c r="U155" i="11" a="1"/>
  <c r="N155" i="11" a="1"/>
  <c r="N132" i="18" a="1"/>
  <c r="T155" i="11" a="1"/>
  <c r="V154" i="11" l="1"/>
  <c r="V131" i="18"/>
  <c r="N132" i="18"/>
  <c r="U132" i="18"/>
  <c r="T132" i="18"/>
  <c r="V132" i="18" s="1"/>
  <c r="K134" i="18"/>
  <c r="O133" i="18"/>
  <c r="L133" i="18"/>
  <c r="M133" i="18" s="1"/>
  <c r="V131" i="15"/>
  <c r="U132" i="15"/>
  <c r="T132" i="15"/>
  <c r="N132" i="15"/>
  <c r="O133" i="15"/>
  <c r="K134" i="15"/>
  <c r="L133" i="15"/>
  <c r="M133" i="15" s="1"/>
  <c r="T155" i="11"/>
  <c r="N155" i="11"/>
  <c r="U155" i="11"/>
  <c r="L156" i="11"/>
  <c r="K157" i="11"/>
  <c r="O156" i="11"/>
  <c r="M116" i="2"/>
  <c r="O116" i="2" s="1"/>
  <c r="J117" i="2"/>
  <c r="F118" i="2"/>
  <c r="G119" i="2"/>
  <c r="T133" i="18" a="1"/>
  <c r="U133" i="18" a="1"/>
  <c r="N156" i="11" a="1"/>
  <c r="N133" i="18" a="1"/>
  <c r="T156" i="11" a="1"/>
  <c r="T133" i="15" a="1"/>
  <c r="U133" i="15" a="1"/>
  <c r="U156" i="11" a="1"/>
  <c r="F119" i="2" a="1"/>
  <c r="N133" i="15" a="1"/>
  <c r="V155" i="11" l="1"/>
  <c r="N133" i="18"/>
  <c r="U133" i="18"/>
  <c r="T133" i="18"/>
  <c r="V133" i="18" s="1"/>
  <c r="K135" i="18"/>
  <c r="O134" i="18"/>
  <c r="L134" i="18"/>
  <c r="M134" i="18" s="1"/>
  <c r="V132" i="15"/>
  <c r="U133" i="15"/>
  <c r="T133" i="15"/>
  <c r="N133" i="15"/>
  <c r="O134" i="15"/>
  <c r="K135" i="15"/>
  <c r="L134" i="15"/>
  <c r="M134" i="15" s="1"/>
  <c r="U156" i="11"/>
  <c r="N156" i="11"/>
  <c r="T156" i="11"/>
  <c r="K158" i="11"/>
  <c r="L157" i="11"/>
  <c r="O157" i="11"/>
  <c r="M117" i="2"/>
  <c r="O117" i="2" s="1"/>
  <c r="J118" i="2"/>
  <c r="P118" i="2"/>
  <c r="F119" i="2"/>
  <c r="G120" i="2"/>
  <c r="P117" i="2"/>
  <c r="T157" i="11" a="1"/>
  <c r="T134" i="18" a="1"/>
  <c r="N134" i="15" a="1"/>
  <c r="U134" i="18" a="1"/>
  <c r="U157" i="11" a="1"/>
  <c r="N134" i="18" a="1"/>
  <c r="F120" i="2" a="1"/>
  <c r="T134" i="15" a="1"/>
  <c r="N157" i="11" a="1"/>
  <c r="U134" i="15" a="1"/>
  <c r="V156" i="11" l="1"/>
  <c r="N134" i="18"/>
  <c r="U134" i="18"/>
  <c r="T134" i="18"/>
  <c r="V134" i="18" s="1"/>
  <c r="K136" i="18"/>
  <c r="O135" i="18"/>
  <c r="L135" i="18"/>
  <c r="M135" i="18" s="1"/>
  <c r="V133" i="15"/>
  <c r="U134" i="15"/>
  <c r="T134" i="15"/>
  <c r="N134" i="15"/>
  <c r="O135" i="15"/>
  <c r="L135" i="15"/>
  <c r="M135" i="15" s="1"/>
  <c r="K136" i="15"/>
  <c r="N157" i="11"/>
  <c r="T157" i="11"/>
  <c r="V157" i="11" s="1"/>
  <c r="U157" i="11"/>
  <c r="K159" i="11"/>
  <c r="O158" i="11"/>
  <c r="L158" i="11"/>
  <c r="M118" i="2"/>
  <c r="O118" i="2" s="1"/>
  <c r="J119" i="2"/>
  <c r="P119" i="2"/>
  <c r="F120" i="2"/>
  <c r="G121" i="2"/>
  <c r="N135" i="18" a="1"/>
  <c r="N135" i="15" a="1"/>
  <c r="T135" i="18" a="1"/>
  <c r="U135" i="15" a="1"/>
  <c r="U158" i="11" a="1"/>
  <c r="U135" i="18" a="1"/>
  <c r="F121" i="2" a="1"/>
  <c r="N158" i="11" a="1"/>
  <c r="T135" i="15" a="1"/>
  <c r="T158" i="11" a="1"/>
  <c r="U135" i="18" l="1"/>
  <c r="T135" i="18"/>
  <c r="N135" i="18"/>
  <c r="K137" i="18"/>
  <c r="O136" i="18"/>
  <c r="L136" i="18"/>
  <c r="M136" i="18" s="1"/>
  <c r="V134" i="15"/>
  <c r="U135" i="15"/>
  <c r="T135" i="15"/>
  <c r="N135" i="15"/>
  <c r="O136" i="15"/>
  <c r="K137" i="15"/>
  <c r="L136" i="15"/>
  <c r="M136" i="15" s="1"/>
  <c r="N158" i="11"/>
  <c r="T158" i="11"/>
  <c r="V158" i="11" s="1"/>
  <c r="U158" i="11"/>
  <c r="L159" i="11"/>
  <c r="O159" i="11"/>
  <c r="K160" i="11"/>
  <c r="M119" i="2"/>
  <c r="O119" i="2" s="1"/>
  <c r="F121" i="2"/>
  <c r="J120" i="2"/>
  <c r="G122" i="2"/>
  <c r="T136" i="15" a="1"/>
  <c r="U136" i="18" a="1"/>
  <c r="U159" i="11" a="1"/>
  <c r="U136" i="15" a="1"/>
  <c r="F122" i="2" a="1"/>
  <c r="N136" i="15" a="1"/>
  <c r="N159" i="11" a="1"/>
  <c r="N136" i="18" a="1"/>
  <c r="T159" i="11" a="1"/>
  <c r="T136" i="18" a="1"/>
  <c r="U136" i="18" l="1"/>
  <c r="T136" i="18"/>
  <c r="N136" i="18"/>
  <c r="V135" i="18"/>
  <c r="K138" i="18"/>
  <c r="O137" i="18"/>
  <c r="L137" i="18"/>
  <c r="M137" i="18" s="1"/>
  <c r="V135" i="15"/>
  <c r="U136" i="15"/>
  <c r="T136" i="15"/>
  <c r="N136" i="15"/>
  <c r="O137" i="15"/>
  <c r="K138" i="15"/>
  <c r="L137" i="15"/>
  <c r="M137" i="15" s="1"/>
  <c r="U159" i="11"/>
  <c r="T159" i="11"/>
  <c r="V159" i="11" s="1"/>
  <c r="N159" i="11"/>
  <c r="K161" i="11"/>
  <c r="L160" i="11"/>
  <c r="O160" i="11"/>
  <c r="M120" i="2"/>
  <c r="O120" i="2" s="1"/>
  <c r="F122" i="2"/>
  <c r="J121" i="2"/>
  <c r="P120" i="2"/>
  <c r="G123" i="2"/>
  <c r="N137" i="18" a="1"/>
  <c r="U160" i="11" a="1"/>
  <c r="U137" i="15" a="1"/>
  <c r="T137" i="18" a="1"/>
  <c r="F123" i="2" a="1"/>
  <c r="N137" i="15" a="1"/>
  <c r="T160" i="11" a="1"/>
  <c r="U137" i="18" a="1"/>
  <c r="N160" i="11" a="1"/>
  <c r="T137" i="15" a="1"/>
  <c r="V136" i="15" l="1"/>
  <c r="V136" i="18"/>
  <c r="U137" i="18"/>
  <c r="T137" i="18"/>
  <c r="V137" i="18" s="1"/>
  <c r="N137" i="18"/>
  <c r="K139" i="18"/>
  <c r="O138" i="18"/>
  <c r="L138" i="18"/>
  <c r="M138" i="18" s="1"/>
  <c r="U137" i="15"/>
  <c r="T137" i="15"/>
  <c r="N137" i="15"/>
  <c r="O138" i="15"/>
  <c r="K139" i="15"/>
  <c r="L138" i="15"/>
  <c r="M138" i="15" s="1"/>
  <c r="U160" i="11"/>
  <c r="T160" i="11"/>
  <c r="V160" i="11" s="1"/>
  <c r="N160" i="11"/>
  <c r="L161" i="11"/>
  <c r="K162" i="11"/>
  <c r="O161" i="11"/>
  <c r="M121" i="2"/>
  <c r="O121" i="2" s="1"/>
  <c r="P121" i="2"/>
  <c r="F123" i="2"/>
  <c r="J122" i="2"/>
  <c r="G124" i="2"/>
  <c r="U161" i="11" a="1"/>
  <c r="N138" i="18" a="1"/>
  <c r="F124" i="2" a="1"/>
  <c r="U138" i="18" a="1"/>
  <c r="T161" i="11" a="1"/>
  <c r="T138" i="15" a="1"/>
  <c r="N138" i="15" a="1"/>
  <c r="N161" i="11" a="1"/>
  <c r="U138" i="15" a="1"/>
  <c r="T138" i="18" a="1"/>
  <c r="U138" i="18" l="1"/>
  <c r="N138" i="18"/>
  <c r="T138" i="18"/>
  <c r="K140" i="18"/>
  <c r="O139" i="18"/>
  <c r="L139" i="18"/>
  <c r="M139" i="18" s="1"/>
  <c r="V137" i="15"/>
  <c r="T138" i="15"/>
  <c r="N138" i="15"/>
  <c r="U138" i="15"/>
  <c r="O139" i="15"/>
  <c r="L139" i="15"/>
  <c r="M139" i="15" s="1"/>
  <c r="K140" i="15"/>
  <c r="N161" i="11"/>
  <c r="T161" i="11"/>
  <c r="U161" i="11"/>
  <c r="K163" i="11"/>
  <c r="O162" i="11"/>
  <c r="L162" i="11"/>
  <c r="M122" i="2"/>
  <c r="O122" i="2" s="1"/>
  <c r="J123" i="2"/>
  <c r="F124" i="2"/>
  <c r="P122" i="2"/>
  <c r="G125" i="2"/>
  <c r="T162" i="11" a="1"/>
  <c r="N139" i="18" a="1"/>
  <c r="U139" i="18" a="1"/>
  <c r="N162" i="11" a="1"/>
  <c r="T139" i="15" a="1"/>
  <c r="N139" i="15" a="1"/>
  <c r="T139" i="18" a="1"/>
  <c r="U162" i="11" a="1"/>
  <c r="F125" i="2" a="1"/>
  <c r="U139" i="15" a="1"/>
  <c r="V161" i="11" l="1"/>
  <c r="V138" i="18"/>
  <c r="U139" i="18"/>
  <c r="N139" i="18"/>
  <c r="T139" i="18"/>
  <c r="K141" i="18"/>
  <c r="O140" i="18"/>
  <c r="L140" i="18"/>
  <c r="M140" i="18" s="1"/>
  <c r="V138" i="15"/>
  <c r="N139" i="15"/>
  <c r="U139" i="15"/>
  <c r="T139" i="15"/>
  <c r="O140" i="15"/>
  <c r="K141" i="15"/>
  <c r="L140" i="15"/>
  <c r="M140" i="15" s="1"/>
  <c r="N162" i="11"/>
  <c r="T162" i="11"/>
  <c r="V162" i="11" s="1"/>
  <c r="U162" i="11"/>
  <c r="L163" i="11"/>
  <c r="K164" i="11"/>
  <c r="O163" i="11"/>
  <c r="M123" i="2"/>
  <c r="O123" i="2" s="1"/>
  <c r="J124" i="2"/>
  <c r="F125" i="2"/>
  <c r="G126" i="2"/>
  <c r="P123" i="2"/>
  <c r="U140" i="15" a="1"/>
  <c r="T140" i="18" a="1"/>
  <c r="N140" i="15" a="1"/>
  <c r="T140" i="15" a="1"/>
  <c r="N163" i="11" a="1"/>
  <c r="N140" i="18" a="1"/>
  <c r="U140" i="18" a="1"/>
  <c r="U163" i="11" a="1"/>
  <c r="F126" i="2" a="1"/>
  <c r="T163" i="11" a="1"/>
  <c r="U140" i="18" l="1"/>
  <c r="N140" i="18"/>
  <c r="T140" i="18"/>
  <c r="V139" i="18"/>
  <c r="V139" i="15"/>
  <c r="K142" i="18"/>
  <c r="O141" i="18"/>
  <c r="L141" i="18"/>
  <c r="M141" i="18" s="1"/>
  <c r="N140" i="15"/>
  <c r="U140" i="15"/>
  <c r="T140" i="15"/>
  <c r="V140" i="15" s="1"/>
  <c r="K142" i="15"/>
  <c r="O141" i="15"/>
  <c r="L141" i="15"/>
  <c r="M141" i="15" s="1"/>
  <c r="U163" i="11"/>
  <c r="N163" i="11"/>
  <c r="T163" i="11"/>
  <c r="K165" i="11"/>
  <c r="L164" i="11"/>
  <c r="O164" i="11"/>
  <c r="M124" i="2"/>
  <c r="O124" i="2" s="1"/>
  <c r="F126" i="2"/>
  <c r="J125" i="2"/>
  <c r="P124" i="2"/>
  <c r="G127" i="2"/>
  <c r="T141" i="18" a="1"/>
  <c r="T164" i="11" a="1"/>
  <c r="N141" i="18" a="1"/>
  <c r="U141" i="18" a="1"/>
  <c r="T141" i="15" a="1"/>
  <c r="F127" i="2" a="1"/>
  <c r="N164" i="11" a="1"/>
  <c r="U141" i="15" a="1"/>
  <c r="N141" i="15" a="1"/>
  <c r="U164" i="11" a="1"/>
  <c r="V163" i="11" l="1"/>
  <c r="U141" i="18"/>
  <c r="N141" i="18"/>
  <c r="T141" i="18"/>
  <c r="V140" i="18"/>
  <c r="L142" i="18"/>
  <c r="M142" i="18" s="1"/>
  <c r="K143" i="18"/>
  <c r="O142" i="18"/>
  <c r="N141" i="15"/>
  <c r="T141" i="15"/>
  <c r="V141" i="15" s="1"/>
  <c r="U141" i="15"/>
  <c r="O142" i="15"/>
  <c r="L142" i="15"/>
  <c r="M142" i="15" s="1"/>
  <c r="K143" i="15"/>
  <c r="U164" i="11"/>
  <c r="N164" i="11"/>
  <c r="T164" i="11"/>
  <c r="K166" i="11"/>
  <c r="L165" i="11"/>
  <c r="O165" i="11"/>
  <c r="M125" i="2"/>
  <c r="O125" i="2" s="1"/>
  <c r="P125" i="2"/>
  <c r="J126" i="2"/>
  <c r="F127" i="2"/>
  <c r="G128" i="2"/>
  <c r="T142" i="18" a="1"/>
  <c r="T165" i="11" a="1"/>
  <c r="N142" i="18" a="1"/>
  <c r="N165" i="11" a="1"/>
  <c r="U165" i="11" a="1"/>
  <c r="U142" i="18" a="1"/>
  <c r="F128" i="2" a="1"/>
  <c r="N142" i="15" a="1"/>
  <c r="T142" i="15" a="1"/>
  <c r="U142" i="15" a="1"/>
  <c r="U142" i="18" l="1"/>
  <c r="N142" i="18"/>
  <c r="T142" i="18"/>
  <c r="V164" i="11"/>
  <c r="V141" i="18"/>
  <c r="O143" i="18"/>
  <c r="L143" i="18"/>
  <c r="M143" i="18" s="1"/>
  <c r="K144" i="18"/>
  <c r="N142" i="15"/>
  <c r="U142" i="15"/>
  <c r="T142" i="15"/>
  <c r="V142" i="15" s="1"/>
  <c r="O143" i="15"/>
  <c r="L143" i="15"/>
  <c r="M143" i="15" s="1"/>
  <c r="K144" i="15"/>
  <c r="N165" i="11"/>
  <c r="T165" i="11"/>
  <c r="U165" i="11"/>
  <c r="K167" i="11"/>
  <c r="O166" i="11"/>
  <c r="L166" i="11"/>
  <c r="M126" i="2"/>
  <c r="O126" i="2" s="1"/>
  <c r="F128" i="2"/>
  <c r="J127" i="2"/>
  <c r="P126" i="2"/>
  <c r="G129" i="2"/>
  <c r="T143" i="18" a="1"/>
  <c r="N166" i="11" a="1"/>
  <c r="U143" i="18" a="1"/>
  <c r="N143" i="18" a="1"/>
  <c r="T143" i="15" a="1"/>
  <c r="T166" i="11" a="1"/>
  <c r="U166" i="11" a="1"/>
  <c r="F129" i="2" a="1"/>
  <c r="U143" i="15" a="1"/>
  <c r="N143" i="15" a="1"/>
  <c r="V142" i="18" l="1"/>
  <c r="V165" i="11"/>
  <c r="N143" i="18"/>
  <c r="U143" i="18"/>
  <c r="T143" i="18"/>
  <c r="K145" i="18"/>
  <c r="O144" i="18"/>
  <c r="L144" i="18"/>
  <c r="M144" i="18" s="1"/>
  <c r="N143" i="15"/>
  <c r="U143" i="15"/>
  <c r="T143" i="15"/>
  <c r="O144" i="15"/>
  <c r="K145" i="15"/>
  <c r="L144" i="15"/>
  <c r="M144" i="15" s="1"/>
  <c r="N166" i="11"/>
  <c r="T166" i="11"/>
  <c r="U166" i="11"/>
  <c r="L167" i="11"/>
  <c r="O167" i="11"/>
  <c r="K168" i="11"/>
  <c r="M127" i="2"/>
  <c r="O127" i="2" s="1"/>
  <c r="F129" i="2"/>
  <c r="J128" i="2"/>
  <c r="P127" i="2"/>
  <c r="G130" i="2"/>
  <c r="T144" i="18" a="1"/>
  <c r="N144" i="15" a="1"/>
  <c r="F130" i="2" a="1"/>
  <c r="U144" i="18" a="1"/>
  <c r="N167" i="11" a="1"/>
  <c r="U167" i="11" a="1"/>
  <c r="N144" i="18" a="1"/>
  <c r="U144" i="15" a="1"/>
  <c r="T144" i="15" a="1"/>
  <c r="T167" i="11" a="1"/>
  <c r="V166" i="11" l="1"/>
  <c r="V143" i="18"/>
  <c r="N144" i="18"/>
  <c r="U144" i="18"/>
  <c r="T144" i="18"/>
  <c r="V144" i="18" s="1"/>
  <c r="K146" i="18"/>
  <c r="O145" i="18"/>
  <c r="L145" i="18"/>
  <c r="M145" i="18" s="1"/>
  <c r="V143" i="15"/>
  <c r="T144" i="15"/>
  <c r="N144" i="15"/>
  <c r="U144" i="15"/>
  <c r="K146" i="15"/>
  <c r="O145" i="15"/>
  <c r="L145" i="15"/>
  <c r="M145" i="15" s="1"/>
  <c r="U167" i="11"/>
  <c r="T167" i="11"/>
  <c r="N167" i="11"/>
  <c r="O168" i="11"/>
  <c r="K169" i="11"/>
  <c r="L168" i="11"/>
  <c r="M128" i="2"/>
  <c r="O128" i="2" s="1"/>
  <c r="F130" i="2"/>
  <c r="J129" i="2"/>
  <c r="P128" i="2"/>
  <c r="G131" i="2"/>
  <c r="T168" i="11" a="1"/>
  <c r="U145" i="18" a="1"/>
  <c r="T145" i="15" a="1"/>
  <c r="U168" i="11" a="1"/>
  <c r="N168" i="11" a="1"/>
  <c r="N145" i="18" a="1"/>
  <c r="T145" i="18" a="1"/>
  <c r="F131" i="2" a="1"/>
  <c r="U145" i="15" a="1"/>
  <c r="N145" i="15" a="1"/>
  <c r="V167" i="11" l="1"/>
  <c r="T145" i="18"/>
  <c r="N145" i="18"/>
  <c r="U145" i="18"/>
  <c r="L146" i="18"/>
  <c r="M146" i="18" s="1"/>
  <c r="K147" i="18"/>
  <c r="O146" i="18"/>
  <c r="V144" i="15"/>
  <c r="T145" i="15"/>
  <c r="N145" i="15"/>
  <c r="U145" i="15"/>
  <c r="O146" i="15"/>
  <c r="L146" i="15"/>
  <c r="M146" i="15" s="1"/>
  <c r="K147" i="15"/>
  <c r="U168" i="11"/>
  <c r="T168" i="11"/>
  <c r="V168" i="11" s="1"/>
  <c r="N168" i="11"/>
  <c r="K170" i="11"/>
  <c r="L169" i="11"/>
  <c r="O169" i="11"/>
  <c r="M129" i="2"/>
  <c r="O129" i="2" s="1"/>
  <c r="F131" i="2"/>
  <c r="J130" i="2"/>
  <c r="P129" i="2"/>
  <c r="G132" i="2"/>
  <c r="T169" i="11" a="1"/>
  <c r="U146" i="18" a="1"/>
  <c r="T146" i="15" a="1"/>
  <c r="U169" i="11" a="1"/>
  <c r="N146" i="18" a="1"/>
  <c r="N169" i="11" a="1"/>
  <c r="F132" i="2" a="1"/>
  <c r="U146" i="15" a="1"/>
  <c r="N146" i="15" a="1"/>
  <c r="T146" i="18" a="1"/>
  <c r="N146" i="18" l="1"/>
  <c r="U146" i="18"/>
  <c r="T146" i="18"/>
  <c r="V145" i="18"/>
  <c r="K148" i="18"/>
  <c r="O147" i="18"/>
  <c r="L147" i="18"/>
  <c r="M147" i="18" s="1"/>
  <c r="V145" i="15"/>
  <c r="T146" i="15"/>
  <c r="N146" i="15"/>
  <c r="U146" i="15"/>
  <c r="O147" i="15"/>
  <c r="L147" i="15"/>
  <c r="M147" i="15" s="1"/>
  <c r="K148" i="15"/>
  <c r="N169" i="11"/>
  <c r="T169" i="11"/>
  <c r="V169" i="11" s="1"/>
  <c r="U169" i="11"/>
  <c r="K171" i="11"/>
  <c r="O170" i="11"/>
  <c r="L170" i="11"/>
  <c r="M130" i="2"/>
  <c r="O130" i="2" s="1"/>
  <c r="J131" i="2"/>
  <c r="F132" i="2"/>
  <c r="P130" i="2"/>
  <c r="G133" i="2"/>
  <c r="T147" i="18" a="1"/>
  <c r="N170" i="11" a="1"/>
  <c r="N147" i="15" a="1"/>
  <c r="U147" i="18" a="1"/>
  <c r="U170" i="11" a="1"/>
  <c r="N147" i="18" a="1"/>
  <c r="T147" i="15" a="1"/>
  <c r="T170" i="11" a="1"/>
  <c r="F133" i="2" a="1"/>
  <c r="U147" i="15" a="1"/>
  <c r="V146" i="18" l="1"/>
  <c r="N147" i="18"/>
  <c r="U147" i="18"/>
  <c r="T147" i="18"/>
  <c r="V147" i="18" s="1"/>
  <c r="L148" i="18"/>
  <c r="M148" i="18" s="1"/>
  <c r="K149" i="18"/>
  <c r="O148" i="18"/>
  <c r="V146" i="15"/>
  <c r="T147" i="15"/>
  <c r="N147" i="15"/>
  <c r="U147" i="15"/>
  <c r="O148" i="15"/>
  <c r="K149" i="15"/>
  <c r="L148" i="15"/>
  <c r="M148" i="15" s="1"/>
  <c r="N170" i="11"/>
  <c r="T170" i="11"/>
  <c r="U170" i="11"/>
  <c r="L171" i="11"/>
  <c r="K172" i="11"/>
  <c r="O171" i="11"/>
  <c r="M131" i="2"/>
  <c r="O131" i="2" s="1"/>
  <c r="J132" i="2"/>
  <c r="F133" i="2"/>
  <c r="P131" i="2"/>
  <c r="G134" i="2"/>
  <c r="T171" i="11" a="1"/>
  <c r="U148" i="18" a="1"/>
  <c r="N148" i="15" a="1"/>
  <c r="N171" i="11" a="1"/>
  <c r="N148" i="18" a="1"/>
  <c r="U171" i="11" a="1"/>
  <c r="T148" i="15" a="1"/>
  <c r="F134" i="2" a="1"/>
  <c r="T148" i="18" a="1"/>
  <c r="U148" i="15" a="1"/>
  <c r="V170" i="11" l="1"/>
  <c r="N148" i="18"/>
  <c r="U148" i="18"/>
  <c r="T148" i="18"/>
  <c r="V148" i="18" s="1"/>
  <c r="K150" i="18"/>
  <c r="O149" i="18"/>
  <c r="L149" i="18"/>
  <c r="M149" i="18" s="1"/>
  <c r="V147" i="15"/>
  <c r="U148" i="15"/>
  <c r="T148" i="15"/>
  <c r="N148" i="15"/>
  <c r="K150" i="15"/>
  <c r="O149" i="15"/>
  <c r="L149" i="15"/>
  <c r="M149" i="15" s="1"/>
  <c r="U171" i="11"/>
  <c r="N171" i="11"/>
  <c r="T171" i="11"/>
  <c r="V171" i="11" s="1"/>
  <c r="K173" i="11"/>
  <c r="L172" i="11"/>
  <c r="O172" i="11"/>
  <c r="M132" i="2"/>
  <c r="O132" i="2" s="1"/>
  <c r="J133" i="2"/>
  <c r="F134" i="2"/>
  <c r="P132" i="2"/>
  <c r="G135" i="2"/>
  <c r="N149" i="15" a="1"/>
  <c r="U149" i="18" a="1"/>
  <c r="U172" i="11" a="1"/>
  <c r="T172" i="11" a="1"/>
  <c r="N149" i="18" a="1"/>
  <c r="U149" i="15" a="1"/>
  <c r="T149" i="15" a="1"/>
  <c r="T149" i="18" a="1"/>
  <c r="N172" i="11" a="1"/>
  <c r="F135" i="2" a="1"/>
  <c r="N149" i="18" l="1"/>
  <c r="U149" i="18"/>
  <c r="T149" i="18"/>
  <c r="V148" i="15"/>
  <c r="L150" i="18"/>
  <c r="M150" i="18" s="1"/>
  <c r="K151" i="18"/>
  <c r="O150" i="18"/>
  <c r="U149" i="15"/>
  <c r="T149" i="15"/>
  <c r="N149" i="15"/>
  <c r="O150" i="15"/>
  <c r="L150" i="15"/>
  <c r="M150" i="15" s="1"/>
  <c r="K151" i="15"/>
  <c r="U172" i="11"/>
  <c r="N172" i="11"/>
  <c r="T172" i="11"/>
  <c r="K174" i="11"/>
  <c r="L173" i="11"/>
  <c r="O173" i="11"/>
  <c r="M133" i="2"/>
  <c r="O133" i="2" s="1"/>
  <c r="J134" i="2"/>
  <c r="F135" i="2"/>
  <c r="G136" i="2"/>
  <c r="P133" i="2"/>
  <c r="N173" i="11" a="1"/>
  <c r="U150" i="18" a="1"/>
  <c r="T150" i="15" a="1"/>
  <c r="U173" i="11" a="1"/>
  <c r="N150" i="18" a="1"/>
  <c r="F136" i="2" a="1"/>
  <c r="U150" i="15" a="1"/>
  <c r="T173" i="11" a="1"/>
  <c r="N150" i="15" a="1"/>
  <c r="T150" i="18" a="1"/>
  <c r="V172" i="11" l="1"/>
  <c r="V149" i="18"/>
  <c r="N150" i="18"/>
  <c r="U150" i="18"/>
  <c r="T150" i="18"/>
  <c r="V150" i="18" s="1"/>
  <c r="K152" i="18"/>
  <c r="O151" i="18"/>
  <c r="L151" i="18"/>
  <c r="M151" i="18" s="1"/>
  <c r="V149" i="15"/>
  <c r="T150" i="15"/>
  <c r="V150" i="15" s="1"/>
  <c r="N150" i="15"/>
  <c r="U150" i="15"/>
  <c r="O151" i="15"/>
  <c r="L151" i="15"/>
  <c r="M151" i="15" s="1"/>
  <c r="K152" i="15"/>
  <c r="N173" i="11"/>
  <c r="T173" i="11"/>
  <c r="U173" i="11"/>
  <c r="K175" i="11"/>
  <c r="O174" i="11"/>
  <c r="L174" i="11"/>
  <c r="M134" i="2"/>
  <c r="O134" i="2" s="1"/>
  <c r="F136" i="2"/>
  <c r="J135" i="2"/>
  <c r="P134" i="2"/>
  <c r="G137" i="2"/>
  <c r="T151" i="18" a="1"/>
  <c r="N151" i="15" a="1"/>
  <c r="U151" i="18" a="1"/>
  <c r="F137" i="2" a="1"/>
  <c r="U174" i="11" a="1"/>
  <c r="U151" i="15" a="1"/>
  <c r="T151" i="15" a="1"/>
  <c r="N151" i="18" a="1"/>
  <c r="T174" i="11" a="1"/>
  <c r="N174" i="11" a="1"/>
  <c r="N151" i="18" l="1"/>
  <c r="U151" i="18"/>
  <c r="T151" i="18"/>
  <c r="V151" i="18" s="1"/>
  <c r="V173" i="11"/>
  <c r="L152" i="18"/>
  <c r="M152" i="18" s="1"/>
  <c r="K153" i="18"/>
  <c r="O152" i="18"/>
  <c r="U151" i="15"/>
  <c r="T151" i="15"/>
  <c r="V151" i="15" s="1"/>
  <c r="N151" i="15"/>
  <c r="O152" i="15"/>
  <c r="L152" i="15"/>
  <c r="M152" i="15" s="1"/>
  <c r="K153" i="15"/>
  <c r="N174" i="11"/>
  <c r="T174" i="11"/>
  <c r="V174" i="11" s="1"/>
  <c r="U174" i="11"/>
  <c r="L175" i="11"/>
  <c r="O175" i="11"/>
  <c r="K176" i="11"/>
  <c r="M135" i="2"/>
  <c r="O135" i="2" s="1"/>
  <c r="F137" i="2"/>
  <c r="J136" i="2"/>
  <c r="G138" i="2"/>
  <c r="P135" i="2"/>
  <c r="N152" i="15" a="1"/>
  <c r="N152" i="18" a="1"/>
  <c r="U175" i="11" a="1"/>
  <c r="N175" i="11" a="1"/>
  <c r="U152" i="18" a="1"/>
  <c r="T152" i="15" a="1"/>
  <c r="T152" i="18" a="1"/>
  <c r="U152" i="15" a="1"/>
  <c r="F138" i="2" a="1"/>
  <c r="T175" i="11" a="1"/>
  <c r="N152" i="18" l="1"/>
  <c r="U152" i="18"/>
  <c r="T152" i="18"/>
  <c r="V152" i="18" s="1"/>
  <c r="K154" i="18"/>
  <c r="O153" i="18"/>
  <c r="L153" i="18"/>
  <c r="M153" i="18" s="1"/>
  <c r="U152" i="15"/>
  <c r="T152" i="15"/>
  <c r="N152" i="15"/>
  <c r="K154" i="15"/>
  <c r="O153" i="15"/>
  <c r="L153" i="15"/>
  <c r="M153" i="15" s="1"/>
  <c r="U175" i="11"/>
  <c r="T175" i="11"/>
  <c r="V175" i="11" s="1"/>
  <c r="N175" i="11"/>
  <c r="O176" i="11"/>
  <c r="K177" i="11"/>
  <c r="L176" i="11"/>
  <c r="M136" i="2"/>
  <c r="O136" i="2" s="1"/>
  <c r="F138" i="2"/>
  <c r="P136" i="2"/>
  <c r="J137" i="2"/>
  <c r="G139" i="2"/>
  <c r="T153" i="15" a="1"/>
  <c r="N153" i="15" a="1"/>
  <c r="U153" i="15" a="1"/>
  <c r="T153" i="18" a="1"/>
  <c r="T176" i="11" a="1"/>
  <c r="U176" i="11" a="1"/>
  <c r="N176" i="11" a="1"/>
  <c r="F139" i="2" a="1"/>
  <c r="U153" i="18" a="1"/>
  <c r="N153" i="18" a="1"/>
  <c r="N153" i="18" l="1"/>
  <c r="U153" i="18"/>
  <c r="T153" i="18"/>
  <c r="V153" i="18" s="1"/>
  <c r="L154" i="18"/>
  <c r="M154" i="18" s="1"/>
  <c r="K155" i="18"/>
  <c r="O154" i="18"/>
  <c r="V152" i="15"/>
  <c r="U153" i="15"/>
  <c r="T153" i="15"/>
  <c r="N153" i="15"/>
  <c r="K155" i="15"/>
  <c r="O154" i="15"/>
  <c r="L154" i="15"/>
  <c r="M154" i="15" s="1"/>
  <c r="U176" i="11"/>
  <c r="T176" i="11"/>
  <c r="V176" i="11" s="1"/>
  <c r="N176" i="11"/>
  <c r="L177" i="11"/>
  <c r="K178" i="11"/>
  <c r="O177" i="11"/>
  <c r="M137" i="2"/>
  <c r="O137" i="2" s="1"/>
  <c r="P137" i="2"/>
  <c r="F139" i="2"/>
  <c r="J138" i="2"/>
  <c r="G140" i="2"/>
  <c r="U177" i="11" a="1"/>
  <c r="N177" i="11" a="1"/>
  <c r="N154" i="18" a="1"/>
  <c r="T154" i="15" a="1"/>
  <c r="T177" i="11" a="1"/>
  <c r="U154" i="18" a="1"/>
  <c r="U154" i="15" a="1"/>
  <c r="F140" i="2" a="1"/>
  <c r="N154" i="15" a="1"/>
  <c r="T154" i="18" a="1"/>
  <c r="N154" i="18" l="1"/>
  <c r="U154" i="18"/>
  <c r="T154" i="18"/>
  <c r="V154" i="18" s="1"/>
  <c r="V153" i="15"/>
  <c r="K156" i="18"/>
  <c r="O155" i="18"/>
  <c r="L155" i="18"/>
  <c r="M155" i="18" s="1"/>
  <c r="U154" i="15"/>
  <c r="T154" i="15"/>
  <c r="N154" i="15"/>
  <c r="L155" i="15"/>
  <c r="M155" i="15" s="1"/>
  <c r="K156" i="15"/>
  <c r="O155" i="15"/>
  <c r="N177" i="11"/>
  <c r="T177" i="11"/>
  <c r="V177" i="11" s="1"/>
  <c r="U177" i="11"/>
  <c r="K179" i="11"/>
  <c r="O178" i="11"/>
  <c r="L178" i="11"/>
  <c r="M138" i="2"/>
  <c r="O138" i="2" s="1"/>
  <c r="J139" i="2"/>
  <c r="P139" i="2"/>
  <c r="P138" i="2"/>
  <c r="F140" i="2"/>
  <c r="G141" i="2"/>
  <c r="T155" i="18" a="1"/>
  <c r="U155" i="15" a="1"/>
  <c r="T178" i="11" a="1"/>
  <c r="N178" i="11" a="1"/>
  <c r="U178" i="11" a="1"/>
  <c r="U155" i="18" a="1"/>
  <c r="N155" i="15" a="1"/>
  <c r="N155" i="18" a="1"/>
  <c r="F141" i="2" a="1"/>
  <c r="T155" i="15" a="1"/>
  <c r="N155" i="18" l="1"/>
  <c r="U155" i="18"/>
  <c r="T155" i="18"/>
  <c r="V155" i="18" s="1"/>
  <c r="K157" i="18"/>
  <c r="O156" i="18"/>
  <c r="L156" i="18"/>
  <c r="M156" i="18" s="1"/>
  <c r="V154" i="15"/>
  <c r="U155" i="15"/>
  <c r="T155" i="15"/>
  <c r="N155" i="15"/>
  <c r="K157" i="15"/>
  <c r="O156" i="15"/>
  <c r="L156" i="15"/>
  <c r="M156" i="15" s="1"/>
  <c r="N178" i="11"/>
  <c r="U178" i="11"/>
  <c r="T178" i="11"/>
  <c r="L179" i="11"/>
  <c r="K180" i="11"/>
  <c r="O179" i="11"/>
  <c r="M139" i="2"/>
  <c r="O139" i="2" s="1"/>
  <c r="F141" i="2"/>
  <c r="J140" i="2"/>
  <c r="G142" i="2"/>
  <c r="U156" i="15" a="1"/>
  <c r="N156" i="18" a="1"/>
  <c r="T156" i="15" a="1"/>
  <c r="U179" i="11" a="1"/>
  <c r="F142" i="2" a="1"/>
  <c r="T179" i="11" a="1"/>
  <c r="T156" i="18" a="1"/>
  <c r="N156" i="15" a="1"/>
  <c r="N179" i="11" a="1"/>
  <c r="U156" i="18" a="1"/>
  <c r="N156" i="18" l="1"/>
  <c r="U156" i="18"/>
  <c r="T156" i="18"/>
  <c r="K158" i="18"/>
  <c r="O157" i="18"/>
  <c r="L157" i="18"/>
  <c r="M157" i="18" s="1"/>
  <c r="V178" i="11"/>
  <c r="V155" i="15"/>
  <c r="N156" i="15"/>
  <c r="U156" i="15"/>
  <c r="T156" i="15"/>
  <c r="V156" i="15" s="1"/>
  <c r="K158" i="15"/>
  <c r="O157" i="15"/>
  <c r="L157" i="15"/>
  <c r="M157" i="15" s="1"/>
  <c r="U179" i="11"/>
  <c r="N179" i="11"/>
  <c r="T179" i="11"/>
  <c r="K181" i="11"/>
  <c r="L180" i="11"/>
  <c r="O180" i="11"/>
  <c r="M140" i="2"/>
  <c r="O140" i="2" s="1"/>
  <c r="F142" i="2"/>
  <c r="J141" i="2"/>
  <c r="P140" i="2"/>
  <c r="G143" i="2"/>
  <c r="T180" i="11" a="1"/>
  <c r="U157" i="18" a="1"/>
  <c r="N180" i="11" a="1"/>
  <c r="N157" i="18" a="1"/>
  <c r="T157" i="15" a="1"/>
  <c r="F143" i="2" a="1"/>
  <c r="N157" i="15" a="1"/>
  <c r="U157" i="15" a="1"/>
  <c r="T157" i="18" a="1"/>
  <c r="U180" i="11" a="1"/>
  <c r="V156" i="18" l="1"/>
  <c r="V179" i="11"/>
  <c r="N157" i="18"/>
  <c r="U157" i="18"/>
  <c r="T157" i="18"/>
  <c r="V157" i="18" s="1"/>
  <c r="K159" i="18"/>
  <c r="O158" i="18"/>
  <c r="L158" i="18"/>
  <c r="M158" i="18" s="1"/>
  <c r="T157" i="15"/>
  <c r="N157" i="15"/>
  <c r="U157" i="15"/>
  <c r="K159" i="15"/>
  <c r="O158" i="15"/>
  <c r="L158" i="15"/>
  <c r="M158" i="15" s="1"/>
  <c r="N180" i="11"/>
  <c r="U180" i="11"/>
  <c r="T180" i="11"/>
  <c r="K182" i="11"/>
  <c r="L181" i="11"/>
  <c r="O181" i="11"/>
  <c r="M141" i="2"/>
  <c r="O141" i="2" s="1"/>
  <c r="J142" i="2"/>
  <c r="P142" i="2"/>
  <c r="P141" i="2"/>
  <c r="F143" i="2"/>
  <c r="G144" i="2"/>
  <c r="T181" i="11" a="1"/>
  <c r="U158" i="18" a="1"/>
  <c r="T158" i="15" a="1"/>
  <c r="N158" i="18" a="1"/>
  <c r="U181" i="11" a="1"/>
  <c r="F144" i="2" a="1"/>
  <c r="N158" i="15" a="1"/>
  <c r="N181" i="11" a="1"/>
  <c r="U158" i="15" a="1"/>
  <c r="T158" i="18" a="1"/>
  <c r="V180" i="11" l="1"/>
  <c r="N158" i="18"/>
  <c r="U158" i="18"/>
  <c r="T158" i="18"/>
  <c r="V158" i="18" s="1"/>
  <c r="V157" i="15"/>
  <c r="K160" i="18"/>
  <c r="O159" i="18"/>
  <c r="L159" i="18"/>
  <c r="M159" i="18" s="1"/>
  <c r="U158" i="15"/>
  <c r="T158" i="15"/>
  <c r="N158" i="15"/>
  <c r="K160" i="15"/>
  <c r="O159" i="15"/>
  <c r="L159" i="15"/>
  <c r="M159" i="15" s="1"/>
  <c r="N181" i="11"/>
  <c r="T181" i="11"/>
  <c r="U181" i="11"/>
  <c r="K183" i="11"/>
  <c r="L182" i="11"/>
  <c r="O182" i="11"/>
  <c r="M142" i="2"/>
  <c r="O142" i="2" s="1"/>
  <c r="F144" i="2"/>
  <c r="J143" i="2"/>
  <c r="G145" i="2"/>
  <c r="F145" i="2" a="1"/>
  <c r="T159" i="18" a="1"/>
  <c r="U182" i="11" a="1"/>
  <c r="N182" i="11" a="1"/>
  <c r="T182" i="11" a="1"/>
  <c r="U159" i="15" a="1"/>
  <c r="T159" i="15" a="1"/>
  <c r="U159" i="18" a="1"/>
  <c r="N159" i="18" a="1"/>
  <c r="N159" i="15" a="1"/>
  <c r="V181" i="11" l="1"/>
  <c r="V158" i="15"/>
  <c r="T159" i="18"/>
  <c r="N159" i="18"/>
  <c r="U159" i="18"/>
  <c r="L160" i="18"/>
  <c r="M160" i="18" s="1"/>
  <c r="K161" i="18"/>
  <c r="O160" i="18"/>
  <c r="U159" i="15"/>
  <c r="T159" i="15"/>
  <c r="N159" i="15"/>
  <c r="K161" i="15"/>
  <c r="O160" i="15"/>
  <c r="L160" i="15"/>
  <c r="M160" i="15" s="1"/>
  <c r="N182" i="11"/>
  <c r="T182" i="11"/>
  <c r="U182" i="11"/>
  <c r="K184" i="11"/>
  <c r="L183" i="11"/>
  <c r="O183" i="11"/>
  <c r="M143" i="2"/>
  <c r="O143" i="2" s="1"/>
  <c r="F145" i="2"/>
  <c r="J144" i="2"/>
  <c r="G146" i="2"/>
  <c r="P143" i="2"/>
  <c r="U183" i="11" a="1"/>
  <c r="T160" i="18" a="1"/>
  <c r="F146" i="2" a="1"/>
  <c r="N183" i="11" a="1"/>
  <c r="N160" i="15" a="1"/>
  <c r="T160" i="15" a="1"/>
  <c r="U160" i="15" a="1"/>
  <c r="N160" i="18" a="1"/>
  <c r="T183" i="11" a="1"/>
  <c r="U160" i="18" a="1"/>
  <c r="V182" i="11" l="1"/>
  <c r="V159" i="18"/>
  <c r="T160" i="18"/>
  <c r="U160" i="18"/>
  <c r="N160" i="18"/>
  <c r="L161" i="18"/>
  <c r="M161" i="18" s="1"/>
  <c r="K162" i="18"/>
  <c r="O161" i="18"/>
  <c r="V159" i="15"/>
  <c r="U160" i="15"/>
  <c r="T160" i="15"/>
  <c r="N160" i="15"/>
  <c r="K162" i="15"/>
  <c r="L161" i="15"/>
  <c r="M161" i="15" s="1"/>
  <c r="O161" i="15"/>
  <c r="U183" i="11"/>
  <c r="N183" i="11"/>
  <c r="T183" i="11"/>
  <c r="V183" i="11" s="1"/>
  <c r="K185" i="11"/>
  <c r="L184" i="11"/>
  <c r="O184" i="11"/>
  <c r="M144" i="2"/>
  <c r="O144" i="2" s="1"/>
  <c r="J145" i="2"/>
  <c r="F146" i="2"/>
  <c r="P144" i="2"/>
  <c r="G147" i="2"/>
  <c r="N161" i="18" a="1"/>
  <c r="F147" i="2" a="1"/>
  <c r="N184" i="11" a="1"/>
  <c r="U161" i="18" a="1"/>
  <c r="U184" i="11" a="1"/>
  <c r="T161" i="18" a="1"/>
  <c r="U161" i="15" a="1"/>
  <c r="T184" i="11" a="1"/>
  <c r="N161" i="15" a="1"/>
  <c r="T161" i="15" a="1"/>
  <c r="V160" i="15" l="1"/>
  <c r="V160" i="18"/>
  <c r="T161" i="18"/>
  <c r="U161" i="18"/>
  <c r="N161" i="18"/>
  <c r="L162" i="18"/>
  <c r="M162" i="18" s="1"/>
  <c r="K163" i="18"/>
  <c r="O162" i="18"/>
  <c r="N161" i="15"/>
  <c r="U161" i="15"/>
  <c r="T161" i="15"/>
  <c r="K163" i="15"/>
  <c r="O162" i="15"/>
  <c r="L162" i="15"/>
  <c r="M162" i="15" s="1"/>
  <c r="N184" i="11"/>
  <c r="T184" i="11"/>
  <c r="U184" i="11"/>
  <c r="K186" i="11"/>
  <c r="L185" i="11"/>
  <c r="O185" i="11"/>
  <c r="M145" i="2"/>
  <c r="O145" i="2" s="1"/>
  <c r="J146" i="2"/>
  <c r="P146" i="2"/>
  <c r="F147" i="2"/>
  <c r="G148" i="2"/>
  <c r="P145" i="2"/>
  <c r="T185" i="11" a="1"/>
  <c r="N162" i="18" a="1"/>
  <c r="U162" i="15" a="1"/>
  <c r="U162" i="18" a="1"/>
  <c r="T162" i="18" a="1"/>
  <c r="U185" i="11" a="1"/>
  <c r="N185" i="11" a="1"/>
  <c r="F148" i="2" a="1"/>
  <c r="N162" i="15" a="1"/>
  <c r="T162" i="15" a="1"/>
  <c r="V184" i="11" l="1"/>
  <c r="V161" i="15"/>
  <c r="T162" i="18"/>
  <c r="V162" i="18" s="1"/>
  <c r="U162" i="18"/>
  <c r="N162" i="18"/>
  <c r="V161" i="18"/>
  <c r="L163" i="18"/>
  <c r="M163" i="18" s="1"/>
  <c r="K164" i="18"/>
  <c r="O163" i="18"/>
  <c r="N162" i="15"/>
  <c r="U162" i="15"/>
  <c r="T162" i="15"/>
  <c r="K164" i="15"/>
  <c r="O163" i="15"/>
  <c r="L163" i="15"/>
  <c r="M163" i="15" s="1"/>
  <c r="N185" i="11"/>
  <c r="T185" i="11"/>
  <c r="U185" i="11"/>
  <c r="K187" i="11"/>
  <c r="L186" i="11"/>
  <c r="O186" i="11"/>
  <c r="M146" i="2"/>
  <c r="O146" i="2" s="1"/>
  <c r="J147" i="2"/>
  <c r="F148" i="2"/>
  <c r="G149" i="2"/>
  <c r="U163" i="18" a="1"/>
  <c r="N163" i="15" a="1"/>
  <c r="F149" i="2" a="1"/>
  <c r="T163" i="18" a="1"/>
  <c r="U186" i="11" a="1"/>
  <c r="T163" i="15" a="1"/>
  <c r="U163" i="15" a="1"/>
  <c r="T186" i="11" a="1"/>
  <c r="N186" i="11" a="1"/>
  <c r="N163" i="18" a="1"/>
  <c r="V185" i="11" l="1"/>
  <c r="V162" i="15"/>
  <c r="T163" i="18"/>
  <c r="N163" i="18"/>
  <c r="U163" i="18"/>
  <c r="L164" i="18"/>
  <c r="M164" i="18" s="1"/>
  <c r="K165" i="18"/>
  <c r="O164" i="18"/>
  <c r="U163" i="15"/>
  <c r="T163" i="15"/>
  <c r="N163" i="15"/>
  <c r="K165" i="15"/>
  <c r="O164" i="15"/>
  <c r="L164" i="15"/>
  <c r="M164" i="15" s="1"/>
  <c r="N186" i="11"/>
  <c r="T186" i="11"/>
  <c r="V186" i="11" s="1"/>
  <c r="U186" i="11"/>
  <c r="L187" i="11"/>
  <c r="K188" i="11"/>
  <c r="O187" i="11"/>
  <c r="M147" i="2"/>
  <c r="O147" i="2" s="1"/>
  <c r="F149" i="2"/>
  <c r="J148" i="2"/>
  <c r="P147" i="2"/>
  <c r="G150" i="2"/>
  <c r="N164" i="18" a="1"/>
  <c r="U187" i="11" a="1"/>
  <c r="T164" i="15" a="1"/>
  <c r="U164" i="18" a="1"/>
  <c r="T187" i="11" a="1"/>
  <c r="T164" i="18" a="1"/>
  <c r="U164" i="15" a="1"/>
  <c r="F150" i="2" a="1"/>
  <c r="N187" i="11" a="1"/>
  <c r="N164" i="15" a="1"/>
  <c r="V163" i="18" l="1"/>
  <c r="V163" i="15"/>
  <c r="T164" i="18"/>
  <c r="U164" i="18"/>
  <c r="N164" i="18"/>
  <c r="L165" i="18"/>
  <c r="M165" i="18" s="1"/>
  <c r="K166" i="18"/>
  <c r="O165" i="18"/>
  <c r="T164" i="15"/>
  <c r="U164" i="15"/>
  <c r="N164" i="15"/>
  <c r="O165" i="15"/>
  <c r="K166" i="15"/>
  <c r="L165" i="15"/>
  <c r="M165" i="15" s="1"/>
  <c r="N187" i="11"/>
  <c r="T187" i="11"/>
  <c r="V187" i="11" s="1"/>
  <c r="U187" i="11"/>
  <c r="K189" i="11"/>
  <c r="L188" i="11"/>
  <c r="O188" i="11"/>
  <c r="M148" i="2"/>
  <c r="O148" i="2" s="1"/>
  <c r="F150" i="2"/>
  <c r="J149" i="2"/>
  <c r="G151" i="2"/>
  <c r="P148" i="2"/>
  <c r="N165" i="18" a="1"/>
  <c r="U165" i="15" a="1"/>
  <c r="T165" i="18" a="1"/>
  <c r="N188" i="11" a="1"/>
  <c r="U188" i="11" a="1"/>
  <c r="N165" i="15" a="1"/>
  <c r="T165" i="15" a="1"/>
  <c r="U165" i="18" a="1"/>
  <c r="F151" i="2" a="1"/>
  <c r="T188" i="11" a="1"/>
  <c r="V164" i="18" l="1"/>
  <c r="V164" i="15"/>
  <c r="T165" i="18"/>
  <c r="V165" i="18" s="1"/>
  <c r="U165" i="18"/>
  <c r="N165" i="18"/>
  <c r="L166" i="18"/>
  <c r="M166" i="18" s="1"/>
  <c r="K167" i="18"/>
  <c r="O166" i="18"/>
  <c r="T165" i="15"/>
  <c r="N165" i="15"/>
  <c r="U165" i="15"/>
  <c r="O166" i="15"/>
  <c r="K167" i="15"/>
  <c r="L166" i="15"/>
  <c r="M166" i="15" s="1"/>
  <c r="N188" i="11"/>
  <c r="T188" i="11"/>
  <c r="U188" i="11"/>
  <c r="L189" i="11"/>
  <c r="K190" i="11"/>
  <c r="O189" i="11"/>
  <c r="M149" i="2"/>
  <c r="O149" i="2" s="1"/>
  <c r="J150" i="2"/>
  <c r="F151" i="2"/>
  <c r="P149" i="2"/>
  <c r="G152" i="2"/>
  <c r="N166" i="18" a="1"/>
  <c r="N189" i="11" a="1"/>
  <c r="U166" i="18" a="1"/>
  <c r="U189" i="11" a="1"/>
  <c r="T166" i="15" a="1"/>
  <c r="T166" i="18" a="1"/>
  <c r="F152" i="2" a="1"/>
  <c r="U166" i="15" a="1"/>
  <c r="T189" i="11" a="1"/>
  <c r="N166" i="15" a="1"/>
  <c r="V165" i="15" l="1"/>
  <c r="V188" i="11"/>
  <c r="T166" i="18"/>
  <c r="V166" i="18" s="1"/>
  <c r="U166" i="18"/>
  <c r="N166" i="18"/>
  <c r="L167" i="18"/>
  <c r="M167" i="18" s="1"/>
  <c r="K168" i="18"/>
  <c r="O167" i="18"/>
  <c r="U166" i="15"/>
  <c r="T166" i="15"/>
  <c r="N166" i="15"/>
  <c r="L167" i="15"/>
  <c r="M167" i="15" s="1"/>
  <c r="K168" i="15"/>
  <c r="O167" i="15"/>
  <c r="N189" i="11"/>
  <c r="U189" i="11"/>
  <c r="T189" i="11"/>
  <c r="K191" i="11"/>
  <c r="L190" i="11"/>
  <c r="O190" i="11"/>
  <c r="M150" i="2"/>
  <c r="O150" i="2" s="1"/>
  <c r="J151" i="2"/>
  <c r="F152" i="2"/>
  <c r="P150" i="2"/>
  <c r="G153" i="2"/>
  <c r="U167" i="18" a="1"/>
  <c r="T190" i="11" a="1"/>
  <c r="N167" i="18" a="1"/>
  <c r="T167" i="18" a="1"/>
  <c r="N190" i="11" a="1"/>
  <c r="F153" i="2" a="1"/>
  <c r="T167" i="15" a="1"/>
  <c r="N167" i="15" a="1"/>
  <c r="U167" i="15" a="1"/>
  <c r="U190" i="11" a="1"/>
  <c r="V189" i="11" l="1"/>
  <c r="T167" i="18"/>
  <c r="N167" i="18"/>
  <c r="U167" i="18"/>
  <c r="L168" i="18"/>
  <c r="M168" i="18" s="1"/>
  <c r="K169" i="18"/>
  <c r="O168" i="18"/>
  <c r="V166" i="15"/>
  <c r="U167" i="15"/>
  <c r="T167" i="15"/>
  <c r="N167" i="15"/>
  <c r="K169" i="15"/>
  <c r="O168" i="15"/>
  <c r="L168" i="15"/>
  <c r="M168" i="15" s="1"/>
  <c r="N190" i="11"/>
  <c r="U190" i="11"/>
  <c r="T190" i="11"/>
  <c r="O191" i="11"/>
  <c r="L191" i="11"/>
  <c r="K192" i="11"/>
  <c r="M151" i="2"/>
  <c r="O151" i="2" s="1"/>
  <c r="J152" i="2"/>
  <c r="P152" i="2"/>
  <c r="F153" i="2"/>
  <c r="P151" i="2"/>
  <c r="G154" i="2"/>
  <c r="N168" i="15" a="1"/>
  <c r="U168" i="18" a="1"/>
  <c r="N168" i="18" a="1"/>
  <c r="N191" i="11" a="1"/>
  <c r="T168" i="18" a="1"/>
  <c r="T191" i="11" a="1"/>
  <c r="U168" i="15" a="1"/>
  <c r="F154" i="2" a="1"/>
  <c r="U191" i="11" a="1"/>
  <c r="T168" i="15" a="1"/>
  <c r="V167" i="18" l="1"/>
  <c r="T168" i="18"/>
  <c r="V168" i="18" s="1"/>
  <c r="U168" i="18"/>
  <c r="N168" i="18"/>
  <c r="V190" i="11"/>
  <c r="L169" i="18"/>
  <c r="M169" i="18" s="1"/>
  <c r="K170" i="18"/>
  <c r="O169" i="18"/>
  <c r="V167" i="15"/>
  <c r="T168" i="15"/>
  <c r="U168" i="15"/>
  <c r="N168" i="15"/>
  <c r="O169" i="15"/>
  <c r="K170" i="15"/>
  <c r="L169" i="15"/>
  <c r="M169" i="15" s="1"/>
  <c r="U191" i="11"/>
  <c r="N191" i="11"/>
  <c r="T191" i="11"/>
  <c r="V191" i="11" s="1"/>
  <c r="L192" i="11"/>
  <c r="K193" i="11"/>
  <c r="O192" i="11"/>
  <c r="M152" i="2"/>
  <c r="O152" i="2" s="1"/>
  <c r="J153" i="2"/>
  <c r="F154" i="2"/>
  <c r="G155" i="2"/>
  <c r="N169" i="18" a="1"/>
  <c r="U192" i="11" a="1"/>
  <c r="U169" i="18" a="1"/>
  <c r="T169" i="15" a="1"/>
  <c r="T169" i="18" a="1"/>
  <c r="N169" i="15" a="1"/>
  <c r="F155" i="2" a="1"/>
  <c r="T192" i="11" a="1"/>
  <c r="N192" i="11" a="1"/>
  <c r="U169" i="15" a="1"/>
  <c r="T169" i="18" l="1"/>
  <c r="V169" i="18" s="1"/>
  <c r="U169" i="18"/>
  <c r="N169" i="18"/>
  <c r="L170" i="18"/>
  <c r="M170" i="18" s="1"/>
  <c r="K171" i="18"/>
  <c r="O170" i="18"/>
  <c r="V168" i="15"/>
  <c r="T169" i="15"/>
  <c r="U169" i="15"/>
  <c r="N169" i="15"/>
  <c r="O170" i="15"/>
  <c r="K171" i="15"/>
  <c r="L170" i="15"/>
  <c r="M170" i="15" s="1"/>
  <c r="U192" i="11"/>
  <c r="T192" i="11"/>
  <c r="V192" i="11" s="1"/>
  <c r="N192" i="11"/>
  <c r="L193" i="11"/>
  <c r="K194" i="11"/>
  <c r="O193" i="11"/>
  <c r="M153" i="2"/>
  <c r="O153" i="2" s="1"/>
  <c r="J154" i="2"/>
  <c r="F155" i="2"/>
  <c r="P153" i="2"/>
  <c r="G156" i="2"/>
  <c r="N193" i="11" a="1"/>
  <c r="N170" i="18" a="1"/>
  <c r="F156" i="2" a="1"/>
  <c r="U170" i="18" a="1"/>
  <c r="T170" i="15" a="1"/>
  <c r="U170" i="15" a="1"/>
  <c r="T193" i="11" a="1"/>
  <c r="U193" i="11" a="1"/>
  <c r="N170" i="15" a="1"/>
  <c r="T170" i="18" a="1"/>
  <c r="U170" i="18" l="1"/>
  <c r="N170" i="18"/>
  <c r="T170" i="18"/>
  <c r="O171" i="18"/>
  <c r="L171" i="18"/>
  <c r="M171" i="18" s="1"/>
  <c r="K172" i="18"/>
  <c r="V169" i="15"/>
  <c r="N170" i="15"/>
  <c r="U170" i="15"/>
  <c r="T170" i="15"/>
  <c r="L171" i="15"/>
  <c r="M171" i="15" s="1"/>
  <c r="K172" i="15"/>
  <c r="O171" i="15"/>
  <c r="T193" i="11"/>
  <c r="V193" i="11" s="1"/>
  <c r="U193" i="11"/>
  <c r="N193" i="11"/>
  <c r="L194" i="11"/>
  <c r="K195" i="11"/>
  <c r="O194" i="11"/>
  <c r="M154" i="2"/>
  <c r="O154" i="2" s="1"/>
  <c r="J155" i="2"/>
  <c r="F156" i="2"/>
  <c r="P154" i="2"/>
  <c r="G157" i="2"/>
  <c r="N194" i="11" a="1"/>
  <c r="N171" i="15" a="1"/>
  <c r="N171" i="18" a="1"/>
  <c r="T194" i="11" a="1"/>
  <c r="T171" i="15" a="1"/>
  <c r="U194" i="11" a="1"/>
  <c r="U171" i="15" a="1"/>
  <c r="F157" i="2" a="1"/>
  <c r="T171" i="18" a="1"/>
  <c r="U171" i="18" a="1"/>
  <c r="N171" i="18" l="1"/>
  <c r="U171" i="18"/>
  <c r="T171" i="18"/>
  <c r="V171" i="18" s="1"/>
  <c r="V170" i="18"/>
  <c r="V170" i="15"/>
  <c r="K173" i="18"/>
  <c r="O172" i="18"/>
  <c r="L172" i="18"/>
  <c r="M172" i="18" s="1"/>
  <c r="U171" i="15"/>
  <c r="T171" i="15"/>
  <c r="N171" i="15"/>
  <c r="K173" i="15"/>
  <c r="L172" i="15"/>
  <c r="M172" i="15" s="1"/>
  <c r="O172" i="15"/>
  <c r="T194" i="11"/>
  <c r="U194" i="11"/>
  <c r="N194" i="11"/>
  <c r="O195" i="11"/>
  <c r="K196" i="11"/>
  <c r="L195" i="11"/>
  <c r="M155" i="2"/>
  <c r="O155" i="2" s="1"/>
  <c r="J156" i="2"/>
  <c r="F157" i="2"/>
  <c r="P155" i="2"/>
  <c r="G158" i="2"/>
  <c r="T172" i="18" a="1"/>
  <c r="N195" i="11" a="1"/>
  <c r="U172" i="18" a="1"/>
  <c r="N172" i="18" a="1"/>
  <c r="T172" i="15" a="1"/>
  <c r="F158" i="2" a="1"/>
  <c r="N172" i="15" a="1"/>
  <c r="U195" i="11" a="1"/>
  <c r="T195" i="11" a="1"/>
  <c r="U172" i="15" a="1"/>
  <c r="V194" i="11" l="1"/>
  <c r="N172" i="18"/>
  <c r="U172" i="18"/>
  <c r="T172" i="18"/>
  <c r="V172" i="18" s="1"/>
  <c r="V171" i="15"/>
  <c r="L173" i="18"/>
  <c r="M173" i="18" s="1"/>
  <c r="K174" i="18"/>
  <c r="O173" i="18"/>
  <c r="T172" i="15"/>
  <c r="U172" i="15"/>
  <c r="N172" i="15"/>
  <c r="O173" i="15"/>
  <c r="K174" i="15"/>
  <c r="L173" i="15"/>
  <c r="M173" i="15" s="1"/>
  <c r="T195" i="11"/>
  <c r="U195" i="11"/>
  <c r="N195" i="11"/>
  <c r="L196" i="11"/>
  <c r="K197" i="11"/>
  <c r="O196" i="11"/>
  <c r="M156" i="2"/>
  <c r="O156" i="2" s="1"/>
  <c r="J157" i="2"/>
  <c r="F158" i="2"/>
  <c r="P156" i="2"/>
  <c r="G159" i="2"/>
  <c r="U173" i="18" a="1"/>
  <c r="F159" i="2" a="1"/>
  <c r="T196" i="11" a="1"/>
  <c r="U196" i="11" a="1"/>
  <c r="N173" i="18" a="1"/>
  <c r="T173" i="15" a="1"/>
  <c r="U173" i="15" a="1"/>
  <c r="T173" i="18" a="1"/>
  <c r="N196" i="11" a="1"/>
  <c r="N173" i="15" a="1"/>
  <c r="V195" i="11" l="1"/>
  <c r="V172" i="15"/>
  <c r="T173" i="18"/>
  <c r="N173" i="18"/>
  <c r="U173" i="18"/>
  <c r="L174" i="18"/>
  <c r="M174" i="18" s="1"/>
  <c r="K175" i="18"/>
  <c r="O174" i="18"/>
  <c r="T173" i="15"/>
  <c r="U173" i="15"/>
  <c r="N173" i="15"/>
  <c r="O174" i="15"/>
  <c r="K175" i="15"/>
  <c r="L174" i="15"/>
  <c r="M174" i="15" s="1"/>
  <c r="N196" i="11"/>
  <c r="T196" i="11"/>
  <c r="V196" i="11" s="1"/>
  <c r="U196" i="11"/>
  <c r="L197" i="11"/>
  <c r="K198" i="11"/>
  <c r="O197" i="11"/>
  <c r="M157" i="2"/>
  <c r="O157" i="2" s="1"/>
  <c r="J158" i="2"/>
  <c r="F159" i="2"/>
  <c r="P157" i="2"/>
  <c r="G160" i="2"/>
  <c r="T174" i="18" a="1"/>
  <c r="N197" i="11" a="1"/>
  <c r="U174" i="18" a="1"/>
  <c r="T197" i="11" a="1"/>
  <c r="U174" i="15" a="1"/>
  <c r="N174" i="18" a="1"/>
  <c r="F160" i="2" a="1"/>
  <c r="U197" i="11" a="1"/>
  <c r="N174" i="15" a="1"/>
  <c r="T174" i="15" a="1"/>
  <c r="V173" i="15" l="1"/>
  <c r="V173" i="18"/>
  <c r="N174" i="18"/>
  <c r="U174" i="18"/>
  <c r="T174" i="18"/>
  <c r="V174" i="18" s="1"/>
  <c r="O175" i="18"/>
  <c r="L175" i="18"/>
  <c r="M175" i="18" s="1"/>
  <c r="K176" i="18"/>
  <c r="U174" i="15"/>
  <c r="T174" i="15"/>
  <c r="N174" i="15"/>
  <c r="L175" i="15"/>
  <c r="M175" i="15" s="1"/>
  <c r="K176" i="15"/>
  <c r="O175" i="15"/>
  <c r="N197" i="11"/>
  <c r="T197" i="11"/>
  <c r="V197" i="11" s="1"/>
  <c r="U197" i="11"/>
  <c r="L198" i="11"/>
  <c r="K199" i="11"/>
  <c r="O198" i="11"/>
  <c r="M158" i="2"/>
  <c r="O158" i="2" s="1"/>
  <c r="J159" i="2"/>
  <c r="F160" i="2"/>
  <c r="P158" i="2"/>
  <c r="G161" i="2"/>
  <c r="T175" i="18" a="1"/>
  <c r="T198" i="11" a="1"/>
  <c r="U175" i="15" a="1"/>
  <c r="N198" i="11" a="1"/>
  <c r="U175" i="18" a="1"/>
  <c r="N175" i="15" a="1"/>
  <c r="N175" i="18" a="1"/>
  <c r="F161" i="2" a="1"/>
  <c r="U198" i="11" a="1"/>
  <c r="T175" i="15" a="1"/>
  <c r="N175" i="18" l="1"/>
  <c r="U175" i="18"/>
  <c r="T175" i="18"/>
  <c r="K177" i="18"/>
  <c r="O176" i="18"/>
  <c r="L176" i="18"/>
  <c r="M176" i="18" s="1"/>
  <c r="V174" i="15"/>
  <c r="N175" i="15"/>
  <c r="U175" i="15"/>
  <c r="T175" i="15"/>
  <c r="K177" i="15"/>
  <c r="O176" i="15"/>
  <c r="L176" i="15"/>
  <c r="M176" i="15" s="1"/>
  <c r="N198" i="11"/>
  <c r="T198" i="11"/>
  <c r="V198" i="11" s="1"/>
  <c r="U198" i="11"/>
  <c r="L199" i="11"/>
  <c r="K200" i="11"/>
  <c r="O199" i="11"/>
  <c r="M159" i="2"/>
  <c r="O159" i="2" s="1"/>
  <c r="J160" i="2"/>
  <c r="F161" i="2"/>
  <c r="P159" i="2"/>
  <c r="G162" i="2"/>
  <c r="N199" i="11" a="1"/>
  <c r="N176" i="18" a="1"/>
  <c r="N176" i="15" a="1"/>
  <c r="T199" i="11" a="1"/>
  <c r="U199" i="11" a="1"/>
  <c r="T176" i="15" a="1"/>
  <c r="T176" i="18" a="1"/>
  <c r="U176" i="18" a="1"/>
  <c r="F162" i="2" a="1"/>
  <c r="U176" i="15" a="1"/>
  <c r="V175" i="18" l="1"/>
  <c r="N176" i="18"/>
  <c r="U176" i="18"/>
  <c r="T176" i="18"/>
  <c r="V176" i="18" s="1"/>
  <c r="V175" i="15"/>
  <c r="L177" i="18"/>
  <c r="M177" i="18" s="1"/>
  <c r="K178" i="18"/>
  <c r="O177" i="18"/>
  <c r="T176" i="15"/>
  <c r="U176" i="15"/>
  <c r="N176" i="15"/>
  <c r="O177" i="15"/>
  <c r="K178" i="15"/>
  <c r="L177" i="15"/>
  <c r="M177" i="15" s="1"/>
  <c r="U199" i="11"/>
  <c r="N199" i="11"/>
  <c r="T199" i="11"/>
  <c r="O200" i="11"/>
  <c r="L200" i="11"/>
  <c r="K201" i="11"/>
  <c r="M160" i="2"/>
  <c r="O160" i="2" s="1"/>
  <c r="J161" i="2"/>
  <c r="F162" i="2"/>
  <c r="P160" i="2"/>
  <c r="G163" i="2"/>
  <c r="N177" i="18" a="1"/>
  <c r="U200" i="11" a="1"/>
  <c r="T177" i="18" a="1"/>
  <c r="N177" i="15" a="1"/>
  <c r="U177" i="18" a="1"/>
  <c r="F163" i="2" a="1"/>
  <c r="T177" i="15" a="1"/>
  <c r="U177" i="15" a="1"/>
  <c r="N200" i="11" a="1"/>
  <c r="T200" i="11" a="1"/>
  <c r="V199" i="11" l="1"/>
  <c r="V176" i="15"/>
  <c r="U177" i="18"/>
  <c r="T177" i="18"/>
  <c r="N177" i="18"/>
  <c r="K179" i="18"/>
  <c r="O178" i="18"/>
  <c r="L178" i="18"/>
  <c r="M178" i="18" s="1"/>
  <c r="T177" i="15"/>
  <c r="U177" i="15"/>
  <c r="N177" i="15"/>
  <c r="O178" i="15"/>
  <c r="K179" i="15"/>
  <c r="L178" i="15"/>
  <c r="M178" i="15" s="1"/>
  <c r="U200" i="11"/>
  <c r="T200" i="11"/>
  <c r="V200" i="11" s="1"/>
  <c r="N200" i="11"/>
  <c r="K202" i="11"/>
  <c r="L201" i="11"/>
  <c r="O201" i="11"/>
  <c r="M161" i="2"/>
  <c r="O161" i="2" s="1"/>
  <c r="J162" i="2"/>
  <c r="F163" i="2"/>
  <c r="P161" i="2"/>
  <c r="G164" i="2"/>
  <c r="T178" i="18" a="1"/>
  <c r="F164" i="2" a="1"/>
  <c r="U201" i="11" a="1"/>
  <c r="U178" i="18" a="1"/>
  <c r="T178" i="15" a="1"/>
  <c r="N201" i="11" a="1"/>
  <c r="N178" i="18" a="1"/>
  <c r="U178" i="15" a="1"/>
  <c r="N178" i="15" a="1"/>
  <c r="T201" i="11" a="1"/>
  <c r="N178" i="18" l="1"/>
  <c r="U178" i="18"/>
  <c r="T178" i="18"/>
  <c r="V178" i="18" s="1"/>
  <c r="V177" i="15"/>
  <c r="V177" i="18"/>
  <c r="L179" i="18"/>
  <c r="M179" i="18" s="1"/>
  <c r="K180" i="18"/>
  <c r="O179" i="18"/>
  <c r="N178" i="15"/>
  <c r="U178" i="15"/>
  <c r="T178" i="15"/>
  <c r="L179" i="15"/>
  <c r="M179" i="15" s="1"/>
  <c r="K180" i="15"/>
  <c r="O179" i="15"/>
  <c r="T201" i="11"/>
  <c r="U201" i="11"/>
  <c r="N201" i="11"/>
  <c r="O202" i="11"/>
  <c r="L202" i="11"/>
  <c r="K203" i="11"/>
  <c r="M162" i="2"/>
  <c r="O162" i="2" s="1"/>
  <c r="J163" i="2"/>
  <c r="P163" i="2"/>
  <c r="F164" i="2"/>
  <c r="P162" i="2"/>
  <c r="G165" i="2"/>
  <c r="N202" i="11" a="1"/>
  <c r="N179" i="18" a="1"/>
  <c r="U179" i="15" a="1"/>
  <c r="U179" i="18" a="1"/>
  <c r="T202" i="11" a="1"/>
  <c r="N179" i="15" a="1"/>
  <c r="T179" i="18" a="1"/>
  <c r="T179" i="15" a="1"/>
  <c r="U202" i="11" a="1"/>
  <c r="F165" i="2" a="1"/>
  <c r="V201" i="11" l="1"/>
  <c r="U179" i="18"/>
  <c r="T179" i="18"/>
  <c r="N179" i="18"/>
  <c r="K181" i="18"/>
  <c r="O180" i="18"/>
  <c r="L180" i="18"/>
  <c r="M180" i="18" s="1"/>
  <c r="V178" i="15"/>
  <c r="U179" i="15"/>
  <c r="T179" i="15"/>
  <c r="N179" i="15"/>
  <c r="K181" i="15"/>
  <c r="O180" i="15"/>
  <c r="L180" i="15"/>
  <c r="M180" i="15" s="1"/>
  <c r="T202" i="11"/>
  <c r="U202" i="11"/>
  <c r="N202" i="11"/>
  <c r="O203" i="11"/>
  <c r="K204" i="11"/>
  <c r="L203" i="11"/>
  <c r="M163" i="2"/>
  <c r="O163" i="2" s="1"/>
  <c r="J164" i="2"/>
  <c r="F165" i="2"/>
  <c r="G166" i="2"/>
  <c r="N180" i="15" a="1"/>
  <c r="N180" i="18" a="1"/>
  <c r="U180" i="15" a="1"/>
  <c r="T180" i="15" a="1"/>
  <c r="U203" i="11" a="1"/>
  <c r="N203" i="11" a="1"/>
  <c r="F166" i="2" a="1"/>
  <c r="T203" i="11" a="1"/>
  <c r="T180" i="18" a="1"/>
  <c r="U180" i="18" a="1"/>
  <c r="V202" i="11" l="1"/>
  <c r="V179" i="15"/>
  <c r="N180" i="18"/>
  <c r="U180" i="18"/>
  <c r="T180" i="18"/>
  <c r="V179" i="18"/>
  <c r="L181" i="18"/>
  <c r="M181" i="18" s="1"/>
  <c r="K182" i="18"/>
  <c r="O181" i="18"/>
  <c r="U180" i="15"/>
  <c r="T180" i="15"/>
  <c r="N180" i="15"/>
  <c r="O181" i="15"/>
  <c r="K182" i="15"/>
  <c r="L181" i="15"/>
  <c r="M181" i="15" s="1"/>
  <c r="T203" i="11"/>
  <c r="U203" i="11"/>
  <c r="N203" i="11"/>
  <c r="L204" i="11"/>
  <c r="K205" i="11"/>
  <c r="O204" i="11"/>
  <c r="M164" i="2"/>
  <c r="O164" i="2" s="1"/>
  <c r="F166" i="2"/>
  <c r="J165" i="2"/>
  <c r="P164" i="2"/>
  <c r="G167" i="2"/>
  <c r="N181" i="18" a="1"/>
  <c r="T204" i="11" a="1"/>
  <c r="U204" i="11" a="1"/>
  <c r="T181" i="18" a="1"/>
  <c r="N204" i="11" a="1"/>
  <c r="U181" i="15" a="1"/>
  <c r="U181" i="18" a="1"/>
  <c r="N181" i="15" a="1"/>
  <c r="T181" i="15" a="1"/>
  <c r="F167" i="2" a="1"/>
  <c r="V180" i="18" l="1"/>
  <c r="V180" i="15"/>
  <c r="U181" i="18"/>
  <c r="T181" i="18"/>
  <c r="V181" i="18" s="1"/>
  <c r="N181" i="18"/>
  <c r="V203" i="11"/>
  <c r="K183" i="18"/>
  <c r="O182" i="18"/>
  <c r="L182" i="18"/>
  <c r="M182" i="18" s="1"/>
  <c r="T181" i="15"/>
  <c r="U181" i="15"/>
  <c r="N181" i="15"/>
  <c r="O182" i="15"/>
  <c r="K183" i="15"/>
  <c r="L182" i="15"/>
  <c r="M182" i="15" s="1"/>
  <c r="N204" i="11"/>
  <c r="T204" i="11"/>
  <c r="U204" i="11"/>
  <c r="L205" i="11"/>
  <c r="K206" i="11"/>
  <c r="O205" i="11"/>
  <c r="M165" i="2"/>
  <c r="O165" i="2" s="1"/>
  <c r="F167" i="2"/>
  <c r="J166" i="2"/>
  <c r="P165" i="2"/>
  <c r="G168" i="2"/>
  <c r="T182" i="18" a="1"/>
  <c r="N182" i="18" a="1"/>
  <c r="N205" i="11" a="1"/>
  <c r="N182" i="15" a="1"/>
  <c r="U205" i="11" a="1"/>
  <c r="U182" i="18" a="1"/>
  <c r="F168" i="2" a="1"/>
  <c r="T182" i="15" a="1"/>
  <c r="U182" i="15" a="1"/>
  <c r="T205" i="11" a="1"/>
  <c r="N182" i="18" l="1"/>
  <c r="U182" i="18"/>
  <c r="T182" i="18"/>
  <c r="V182" i="18" s="1"/>
  <c r="V204" i="11"/>
  <c r="L183" i="18"/>
  <c r="M183" i="18" s="1"/>
  <c r="K184" i="18"/>
  <c r="O183" i="18"/>
  <c r="V181" i="15"/>
  <c r="N182" i="15"/>
  <c r="U182" i="15"/>
  <c r="T182" i="15"/>
  <c r="V182" i="15" s="1"/>
  <c r="L183" i="15"/>
  <c r="M183" i="15" s="1"/>
  <c r="K184" i="15"/>
  <c r="O183" i="15"/>
  <c r="N205" i="11"/>
  <c r="U205" i="11"/>
  <c r="T205" i="11"/>
  <c r="L206" i="11"/>
  <c r="K207" i="11"/>
  <c r="O206" i="11"/>
  <c r="M166" i="2"/>
  <c r="O166" i="2" s="1"/>
  <c r="J167" i="2"/>
  <c r="P167" i="2"/>
  <c r="F168" i="2"/>
  <c r="P166" i="2"/>
  <c r="G169" i="2"/>
  <c r="N183" i="15" a="1"/>
  <c r="N183" i="18" a="1"/>
  <c r="U183" i="15" a="1"/>
  <c r="U183" i="18" a="1"/>
  <c r="T183" i="18" a="1"/>
  <c r="T183" i="15" a="1"/>
  <c r="N206" i="11" a="1"/>
  <c r="U206" i="11" a="1"/>
  <c r="F169" i="2" a="1"/>
  <c r="T206" i="11" a="1"/>
  <c r="V205" i="11" l="1"/>
  <c r="U183" i="18"/>
  <c r="T183" i="18"/>
  <c r="N183" i="18"/>
  <c r="K185" i="18"/>
  <c r="O184" i="18"/>
  <c r="L184" i="18"/>
  <c r="M184" i="18" s="1"/>
  <c r="U183" i="15"/>
  <c r="T183" i="15"/>
  <c r="N183" i="15"/>
  <c r="K185" i="15"/>
  <c r="O184" i="15"/>
  <c r="L184" i="15"/>
  <c r="M184" i="15" s="1"/>
  <c r="T206" i="11"/>
  <c r="N206" i="11"/>
  <c r="U206" i="11"/>
  <c r="L207" i="11"/>
  <c r="K208" i="11"/>
  <c r="O207" i="11"/>
  <c r="M167" i="2"/>
  <c r="O167" i="2" s="1"/>
  <c r="J168" i="2"/>
  <c r="F169" i="2"/>
  <c r="G170" i="2"/>
  <c r="N184" i="18" a="1"/>
  <c r="T207" i="11" a="1"/>
  <c r="F170" i="2" a="1"/>
  <c r="U184" i="15" a="1"/>
  <c r="U207" i="11" a="1"/>
  <c r="T184" i="15" a="1"/>
  <c r="N207" i="11" a="1"/>
  <c r="T184" i="18" a="1"/>
  <c r="N184" i="15" a="1"/>
  <c r="U184" i="18" a="1"/>
  <c r="V183" i="18" l="1"/>
  <c r="V206" i="11"/>
  <c r="N184" i="18"/>
  <c r="U184" i="18"/>
  <c r="T184" i="18"/>
  <c r="V184" i="18" s="1"/>
  <c r="L185" i="18"/>
  <c r="M185" i="18" s="1"/>
  <c r="K186" i="18"/>
  <c r="O185" i="18"/>
  <c r="V183" i="15"/>
  <c r="U184" i="15"/>
  <c r="T184" i="15"/>
  <c r="N184" i="15"/>
  <c r="O185" i="15"/>
  <c r="K186" i="15"/>
  <c r="L185" i="15"/>
  <c r="M185" i="15" s="1"/>
  <c r="U207" i="11"/>
  <c r="T207" i="11"/>
  <c r="N207" i="11"/>
  <c r="L208" i="11"/>
  <c r="K209" i="11"/>
  <c r="O208" i="11"/>
  <c r="M168" i="2"/>
  <c r="O168" i="2" s="1"/>
  <c r="J169" i="2"/>
  <c r="F170" i="2"/>
  <c r="P168" i="2"/>
  <c r="G171" i="2"/>
  <c r="N185" i="18" a="1"/>
  <c r="T185" i="15" a="1"/>
  <c r="U185" i="15" a="1"/>
  <c r="T185" i="18" a="1"/>
  <c r="T208" i="11" a="1"/>
  <c r="U208" i="11" a="1"/>
  <c r="U185" i="18" a="1"/>
  <c r="N185" i="15" a="1"/>
  <c r="N208" i="11" a="1"/>
  <c r="F171" i="2" a="1"/>
  <c r="U185" i="18" l="1"/>
  <c r="T185" i="18"/>
  <c r="N185" i="18"/>
  <c r="V207" i="11"/>
  <c r="K187" i="18"/>
  <c r="O186" i="18"/>
  <c r="L186" i="18"/>
  <c r="M186" i="18" s="1"/>
  <c r="V184" i="15"/>
  <c r="T185" i="15"/>
  <c r="N185" i="15"/>
  <c r="U185" i="15"/>
  <c r="O186" i="15"/>
  <c r="K187" i="15"/>
  <c r="L186" i="15"/>
  <c r="M186" i="15" s="1"/>
  <c r="T208" i="11"/>
  <c r="U208" i="11"/>
  <c r="N208" i="11"/>
  <c r="K210" i="11"/>
  <c r="O209" i="11"/>
  <c r="L209" i="11"/>
  <c r="M169" i="2"/>
  <c r="O169" i="2" s="1"/>
  <c r="J170" i="2"/>
  <c r="P170" i="2"/>
  <c r="F171" i="2"/>
  <c r="P169" i="2"/>
  <c r="G172" i="2"/>
  <c r="U186" i="15" a="1"/>
  <c r="T186" i="18" a="1"/>
  <c r="N209" i="11" a="1"/>
  <c r="N186" i="15" a="1"/>
  <c r="U186" i="18" a="1"/>
  <c r="U209" i="11" a="1"/>
  <c r="N186" i="18" a="1"/>
  <c r="T209" i="11" a="1"/>
  <c r="F172" i="2" a="1"/>
  <c r="T186" i="15" a="1"/>
  <c r="V208" i="11" l="1"/>
  <c r="N186" i="18"/>
  <c r="U186" i="18"/>
  <c r="T186" i="18"/>
  <c r="V186" i="18" s="1"/>
  <c r="V185" i="18"/>
  <c r="L187" i="18"/>
  <c r="M187" i="18" s="1"/>
  <c r="K188" i="18"/>
  <c r="O187" i="18"/>
  <c r="V185" i="15"/>
  <c r="N186" i="15"/>
  <c r="U186" i="15"/>
  <c r="T186" i="15"/>
  <c r="V186" i="15" s="1"/>
  <c r="L187" i="15"/>
  <c r="M187" i="15" s="1"/>
  <c r="K188" i="15"/>
  <c r="O187" i="15"/>
  <c r="N209" i="11"/>
  <c r="U209" i="11"/>
  <c r="T209" i="11"/>
  <c r="L210" i="11"/>
  <c r="K211" i="11"/>
  <c r="O210" i="11"/>
  <c r="M170" i="2"/>
  <c r="O170" i="2" s="1"/>
  <c r="F172" i="2"/>
  <c r="J171" i="2"/>
  <c r="G173" i="2"/>
  <c r="N187" i="18" a="1"/>
  <c r="U187" i="15" a="1"/>
  <c r="T187" i="15" a="1"/>
  <c r="T187" i="18" a="1"/>
  <c r="N210" i="11" a="1"/>
  <c r="T210" i="11" a="1"/>
  <c r="U187" i="18" a="1"/>
  <c r="F173" i="2" a="1"/>
  <c r="U210" i="11" a="1"/>
  <c r="N187" i="15" a="1"/>
  <c r="V209" i="11" l="1"/>
  <c r="U187" i="18"/>
  <c r="T187" i="18"/>
  <c r="N187" i="18"/>
  <c r="K189" i="18"/>
  <c r="O188" i="18"/>
  <c r="L188" i="18"/>
  <c r="M188" i="18" s="1"/>
  <c r="U187" i="15"/>
  <c r="N187" i="15"/>
  <c r="T187" i="15"/>
  <c r="K189" i="15"/>
  <c r="O188" i="15"/>
  <c r="L188" i="15"/>
  <c r="M188" i="15" s="1"/>
  <c r="N210" i="11"/>
  <c r="T210" i="11"/>
  <c r="U210" i="11"/>
  <c r="O211" i="11"/>
  <c r="L211" i="11"/>
  <c r="K212" i="11"/>
  <c r="M171" i="2"/>
  <c r="O171" i="2" s="1"/>
  <c r="F173" i="2"/>
  <c r="J172" i="2"/>
  <c r="P171" i="2"/>
  <c r="G174" i="2"/>
  <c r="N211" i="11" a="1"/>
  <c r="U188" i="18" a="1"/>
  <c r="F174" i="2" a="1"/>
  <c r="T188" i="15" a="1"/>
  <c r="N188" i="18" a="1"/>
  <c r="T211" i="11" a="1"/>
  <c r="U188" i="15" a="1"/>
  <c r="U211" i="11" a="1"/>
  <c r="N188" i="15" a="1"/>
  <c r="T188" i="18" a="1"/>
  <c r="V210" i="11" l="1"/>
  <c r="V187" i="18"/>
  <c r="N188" i="18"/>
  <c r="U188" i="18"/>
  <c r="T188" i="18"/>
  <c r="V188" i="18" s="1"/>
  <c r="K190" i="18"/>
  <c r="L189" i="18"/>
  <c r="M189" i="18" s="1"/>
  <c r="O189" i="18"/>
  <c r="V187" i="15"/>
  <c r="U188" i="15"/>
  <c r="T188" i="15"/>
  <c r="N188" i="15"/>
  <c r="O189" i="15"/>
  <c r="K190" i="15"/>
  <c r="L189" i="15"/>
  <c r="M189" i="15" s="1"/>
  <c r="U211" i="11"/>
  <c r="N211" i="11"/>
  <c r="T211" i="11"/>
  <c r="L212" i="11"/>
  <c r="O212" i="11"/>
  <c r="M172" i="2"/>
  <c r="O172" i="2" s="1"/>
  <c r="F174" i="2"/>
  <c r="J173" i="2"/>
  <c r="P172" i="2"/>
  <c r="G175" i="2"/>
  <c r="N189" i="15" a="1"/>
  <c r="U189" i="18" a="1"/>
  <c r="U189" i="15" a="1"/>
  <c r="T189" i="18" a="1"/>
  <c r="T212" i="11" a="1"/>
  <c r="T189" i="15" a="1"/>
  <c r="N212" i="11" a="1"/>
  <c r="F175" i="2" a="1"/>
  <c r="N189" i="18" a="1"/>
  <c r="U212" i="11" a="1"/>
  <c r="V211" i="11" l="1"/>
  <c r="U189" i="18"/>
  <c r="T189" i="18"/>
  <c r="V189" i="18" s="1"/>
  <c r="N189" i="18"/>
  <c r="K191" i="18"/>
  <c r="O190" i="18"/>
  <c r="L190" i="18"/>
  <c r="M190" i="18" s="1"/>
  <c r="V188" i="15"/>
  <c r="T189" i="15"/>
  <c r="N189" i="15"/>
  <c r="U189" i="15"/>
  <c r="O190" i="15"/>
  <c r="K191" i="15"/>
  <c r="L190" i="15"/>
  <c r="M190" i="15" s="1"/>
  <c r="T212" i="11"/>
  <c r="U212" i="11"/>
  <c r="N212" i="11"/>
  <c r="M173" i="2"/>
  <c r="O173" i="2" s="1"/>
  <c r="J174" i="2"/>
  <c r="F175" i="2"/>
  <c r="G176" i="2"/>
  <c r="P173" i="2"/>
  <c r="F176" i="2" a="1"/>
  <c r="U190" i="18" a="1"/>
  <c r="N190" i="18" a="1"/>
  <c r="T190" i="18" a="1"/>
  <c r="T190" i="15" a="1"/>
  <c r="U190" i="15" a="1"/>
  <c r="N190" i="15" a="1"/>
  <c r="V212" i="11" l="1"/>
  <c r="S14" i="11" s="1"/>
  <c r="T190" i="18"/>
  <c r="V190" i="18" s="1"/>
  <c r="N190" i="18"/>
  <c r="U190" i="18"/>
  <c r="K192" i="18"/>
  <c r="O191" i="18"/>
  <c r="L191" i="18"/>
  <c r="M191" i="18" s="1"/>
  <c r="V189" i="15"/>
  <c r="N190" i="15"/>
  <c r="U190" i="15"/>
  <c r="T190" i="15"/>
  <c r="L191" i="15"/>
  <c r="M191" i="15" s="1"/>
  <c r="K192" i="15"/>
  <c r="O191" i="15"/>
  <c r="M174" i="2"/>
  <c r="O174" i="2" s="1"/>
  <c r="F176" i="2"/>
  <c r="J175" i="2"/>
  <c r="P174" i="2"/>
  <c r="G177" i="2"/>
  <c r="U191" i="18" a="1"/>
  <c r="N191" i="15" a="1"/>
  <c r="F177" i="2" a="1"/>
  <c r="T191" i="18" a="1"/>
  <c r="T191" i="15" a="1"/>
  <c r="U191" i="15" a="1"/>
  <c r="N191" i="18" a="1"/>
  <c r="N191" i="18" l="1"/>
  <c r="U191" i="18"/>
  <c r="T191" i="18"/>
  <c r="V191" i="18" s="1"/>
  <c r="V190" i="15"/>
  <c r="K193" i="18"/>
  <c r="O192" i="18"/>
  <c r="L192" i="18"/>
  <c r="M192" i="18" s="1"/>
  <c r="U191" i="15"/>
  <c r="T191" i="15"/>
  <c r="N191" i="15"/>
  <c r="K193" i="15"/>
  <c r="O192" i="15"/>
  <c r="L192" i="15"/>
  <c r="M192" i="15" s="1"/>
  <c r="M175" i="2"/>
  <c r="O175" i="2" s="1"/>
  <c r="P176" i="2"/>
  <c r="J176" i="2"/>
  <c r="F177" i="2"/>
  <c r="P175" i="2"/>
  <c r="G178" i="2"/>
  <c r="N192" i="18" a="1"/>
  <c r="N192" i="15" a="1"/>
  <c r="U192" i="15" a="1"/>
  <c r="T192" i="15" a="1"/>
  <c r="U192" i="18" a="1"/>
  <c r="F178" i="2" a="1"/>
  <c r="T192" i="18" a="1"/>
  <c r="V191" i="15" l="1"/>
  <c r="N192" i="18"/>
  <c r="U192" i="18"/>
  <c r="T192" i="18"/>
  <c r="V192" i="18" s="1"/>
  <c r="K194" i="18"/>
  <c r="O193" i="18"/>
  <c r="L193" i="18"/>
  <c r="M193" i="18" s="1"/>
  <c r="U192" i="15"/>
  <c r="T192" i="15"/>
  <c r="V192" i="15" s="1"/>
  <c r="N192" i="15"/>
  <c r="O193" i="15"/>
  <c r="K194" i="15"/>
  <c r="L193" i="15"/>
  <c r="M193" i="15" s="1"/>
  <c r="M176" i="2"/>
  <c r="O176" i="2" s="1"/>
  <c r="J177" i="2"/>
  <c r="P177" i="2"/>
  <c r="F178" i="2"/>
  <c r="G179" i="2"/>
  <c r="U193" i="15" a="1"/>
  <c r="F179" i="2" a="1"/>
  <c r="U193" i="18" a="1"/>
  <c r="N193" i="18" a="1"/>
  <c r="T193" i="15" a="1"/>
  <c r="T193" i="18" a="1"/>
  <c r="N193" i="15" a="1"/>
  <c r="N193" i="18" l="1"/>
  <c r="U193" i="18"/>
  <c r="T193" i="18"/>
  <c r="V193" i="18" s="1"/>
  <c r="O194" i="18"/>
  <c r="K195" i="18"/>
  <c r="L194" i="18"/>
  <c r="M194" i="18" s="1"/>
  <c r="T193" i="15"/>
  <c r="V193" i="15" s="1"/>
  <c r="N193" i="15"/>
  <c r="U193" i="15"/>
  <c r="O194" i="15"/>
  <c r="K195" i="15"/>
  <c r="L194" i="15"/>
  <c r="M194" i="15" s="1"/>
  <c r="M177" i="2"/>
  <c r="O177" i="2" s="1"/>
  <c r="F179" i="2"/>
  <c r="J178" i="2"/>
  <c r="G180" i="2"/>
  <c r="T194" i="15" a="1"/>
  <c r="N194" i="18" a="1"/>
  <c r="U194" i="15" a="1"/>
  <c r="N194" i="15" a="1"/>
  <c r="T194" i="18" a="1"/>
  <c r="U194" i="18" a="1"/>
  <c r="F180" i="2" a="1"/>
  <c r="N194" i="18" l="1"/>
  <c r="U194" i="18"/>
  <c r="T194" i="18"/>
  <c r="O195" i="18"/>
  <c r="K196" i="18"/>
  <c r="L195" i="18"/>
  <c r="M195" i="18" s="1"/>
  <c r="N194" i="15"/>
  <c r="U194" i="15"/>
  <c r="T194" i="15"/>
  <c r="L195" i="15"/>
  <c r="M195" i="15" s="1"/>
  <c r="K196" i="15"/>
  <c r="O195" i="15"/>
  <c r="M178" i="2"/>
  <c r="O178" i="2" s="1"/>
  <c r="J179" i="2"/>
  <c r="F180" i="2"/>
  <c r="P178" i="2"/>
  <c r="G181" i="2"/>
  <c r="F181" i="2" a="1"/>
  <c r="U195" i="15" a="1"/>
  <c r="N195" i="15" a="1"/>
  <c r="T195" i="15" a="1"/>
  <c r="T195" i="18" a="1"/>
  <c r="N195" i="18" a="1"/>
  <c r="U195" i="18" a="1"/>
  <c r="V194" i="18" l="1"/>
  <c r="V194" i="15"/>
  <c r="N195" i="18"/>
  <c r="U195" i="18"/>
  <c r="T195" i="18"/>
  <c r="V195" i="18" s="1"/>
  <c r="O196" i="18"/>
  <c r="K197" i="18"/>
  <c r="L196" i="18"/>
  <c r="M196" i="18" s="1"/>
  <c r="U195" i="15"/>
  <c r="T195" i="15"/>
  <c r="N195" i="15"/>
  <c r="K197" i="15"/>
  <c r="L196" i="15"/>
  <c r="M196" i="15" s="1"/>
  <c r="O196" i="15"/>
  <c r="M179" i="2"/>
  <c r="O179" i="2" s="1"/>
  <c r="F181" i="2"/>
  <c r="J180" i="2"/>
  <c r="P179" i="2"/>
  <c r="G182" i="2"/>
  <c r="U196" i="18" a="1"/>
  <c r="U196" i="15" a="1"/>
  <c r="T196" i="18" a="1"/>
  <c r="T196" i="15" a="1"/>
  <c r="N196" i="18" a="1"/>
  <c r="N196" i="15" a="1"/>
  <c r="F182" i="2" a="1"/>
  <c r="V195" i="15" l="1"/>
  <c r="N196" i="18"/>
  <c r="U196" i="18"/>
  <c r="T196" i="18"/>
  <c r="V196" i="18" s="1"/>
  <c r="O197" i="18"/>
  <c r="K198" i="18"/>
  <c r="L197" i="18"/>
  <c r="M197" i="18" s="1"/>
  <c r="U196" i="15"/>
  <c r="T196" i="15"/>
  <c r="N196" i="15"/>
  <c r="O197" i="15"/>
  <c r="K198" i="15"/>
  <c r="L197" i="15"/>
  <c r="M197" i="15" s="1"/>
  <c r="M180" i="2"/>
  <c r="O180" i="2" s="1"/>
  <c r="F182" i="2"/>
  <c r="J181" i="2"/>
  <c r="P180" i="2"/>
  <c r="G183" i="2"/>
  <c r="T197" i="18" a="1"/>
  <c r="F183" i="2" a="1"/>
  <c r="U197" i="18" a="1"/>
  <c r="T197" i="15" a="1"/>
  <c r="N197" i="15" a="1"/>
  <c r="N197" i="18" a="1"/>
  <c r="U197" i="15" a="1"/>
  <c r="V196" i="15" l="1"/>
  <c r="T197" i="18"/>
  <c r="N197" i="18"/>
  <c r="U197" i="18"/>
  <c r="O198" i="18"/>
  <c r="K199" i="18"/>
  <c r="L198" i="18"/>
  <c r="M198" i="18" s="1"/>
  <c r="T197" i="15"/>
  <c r="N197" i="15"/>
  <c r="U197" i="15"/>
  <c r="O198" i="15"/>
  <c r="K199" i="15"/>
  <c r="L198" i="15"/>
  <c r="M198" i="15" s="1"/>
  <c r="M181" i="2"/>
  <c r="O181" i="2" s="1"/>
  <c r="J182" i="2"/>
  <c r="F183" i="2"/>
  <c r="P181" i="2"/>
  <c r="G184" i="2"/>
  <c r="N198" i="15" a="1"/>
  <c r="F184" i="2" a="1"/>
  <c r="N198" i="18" a="1"/>
  <c r="U198" i="15" a="1"/>
  <c r="T198" i="15" a="1"/>
  <c r="T198" i="18" a="1"/>
  <c r="U198" i="18" a="1"/>
  <c r="V197" i="18" l="1"/>
  <c r="U198" i="18"/>
  <c r="T198" i="18"/>
  <c r="V198" i="18" s="1"/>
  <c r="N198" i="18"/>
  <c r="V197" i="15"/>
  <c r="O199" i="18"/>
  <c r="L199" i="18"/>
  <c r="M199" i="18" s="1"/>
  <c r="K200" i="18"/>
  <c r="N198" i="15"/>
  <c r="U198" i="15"/>
  <c r="T198" i="15"/>
  <c r="V198" i="15" s="1"/>
  <c r="L199" i="15"/>
  <c r="M199" i="15" s="1"/>
  <c r="K200" i="15"/>
  <c r="O199" i="15"/>
  <c r="M182" i="2"/>
  <c r="O182" i="2" s="1"/>
  <c r="J183" i="2"/>
  <c r="P183" i="2"/>
  <c r="F184" i="2"/>
  <c r="P182" i="2"/>
  <c r="G185" i="2"/>
  <c r="N199" i="18" a="1"/>
  <c r="U199" i="18" a="1"/>
  <c r="T199" i="18" a="1"/>
  <c r="T199" i="15" a="1"/>
  <c r="N199" i="15" a="1"/>
  <c r="U199" i="15" a="1"/>
  <c r="F185" i="2" a="1"/>
  <c r="T199" i="18" l="1"/>
  <c r="U199" i="18"/>
  <c r="N199" i="18"/>
  <c r="O200" i="18"/>
  <c r="L200" i="18"/>
  <c r="M200" i="18" s="1"/>
  <c r="K201" i="18"/>
  <c r="U199" i="15"/>
  <c r="T199" i="15"/>
  <c r="N199" i="15"/>
  <c r="K201" i="15"/>
  <c r="O200" i="15"/>
  <c r="L200" i="15"/>
  <c r="M200" i="15" s="1"/>
  <c r="M183" i="2"/>
  <c r="O183" i="2" s="1"/>
  <c r="J184" i="2"/>
  <c r="F185" i="2"/>
  <c r="G186" i="2"/>
  <c r="T200" i="15" a="1"/>
  <c r="F186" i="2" a="1"/>
  <c r="U200" i="18" a="1"/>
  <c r="N200" i="18" a="1"/>
  <c r="T200" i="18" a="1"/>
  <c r="N200" i="15" a="1"/>
  <c r="U200" i="15" a="1"/>
  <c r="T200" i="18" l="1"/>
  <c r="N200" i="18"/>
  <c r="U200" i="18"/>
  <c r="V199" i="15"/>
  <c r="V199" i="18"/>
  <c r="O201" i="18"/>
  <c r="L201" i="18"/>
  <c r="M201" i="18" s="1"/>
  <c r="K202" i="18"/>
  <c r="U200" i="15"/>
  <c r="T200" i="15"/>
  <c r="N200" i="15"/>
  <c r="O201" i="15"/>
  <c r="K202" i="15"/>
  <c r="L201" i="15"/>
  <c r="M201" i="15" s="1"/>
  <c r="M184" i="2"/>
  <c r="O184" i="2" s="1"/>
  <c r="J185" i="2"/>
  <c r="F186" i="2"/>
  <c r="P184" i="2"/>
  <c r="G187" i="2"/>
  <c r="T201" i="15" a="1"/>
  <c r="F187" i="2" a="1"/>
  <c r="N201" i="18" a="1"/>
  <c r="U201" i="18" a="1"/>
  <c r="U201" i="15" a="1"/>
  <c r="N201" i="15" a="1"/>
  <c r="T201" i="18" a="1"/>
  <c r="V200" i="15" l="1"/>
  <c r="T201" i="18"/>
  <c r="U201" i="18"/>
  <c r="N201" i="18"/>
  <c r="V200" i="18"/>
  <c r="O202" i="18"/>
  <c r="L202" i="18"/>
  <c r="M202" i="18" s="1"/>
  <c r="K203" i="18"/>
  <c r="T201" i="15"/>
  <c r="N201" i="15"/>
  <c r="U201" i="15"/>
  <c r="O202" i="15"/>
  <c r="K203" i="15"/>
  <c r="L202" i="15"/>
  <c r="M202" i="15" s="1"/>
  <c r="M185" i="2"/>
  <c r="O185" i="2" s="1"/>
  <c r="J186" i="2"/>
  <c r="F187" i="2"/>
  <c r="P185" i="2"/>
  <c r="G188" i="2"/>
  <c r="U202" i="18" a="1"/>
  <c r="U202" i="15" a="1"/>
  <c r="T202" i="18" a="1"/>
  <c r="N202" i="18" a="1"/>
  <c r="F188" i="2" a="1"/>
  <c r="T202" i="15" a="1"/>
  <c r="N202" i="15" a="1"/>
  <c r="V201" i="15" l="1"/>
  <c r="V201" i="18"/>
  <c r="U202" i="18"/>
  <c r="N202" i="18"/>
  <c r="T202" i="18"/>
  <c r="O203" i="18"/>
  <c r="L203" i="18"/>
  <c r="M203" i="18" s="1"/>
  <c r="K204" i="18"/>
  <c r="N202" i="15"/>
  <c r="U202" i="15"/>
  <c r="T202" i="15"/>
  <c r="L203" i="15"/>
  <c r="M203" i="15" s="1"/>
  <c r="K204" i="15"/>
  <c r="O203" i="15"/>
  <c r="M186" i="2"/>
  <c r="O186" i="2" s="1"/>
  <c r="J187" i="2"/>
  <c r="F188" i="2"/>
  <c r="P186" i="2"/>
  <c r="G189" i="2"/>
  <c r="N203" i="18" a="1"/>
  <c r="U203" i="18" a="1"/>
  <c r="U203" i="15" a="1"/>
  <c r="N203" i="15" a="1"/>
  <c r="T203" i="15" a="1"/>
  <c r="T203" i="18" a="1"/>
  <c r="F189" i="2" a="1"/>
  <c r="V202" i="15" l="1"/>
  <c r="U203" i="18"/>
  <c r="N203" i="18"/>
  <c r="T203" i="18"/>
  <c r="V203" i="18" s="1"/>
  <c r="V202" i="18"/>
  <c r="O204" i="18"/>
  <c r="L204" i="18"/>
  <c r="M204" i="18" s="1"/>
  <c r="K205" i="18"/>
  <c r="U203" i="15"/>
  <c r="T203" i="15"/>
  <c r="N203" i="15"/>
  <c r="K205" i="15"/>
  <c r="O204" i="15"/>
  <c r="L204" i="15"/>
  <c r="M204" i="15" s="1"/>
  <c r="M187" i="2"/>
  <c r="O187" i="2" s="1"/>
  <c r="J188" i="2"/>
  <c r="F189" i="2"/>
  <c r="G190" i="2"/>
  <c r="P187" i="2"/>
  <c r="N204" i="18" a="1"/>
  <c r="U204" i="18" a="1"/>
  <c r="T204" i="15" a="1"/>
  <c r="U204" i="15" a="1"/>
  <c r="F190" i="2" a="1"/>
  <c r="T204" i="18" a="1"/>
  <c r="N204" i="15" a="1"/>
  <c r="U204" i="18" l="1"/>
  <c r="N204" i="18"/>
  <c r="T204" i="18"/>
  <c r="V203" i="15"/>
  <c r="O205" i="18"/>
  <c r="L205" i="18"/>
  <c r="M205" i="18" s="1"/>
  <c r="K206" i="18"/>
  <c r="U204" i="15"/>
  <c r="T204" i="15"/>
  <c r="N204" i="15"/>
  <c r="O205" i="15"/>
  <c r="K206" i="15"/>
  <c r="L205" i="15"/>
  <c r="M205" i="15" s="1"/>
  <c r="M188" i="2"/>
  <c r="O188" i="2" s="1"/>
  <c r="J189" i="2"/>
  <c r="P189" i="2"/>
  <c r="F190" i="2"/>
  <c r="P188" i="2"/>
  <c r="G191" i="2"/>
  <c r="U205" i="18" a="1"/>
  <c r="F191" i="2" a="1"/>
  <c r="U205" i="15" a="1"/>
  <c r="N205" i="15" a="1"/>
  <c r="T205" i="15" a="1"/>
  <c r="N205" i="18" a="1"/>
  <c r="T205" i="18" a="1"/>
  <c r="U205" i="18" l="1"/>
  <c r="N205" i="18"/>
  <c r="T205" i="18"/>
  <c r="V204" i="18"/>
  <c r="O206" i="18"/>
  <c r="L206" i="18"/>
  <c r="M206" i="18" s="1"/>
  <c r="K207" i="18"/>
  <c r="V204" i="15"/>
  <c r="T205" i="15"/>
  <c r="V205" i="15" s="1"/>
  <c r="N205" i="15"/>
  <c r="U205" i="15"/>
  <c r="O206" i="15"/>
  <c r="K207" i="15"/>
  <c r="L206" i="15"/>
  <c r="M206" i="15" s="1"/>
  <c r="M189" i="2"/>
  <c r="O189" i="2" s="1"/>
  <c r="F191" i="2"/>
  <c r="J190" i="2"/>
  <c r="G192" i="2"/>
  <c r="N206" i="15" a="1"/>
  <c r="U206" i="15" a="1"/>
  <c r="F192" i="2" a="1"/>
  <c r="N206" i="18" a="1"/>
  <c r="T206" i="15" a="1"/>
  <c r="T206" i="18" a="1"/>
  <c r="U206" i="18" a="1"/>
  <c r="U206" i="18" l="1"/>
  <c r="N206" i="18"/>
  <c r="T206" i="18"/>
  <c r="V205" i="18"/>
  <c r="O207" i="18"/>
  <c r="L207" i="18"/>
  <c r="M207" i="18" s="1"/>
  <c r="K208" i="18"/>
  <c r="N206" i="15"/>
  <c r="U206" i="15"/>
  <c r="T206" i="15"/>
  <c r="L207" i="15"/>
  <c r="M207" i="15" s="1"/>
  <c r="K208" i="15"/>
  <c r="O207" i="15"/>
  <c r="M190" i="2"/>
  <c r="O190" i="2" s="1"/>
  <c r="F192" i="2"/>
  <c r="J191" i="2"/>
  <c r="P190" i="2"/>
  <c r="G193" i="2"/>
  <c r="F193" i="2" a="1"/>
  <c r="T207" i="15" a="1"/>
  <c r="N207" i="15" a="1"/>
  <c r="N207" i="18" a="1"/>
  <c r="U207" i="15" a="1"/>
  <c r="T207" i="18" a="1"/>
  <c r="U207" i="18" a="1"/>
  <c r="U207" i="18" l="1"/>
  <c r="N207" i="18"/>
  <c r="T207" i="18"/>
  <c r="V206" i="18"/>
  <c r="O208" i="18"/>
  <c r="L208" i="18"/>
  <c r="M208" i="18" s="1"/>
  <c r="K209" i="18"/>
  <c r="V206" i="15"/>
  <c r="U207" i="15"/>
  <c r="T207" i="15"/>
  <c r="N207" i="15"/>
  <c r="O208" i="15"/>
  <c r="K209" i="15"/>
  <c r="L208" i="15"/>
  <c r="M208" i="15" s="1"/>
  <c r="M191" i="2"/>
  <c r="O191" i="2" s="1"/>
  <c r="P192" i="2"/>
  <c r="J192" i="2"/>
  <c r="F193" i="2"/>
  <c r="P191" i="2"/>
  <c r="G194" i="2"/>
  <c r="N208" i="18" a="1"/>
  <c r="U208" i="18" a="1"/>
  <c r="T208" i="18" a="1"/>
  <c r="U208" i="15" a="1"/>
  <c r="T208" i="15" a="1"/>
  <c r="N208" i="15" a="1"/>
  <c r="F194" i="2" a="1"/>
  <c r="U208" i="18" l="1"/>
  <c r="N208" i="18"/>
  <c r="T208" i="18"/>
  <c r="V207" i="18"/>
  <c r="O209" i="18"/>
  <c r="L209" i="18"/>
  <c r="M209" i="18" s="1"/>
  <c r="K210" i="18"/>
  <c r="V207" i="15"/>
  <c r="U208" i="15"/>
  <c r="T208" i="15"/>
  <c r="N208" i="15"/>
  <c r="O209" i="15"/>
  <c r="K210" i="15"/>
  <c r="L209" i="15"/>
  <c r="M209" i="15" s="1"/>
  <c r="M192" i="2"/>
  <c r="O192" i="2" s="1"/>
  <c r="J193" i="2"/>
  <c r="F194" i="2"/>
  <c r="G195" i="2"/>
  <c r="U209" i="15" a="1"/>
  <c r="F195" i="2" a="1"/>
  <c r="N209" i="15" a="1"/>
  <c r="T209" i="15" a="1"/>
  <c r="T209" i="18" a="1"/>
  <c r="N209" i="18" a="1"/>
  <c r="U209" i="18" a="1"/>
  <c r="V208" i="18" l="1"/>
  <c r="U209" i="18"/>
  <c r="N209" i="18"/>
  <c r="T209" i="18"/>
  <c r="O210" i="18"/>
  <c r="L210" i="18"/>
  <c r="M210" i="18" s="1"/>
  <c r="K211" i="18"/>
  <c r="V208" i="15"/>
  <c r="T209" i="15"/>
  <c r="V209" i="15" s="1"/>
  <c r="N209" i="15"/>
  <c r="U209" i="15"/>
  <c r="O210" i="15"/>
  <c r="K211" i="15"/>
  <c r="L210" i="15"/>
  <c r="M210" i="15" s="1"/>
  <c r="M193" i="2"/>
  <c r="O193" i="2" s="1"/>
  <c r="J194" i="2"/>
  <c r="F195" i="2"/>
  <c r="P193" i="2"/>
  <c r="G196" i="2"/>
  <c r="N210" i="18" a="1"/>
  <c r="U210" i="18" a="1"/>
  <c r="T210" i="18" a="1"/>
  <c r="F196" i="2" a="1"/>
  <c r="U210" i="15" a="1"/>
  <c r="N210" i="15" a="1"/>
  <c r="T210" i="15" a="1"/>
  <c r="U210" i="18" l="1"/>
  <c r="N210" i="18"/>
  <c r="T210" i="18"/>
  <c r="V210" i="18" s="1"/>
  <c r="V209" i="18"/>
  <c r="O211" i="18"/>
  <c r="L211" i="18"/>
  <c r="M211" i="18" s="1"/>
  <c r="K212" i="18"/>
  <c r="N210" i="15"/>
  <c r="U210" i="15"/>
  <c r="T210" i="15"/>
  <c r="L211" i="15"/>
  <c r="M211" i="15" s="1"/>
  <c r="K212" i="15"/>
  <c r="O211" i="15"/>
  <c r="M194" i="2"/>
  <c r="O194" i="2" s="1"/>
  <c r="J195" i="2"/>
  <c r="F196" i="2"/>
  <c r="P194" i="2"/>
  <c r="G197" i="2"/>
  <c r="U211" i="18" a="1"/>
  <c r="F197" i="2" a="1"/>
  <c r="T211" i="18" a="1"/>
  <c r="T211" i="15" a="1"/>
  <c r="U211" i="15" a="1"/>
  <c r="N211" i="18" a="1"/>
  <c r="N211" i="15" a="1"/>
  <c r="U211" i="18" l="1"/>
  <c r="N211" i="18"/>
  <c r="T211" i="18"/>
  <c r="V211" i="18" s="1"/>
  <c r="O212" i="18"/>
  <c r="L212" i="18"/>
  <c r="M212" i="18" s="1"/>
  <c r="V210" i="15"/>
  <c r="U211" i="15"/>
  <c r="T211" i="15"/>
  <c r="N211" i="15"/>
  <c r="O212" i="15"/>
  <c r="L212" i="15"/>
  <c r="M212" i="15" s="1"/>
  <c r="M195" i="2"/>
  <c r="O195" i="2" s="1"/>
  <c r="F197" i="2"/>
  <c r="J196" i="2"/>
  <c r="G198" i="2"/>
  <c r="P195" i="2"/>
  <c r="T212" i="15" a="1"/>
  <c r="U212" i="15" a="1"/>
  <c r="F198" i="2" a="1"/>
  <c r="T212" i="18" a="1"/>
  <c r="U212" i="18" a="1"/>
  <c r="N212" i="15" a="1"/>
  <c r="N212" i="18" a="1"/>
  <c r="U212" i="18" l="1"/>
  <c r="N212" i="18"/>
  <c r="T212" i="18"/>
  <c r="V211" i="15"/>
  <c r="U212" i="15"/>
  <c r="T212" i="15"/>
  <c r="V212" i="15" s="1"/>
  <c r="N212" i="15"/>
  <c r="S14" i="15"/>
  <c r="M196" i="2"/>
  <c r="O196" i="2" s="1"/>
  <c r="F198" i="2"/>
  <c r="J197" i="2"/>
  <c r="P196" i="2"/>
  <c r="G199" i="2"/>
  <c r="F199" i="2" a="1"/>
  <c r="V212" i="18" l="1"/>
  <c r="S14" i="18" s="1"/>
  <c r="M197" i="2"/>
  <c r="O197" i="2" s="1"/>
  <c r="F199" i="2"/>
  <c r="P197" i="2"/>
  <c r="J198" i="2"/>
  <c r="G200" i="2"/>
  <c r="F200" i="2" a="1"/>
  <c r="M198" i="2" l="1"/>
  <c r="O198" i="2" s="1"/>
  <c r="J199" i="2"/>
  <c r="F200" i="2"/>
  <c r="P198" i="2"/>
  <c r="G201" i="2"/>
  <c r="F201" i="2" a="1"/>
  <c r="M199" i="2" l="1"/>
  <c r="O199" i="2" s="1"/>
  <c r="F201" i="2"/>
  <c r="J200" i="2"/>
  <c r="P199" i="2"/>
  <c r="G202" i="2"/>
  <c r="F202" i="2" a="1"/>
  <c r="M200" i="2" l="1"/>
  <c r="O200" i="2" s="1"/>
  <c r="J201" i="2"/>
  <c r="P201" i="2"/>
  <c r="F202" i="2"/>
  <c r="P200" i="2"/>
  <c r="G203" i="2"/>
  <c r="F203" i="2" a="1"/>
  <c r="M201" i="2" l="1"/>
  <c r="O201" i="2" s="1"/>
  <c r="J202" i="2"/>
  <c r="F203" i="2"/>
  <c r="G204" i="2"/>
  <c r="F204" i="2" a="1"/>
  <c r="M202" i="2" l="1"/>
  <c r="O202" i="2" s="1"/>
  <c r="J203" i="2"/>
  <c r="F204" i="2"/>
  <c r="G205" i="2"/>
  <c r="P202" i="2"/>
  <c r="F205" i="2" a="1"/>
  <c r="M203" i="2" l="1"/>
  <c r="O203" i="2" s="1"/>
  <c r="F205" i="2"/>
  <c r="J204" i="2"/>
  <c r="P203" i="2"/>
  <c r="G206" i="2"/>
  <c r="F206" i="2" a="1"/>
  <c r="M204" i="2" l="1"/>
  <c r="O204" i="2" s="1"/>
  <c r="F206" i="2"/>
  <c r="J205" i="2"/>
  <c r="P204" i="2"/>
  <c r="G207" i="2"/>
  <c r="F207" i="2" a="1"/>
  <c r="M205" i="2" l="1"/>
  <c r="O205" i="2" s="1"/>
  <c r="F207" i="2"/>
  <c r="J206" i="2"/>
  <c r="P205" i="2"/>
  <c r="G208" i="2"/>
  <c r="F208" i="2" a="1"/>
  <c r="M206" i="2" l="1"/>
  <c r="O206" i="2" s="1"/>
  <c r="J207" i="2"/>
  <c r="F208" i="2"/>
  <c r="P206" i="2"/>
  <c r="G209" i="2"/>
  <c r="F209" i="2" a="1"/>
  <c r="M207" i="2" l="1"/>
  <c r="O207" i="2" s="1"/>
  <c r="J208" i="2"/>
  <c r="F209" i="2"/>
  <c r="P207" i="2"/>
  <c r="G210" i="2"/>
  <c r="F210" i="2" a="1"/>
  <c r="M208" i="2" l="1"/>
  <c r="O208" i="2" s="1"/>
  <c r="J209" i="2"/>
  <c r="P209" i="2"/>
  <c r="F210" i="2"/>
  <c r="G211" i="2"/>
  <c r="P208" i="2"/>
  <c r="F211" i="2" a="1"/>
  <c r="M209" i="2" l="1"/>
  <c r="O209" i="2" s="1"/>
  <c r="J210" i="2"/>
  <c r="F211" i="2"/>
  <c r="P210" i="2"/>
  <c r="G212" i="2"/>
  <c r="F212" i="2" a="1"/>
  <c r="M210" i="2" l="1"/>
  <c r="O210" i="2" s="1"/>
  <c r="J211" i="2"/>
  <c r="F212" i="2"/>
  <c r="G213" i="2"/>
  <c r="F213" i="2" a="1"/>
  <c r="M211" i="2" l="1"/>
  <c r="O211" i="2" s="1"/>
  <c r="J212" i="2"/>
  <c r="P212" i="2"/>
  <c r="F213" i="2"/>
  <c r="P211" i="2"/>
  <c r="G214" i="2"/>
  <c r="F214" i="2" a="1"/>
  <c r="M212" i="2" l="1"/>
  <c r="O212" i="2" s="1"/>
  <c r="J213" i="2"/>
  <c r="F214" i="2"/>
  <c r="G215" i="2"/>
  <c r="F215" i="2" a="1"/>
  <c r="M213" i="2" l="1"/>
  <c r="O213" i="2" s="1"/>
  <c r="J214" i="2"/>
  <c r="F215" i="2"/>
  <c r="P213" i="2"/>
  <c r="G216" i="2"/>
  <c r="F216" i="2" a="1"/>
  <c r="M214" i="2" l="1"/>
  <c r="O214" i="2" s="1"/>
  <c r="J215" i="2"/>
  <c r="F216" i="2"/>
  <c r="P214" i="2"/>
  <c r="G217" i="2"/>
  <c r="F217" i="2" a="1"/>
  <c r="M215" i="2" l="1"/>
  <c r="O215" i="2" s="1"/>
  <c r="J216" i="2"/>
  <c r="P216" i="2"/>
  <c r="F217" i="2"/>
  <c r="P215" i="2"/>
  <c r="G218" i="2"/>
  <c r="F218" i="2" a="1"/>
  <c r="M216" i="2" l="1"/>
  <c r="O216" i="2" s="1"/>
  <c r="F218" i="2"/>
  <c r="J217" i="2"/>
  <c r="G219" i="2"/>
  <c r="F219" i="2" a="1"/>
  <c r="M217" i="2" l="1"/>
  <c r="O217" i="2" s="1"/>
  <c r="J218" i="2"/>
  <c r="F219" i="2"/>
  <c r="P217" i="2"/>
  <c r="G220" i="2"/>
  <c r="F220" i="2" a="1"/>
  <c r="M218" i="2" l="1"/>
  <c r="O218" i="2" s="1"/>
  <c r="F220" i="2"/>
  <c r="J219" i="2"/>
  <c r="P218" i="2"/>
  <c r="G221" i="2"/>
  <c r="F221" i="2" a="1"/>
  <c r="M219" i="2" l="1"/>
  <c r="O219" i="2" s="1"/>
  <c r="F221" i="2"/>
  <c r="J220" i="2"/>
  <c r="P219" i="2"/>
  <c r="G222" i="2"/>
  <c r="F222" i="2" a="1"/>
  <c r="M220" i="2" l="1"/>
  <c r="O220" i="2" s="1"/>
  <c r="J221" i="2"/>
  <c r="F222" i="2"/>
  <c r="P220" i="2"/>
  <c r="G223" i="2"/>
  <c r="F223" i="2" a="1"/>
  <c r="M221" i="2" l="1"/>
  <c r="O221" i="2" s="1"/>
  <c r="J222" i="2"/>
  <c r="P222" i="2"/>
  <c r="F223" i="2"/>
  <c r="P221" i="2"/>
  <c r="G224" i="2"/>
  <c r="F224" i="2" a="1"/>
  <c r="M222" i="2" l="1"/>
  <c r="O222" i="2" s="1"/>
  <c r="F224" i="2"/>
  <c r="J223" i="2"/>
  <c r="G225" i="2"/>
  <c r="F225" i="2" a="1"/>
  <c r="M223" i="2" l="1"/>
  <c r="O223" i="2" s="1"/>
  <c r="J224" i="2"/>
  <c r="F225" i="2"/>
  <c r="P223" i="2"/>
  <c r="G226" i="2"/>
  <c r="F226" i="2" a="1"/>
  <c r="M224" i="2" l="1"/>
  <c r="O224" i="2" s="1"/>
  <c r="J225" i="2"/>
  <c r="F226" i="2"/>
  <c r="P224" i="2"/>
  <c r="P225" i="2"/>
  <c r="G227" i="2"/>
  <c r="F227" i="2" a="1"/>
  <c r="M225" i="2" l="1"/>
  <c r="J226" i="2"/>
  <c r="F227" i="2"/>
  <c r="O225" i="2"/>
  <c r="G228" i="2"/>
  <c r="F228" i="2" a="1"/>
  <c r="M226" i="2" l="1"/>
  <c r="O226" i="2" s="1"/>
  <c r="J227" i="2"/>
  <c r="F228" i="2"/>
  <c r="P226" i="2"/>
  <c r="G229" i="2"/>
  <c r="F229" i="2" a="1"/>
  <c r="M227" i="2" l="1"/>
  <c r="O227" i="2" s="1"/>
  <c r="J228" i="2"/>
  <c r="F229" i="2"/>
  <c r="P227" i="2"/>
  <c r="G230" i="2"/>
  <c r="F230" i="2" a="1"/>
  <c r="M228" i="2" l="1"/>
  <c r="F230" i="2"/>
  <c r="J229" i="2"/>
  <c r="P228" i="2"/>
  <c r="O228" i="2"/>
  <c r="G231" i="2"/>
  <c r="F231" i="2" a="1"/>
  <c r="M229" i="2" l="1"/>
  <c r="J230" i="2"/>
  <c r="P230" i="2"/>
  <c r="F231" i="2"/>
  <c r="P229" i="2"/>
  <c r="O229" i="2"/>
  <c r="G232" i="2"/>
  <c r="F232" i="2" a="1"/>
  <c r="M230" i="2" l="1"/>
  <c r="J231" i="2"/>
  <c r="F232" i="2"/>
  <c r="O230" i="2"/>
  <c r="G233" i="2"/>
  <c r="F233" i="2" a="1"/>
  <c r="M231" i="2" l="1"/>
  <c r="O231" i="2" s="1"/>
  <c r="J232" i="2"/>
  <c r="P232" i="2"/>
  <c r="F233" i="2"/>
  <c r="P231" i="2"/>
  <c r="G234" i="2"/>
  <c r="F234" i="2" a="1"/>
  <c r="M232" i="2" l="1"/>
  <c r="O232" i="2" s="1"/>
  <c r="J233" i="2"/>
  <c r="F234" i="2"/>
  <c r="G235" i="2"/>
  <c r="F235" i="2" a="1"/>
  <c r="M233" i="2" l="1"/>
  <c r="O233" i="2" s="1"/>
  <c r="F235" i="2"/>
  <c r="J234" i="2"/>
  <c r="P233" i="2"/>
  <c r="G236" i="2"/>
  <c r="F236" i="2" a="1"/>
  <c r="M234" i="2" l="1"/>
  <c r="O234" i="2" s="1"/>
  <c r="J235" i="2"/>
  <c r="F236" i="2"/>
  <c r="P234" i="2"/>
  <c r="G237" i="2"/>
  <c r="F237" i="2" a="1"/>
  <c r="M235" i="2" l="1"/>
  <c r="O235" i="2" s="1"/>
  <c r="J236" i="2"/>
  <c r="F237" i="2"/>
  <c r="P235" i="2"/>
  <c r="G238" i="2"/>
  <c r="F238" i="2" a="1"/>
  <c r="M236" i="2" l="1"/>
  <c r="O236" i="2" s="1"/>
  <c r="F238" i="2"/>
  <c r="J237" i="2"/>
  <c r="P236" i="2"/>
  <c r="G239" i="2"/>
  <c r="F239" i="2" a="1"/>
  <c r="M237" i="2" l="1"/>
  <c r="F239" i="2"/>
  <c r="J238" i="2"/>
  <c r="O237" i="2"/>
  <c r="P237" i="2"/>
  <c r="G240" i="2"/>
  <c r="F240" i="2" a="1"/>
  <c r="M238" i="2" l="1"/>
  <c r="J239" i="2"/>
  <c r="P239" i="2"/>
  <c r="F240" i="2"/>
  <c r="G241" i="2"/>
  <c r="P238" i="2"/>
  <c r="O238" i="2"/>
  <c r="F241" i="2" a="1"/>
  <c r="M239" i="2" l="1"/>
  <c r="J240" i="2"/>
  <c r="P240" i="2"/>
  <c r="F241" i="2"/>
  <c r="O239" i="2"/>
  <c r="G242" i="2"/>
  <c r="F242" i="2" a="1"/>
  <c r="M240" i="2" l="1"/>
  <c r="J241" i="2"/>
  <c r="P241" i="2"/>
  <c r="F242" i="2"/>
  <c r="O240" i="2"/>
  <c r="G243" i="2"/>
  <c r="F243" i="2" a="1"/>
  <c r="M241" i="2" l="1"/>
  <c r="O241" i="2" s="1"/>
  <c r="J242" i="2"/>
  <c r="F243" i="2"/>
  <c r="G244" i="2"/>
  <c r="F244" i="2" a="1"/>
  <c r="M242" i="2" l="1"/>
  <c r="F244" i="2"/>
  <c r="J243" i="2"/>
  <c r="G245" i="2"/>
  <c r="P242" i="2"/>
  <c r="O242" i="2"/>
  <c r="F245" i="2" a="1"/>
  <c r="M243" i="2" l="1"/>
  <c r="J244" i="2"/>
  <c r="F245" i="2"/>
  <c r="P243" i="2"/>
  <c r="O243" i="2"/>
  <c r="G246" i="2"/>
  <c r="F246" i="2" a="1"/>
  <c r="M244" i="2" l="1"/>
  <c r="O244" i="2" s="1"/>
  <c r="J245" i="2"/>
  <c r="F246" i="2"/>
  <c r="P244" i="2"/>
  <c r="G247" i="2"/>
  <c r="F247" i="2" a="1"/>
  <c r="M245" i="2" l="1"/>
  <c r="O245" i="2" s="1"/>
  <c r="J246" i="2"/>
  <c r="F247" i="2"/>
  <c r="P245" i="2"/>
  <c r="G248" i="2"/>
  <c r="F248" i="2" a="1"/>
  <c r="M246" i="2" l="1"/>
  <c r="O246" i="2" s="1"/>
  <c r="J247" i="2"/>
  <c r="F248" i="2"/>
  <c r="P246" i="2"/>
  <c r="G249" i="2"/>
  <c r="F249" i="2" a="1"/>
  <c r="M247" i="2" l="1"/>
  <c r="O247" i="2" s="1"/>
  <c r="F249" i="2"/>
  <c r="J248" i="2"/>
  <c r="P247" i="2"/>
  <c r="G250" i="2"/>
  <c r="F250" i="2" a="1"/>
  <c r="M248" i="2" l="1"/>
  <c r="P248" i="2"/>
  <c r="F250" i="2"/>
  <c r="J249" i="2"/>
  <c r="O248" i="2"/>
  <c r="G251" i="2"/>
  <c r="F251" i="2" a="1"/>
  <c r="M249" i="2" l="1"/>
  <c r="F251" i="2"/>
  <c r="J250" i="2"/>
  <c r="P249" i="2"/>
  <c r="O249" i="2"/>
  <c r="G252" i="2"/>
  <c r="F252" i="2" a="1"/>
  <c r="M250" i="2" l="1"/>
  <c r="J251" i="2"/>
  <c r="P251" i="2"/>
  <c r="F252" i="2"/>
  <c r="O250" i="2"/>
  <c r="P250" i="2"/>
  <c r="G253" i="2"/>
  <c r="F253" i="2" a="1"/>
  <c r="M251" i="2" l="1"/>
  <c r="O251" i="2" s="1"/>
  <c r="J252" i="2"/>
  <c r="P252" i="2"/>
  <c r="F253" i="2"/>
  <c r="G254" i="2"/>
  <c r="F254" i="2" a="1"/>
  <c r="M252" i="2" l="1"/>
  <c r="O252" i="2" s="1"/>
  <c r="J253" i="2"/>
  <c r="F254" i="2"/>
  <c r="G255" i="2"/>
  <c r="F255" i="2" a="1"/>
  <c r="M253" i="2" l="1"/>
  <c r="J254" i="2"/>
  <c r="P254" i="2"/>
  <c r="F255" i="2"/>
  <c r="G256" i="2"/>
  <c r="P253" i="2"/>
  <c r="O253" i="2"/>
  <c r="F256" i="2" a="1"/>
  <c r="M254" i="2" l="1"/>
  <c r="O254" i="2" s="1"/>
  <c r="F256" i="2"/>
  <c r="J255" i="2"/>
  <c r="G257" i="2"/>
  <c r="F257" i="2" a="1"/>
  <c r="M255" i="2" l="1"/>
  <c r="J256" i="2"/>
  <c r="F257" i="2"/>
  <c r="P255" i="2"/>
  <c r="O255" i="2"/>
  <c r="G258" i="2"/>
  <c r="F258" i="2" a="1"/>
  <c r="M256" i="2" l="1"/>
  <c r="J257" i="2"/>
  <c r="P257" i="2"/>
  <c r="F258" i="2"/>
  <c r="P256" i="2"/>
  <c r="O256" i="2"/>
  <c r="G259" i="2"/>
  <c r="F259" i="2" a="1"/>
  <c r="M257" i="2" l="1"/>
  <c r="J258" i="2"/>
  <c r="P258" i="2"/>
  <c r="F259" i="2"/>
  <c r="O257" i="2"/>
  <c r="G260" i="2"/>
  <c r="F260" i="2" a="1"/>
  <c r="M258" i="2" l="1"/>
  <c r="O258" i="2" s="1"/>
  <c r="F260" i="2"/>
  <c r="J259" i="2"/>
  <c r="G261" i="2"/>
  <c r="F261" i="2" a="1"/>
  <c r="M259" i="2" l="1"/>
  <c r="O259" i="2" s="1"/>
  <c r="F261" i="2"/>
  <c r="J260" i="2"/>
  <c r="P259" i="2"/>
  <c r="G262" i="2"/>
  <c r="F262" i="2" a="1"/>
  <c r="M260" i="2" l="1"/>
  <c r="O260" i="2" s="1"/>
  <c r="J261" i="2"/>
  <c r="F262" i="2"/>
  <c r="P260" i="2"/>
  <c r="G263" i="2"/>
  <c r="F263" i="2" a="1"/>
  <c r="M261" i="2" l="1"/>
  <c r="O261" i="2" s="1"/>
  <c r="J262" i="2"/>
  <c r="F263" i="2"/>
  <c r="P261" i="2"/>
  <c r="G264" i="2"/>
  <c r="F264" i="2" a="1"/>
  <c r="M262" i="2" l="1"/>
  <c r="O262" i="2" s="1"/>
  <c r="J263" i="2"/>
  <c r="F264" i="2"/>
  <c r="P262" i="2"/>
  <c r="G265" i="2"/>
  <c r="F265" i="2" a="1"/>
  <c r="M263" i="2" l="1"/>
  <c r="O263" i="2" s="1"/>
  <c r="J264" i="2"/>
  <c r="P264" i="2"/>
  <c r="F265" i="2"/>
  <c r="P263" i="2"/>
  <c r="G266" i="2"/>
  <c r="F266" i="2" a="1"/>
  <c r="M264" i="2" l="1"/>
  <c r="O264" i="2" s="1"/>
  <c r="J265" i="2"/>
  <c r="F266" i="2"/>
  <c r="G267" i="2"/>
  <c r="F267" i="2" a="1"/>
  <c r="M265" i="2" l="1"/>
  <c r="J266" i="2"/>
  <c r="F267" i="2"/>
  <c r="O265" i="2"/>
  <c r="P265" i="2"/>
  <c r="G268" i="2"/>
  <c r="F268" i="2" a="1"/>
  <c r="M266" i="2" l="1"/>
  <c r="O266" i="2" s="1"/>
  <c r="J267" i="2"/>
  <c r="F268" i="2"/>
  <c r="P266" i="2"/>
  <c r="G269" i="2"/>
  <c r="F269" i="2" a="1"/>
  <c r="M267" i="2" l="1"/>
  <c r="J268" i="2"/>
  <c r="F269" i="2"/>
  <c r="G270" i="2"/>
  <c r="P267" i="2"/>
  <c r="O267" i="2"/>
  <c r="F270" i="2" a="1"/>
  <c r="M268" i="2" l="1"/>
  <c r="O268" i="2" s="1"/>
  <c r="F270" i="2"/>
  <c r="J269" i="2"/>
  <c r="P268" i="2"/>
  <c r="G271" i="2"/>
  <c r="F271" i="2" a="1"/>
  <c r="M269" i="2" l="1"/>
  <c r="F271" i="2"/>
  <c r="J270" i="2"/>
  <c r="G272" i="2"/>
  <c r="P269" i="2"/>
  <c r="O269" i="2"/>
  <c r="F272" i="2" a="1"/>
  <c r="M270" i="2" l="1"/>
  <c r="J271" i="2"/>
  <c r="F272" i="2"/>
  <c r="P270" i="2"/>
  <c r="O270" i="2"/>
  <c r="G273" i="2"/>
  <c r="F273" i="2" a="1"/>
  <c r="M271" i="2" l="1"/>
  <c r="O271" i="2" s="1"/>
  <c r="J272" i="2"/>
  <c r="F273" i="2"/>
  <c r="G274" i="2"/>
  <c r="P271" i="2"/>
  <c r="F274" i="2" a="1"/>
  <c r="M272" i="2" l="1"/>
  <c r="O272" i="2" s="1"/>
  <c r="F274" i="2"/>
  <c r="J273" i="2"/>
  <c r="G275" i="2"/>
  <c r="P272" i="2"/>
  <c r="F275" i="2" a="1"/>
  <c r="M273" i="2" l="1"/>
  <c r="O273" i="2" s="1"/>
  <c r="P274" i="2"/>
  <c r="J274" i="2"/>
  <c r="F275" i="2"/>
  <c r="P273" i="2"/>
  <c r="G276" i="2"/>
  <c r="F276" i="2" a="1"/>
  <c r="M274" i="2" l="1"/>
  <c r="J275" i="2"/>
  <c r="F276" i="2"/>
  <c r="O274" i="2"/>
  <c r="G277" i="2"/>
  <c r="F277" i="2" a="1"/>
  <c r="M275" i="2" l="1"/>
  <c r="O275" i="2" s="1"/>
  <c r="J276" i="2"/>
  <c r="F277" i="2"/>
  <c r="P275" i="2"/>
  <c r="G278" i="2"/>
  <c r="F278" i="2" a="1"/>
  <c r="M276" i="2" l="1"/>
  <c r="O276" i="2" s="1"/>
  <c r="J277" i="2"/>
  <c r="P277" i="2"/>
  <c r="F278" i="2"/>
  <c r="G279" i="2"/>
  <c r="P276" i="2"/>
  <c r="F279" i="2" a="1"/>
  <c r="M277" i="2" l="1"/>
  <c r="O277" i="2" s="1"/>
  <c r="F279" i="2"/>
  <c r="J278" i="2"/>
  <c r="G280" i="2"/>
  <c r="F280" i="2" a="1"/>
  <c r="M278" i="2" l="1"/>
  <c r="O278" i="2" s="1"/>
  <c r="P279" i="2"/>
  <c r="J279" i="2"/>
  <c r="F280" i="2"/>
  <c r="P278" i="2"/>
  <c r="G281" i="2"/>
  <c r="F281" i="2" a="1"/>
  <c r="M279" i="2" l="1"/>
  <c r="O279" i="2" s="1"/>
  <c r="J280" i="2"/>
  <c r="P280" i="2"/>
  <c r="F281" i="2"/>
  <c r="G282" i="2"/>
  <c r="F282" i="2" a="1"/>
  <c r="M280" i="2" l="1"/>
  <c r="O280" i="2" s="1"/>
  <c r="J281" i="2"/>
  <c r="P281" i="2"/>
  <c r="F282" i="2"/>
  <c r="G283" i="2"/>
  <c r="F283" i="2" a="1"/>
  <c r="M281" i="2" l="1"/>
  <c r="J282" i="2"/>
  <c r="P282" i="2"/>
  <c r="F283" i="2"/>
  <c r="O281" i="2"/>
  <c r="G284" i="2"/>
  <c r="F284" i="2" a="1"/>
  <c r="M282" i="2" l="1"/>
  <c r="O282" i="2" s="1"/>
  <c r="F284" i="2"/>
  <c r="J283" i="2"/>
  <c r="G285" i="2"/>
  <c r="F285" i="2" a="1"/>
  <c r="M283" i="2" l="1"/>
  <c r="O283" i="2" s="1"/>
  <c r="J284" i="2"/>
  <c r="F285" i="2"/>
  <c r="P283" i="2"/>
  <c r="G286" i="2"/>
  <c r="F286" i="2" a="1"/>
  <c r="M284" i="2" l="1"/>
  <c r="O284" i="2" s="1"/>
  <c r="J285" i="2"/>
  <c r="F286" i="2"/>
  <c r="P284" i="2"/>
  <c r="G287" i="2"/>
  <c r="F287" i="2" a="1"/>
  <c r="M285" i="2" l="1"/>
  <c r="O285" i="2" s="1"/>
  <c r="F287" i="2"/>
  <c r="J286" i="2"/>
  <c r="P285" i="2"/>
  <c r="G288" i="2"/>
  <c r="F288" i="2" a="1"/>
  <c r="M286" i="2" l="1"/>
  <c r="O286" i="2" s="1"/>
  <c r="J287" i="2"/>
  <c r="F288" i="2"/>
  <c r="P286" i="2"/>
  <c r="G289" i="2"/>
  <c r="F289" i="2" a="1"/>
  <c r="M287" i="2" l="1"/>
  <c r="O287" i="2" s="1"/>
  <c r="J288" i="2"/>
  <c r="F289" i="2"/>
  <c r="P287" i="2"/>
  <c r="G290" i="2"/>
  <c r="F290" i="2" a="1"/>
  <c r="M288" i="2" l="1"/>
  <c r="O288" i="2" s="1"/>
  <c r="F290" i="2"/>
  <c r="J289" i="2"/>
  <c r="P288" i="2"/>
  <c r="G291" i="2"/>
  <c r="F291" i="2" a="1"/>
  <c r="M289" i="2" l="1"/>
  <c r="O289" i="2" s="1"/>
  <c r="P290" i="2"/>
  <c r="J290" i="2"/>
  <c r="F291" i="2"/>
  <c r="P289" i="2"/>
  <c r="G292" i="2"/>
  <c r="F292" i="2" a="1"/>
  <c r="M290" i="2" l="1"/>
  <c r="O290" i="2" s="1"/>
  <c r="J291" i="2"/>
  <c r="F292" i="2"/>
  <c r="G293" i="2"/>
  <c r="F293" i="2" a="1"/>
  <c r="M291" i="2" l="1"/>
  <c r="O291" i="2" s="1"/>
  <c r="J292" i="2"/>
  <c r="P292" i="2"/>
  <c r="F293" i="2"/>
  <c r="P291" i="2"/>
  <c r="G294" i="2"/>
  <c r="F294" i="2" a="1"/>
  <c r="M292" i="2" l="1"/>
  <c r="O292" i="2" s="1"/>
  <c r="F294" i="2"/>
  <c r="J293" i="2"/>
  <c r="G295" i="2"/>
  <c r="F295" i="2" a="1"/>
  <c r="M293" i="2" l="1"/>
  <c r="O293" i="2" s="1"/>
  <c r="J294" i="2"/>
  <c r="F295" i="2"/>
  <c r="P293" i="2"/>
  <c r="G296" i="2"/>
  <c r="F296" i="2" a="1"/>
  <c r="M294" i="2" l="1"/>
  <c r="O294" i="2" s="1"/>
  <c r="J295" i="2"/>
  <c r="F296" i="2"/>
  <c r="P294" i="2"/>
  <c r="G297" i="2"/>
  <c r="F297" i="2" a="1"/>
  <c r="M295" i="2" l="1"/>
  <c r="O295" i="2" s="1"/>
  <c r="J296" i="2"/>
  <c r="F297" i="2"/>
  <c r="P295" i="2"/>
  <c r="G298" i="2"/>
  <c r="F298" i="2" a="1"/>
  <c r="M296" i="2" l="1"/>
  <c r="J297" i="2"/>
  <c r="F298" i="2"/>
  <c r="G299" i="2"/>
  <c r="P296" i="2"/>
  <c r="O296" i="2"/>
  <c r="F299" i="2" a="1"/>
  <c r="M297" i="2" l="1"/>
  <c r="O297" i="2" s="1"/>
  <c r="J298" i="2"/>
  <c r="F299" i="2"/>
  <c r="P297" i="2"/>
  <c r="G300" i="2"/>
  <c r="F300" i="2" a="1"/>
  <c r="M298" i="2" l="1"/>
  <c r="F300" i="2"/>
  <c r="J299" i="2"/>
  <c r="G301" i="2"/>
  <c r="O298" i="2"/>
  <c r="P298" i="2"/>
  <c r="F301" i="2" a="1"/>
  <c r="M299" i="2" l="1"/>
  <c r="O299" i="2" s="1"/>
  <c r="J300" i="2"/>
  <c r="P300" i="2"/>
  <c r="F301" i="2"/>
  <c r="P299" i="2"/>
  <c r="G302" i="2"/>
  <c r="F302" i="2" a="1"/>
  <c r="M300" i="2" l="1"/>
  <c r="O300" i="2" s="1"/>
  <c r="F302" i="2"/>
  <c r="J301" i="2"/>
  <c r="G303" i="2"/>
  <c r="F303" i="2" a="1"/>
  <c r="M301" i="2" l="1"/>
  <c r="P301" i="2"/>
  <c r="F303" i="2"/>
  <c r="J302" i="2"/>
  <c r="O301" i="2"/>
  <c r="G304" i="2"/>
  <c r="F304" i="2" a="1"/>
  <c r="M302" i="2" l="1"/>
  <c r="F304" i="2"/>
  <c r="J303" i="2"/>
  <c r="P302" i="2"/>
  <c r="O302" i="2"/>
  <c r="G305" i="2"/>
  <c r="F305" i="2" a="1"/>
  <c r="M303" i="2" l="1"/>
  <c r="J304" i="2"/>
  <c r="F305" i="2"/>
  <c r="P303" i="2"/>
  <c r="O303" i="2"/>
  <c r="G306" i="2"/>
  <c r="F306" i="2" a="1"/>
  <c r="M304" i="2" l="1"/>
  <c r="O304" i="2" s="1"/>
  <c r="F306" i="2"/>
  <c r="J305" i="2"/>
  <c r="P304" i="2"/>
  <c r="G307" i="2"/>
  <c r="F307" i="2" a="1"/>
  <c r="M305" i="2" l="1"/>
  <c r="O305" i="2" s="1"/>
  <c r="F307" i="2"/>
  <c r="J306" i="2"/>
  <c r="P305" i="2"/>
  <c r="G308" i="2"/>
  <c r="F308" i="2" a="1"/>
  <c r="M306" i="2" l="1"/>
  <c r="F308" i="2"/>
  <c r="J307" i="2"/>
  <c r="O306" i="2"/>
  <c r="P306" i="2"/>
  <c r="G309" i="2"/>
  <c r="F309" i="2" a="1"/>
  <c r="M307" i="2" l="1"/>
  <c r="O307" i="2" s="1"/>
  <c r="F309" i="2"/>
  <c r="P307" i="2"/>
  <c r="J308" i="2"/>
  <c r="G310" i="2"/>
  <c r="F310" i="2" a="1"/>
  <c r="M308" i="2" l="1"/>
  <c r="J309" i="2"/>
  <c r="F310" i="2"/>
  <c r="P308" i="2"/>
  <c r="O308" i="2"/>
  <c r="G311" i="2"/>
  <c r="F311" i="2" a="1"/>
  <c r="M309" i="2" l="1"/>
  <c r="O309" i="2" s="1"/>
  <c r="P310" i="2"/>
  <c r="J310" i="2"/>
  <c r="F311" i="2"/>
  <c r="P309" i="2"/>
  <c r="G312" i="2"/>
  <c r="F312" i="2" a="1"/>
  <c r="M310" i="2" l="1"/>
  <c r="O310" i="2" s="1"/>
  <c r="J311" i="2"/>
  <c r="P311" i="2"/>
  <c r="F312" i="2"/>
  <c r="G313" i="2"/>
  <c r="F313" i="2" a="1"/>
  <c r="M311" i="2" l="1"/>
  <c r="O311" i="2" s="1"/>
  <c r="F313" i="2"/>
  <c r="J312" i="2"/>
  <c r="G314" i="2"/>
  <c r="F314" i="2" a="1"/>
  <c r="M312" i="2" l="1"/>
  <c r="O312" i="2" s="1"/>
  <c r="F314" i="2"/>
  <c r="J313" i="2"/>
  <c r="G315" i="2"/>
  <c r="P312" i="2"/>
  <c r="F315" i="2" a="1"/>
  <c r="M313" i="2" l="1"/>
  <c r="P314" i="2"/>
  <c r="J314" i="2"/>
  <c r="F315" i="2"/>
  <c r="O313" i="2"/>
  <c r="P313" i="2"/>
  <c r="G316" i="2"/>
  <c r="F316" i="2" a="1"/>
  <c r="M314" i="2" l="1"/>
  <c r="O314" i="2" s="1"/>
  <c r="J315" i="2"/>
  <c r="F316" i="2"/>
  <c r="G317" i="2"/>
  <c r="F317" i="2" a="1"/>
  <c r="M315" i="2" l="1"/>
  <c r="O315" i="2" s="1"/>
  <c r="J316" i="2"/>
  <c r="P316" i="2"/>
  <c r="F317" i="2"/>
  <c r="P315" i="2"/>
  <c r="G318" i="2"/>
  <c r="F318" i="2" a="1"/>
  <c r="M316" i="2" l="1"/>
  <c r="O316" i="2" s="1"/>
  <c r="F318" i="2"/>
  <c r="J317" i="2"/>
  <c r="G319" i="2"/>
  <c r="F319" i="2" a="1"/>
  <c r="M317" i="2" l="1"/>
  <c r="F319" i="2"/>
  <c r="P317" i="2"/>
  <c r="J318" i="2"/>
  <c r="O317" i="2"/>
  <c r="G320" i="2"/>
  <c r="F320" i="2" a="1"/>
  <c r="M318" i="2" l="1"/>
  <c r="J319" i="2"/>
  <c r="F320" i="2"/>
  <c r="P318" i="2"/>
  <c r="O318" i="2"/>
  <c r="G321" i="2"/>
  <c r="F321" i="2" a="1"/>
  <c r="M319" i="2" l="1"/>
  <c r="O319" i="2" s="1"/>
  <c r="F321" i="2"/>
  <c r="J320" i="2"/>
  <c r="P319" i="2"/>
  <c r="G322" i="2"/>
  <c r="F322" i="2" a="1"/>
  <c r="M320" i="2" l="1"/>
  <c r="F322" i="2"/>
  <c r="J321" i="2"/>
  <c r="G323" i="2"/>
  <c r="O320" i="2"/>
  <c r="P320" i="2"/>
  <c r="F323" i="2" a="1"/>
  <c r="M321" i="2" l="1"/>
  <c r="J322" i="2"/>
  <c r="F323" i="2"/>
  <c r="O321" i="2"/>
  <c r="P321" i="2"/>
  <c r="G324" i="2"/>
  <c r="F324" i="2" a="1"/>
  <c r="M322" i="2" l="1"/>
  <c r="J323" i="2"/>
  <c r="F324" i="2"/>
  <c r="G325" i="2"/>
  <c r="O322" i="2"/>
  <c r="P322" i="2"/>
  <c r="F325" i="2" a="1"/>
  <c r="M323" i="2" l="1"/>
  <c r="J324" i="2"/>
  <c r="F325" i="2"/>
  <c r="P323" i="2"/>
  <c r="O323" i="2"/>
  <c r="G326" i="2"/>
  <c r="F326" i="2" a="1"/>
  <c r="M324" i="2" l="1"/>
  <c r="O324" i="2" s="1"/>
  <c r="F326" i="2"/>
  <c r="J325" i="2"/>
  <c r="P324" i="2"/>
  <c r="G327" i="2"/>
  <c r="F327" i="2" a="1"/>
  <c r="M325" i="2" l="1"/>
  <c r="F327" i="2"/>
  <c r="J326" i="2"/>
  <c r="O325" i="2"/>
  <c r="P325" i="2"/>
  <c r="G328" i="2"/>
  <c r="F328" i="2" a="1"/>
  <c r="M326" i="2" l="1"/>
  <c r="F328" i="2"/>
  <c r="J327" i="2"/>
  <c r="O326" i="2"/>
  <c r="P326" i="2"/>
  <c r="G329" i="2"/>
  <c r="F329" i="2" a="1"/>
  <c r="M327" i="2" l="1"/>
  <c r="O327" i="2" s="1"/>
  <c r="F329" i="2"/>
  <c r="J328" i="2"/>
  <c r="P327" i="2"/>
  <c r="G330" i="2"/>
  <c r="F330" i="2" a="1"/>
  <c r="M328" i="2" l="1"/>
  <c r="O328" i="2" s="1"/>
  <c r="J329" i="2"/>
  <c r="F330" i="2"/>
  <c r="P328" i="2"/>
  <c r="G331" i="2"/>
  <c r="F331" i="2" a="1"/>
  <c r="M329" i="2" l="1"/>
  <c r="O329" i="2" s="1"/>
  <c r="F331" i="2"/>
  <c r="J330" i="2"/>
  <c r="P329" i="2"/>
  <c r="G332" i="2"/>
  <c r="F332" i="2" a="1"/>
  <c r="M330" i="2" l="1"/>
  <c r="O330" i="2" s="1"/>
  <c r="F332" i="2"/>
  <c r="J331" i="2"/>
  <c r="P330" i="2"/>
  <c r="G333" i="2"/>
  <c r="F333" i="2" a="1"/>
  <c r="M331" i="2" l="1"/>
  <c r="O331" i="2" s="1"/>
  <c r="J332" i="2"/>
  <c r="P331" i="2"/>
  <c r="F333" i="2"/>
  <c r="G334" i="2"/>
  <c r="F334" i="2" a="1"/>
  <c r="M332" i="2" l="1"/>
  <c r="O332" i="2" s="1"/>
  <c r="F334" i="2"/>
  <c r="J333" i="2"/>
  <c r="P332" i="2"/>
  <c r="G335" i="2"/>
  <c r="F335" i="2" a="1"/>
  <c r="M333" i="2" l="1"/>
  <c r="O333" i="2" s="1"/>
  <c r="F335" i="2"/>
  <c r="J334" i="2"/>
  <c r="P333" i="2"/>
  <c r="G336" i="2"/>
  <c r="F336" i="2" a="1"/>
  <c r="M334" i="2" l="1"/>
  <c r="O334" i="2" s="1"/>
  <c r="J335" i="2"/>
  <c r="P335" i="2"/>
  <c r="F336" i="2"/>
  <c r="P334" i="2"/>
  <c r="G337" i="2"/>
  <c r="F337" i="2" a="1"/>
  <c r="M335" i="2" l="1"/>
  <c r="F337" i="2"/>
  <c r="J336" i="2"/>
  <c r="O335" i="2"/>
  <c r="G338" i="2"/>
  <c r="F338" i="2" a="1"/>
  <c r="M336" i="2" l="1"/>
  <c r="F338" i="2"/>
  <c r="J337" i="2"/>
  <c r="O336" i="2"/>
  <c r="P336" i="2"/>
  <c r="G339" i="2"/>
  <c r="F339" i="2" a="1"/>
  <c r="M337" i="2" l="1"/>
  <c r="F339" i="2"/>
  <c r="J338" i="2"/>
  <c r="P337" i="2"/>
  <c r="O337" i="2"/>
  <c r="G340" i="2"/>
  <c r="F340" i="2" a="1"/>
  <c r="M338" i="2" l="1"/>
  <c r="F340" i="2"/>
  <c r="J339" i="2"/>
  <c r="P338" i="2"/>
  <c r="O338" i="2"/>
  <c r="G341" i="2"/>
  <c r="F341" i="2" a="1"/>
  <c r="M339" i="2" l="1"/>
  <c r="O339" i="2" s="1"/>
  <c r="J340" i="2"/>
  <c r="P340" i="2"/>
  <c r="F341" i="2"/>
  <c r="G342" i="2"/>
  <c r="P339" i="2"/>
  <c r="F342" i="2" a="1"/>
  <c r="M340" i="2" l="1"/>
  <c r="O340" i="2" s="1"/>
  <c r="F342" i="2"/>
  <c r="J341" i="2"/>
  <c r="G343" i="2"/>
  <c r="F343" i="2" a="1"/>
  <c r="M341" i="2" l="1"/>
  <c r="J342" i="2"/>
  <c r="F343" i="2"/>
  <c r="O341" i="2"/>
  <c r="P341" i="2"/>
  <c r="G344" i="2"/>
  <c r="F344" i="2" a="1"/>
  <c r="M342" i="2" l="1"/>
  <c r="O342" i="2" s="1"/>
  <c r="J343" i="2"/>
  <c r="F344" i="2"/>
  <c r="P342" i="2"/>
  <c r="G345" i="2"/>
  <c r="F345" i="2" a="1"/>
  <c r="M343" i="2" l="1"/>
  <c r="O343" i="2" s="1"/>
  <c r="J344" i="2"/>
  <c r="F345" i="2"/>
  <c r="P343" i="2"/>
  <c r="G346" i="2"/>
  <c r="F346" i="2" a="1"/>
  <c r="M344" i="2" l="1"/>
  <c r="O344" i="2" s="1"/>
  <c r="J345" i="2"/>
  <c r="F346" i="2"/>
  <c r="G347" i="2"/>
  <c r="P344" i="2"/>
  <c r="F347" i="2" a="1"/>
  <c r="M345" i="2" l="1"/>
  <c r="O345" i="2" s="1"/>
  <c r="J346" i="2"/>
  <c r="P346" i="2"/>
  <c r="F347" i="2"/>
  <c r="P345" i="2"/>
  <c r="G348" i="2"/>
  <c r="F348" i="2" a="1"/>
  <c r="M346" i="2" l="1"/>
  <c r="O346" i="2" s="1"/>
  <c r="F348" i="2"/>
  <c r="J347" i="2"/>
  <c r="G349" i="2"/>
  <c r="F349" i="2" a="1"/>
  <c r="M347" i="2" l="1"/>
  <c r="O347" i="2" s="1"/>
  <c r="F349" i="2"/>
  <c r="J348" i="2"/>
  <c r="G351" i="2"/>
  <c r="P347" i="2"/>
  <c r="G350" i="2"/>
  <c r="F351" i="2" a="1"/>
  <c r="F350" i="2" a="1"/>
  <c r="M348" i="2" l="1"/>
  <c r="J349" i="2"/>
  <c r="F351" i="2"/>
  <c r="F350" i="2"/>
  <c r="G352" i="2"/>
  <c r="O348" i="2"/>
  <c r="P348" i="2"/>
  <c r="F352" i="2" a="1"/>
  <c r="M349" i="2" l="1"/>
  <c r="O349" i="2" s="1"/>
  <c r="P351" i="2"/>
  <c r="F352" i="2"/>
  <c r="J350" i="2"/>
  <c r="J351" i="2"/>
  <c r="G353" i="2"/>
  <c r="P349" i="2"/>
  <c r="F353" i="2" a="1"/>
  <c r="M350" i="2" l="1"/>
  <c r="M351" i="2"/>
  <c r="O351" i="2" s="1"/>
  <c r="J352" i="2"/>
  <c r="F353" i="2"/>
  <c r="G354" i="2"/>
  <c r="O350" i="2"/>
  <c r="P350" i="2"/>
  <c r="F354" i="2" a="1"/>
  <c r="M352" i="2" l="1"/>
  <c r="O352" i="2" s="1"/>
  <c r="J353" i="2"/>
  <c r="F354" i="2"/>
  <c r="G355" i="2"/>
  <c r="P352" i="2"/>
  <c r="F355" i="2" a="1"/>
  <c r="M353" i="2" l="1"/>
  <c r="J354" i="2"/>
  <c r="P354" i="2"/>
  <c r="F355" i="2"/>
  <c r="G356" i="2"/>
  <c r="P353" i="2"/>
  <c r="O353" i="2"/>
  <c r="F356" i="2" a="1"/>
  <c r="M354" i="2" l="1"/>
  <c r="O354" i="2" s="1"/>
  <c r="F356" i="2"/>
  <c r="J355" i="2"/>
  <c r="G357" i="2"/>
  <c r="F357" i="2" a="1"/>
  <c r="M355" i="2" l="1"/>
  <c r="O355" i="2" s="1"/>
  <c r="J356" i="2"/>
  <c r="P355" i="2"/>
  <c r="F357" i="2"/>
  <c r="G358" i="2"/>
  <c r="F358" i="2" a="1"/>
  <c r="M356" i="2" l="1"/>
  <c r="P357" i="2"/>
  <c r="J357" i="2"/>
  <c r="F358" i="2"/>
  <c r="G359" i="2"/>
  <c r="P356" i="2"/>
  <c r="O356" i="2"/>
  <c r="F359" i="2" a="1"/>
  <c r="M357" i="2" l="1"/>
  <c r="O357" i="2" s="1"/>
  <c r="J358" i="2"/>
  <c r="P358" i="2"/>
  <c r="F359" i="2"/>
  <c r="G360" i="2"/>
  <c r="F360" i="2" a="1"/>
  <c r="M358" i="2" l="1"/>
  <c r="O358" i="2" s="1"/>
  <c r="F360" i="2"/>
  <c r="J359" i="2"/>
  <c r="G361" i="2"/>
  <c r="F361" i="2" a="1"/>
  <c r="M359" i="2" l="1"/>
  <c r="O359" i="2" s="1"/>
  <c r="J360" i="2"/>
  <c r="P359" i="2"/>
  <c r="F361" i="2"/>
  <c r="G362" i="2"/>
  <c r="F362" i="2" a="1"/>
  <c r="M360" i="2" l="1"/>
  <c r="O360" i="2" s="1"/>
  <c r="J361" i="2"/>
  <c r="F362" i="2"/>
  <c r="P360" i="2"/>
  <c r="G363" i="2"/>
  <c r="F363" i="2" a="1"/>
  <c r="M361" i="2" l="1"/>
  <c r="F363" i="2"/>
  <c r="J362" i="2"/>
  <c r="G364" i="2"/>
  <c r="P361" i="2"/>
  <c r="O361" i="2"/>
  <c r="F364" i="2" a="1"/>
  <c r="M362" i="2" l="1"/>
  <c r="F364" i="2"/>
  <c r="J363" i="2"/>
  <c r="P362" i="2"/>
  <c r="O362" i="2"/>
  <c r="G365" i="2"/>
  <c r="F365" i="2" a="1"/>
  <c r="M363" i="2" l="1"/>
  <c r="O363" i="2" s="1"/>
  <c r="F365" i="2"/>
  <c r="P363" i="2"/>
  <c r="J364" i="2"/>
  <c r="G366" i="2"/>
  <c r="F366" i="2" a="1"/>
  <c r="M364" i="2" l="1"/>
  <c r="O364" i="2" s="1"/>
  <c r="J365" i="2"/>
  <c r="F366" i="2"/>
  <c r="P364" i="2"/>
  <c r="G367" i="2"/>
  <c r="F367" i="2" a="1"/>
  <c r="M365" i="2" l="1"/>
  <c r="F367" i="2"/>
  <c r="J366" i="2"/>
  <c r="O365" i="2"/>
  <c r="P365" i="2"/>
  <c r="G368" i="2"/>
  <c r="F368" i="2" a="1"/>
  <c r="M366" i="2" l="1"/>
  <c r="J367" i="2"/>
  <c r="P367" i="2"/>
  <c r="F368" i="2"/>
  <c r="G369" i="2"/>
  <c r="P366" i="2"/>
  <c r="O366" i="2"/>
  <c r="F369" i="2" a="1"/>
  <c r="M367" i="2" l="1"/>
  <c r="O367" i="2" s="1"/>
  <c r="J368" i="2"/>
  <c r="F369" i="2"/>
  <c r="G370" i="2"/>
  <c r="F370" i="2" a="1"/>
  <c r="M368" i="2" l="1"/>
  <c r="O368" i="2" s="1"/>
  <c r="F370" i="2"/>
  <c r="J369" i="2"/>
  <c r="P368" i="2"/>
  <c r="G371" i="2"/>
  <c r="F371" i="2" a="1"/>
  <c r="M369" i="2" l="1"/>
  <c r="O369" i="2" s="1"/>
  <c r="J370" i="2"/>
  <c r="P370" i="2"/>
  <c r="F371" i="2"/>
  <c r="P369" i="2"/>
  <c r="G372" i="2"/>
  <c r="F372" i="2" a="1"/>
  <c r="M370" i="2" l="1"/>
  <c r="O370" i="2" s="1"/>
  <c r="F372" i="2"/>
  <c r="J371" i="2"/>
  <c r="G373" i="2"/>
  <c r="F373" i="2" a="1"/>
  <c r="M371" i="2" l="1"/>
  <c r="O371" i="2" s="1"/>
  <c r="J372" i="2"/>
  <c r="P372" i="2"/>
  <c r="P371" i="2"/>
  <c r="F373" i="2"/>
  <c r="G374" i="2"/>
  <c r="F374" i="2" a="1"/>
  <c r="M372" i="2" l="1"/>
  <c r="O372" i="2" s="1"/>
  <c r="F374" i="2"/>
  <c r="J373" i="2"/>
  <c r="G375" i="2"/>
  <c r="F375" i="2" a="1"/>
  <c r="M373" i="2" l="1"/>
  <c r="O373" i="2" s="1"/>
  <c r="F375" i="2"/>
  <c r="J374" i="2"/>
  <c r="P373" i="2"/>
  <c r="G376" i="2"/>
  <c r="F376" i="2" a="1"/>
  <c r="M374" i="2" l="1"/>
  <c r="J375" i="2"/>
  <c r="F376" i="2"/>
  <c r="O374" i="2"/>
  <c r="P374" i="2"/>
  <c r="G377" i="2"/>
  <c r="F377" i="2" a="1"/>
  <c r="M375" i="2" l="1"/>
  <c r="J376" i="2"/>
  <c r="F377" i="2"/>
  <c r="G378" i="2"/>
  <c r="P375" i="2"/>
  <c r="O375" i="2"/>
  <c r="F378" i="2" a="1"/>
  <c r="M376" i="2" l="1"/>
  <c r="O376" i="2" s="1"/>
  <c r="J377" i="2"/>
  <c r="P377" i="2"/>
  <c r="F378" i="2"/>
  <c r="P376" i="2"/>
  <c r="G379" i="2"/>
  <c r="F379" i="2" a="1"/>
  <c r="M377" i="2" l="1"/>
  <c r="O377" i="2" s="1"/>
  <c r="F379" i="2"/>
  <c r="J378" i="2"/>
  <c r="G380" i="2"/>
  <c r="F380" i="2" a="1"/>
  <c r="M378" i="2" l="1"/>
  <c r="O378" i="2" s="1"/>
  <c r="J379" i="2"/>
  <c r="F380" i="2"/>
  <c r="P378" i="2"/>
  <c r="G381" i="2"/>
  <c r="F381" i="2" a="1"/>
  <c r="M379" i="2" l="1"/>
  <c r="O379" i="2" s="1"/>
  <c r="F381" i="2"/>
  <c r="J380" i="2"/>
  <c r="G382" i="2"/>
  <c r="P379" i="2"/>
  <c r="F382" i="2" a="1"/>
  <c r="M380" i="2" l="1"/>
  <c r="F382" i="2"/>
  <c r="J381" i="2"/>
  <c r="O380" i="2"/>
  <c r="P380" i="2"/>
  <c r="G383" i="2"/>
  <c r="F383" i="2" a="1"/>
  <c r="M381" i="2" l="1"/>
  <c r="F383" i="2"/>
  <c r="J382" i="2"/>
  <c r="G384" i="2"/>
  <c r="P381" i="2"/>
  <c r="O381" i="2"/>
  <c r="F384" i="2" a="1"/>
  <c r="M382" i="2" l="1"/>
  <c r="O382" i="2" s="1"/>
  <c r="J383" i="2"/>
  <c r="P383" i="2"/>
  <c r="F384" i="2"/>
  <c r="G385" i="2"/>
  <c r="P382" i="2"/>
  <c r="F385" i="2" a="1"/>
  <c r="M383" i="2" l="1"/>
  <c r="O383" i="2" s="1"/>
  <c r="F385" i="2"/>
  <c r="J384" i="2"/>
  <c r="G386" i="2"/>
  <c r="F386" i="2" a="1"/>
  <c r="M384" i="2" l="1"/>
  <c r="O384" i="2" s="1"/>
  <c r="J385" i="2"/>
  <c r="P385" i="2"/>
  <c r="F386" i="2"/>
  <c r="P384" i="2"/>
  <c r="G387" i="2"/>
  <c r="F387" i="2" a="1"/>
  <c r="M385" i="2" l="1"/>
  <c r="O385" i="2" s="1"/>
  <c r="F387" i="2"/>
  <c r="J386" i="2"/>
  <c r="G388" i="2"/>
  <c r="F388" i="2" a="1"/>
  <c r="M386" i="2" l="1"/>
  <c r="O386" i="2" s="1"/>
  <c r="F388" i="2"/>
  <c r="P386" i="2"/>
  <c r="J387" i="2"/>
  <c r="G389" i="2"/>
  <c r="F389" i="2" a="1"/>
  <c r="M387" i="2" l="1"/>
  <c r="O387" i="2" s="1"/>
  <c r="J388" i="2"/>
  <c r="F389" i="2"/>
  <c r="G390" i="2"/>
  <c r="P387" i="2"/>
  <c r="F390" i="2" a="1"/>
  <c r="M388" i="2" l="1"/>
  <c r="O388" i="2" s="1"/>
  <c r="F390" i="2"/>
  <c r="J389" i="2"/>
  <c r="P388" i="2"/>
  <c r="G391" i="2"/>
  <c r="F391" i="2" a="1"/>
  <c r="M389" i="2" l="1"/>
  <c r="O389" i="2" s="1"/>
  <c r="F391" i="2"/>
  <c r="J390" i="2"/>
  <c r="P389" i="2"/>
  <c r="G392" i="2"/>
  <c r="F392" i="2" a="1"/>
  <c r="M390" i="2" l="1"/>
  <c r="O390" i="2" s="1"/>
  <c r="J391" i="2"/>
  <c r="P391" i="2"/>
  <c r="F392" i="2"/>
  <c r="P390" i="2"/>
  <c r="G393" i="2"/>
  <c r="F393" i="2" a="1"/>
  <c r="M391" i="2" l="1"/>
  <c r="O391" i="2" s="1"/>
  <c r="J392" i="2"/>
  <c r="F393" i="2"/>
  <c r="G394" i="2"/>
  <c r="F394" i="2" a="1"/>
  <c r="M392" i="2" l="1"/>
  <c r="O392" i="2" s="1"/>
  <c r="F394" i="2"/>
  <c r="J393" i="2"/>
  <c r="P392" i="2"/>
  <c r="G395" i="2"/>
  <c r="F395" i="2" a="1"/>
  <c r="M393" i="2" l="1"/>
  <c r="O393" i="2" s="1"/>
  <c r="J394" i="2"/>
  <c r="P394" i="2"/>
  <c r="F395" i="2"/>
  <c r="P393" i="2"/>
  <c r="G396" i="2"/>
  <c r="F396" i="2" a="1"/>
  <c r="M394" i="2" l="1"/>
  <c r="O394" i="2" s="1"/>
  <c r="F396" i="2"/>
  <c r="J395" i="2"/>
  <c r="G397" i="2"/>
  <c r="F397" i="2" a="1"/>
  <c r="M395" i="2" l="1"/>
  <c r="O395" i="2" s="1"/>
  <c r="F397" i="2"/>
  <c r="P395" i="2"/>
  <c r="J396" i="2"/>
  <c r="G398" i="2"/>
  <c r="F398" i="2" a="1"/>
  <c r="M396" i="2" l="1"/>
  <c r="O396" i="2" s="1"/>
  <c r="J397" i="2"/>
  <c r="F398" i="2"/>
  <c r="P396" i="2"/>
  <c r="G399" i="2"/>
  <c r="F399" i="2" a="1"/>
  <c r="M397" i="2" l="1"/>
  <c r="F399" i="2"/>
  <c r="J398" i="2"/>
  <c r="G400" i="2"/>
  <c r="P397" i="2"/>
  <c r="O397" i="2"/>
  <c r="F400" i="2" a="1"/>
  <c r="M398" i="2" l="1"/>
  <c r="J399" i="2"/>
  <c r="F400" i="2"/>
  <c r="G401" i="2"/>
  <c r="O398" i="2"/>
  <c r="P398" i="2"/>
  <c r="F401" i="2" a="1"/>
  <c r="M399" i="2" l="1"/>
  <c r="F401" i="2"/>
  <c r="J400" i="2"/>
  <c r="P399" i="2"/>
  <c r="O399" i="2"/>
  <c r="G402" i="2"/>
  <c r="F402" i="2" a="1"/>
  <c r="M400" i="2" l="1"/>
  <c r="O400" i="2" s="1"/>
  <c r="F402" i="2"/>
  <c r="P400" i="2"/>
  <c r="J401" i="2"/>
  <c r="G403" i="2"/>
  <c r="F403" i="2" a="1"/>
  <c r="M401" i="2" l="1"/>
  <c r="O401" i="2" s="1"/>
  <c r="F403" i="2"/>
  <c r="P401" i="2"/>
  <c r="J402" i="2"/>
  <c r="G404" i="2"/>
  <c r="F404" i="2" a="1"/>
  <c r="M402" i="2" l="1"/>
  <c r="J403" i="2"/>
  <c r="F404" i="2"/>
  <c r="G405" i="2"/>
  <c r="P402" i="2"/>
  <c r="O402" i="2"/>
  <c r="F405" i="2" a="1"/>
  <c r="M403" i="2" l="1"/>
  <c r="J404" i="2"/>
  <c r="P404" i="2"/>
  <c r="F405" i="2"/>
  <c r="G406" i="2"/>
  <c r="O403" i="2"/>
  <c r="P403" i="2"/>
  <c r="F406" i="2" a="1"/>
  <c r="M404" i="2" l="1"/>
  <c r="O404" i="2" s="1"/>
  <c r="J405" i="2"/>
  <c r="F406" i="2"/>
  <c r="G407" i="2"/>
  <c r="F407" i="2" a="1"/>
  <c r="M405" i="2" l="1"/>
  <c r="F407" i="2"/>
  <c r="J406" i="2"/>
  <c r="G408" i="2"/>
  <c r="O405" i="2"/>
  <c r="P405" i="2"/>
  <c r="F408" i="2" a="1"/>
  <c r="M406" i="2" l="1"/>
  <c r="O406" i="2" s="1"/>
  <c r="J407" i="2"/>
  <c r="F408" i="2"/>
  <c r="P406" i="2"/>
  <c r="G409" i="2"/>
  <c r="F409" i="2" a="1"/>
  <c r="M407" i="2" l="1"/>
  <c r="J408" i="2"/>
  <c r="P408" i="2"/>
  <c r="F409" i="2"/>
  <c r="O407" i="2"/>
  <c r="P407" i="2"/>
  <c r="G410" i="2"/>
  <c r="F410" i="2" a="1"/>
  <c r="M408" i="2" l="1"/>
  <c r="O408" i="2" s="1"/>
  <c r="J409" i="2"/>
  <c r="P409" i="2"/>
  <c r="F410" i="2"/>
  <c r="G411" i="2"/>
  <c r="F411" i="2" a="1"/>
  <c r="M409" i="2" l="1"/>
  <c r="O409" i="2" s="1"/>
  <c r="P410" i="2"/>
  <c r="J410" i="2"/>
  <c r="F411" i="2"/>
  <c r="G412" i="2"/>
  <c r="F412" i="2" a="1"/>
  <c r="M410" i="2" l="1"/>
  <c r="O410" i="2" s="1"/>
  <c r="J411" i="2"/>
  <c r="F412" i="2"/>
  <c r="G413" i="2"/>
  <c r="F413" i="2" a="1"/>
  <c r="M411" i="2" l="1"/>
  <c r="F413" i="2"/>
  <c r="J412" i="2"/>
  <c r="G414" i="2"/>
  <c r="P411" i="2"/>
  <c r="O411" i="2"/>
  <c r="F414" i="2" a="1"/>
  <c r="M412" i="2" l="1"/>
  <c r="O412" i="2" s="1"/>
  <c r="F414" i="2"/>
  <c r="P412" i="2"/>
  <c r="J413" i="2"/>
  <c r="G415" i="2"/>
  <c r="F415" i="2" a="1"/>
  <c r="M413" i="2" l="1"/>
  <c r="J414" i="2"/>
  <c r="P414" i="2"/>
  <c r="F415" i="2"/>
  <c r="O413" i="2"/>
  <c r="P413" i="2"/>
  <c r="G416" i="2"/>
  <c r="F416" i="2" a="1"/>
  <c r="M414" i="2" l="1"/>
  <c r="O414" i="2" s="1"/>
  <c r="F416" i="2"/>
  <c r="J415" i="2"/>
  <c r="G417" i="2"/>
  <c r="F417" i="2" a="1"/>
  <c r="M415" i="2" l="1"/>
  <c r="O415" i="2" s="1"/>
  <c r="F417" i="2"/>
  <c r="P415" i="2"/>
  <c r="J416" i="2"/>
  <c r="G418" i="2"/>
  <c r="F418" i="2" a="1"/>
  <c r="M416" i="2" l="1"/>
  <c r="O416" i="2" s="1"/>
  <c r="F418" i="2"/>
  <c r="J417" i="2"/>
  <c r="P416" i="2"/>
  <c r="G419" i="2"/>
  <c r="F419" i="2" a="1"/>
  <c r="M417" i="2" l="1"/>
  <c r="O417" i="2" s="1"/>
  <c r="F419" i="2"/>
  <c r="J418" i="2"/>
  <c r="G420" i="2"/>
  <c r="P417" i="2"/>
  <c r="F420" i="2" a="1"/>
  <c r="M418" i="2" l="1"/>
  <c r="O418" i="2" s="1"/>
  <c r="F420" i="2"/>
  <c r="P418" i="2"/>
  <c r="J419" i="2"/>
  <c r="G421" i="2"/>
  <c r="F421" i="2" a="1"/>
  <c r="M419" i="2" l="1"/>
  <c r="O419" i="2" s="1"/>
  <c r="J420" i="2"/>
  <c r="F421" i="2"/>
  <c r="P419" i="2"/>
  <c r="G422" i="2"/>
  <c r="F422" i="2" a="1"/>
  <c r="M420" i="2" l="1"/>
  <c r="O420" i="2" s="1"/>
  <c r="F422" i="2"/>
  <c r="J421" i="2"/>
  <c r="P420" i="2"/>
  <c r="G423" i="2"/>
  <c r="F423" i="2" a="1"/>
  <c r="M421" i="2" l="1"/>
  <c r="J422" i="2"/>
  <c r="F423" i="2"/>
  <c r="G424" i="2"/>
  <c r="P421" i="2"/>
  <c r="O421" i="2"/>
  <c r="F424" i="2" a="1"/>
  <c r="M422" i="2" l="1"/>
  <c r="O422" i="2" s="1"/>
  <c r="F424" i="2"/>
  <c r="J423" i="2"/>
  <c r="G425" i="2"/>
  <c r="P422" i="2"/>
  <c r="F425" i="2" a="1"/>
  <c r="M423" i="2" l="1"/>
  <c r="F425" i="2"/>
  <c r="J424" i="2"/>
  <c r="P423" i="2"/>
  <c r="O423" i="2"/>
  <c r="G426" i="2"/>
  <c r="F426" i="2" a="1"/>
  <c r="M424" i="2" l="1"/>
  <c r="O424" i="2" s="1"/>
  <c r="J425" i="2"/>
  <c r="P425" i="2"/>
  <c r="F426" i="2"/>
  <c r="P424" i="2"/>
  <c r="G427" i="2"/>
  <c r="F427" i="2" a="1"/>
  <c r="M425" i="2" l="1"/>
  <c r="O425" i="2" s="1"/>
  <c r="F427" i="2"/>
  <c r="J426" i="2"/>
  <c r="G428" i="2"/>
  <c r="F428" i="2" a="1"/>
  <c r="M426" i="2" l="1"/>
  <c r="O426" i="2" s="1"/>
  <c r="F428" i="2"/>
  <c r="J427" i="2"/>
  <c r="P426" i="2"/>
  <c r="G429" i="2"/>
  <c r="F429" i="2" a="1"/>
  <c r="M427" i="2" l="1"/>
  <c r="O427" i="2" s="1"/>
  <c r="F429" i="2"/>
  <c r="J428" i="2"/>
  <c r="P427" i="2"/>
  <c r="G430" i="2"/>
  <c r="F430" i="2" a="1"/>
  <c r="M428" i="2" l="1"/>
  <c r="O428" i="2" s="1"/>
  <c r="F430" i="2"/>
  <c r="J429" i="2"/>
  <c r="P428" i="2"/>
  <c r="G431" i="2"/>
  <c r="F431" i="2" a="1"/>
  <c r="M429" i="2" l="1"/>
  <c r="O429" i="2" s="1"/>
  <c r="J430" i="2"/>
  <c r="P430" i="2"/>
  <c r="F431" i="2"/>
  <c r="P429" i="2"/>
  <c r="G432" i="2"/>
  <c r="F432" i="2" a="1"/>
  <c r="M430" i="2" l="1"/>
  <c r="O430" i="2" s="1"/>
  <c r="J431" i="2"/>
  <c r="P431" i="2" s="1"/>
  <c r="F432" i="2"/>
  <c r="G433" i="2"/>
  <c r="F433" i="2" a="1"/>
  <c r="M431" i="2" l="1"/>
  <c r="O431" i="2" s="1"/>
  <c r="F433" i="2"/>
  <c r="J432" i="2"/>
  <c r="G434" i="2"/>
  <c r="F434" i="2" a="1"/>
  <c r="M432" i="2" l="1"/>
  <c r="F434" i="2"/>
  <c r="J433" i="2"/>
  <c r="G435" i="2"/>
  <c r="P432" i="2"/>
  <c r="O432" i="2"/>
  <c r="F435" i="2" a="1"/>
  <c r="M433" i="2" l="1"/>
  <c r="O433" i="2" s="1"/>
  <c r="J434" i="2"/>
  <c r="F435" i="2"/>
  <c r="P433" i="2"/>
  <c r="G436" i="2"/>
  <c r="F436" i="2" a="1"/>
  <c r="M434" i="2" l="1"/>
  <c r="O434" i="2" s="1"/>
  <c r="J435" i="2"/>
  <c r="P435" i="2"/>
  <c r="F436" i="2"/>
  <c r="P434" i="2"/>
  <c r="G437" i="2"/>
  <c r="F437" i="2" a="1"/>
  <c r="M435" i="2" l="1"/>
  <c r="O435" i="2" s="1"/>
  <c r="F437" i="2"/>
  <c r="J436" i="2"/>
  <c r="G438" i="2"/>
  <c r="F438" i="2" a="1"/>
  <c r="M436" i="2" l="1"/>
  <c r="O436" i="2" s="1"/>
  <c r="J437" i="2"/>
  <c r="P437" i="2"/>
  <c r="F438" i="2"/>
  <c r="P436" i="2"/>
  <c r="G439" i="2"/>
  <c r="F439" i="2" a="1"/>
  <c r="M437" i="2" l="1"/>
  <c r="O437" i="2" s="1"/>
  <c r="J438" i="2"/>
  <c r="F439" i="2"/>
  <c r="G440" i="2"/>
  <c r="F440" i="2" a="1"/>
  <c r="M438" i="2" l="1"/>
  <c r="O438" i="2" s="1"/>
  <c r="J439" i="2"/>
  <c r="P439" i="2"/>
  <c r="F440" i="2"/>
  <c r="P438" i="2"/>
  <c r="G441" i="2"/>
  <c r="F441" i="2" a="1"/>
  <c r="M439" i="2" l="1"/>
  <c r="O439" i="2" s="1"/>
  <c r="J440" i="2"/>
  <c r="F441" i="2"/>
  <c r="G442" i="2"/>
  <c r="F442" i="2" a="1"/>
  <c r="M440" i="2" l="1"/>
  <c r="O440" i="2" s="1"/>
  <c r="F442" i="2"/>
  <c r="J441" i="2"/>
  <c r="G443" i="2"/>
  <c r="P440" i="2"/>
  <c r="F443" i="2" a="1"/>
  <c r="M441" i="2" l="1"/>
  <c r="P441" i="2"/>
  <c r="F443" i="2"/>
  <c r="J442" i="2"/>
  <c r="O441" i="2"/>
  <c r="G444" i="2"/>
  <c r="F444" i="2" a="1"/>
  <c r="M442" i="2" l="1"/>
  <c r="O442" i="2" s="1"/>
  <c r="J443" i="2"/>
  <c r="F444" i="2"/>
  <c r="P442" i="2"/>
  <c r="G445" i="2"/>
  <c r="F445" i="2" a="1"/>
  <c r="M443" i="2" l="1"/>
  <c r="O443" i="2" s="1"/>
  <c r="J444" i="2"/>
  <c r="F445" i="2"/>
  <c r="P444" i="2"/>
  <c r="P443" i="2"/>
  <c r="G446" i="2"/>
  <c r="F446" i="2" a="1"/>
  <c r="M444" i="2" l="1"/>
  <c r="O444" i="2" s="1"/>
  <c r="J445" i="2"/>
  <c r="F446" i="2"/>
  <c r="G447" i="2"/>
  <c r="F447" i="2" a="1"/>
  <c r="M445" i="2" l="1"/>
  <c r="J446" i="2"/>
  <c r="P446" i="2"/>
  <c r="F447" i="2"/>
  <c r="G448" i="2"/>
  <c r="P445" i="2"/>
  <c r="O445" i="2"/>
  <c r="F448" i="2" a="1"/>
  <c r="M446" i="2" l="1"/>
  <c r="O446" i="2" s="1"/>
  <c r="F448" i="2"/>
  <c r="J447" i="2"/>
  <c r="G449" i="2"/>
  <c r="F449" i="2" a="1"/>
  <c r="M447" i="2" l="1"/>
  <c r="O447" i="2" s="1"/>
  <c r="J448" i="2"/>
  <c r="F449" i="2"/>
  <c r="P447" i="2"/>
  <c r="G450" i="2"/>
  <c r="F450" i="2" a="1"/>
  <c r="M448" i="2" l="1"/>
  <c r="O448" i="2" s="1"/>
  <c r="J449" i="2"/>
  <c r="F450" i="2"/>
  <c r="G451" i="2"/>
  <c r="P448" i="2"/>
  <c r="F451" i="2" a="1"/>
  <c r="M449" i="2" l="1"/>
  <c r="O449" i="2" s="1"/>
  <c r="F451" i="2"/>
  <c r="J450" i="2"/>
  <c r="G452" i="2"/>
  <c r="P449" i="2"/>
  <c r="F452" i="2" a="1"/>
  <c r="M450" i="2" l="1"/>
  <c r="O450" i="2" s="1"/>
  <c r="F452" i="2"/>
  <c r="J451" i="2"/>
  <c r="P450" i="2"/>
  <c r="G453" i="2"/>
  <c r="F453" i="2" a="1"/>
  <c r="M451" i="2" l="1"/>
  <c r="O451" i="2" s="1"/>
  <c r="P452" i="2"/>
  <c r="J452" i="2"/>
  <c r="F453" i="2"/>
  <c r="P451" i="2"/>
  <c r="G454" i="2"/>
  <c r="F454" i="2" a="1"/>
  <c r="M452" i="2" l="1"/>
  <c r="O452" i="2" s="1"/>
  <c r="J453" i="2"/>
  <c r="F454" i="2"/>
  <c r="G455" i="2"/>
  <c r="F455" i="2" a="1"/>
  <c r="M453" i="2" l="1"/>
  <c r="O453" i="2" s="1"/>
  <c r="J454" i="2"/>
  <c r="P453" i="2"/>
  <c r="F455" i="2"/>
  <c r="G456" i="2"/>
  <c r="F456" i="2" a="1"/>
  <c r="M454" i="2" l="1"/>
  <c r="O454" i="2" s="1"/>
  <c r="F456" i="2"/>
  <c r="J455" i="2"/>
  <c r="P454" i="2"/>
  <c r="G457" i="2"/>
  <c r="F457" i="2" a="1"/>
  <c r="M455" i="2" l="1"/>
  <c r="F457" i="2"/>
  <c r="P455" i="2"/>
  <c r="J456" i="2"/>
  <c r="O455" i="2"/>
  <c r="G458" i="2"/>
  <c r="F458" i="2" a="1"/>
  <c r="M456" i="2" l="1"/>
  <c r="O456" i="2" s="1"/>
  <c r="F458" i="2"/>
  <c r="P456" i="2"/>
  <c r="J457" i="2"/>
  <c r="G459" i="2"/>
  <c r="F459" i="2" a="1"/>
  <c r="M457" i="2" l="1"/>
  <c r="O457" i="2" s="1"/>
  <c r="F459" i="2"/>
  <c r="P457" i="2"/>
  <c r="J458" i="2"/>
  <c r="G460" i="2"/>
  <c r="F460" i="2" a="1"/>
  <c r="M458" i="2" l="1"/>
  <c r="O458" i="2" s="1"/>
  <c r="J459" i="2"/>
  <c r="F460" i="2"/>
  <c r="G461" i="2"/>
  <c r="P458" i="2"/>
  <c r="F461" i="2" a="1"/>
  <c r="M459" i="2" l="1"/>
  <c r="J460" i="2"/>
  <c r="P460" i="2"/>
  <c r="F461" i="2"/>
  <c r="G462" i="2"/>
  <c r="O459" i="2"/>
  <c r="P459" i="2"/>
  <c r="F462" i="2" a="1"/>
  <c r="M460" i="2" l="1"/>
  <c r="O460" i="2" s="1"/>
  <c r="J461" i="2"/>
  <c r="F462" i="2"/>
  <c r="G463" i="2"/>
  <c r="F463" i="2" a="1"/>
  <c r="M461" i="2" l="1"/>
  <c r="O461" i="2" s="1"/>
  <c r="F463" i="2"/>
  <c r="J462" i="2"/>
  <c r="P461" i="2"/>
  <c r="G464" i="2"/>
  <c r="F464" i="2" a="1"/>
  <c r="M462" i="2" l="1"/>
  <c r="O462" i="2" s="1"/>
  <c r="J463" i="2"/>
  <c r="P463" i="2"/>
  <c r="F464" i="2"/>
  <c r="P462" i="2"/>
  <c r="G465" i="2"/>
  <c r="F465" i="2" a="1"/>
  <c r="M463" i="2" l="1"/>
  <c r="O463" i="2" s="1"/>
  <c r="F465" i="2"/>
  <c r="J464" i="2"/>
  <c r="G466" i="2"/>
  <c r="F466" i="2" a="1"/>
  <c r="M464" i="2" l="1"/>
  <c r="J465" i="2"/>
  <c r="F466" i="2"/>
  <c r="G467" i="2"/>
  <c r="P464" i="2"/>
  <c r="O464" i="2"/>
  <c r="F467" i="2" a="1"/>
  <c r="M465" i="2" l="1"/>
  <c r="F467" i="2"/>
  <c r="J466" i="2"/>
  <c r="G468" i="2"/>
  <c r="P465" i="2"/>
  <c r="O465" i="2"/>
  <c r="F468" i="2" a="1"/>
  <c r="M466" i="2" l="1"/>
  <c r="O466" i="2" s="1"/>
  <c r="J467" i="2"/>
  <c r="F468" i="2"/>
  <c r="P466" i="2"/>
  <c r="G469" i="2"/>
  <c r="F469" i="2" a="1"/>
  <c r="M467" i="2" l="1"/>
  <c r="O467" i="2" s="1"/>
  <c r="F469" i="2"/>
  <c r="J468" i="2"/>
  <c r="P467" i="2"/>
  <c r="G470" i="2"/>
  <c r="F470" i="2" a="1"/>
  <c r="M468" i="2" l="1"/>
  <c r="O468" i="2" s="1"/>
  <c r="P468" i="2"/>
  <c r="F470" i="2"/>
  <c r="J469" i="2"/>
  <c r="G471" i="2"/>
  <c r="F471" i="2" a="1"/>
  <c r="M469" i="2" l="1"/>
  <c r="O469" i="2" s="1"/>
  <c r="J470" i="2"/>
  <c r="P470" i="2"/>
  <c r="F471" i="2"/>
  <c r="G472" i="2"/>
  <c r="P469" i="2"/>
  <c r="F472" i="2" a="1"/>
  <c r="M470" i="2" l="1"/>
  <c r="O470" i="2" s="1"/>
  <c r="F472" i="2"/>
  <c r="J471" i="2"/>
  <c r="G473" i="2"/>
  <c r="F473" i="2" a="1"/>
  <c r="M471" i="2" l="1"/>
  <c r="O471" i="2" s="1"/>
  <c r="J472" i="2"/>
  <c r="F473" i="2"/>
  <c r="P471" i="2"/>
  <c r="G474" i="2"/>
  <c r="F474" i="2" a="1"/>
  <c r="M472" i="2" l="1"/>
  <c r="O472" i="2" s="1"/>
  <c r="J473" i="2"/>
  <c r="P473" i="2"/>
  <c r="F474" i="2"/>
  <c r="G475" i="2"/>
  <c r="P472" i="2"/>
  <c r="F475" i="2" a="1"/>
  <c r="M473" i="2" l="1"/>
  <c r="O473" i="2" s="1"/>
  <c r="F475" i="2"/>
  <c r="J474" i="2"/>
  <c r="G476" i="2"/>
  <c r="F476" i="2" a="1"/>
  <c r="M474" i="2" l="1"/>
  <c r="J475" i="2"/>
  <c r="P475" i="2"/>
  <c r="O474" i="2"/>
  <c r="F476" i="2"/>
  <c r="P474" i="2"/>
  <c r="G477" i="2"/>
  <c r="F477" i="2" a="1"/>
  <c r="M475" i="2" l="1"/>
  <c r="O475" i="2" s="1"/>
  <c r="J476" i="2"/>
  <c r="F477" i="2"/>
  <c r="G478" i="2"/>
  <c r="F478" i="2" a="1"/>
  <c r="M476" i="2" l="1"/>
  <c r="J477" i="2"/>
  <c r="F478" i="2"/>
  <c r="P476" i="2"/>
  <c r="O476" i="2"/>
  <c r="G479" i="2"/>
  <c r="F479" i="2" a="1"/>
  <c r="M477" i="2" l="1"/>
  <c r="J478" i="2"/>
  <c r="F479" i="2"/>
  <c r="P477" i="2"/>
  <c r="O477" i="2"/>
  <c r="G480" i="2"/>
  <c r="F480" i="2" a="1"/>
  <c r="M478" i="2" l="1"/>
  <c r="J479" i="2"/>
  <c r="P479" i="2"/>
  <c r="F480" i="2"/>
  <c r="P478" i="2"/>
  <c r="O478" i="2"/>
  <c r="G481" i="2"/>
  <c r="F481" i="2" a="1"/>
  <c r="M479" i="2" l="1"/>
  <c r="O479" i="2" s="1"/>
  <c r="F481" i="2"/>
  <c r="J480" i="2"/>
  <c r="G482" i="2"/>
  <c r="F482" i="2" a="1"/>
  <c r="M480" i="2" l="1"/>
  <c r="O480" i="2" s="1"/>
  <c r="F482" i="2"/>
  <c r="J481" i="2"/>
  <c r="G483" i="2"/>
  <c r="P480" i="2"/>
  <c r="F483" i="2" a="1"/>
  <c r="M481" i="2" l="1"/>
  <c r="J482" i="2"/>
  <c r="F483" i="2"/>
  <c r="P481" i="2"/>
  <c r="O481" i="2"/>
  <c r="G484" i="2"/>
  <c r="F484" i="2" a="1"/>
  <c r="M482" i="2" l="1"/>
  <c r="O482" i="2" s="1"/>
  <c r="F484" i="2"/>
  <c r="J483" i="2"/>
  <c r="G485" i="2"/>
  <c r="P482" i="2"/>
  <c r="F485" i="2" a="1"/>
  <c r="M483" i="2" l="1"/>
  <c r="O483" i="2" s="1"/>
  <c r="F485" i="2"/>
  <c r="J484" i="2"/>
  <c r="G486" i="2"/>
  <c r="P483" i="2"/>
  <c r="F486" i="2" a="1"/>
  <c r="M484" i="2" l="1"/>
  <c r="O484" i="2" s="1"/>
  <c r="J485" i="2"/>
  <c r="F486" i="2"/>
  <c r="P484" i="2"/>
  <c r="G487" i="2"/>
  <c r="F487" i="2" a="1"/>
  <c r="M485" i="2" l="1"/>
  <c r="J486" i="2"/>
  <c r="P486" i="2"/>
  <c r="F487" i="2"/>
  <c r="G488" i="2"/>
  <c r="O485" i="2"/>
  <c r="P485" i="2"/>
  <c r="F488" i="2" a="1"/>
  <c r="M486" i="2" l="1"/>
  <c r="O486" i="2" s="1"/>
  <c r="J487" i="2"/>
  <c r="F488" i="2"/>
  <c r="G489" i="2"/>
  <c r="F489" i="2" a="1"/>
  <c r="M487" i="2" l="1"/>
  <c r="O487" i="2" s="1"/>
  <c r="F489" i="2"/>
  <c r="J488" i="2"/>
  <c r="G490" i="2"/>
  <c r="P487" i="2"/>
  <c r="F490" i="2" a="1"/>
  <c r="M488" i="2" l="1"/>
  <c r="O488" i="2" s="1"/>
  <c r="F490" i="2"/>
  <c r="J489" i="2"/>
  <c r="G491" i="2"/>
  <c r="P488" i="2"/>
  <c r="F491" i="2" a="1"/>
  <c r="M489" i="2" l="1"/>
  <c r="O489" i="2" s="1"/>
  <c r="J490" i="2"/>
  <c r="F491" i="2"/>
  <c r="G492" i="2"/>
  <c r="P489" i="2"/>
  <c r="F492" i="2" a="1"/>
  <c r="M490" i="2" l="1"/>
  <c r="O490" i="2" s="1"/>
  <c r="J491" i="2"/>
  <c r="F492" i="2"/>
  <c r="G493" i="2"/>
  <c r="P490" i="2"/>
  <c r="F493" i="2" a="1"/>
  <c r="M491" i="2" l="1"/>
  <c r="O491" i="2" s="1"/>
  <c r="F493" i="2"/>
  <c r="J492" i="2"/>
  <c r="G494" i="2"/>
  <c r="P491" i="2"/>
  <c r="F494" i="2" a="1"/>
  <c r="M492" i="2" l="1"/>
  <c r="O492" i="2" s="1"/>
  <c r="F494" i="2"/>
  <c r="J493" i="2"/>
  <c r="P492" i="2"/>
  <c r="G495" i="2"/>
  <c r="F495" i="2" a="1"/>
  <c r="M493" i="2" l="1"/>
  <c r="J494" i="2"/>
  <c r="F495" i="2"/>
  <c r="G496" i="2"/>
  <c r="P493" i="2"/>
  <c r="O493" i="2"/>
  <c r="F496" i="2" a="1"/>
  <c r="M494" i="2" l="1"/>
  <c r="J495" i="2"/>
  <c r="P495" i="2"/>
  <c r="F496" i="2"/>
  <c r="G497" i="2"/>
  <c r="P494" i="2"/>
  <c r="O494" i="2"/>
  <c r="F497" i="2" a="1"/>
  <c r="M495" i="2" l="1"/>
  <c r="O495" i="2" s="1"/>
  <c r="J496" i="2"/>
  <c r="P496" i="2"/>
  <c r="F497" i="2"/>
  <c r="G498" i="2"/>
  <c r="F498" i="2" a="1"/>
  <c r="M496" i="2" l="1"/>
  <c r="O496" i="2" s="1"/>
  <c r="J497" i="2"/>
  <c r="P497" i="2"/>
  <c r="F498" i="2"/>
  <c r="G499" i="2"/>
  <c r="F499" i="2" a="1"/>
  <c r="M497" i="2" l="1"/>
  <c r="O497" i="2" s="1"/>
  <c r="F499" i="2"/>
  <c r="J498" i="2"/>
  <c r="G500" i="2"/>
  <c r="F500" i="2" a="1"/>
  <c r="M498" i="2" l="1"/>
  <c r="O498" i="2" s="1"/>
  <c r="J499" i="2"/>
  <c r="F500" i="2"/>
  <c r="P498" i="2"/>
  <c r="G501" i="2"/>
  <c r="F501" i="2" a="1"/>
  <c r="M499" i="2" l="1"/>
  <c r="P500" i="2"/>
  <c r="J500" i="2"/>
  <c r="F501" i="2"/>
  <c r="G502" i="2"/>
  <c r="O499" i="2"/>
  <c r="P499" i="2"/>
  <c r="F502" i="2" a="1"/>
  <c r="M500" i="2" l="1"/>
  <c r="O500" i="2" s="1"/>
  <c r="F502" i="2"/>
  <c r="J501" i="2"/>
  <c r="G503" i="2"/>
  <c r="F503" i="2" a="1"/>
  <c r="M501" i="2" l="1"/>
  <c r="O501" i="2" s="1"/>
  <c r="J502" i="2"/>
  <c r="P502" i="2"/>
  <c r="F503" i="2"/>
  <c r="P501" i="2"/>
  <c r="G504" i="2"/>
  <c r="F504" i="2" a="1"/>
  <c r="M502" i="2" l="1"/>
  <c r="O502" i="2" s="1"/>
  <c r="J503" i="2"/>
  <c r="P503" i="2"/>
  <c r="F504" i="2"/>
  <c r="G505" i="2"/>
  <c r="F505" i="2" a="1"/>
  <c r="M503" i="2" l="1"/>
  <c r="O503" i="2" s="1"/>
  <c r="J504" i="2"/>
  <c r="F505" i="2"/>
  <c r="G506" i="2"/>
  <c r="F506" i="2" a="1"/>
  <c r="M504" i="2" l="1"/>
  <c r="O504" i="2" s="1"/>
  <c r="P504" i="2"/>
  <c r="J505" i="2"/>
  <c r="F506" i="2"/>
  <c r="G507" i="2"/>
  <c r="F507" i="2" a="1"/>
  <c r="M505" i="2" l="1"/>
  <c r="F507" i="2"/>
  <c r="J506" i="2"/>
  <c r="G508" i="2"/>
  <c r="O505" i="2"/>
  <c r="P505" i="2"/>
  <c r="F508" i="2" a="1"/>
  <c r="M506" i="2" l="1"/>
  <c r="J507" i="2"/>
  <c r="P507" i="2"/>
  <c r="F508" i="2"/>
  <c r="G509" i="2"/>
  <c r="O506" i="2"/>
  <c r="P506" i="2"/>
  <c r="F509" i="2" a="1"/>
  <c r="M507" i="2" l="1"/>
  <c r="O507" i="2" s="1"/>
  <c r="F509" i="2"/>
  <c r="J508" i="2"/>
  <c r="G510" i="2"/>
  <c r="F510" i="2" a="1"/>
  <c r="M508" i="2" l="1"/>
  <c r="O508" i="2" s="1"/>
  <c r="F510" i="2"/>
  <c r="J509" i="2"/>
  <c r="P508" i="2"/>
  <c r="G511" i="2"/>
  <c r="F511" i="2" a="1"/>
  <c r="M509" i="2" l="1"/>
  <c r="O509" i="2" s="1"/>
  <c r="J510" i="2"/>
  <c r="F511" i="2"/>
  <c r="P509" i="2"/>
  <c r="G512" i="2"/>
  <c r="F512" i="2" a="1"/>
  <c r="M510" i="2" l="1"/>
  <c r="O510" i="2" s="1"/>
  <c r="F512" i="2"/>
  <c r="J511" i="2"/>
  <c r="P510" i="2"/>
  <c r="G513" i="2"/>
  <c r="F513" i="2" a="1"/>
  <c r="M511" i="2" l="1"/>
  <c r="O511" i="2" s="1"/>
  <c r="F513" i="2"/>
  <c r="P511" i="2"/>
  <c r="J512" i="2"/>
  <c r="G514" i="2"/>
  <c r="F514" i="2" a="1"/>
  <c r="M512" i="2" l="1"/>
  <c r="O512" i="2" s="1"/>
  <c r="F514" i="2"/>
  <c r="J513" i="2"/>
  <c r="P512" i="2"/>
  <c r="G515" i="2"/>
  <c r="F515" i="2" a="1"/>
  <c r="M513" i="2" l="1"/>
  <c r="O513" i="2" s="1"/>
  <c r="J514" i="2"/>
  <c r="P514" i="2"/>
  <c r="F515" i="2"/>
  <c r="P513" i="2"/>
  <c r="G516" i="2"/>
  <c r="F516" i="2" a="1"/>
  <c r="M514" i="2" l="1"/>
  <c r="O514" i="2" s="1"/>
  <c r="F516" i="2"/>
  <c r="J515" i="2"/>
  <c r="G517" i="2"/>
  <c r="F517" i="2" a="1"/>
  <c r="M515" i="2" l="1"/>
  <c r="O515" i="2" s="1"/>
  <c r="J516" i="2"/>
  <c r="P516" i="2"/>
  <c r="P515" i="2"/>
  <c r="F517" i="2"/>
  <c r="G518" i="2"/>
  <c r="F518" i="2" a="1"/>
  <c r="M516" i="2" l="1"/>
  <c r="O516" i="2" s="1"/>
  <c r="J517" i="2"/>
  <c r="F518" i="2"/>
  <c r="G519" i="2"/>
  <c r="F519" i="2" a="1"/>
  <c r="M517" i="2" l="1"/>
  <c r="J518" i="2"/>
  <c r="F519" i="2"/>
  <c r="G520" i="2"/>
  <c r="P517" i="2"/>
  <c r="O517" i="2"/>
  <c r="F520" i="2" a="1"/>
  <c r="M518" i="2" l="1"/>
  <c r="O518" i="2" s="1"/>
  <c r="F520" i="2"/>
  <c r="J519" i="2"/>
  <c r="P518" i="2"/>
  <c r="G521" i="2"/>
  <c r="F521" i="2" a="1"/>
  <c r="M519" i="2" l="1"/>
  <c r="O519" i="2" s="1"/>
  <c r="F521" i="2"/>
  <c r="P519" i="2"/>
  <c r="J520" i="2"/>
  <c r="G522" i="2"/>
  <c r="F522" i="2" a="1"/>
  <c r="M520" i="2" l="1"/>
  <c r="J521" i="2"/>
  <c r="P521" i="2"/>
  <c r="F522" i="2"/>
  <c r="P520" i="2"/>
  <c r="O520" i="2"/>
  <c r="G523" i="2"/>
  <c r="F523" i="2" a="1"/>
  <c r="M521" i="2" l="1"/>
  <c r="O521" i="2" s="1"/>
  <c r="J522" i="2"/>
  <c r="F523" i="2"/>
  <c r="G524" i="2"/>
  <c r="F524" i="2" a="1"/>
  <c r="M522" i="2" l="1"/>
  <c r="O522" i="2" s="1"/>
  <c r="J523" i="2"/>
  <c r="P523" i="2"/>
  <c r="F524" i="2"/>
  <c r="P522" i="2"/>
  <c r="G525" i="2"/>
  <c r="F525" i="2" a="1"/>
  <c r="M523" i="2" l="1"/>
  <c r="O523" i="2" s="1"/>
  <c r="J524" i="2"/>
  <c r="P524" i="2"/>
  <c r="F525" i="2"/>
  <c r="G526" i="2"/>
  <c r="F526" i="2" a="1"/>
  <c r="M524" i="2" l="1"/>
  <c r="O524" i="2" s="1"/>
  <c r="J525" i="2"/>
  <c r="F526" i="2"/>
  <c r="G527" i="2"/>
  <c r="F527" i="2" a="1"/>
  <c r="M525" i="2" l="1"/>
  <c r="F527" i="2"/>
  <c r="J526" i="2"/>
  <c r="G528" i="2"/>
  <c r="P525" i="2"/>
  <c r="O525" i="2"/>
  <c r="F528" i="2" a="1"/>
  <c r="M526" i="2" l="1"/>
  <c r="O526" i="2" s="1"/>
  <c r="F528" i="2"/>
  <c r="J527" i="2"/>
  <c r="G529" i="2"/>
  <c r="P526" i="2"/>
  <c r="F529" i="2" a="1"/>
  <c r="M527" i="2" l="1"/>
  <c r="O527" i="2" s="1"/>
  <c r="J528" i="2"/>
  <c r="F529" i="2"/>
  <c r="P527" i="2"/>
  <c r="G530" i="2"/>
  <c r="F530" i="2" a="1"/>
  <c r="M528" i="2" l="1"/>
  <c r="O528" i="2" s="1"/>
  <c r="J529" i="2"/>
  <c r="P529" i="2"/>
  <c r="F530" i="2"/>
  <c r="P528" i="2"/>
  <c r="G531" i="2"/>
  <c r="F531" i="2" a="1"/>
  <c r="M529" i="2" l="1"/>
  <c r="O529" i="2" s="1"/>
  <c r="J530" i="2"/>
  <c r="P530" i="2"/>
  <c r="F531" i="2"/>
  <c r="G532" i="2"/>
  <c r="F532" i="2" a="1"/>
  <c r="M530" i="2" l="1"/>
  <c r="O530" i="2" s="1"/>
  <c r="J531" i="2"/>
  <c r="F532" i="2"/>
  <c r="G533" i="2"/>
  <c r="F533" i="2" a="1"/>
  <c r="M531" i="2" l="1"/>
  <c r="F533" i="2"/>
  <c r="J532" i="2"/>
  <c r="P531" i="2"/>
  <c r="O531" i="2"/>
  <c r="G534" i="2"/>
  <c r="F534" i="2" a="1"/>
  <c r="M532" i="2" l="1"/>
  <c r="O532" i="2" s="1"/>
  <c r="J533" i="2"/>
  <c r="P532" i="2"/>
  <c r="F534" i="2"/>
  <c r="G535" i="2"/>
  <c r="F535" i="2" a="1"/>
  <c r="M533" i="2" l="1"/>
  <c r="O533" i="2" s="1"/>
  <c r="J534" i="2"/>
  <c r="P534" i="2"/>
  <c r="F535" i="2"/>
  <c r="G536" i="2"/>
  <c r="P533" i="2"/>
  <c r="F536" i="2" a="1"/>
  <c r="M534" i="2" l="1"/>
  <c r="O534" i="2" s="1"/>
  <c r="F536" i="2"/>
  <c r="J535" i="2"/>
  <c r="G537" i="2"/>
  <c r="F537" i="2" a="1"/>
  <c r="M535" i="2" l="1"/>
  <c r="J536" i="2"/>
  <c r="P536" i="2"/>
  <c r="F537" i="2"/>
  <c r="P535" i="2"/>
  <c r="O535" i="2"/>
  <c r="G538" i="2"/>
  <c r="F538" i="2" a="1"/>
  <c r="M536" i="2" l="1"/>
  <c r="O536" i="2" s="1"/>
  <c r="F538" i="2"/>
  <c r="J537" i="2"/>
  <c r="G539" i="2"/>
  <c r="F539" i="2" a="1"/>
  <c r="M537" i="2" l="1"/>
  <c r="O537" i="2" s="1"/>
  <c r="J538" i="2"/>
  <c r="F539" i="2"/>
  <c r="P537" i="2"/>
  <c r="G540" i="2"/>
  <c r="F540" i="2" a="1"/>
  <c r="M538" i="2" l="1"/>
  <c r="O538" i="2" s="1"/>
  <c r="F540" i="2"/>
  <c r="J539" i="2"/>
  <c r="G541" i="2"/>
  <c r="P538" i="2"/>
  <c r="F541" i="2" a="1"/>
  <c r="M539" i="2" l="1"/>
  <c r="O539" i="2" s="1"/>
  <c r="F541" i="2"/>
  <c r="J540" i="2"/>
  <c r="P539" i="2"/>
  <c r="G542" i="2"/>
  <c r="F542" i="2" a="1"/>
  <c r="M540" i="2" l="1"/>
  <c r="F542" i="2"/>
  <c r="J541" i="2"/>
  <c r="P540" i="2"/>
  <c r="O540" i="2"/>
  <c r="G543" i="2"/>
  <c r="F543" i="2" a="1"/>
  <c r="M541" i="2" l="1"/>
  <c r="O541" i="2" s="1"/>
  <c r="J542" i="2"/>
  <c r="F543" i="2"/>
  <c r="G544" i="2"/>
  <c r="P541" i="2"/>
  <c r="F544" i="2" a="1"/>
  <c r="M542" i="2" l="1"/>
  <c r="O542" i="2" s="1"/>
  <c r="P542" i="2"/>
  <c r="F544" i="2"/>
  <c r="J543" i="2"/>
  <c r="G545" i="2"/>
  <c r="F545" i="2" a="1"/>
  <c r="M543" i="2" l="1"/>
  <c r="O543" i="2" s="1"/>
  <c r="F545" i="2"/>
  <c r="J544" i="2"/>
  <c r="G546" i="2"/>
  <c r="P543" i="2"/>
  <c r="F546" i="2" a="1"/>
  <c r="M544" i="2" l="1"/>
  <c r="O544" i="2" s="1"/>
  <c r="F546" i="2"/>
  <c r="P544" i="2"/>
  <c r="J545" i="2"/>
  <c r="G547" i="2"/>
  <c r="F547" i="2" a="1"/>
  <c r="M545" i="2" l="1"/>
  <c r="J546" i="2"/>
  <c r="P546" i="2"/>
  <c r="F547" i="2"/>
  <c r="O545" i="2"/>
  <c r="P545" i="2"/>
  <c r="G548" i="2"/>
  <c r="F548" i="2" a="1"/>
  <c r="M546" i="2" l="1"/>
  <c r="O546" i="2" s="1"/>
  <c r="P547" i="2"/>
  <c r="J547" i="2"/>
  <c r="F548" i="2"/>
  <c r="G549" i="2"/>
  <c r="F549" i="2" a="1"/>
  <c r="M547" i="2" l="1"/>
  <c r="O547" i="2" s="1"/>
  <c r="J548" i="2"/>
  <c r="F549" i="2"/>
  <c r="G550" i="2"/>
  <c r="F550" i="2" a="1"/>
  <c r="M548" i="2" l="1"/>
  <c r="J549" i="2"/>
  <c r="P549" i="2"/>
  <c r="F550" i="2"/>
  <c r="G551" i="2"/>
  <c r="O548" i="2"/>
  <c r="P548" i="2"/>
  <c r="F551" i="2" a="1"/>
  <c r="M549" i="2" l="1"/>
  <c r="O549" i="2" s="1"/>
  <c r="J550" i="2"/>
  <c r="P550" i="2"/>
  <c r="F551" i="2"/>
  <c r="G552" i="2"/>
  <c r="F552" i="2" a="1"/>
  <c r="M550" i="2" l="1"/>
  <c r="O550" i="2" s="1"/>
  <c r="J551" i="2"/>
  <c r="P551" i="2"/>
  <c r="F552" i="2"/>
  <c r="G553" i="2"/>
  <c r="F553" i="2" a="1"/>
  <c r="M551" i="2" l="1"/>
  <c r="O551" i="2" s="1"/>
  <c r="F553" i="2"/>
  <c r="J552" i="2"/>
  <c r="G554" i="2"/>
  <c r="F554" i="2" a="1"/>
  <c r="M552" i="2" l="1"/>
  <c r="J553" i="2"/>
  <c r="P553" i="2"/>
  <c r="F554" i="2"/>
  <c r="P552" i="2"/>
  <c r="O552" i="2"/>
  <c r="G555" i="2"/>
  <c r="F555" i="2" a="1"/>
  <c r="M553" i="2" l="1"/>
  <c r="O553" i="2" s="1"/>
  <c r="J554" i="2"/>
  <c r="F555" i="2"/>
  <c r="G556" i="2"/>
  <c r="F556" i="2" a="1"/>
  <c r="M554" i="2" l="1"/>
  <c r="O554" i="2" s="1"/>
  <c r="J555" i="2"/>
  <c r="P555" i="2"/>
  <c r="F556" i="2"/>
  <c r="P554" i="2"/>
  <c r="G557" i="2"/>
  <c r="F557" i="2" a="1"/>
  <c r="M555" i="2" l="1"/>
  <c r="O555" i="2" s="1"/>
  <c r="J556" i="2"/>
  <c r="P556" i="2"/>
  <c r="F557" i="2"/>
  <c r="G558" i="2"/>
  <c r="F558" i="2" a="1"/>
  <c r="M556" i="2" l="1"/>
  <c r="O556" i="2" s="1"/>
  <c r="J557" i="2"/>
  <c r="F558" i="2"/>
  <c r="G559" i="2"/>
  <c r="F559" i="2" a="1"/>
  <c r="M557" i="2" l="1"/>
  <c r="J558" i="2"/>
  <c r="P558" i="2"/>
  <c r="F559" i="2"/>
  <c r="G560" i="2"/>
  <c r="O557" i="2"/>
  <c r="P557" i="2"/>
  <c r="F560" i="2" a="1"/>
  <c r="M558" i="2" l="1"/>
  <c r="O558" i="2" s="1"/>
  <c r="F560" i="2"/>
  <c r="J559" i="2"/>
  <c r="G561" i="2"/>
  <c r="F561" i="2" a="1"/>
  <c r="M559" i="2" l="1"/>
  <c r="O559" i="2" s="1"/>
  <c r="J560" i="2"/>
  <c r="P560" i="2"/>
  <c r="F561" i="2"/>
  <c r="G562" i="2"/>
  <c r="P559" i="2"/>
  <c r="F562" i="2" a="1"/>
  <c r="M560" i="2" l="1"/>
  <c r="O560" i="2" s="1"/>
  <c r="F562" i="2"/>
  <c r="J561" i="2"/>
  <c r="G563" i="2"/>
  <c r="F563" i="2" a="1"/>
  <c r="M561" i="2" l="1"/>
  <c r="O561" i="2" s="1"/>
  <c r="J562" i="2"/>
  <c r="P562" i="2"/>
  <c r="F563" i="2"/>
  <c r="P561" i="2"/>
  <c r="G564" i="2"/>
  <c r="F564" i="2" a="1"/>
  <c r="M562" i="2" l="1"/>
  <c r="O562" i="2" s="1"/>
  <c r="J563" i="2"/>
  <c r="F564" i="2"/>
  <c r="G565" i="2"/>
  <c r="F565" i="2" a="1"/>
  <c r="M563" i="2" l="1"/>
  <c r="F565" i="2"/>
  <c r="J564" i="2"/>
  <c r="G566" i="2"/>
  <c r="O563" i="2"/>
  <c r="P563" i="2"/>
  <c r="F566" i="2" a="1"/>
  <c r="M564" i="2" l="1"/>
  <c r="O564" i="2" s="1"/>
  <c r="J565" i="2"/>
  <c r="F566" i="2"/>
  <c r="P564" i="2"/>
  <c r="G567" i="2"/>
  <c r="F567" i="2" a="1"/>
  <c r="M565" i="2" l="1"/>
  <c r="O565" i="2" s="1"/>
  <c r="P565" i="2"/>
  <c r="J566" i="2"/>
  <c r="P566" i="2"/>
  <c r="F567" i="2"/>
  <c r="G568" i="2"/>
  <c r="F568" i="2" a="1"/>
  <c r="M566" i="2" l="1"/>
  <c r="O566" i="2" s="1"/>
  <c r="J567" i="2"/>
  <c r="F568" i="2"/>
  <c r="G569" i="2"/>
  <c r="F569" i="2" a="1"/>
  <c r="M567" i="2" l="1"/>
  <c r="O567" i="2" s="1"/>
  <c r="J568" i="2"/>
  <c r="P568" i="2"/>
  <c r="F569" i="2"/>
  <c r="G570" i="2"/>
  <c r="P567" i="2"/>
  <c r="F570" i="2" a="1"/>
  <c r="M568" i="2" l="1"/>
  <c r="O568" i="2" s="1"/>
  <c r="J569" i="2"/>
  <c r="F570" i="2"/>
  <c r="G571" i="2"/>
  <c r="F571" i="2" a="1"/>
  <c r="M569" i="2" l="1"/>
  <c r="O569" i="2" s="1"/>
  <c r="J570" i="2"/>
  <c r="P570" i="2"/>
  <c r="F571" i="2"/>
  <c r="G572" i="2"/>
  <c r="P569" i="2"/>
  <c r="F572" i="2" a="1"/>
  <c r="M570" i="2" l="1"/>
  <c r="O570" i="2" s="1"/>
  <c r="F572" i="2"/>
  <c r="J571" i="2"/>
  <c r="G573" i="2"/>
  <c r="F573" i="2" a="1"/>
  <c r="M571" i="2" l="1"/>
  <c r="O571" i="2" s="1"/>
  <c r="J572" i="2"/>
  <c r="F573" i="2"/>
  <c r="P571" i="2"/>
  <c r="G574" i="2"/>
  <c r="F574" i="2" a="1"/>
  <c r="M572" i="2" l="1"/>
  <c r="O572" i="2" s="1"/>
  <c r="F574" i="2"/>
  <c r="J573" i="2"/>
  <c r="G575" i="2"/>
  <c r="P572" i="2"/>
  <c r="F575" i="2" a="1"/>
  <c r="M573" i="2" l="1"/>
  <c r="O573" i="2" s="1"/>
  <c r="J574" i="2"/>
  <c r="P574" i="2"/>
  <c r="F575" i="2"/>
  <c r="P573" i="2"/>
  <c r="G576" i="2"/>
  <c r="F576" i="2" a="1"/>
  <c r="M574" i="2" l="1"/>
  <c r="O574" i="2" s="1"/>
  <c r="J575" i="2"/>
  <c r="F576" i="2"/>
  <c r="G577" i="2"/>
  <c r="F577" i="2" a="1"/>
  <c r="M575" i="2" l="1"/>
  <c r="J576" i="2"/>
  <c r="F577" i="2"/>
  <c r="O575" i="2"/>
  <c r="P575" i="2"/>
  <c r="G578" i="2"/>
  <c r="F578" i="2" a="1"/>
  <c r="M576" i="2" l="1"/>
  <c r="O576" i="2" s="1"/>
  <c r="P576" i="2"/>
  <c r="F578" i="2"/>
  <c r="J577" i="2"/>
  <c r="G579" i="2"/>
  <c r="F579" i="2" a="1"/>
  <c r="M577" i="2" l="1"/>
  <c r="O577" i="2" s="1"/>
  <c r="F579" i="2"/>
  <c r="P577" i="2"/>
  <c r="J578" i="2"/>
  <c r="G580" i="2"/>
  <c r="F580" i="2" a="1"/>
  <c r="M578" i="2" l="1"/>
  <c r="F580" i="2"/>
  <c r="J579" i="2"/>
  <c r="P578" i="2"/>
  <c r="O578" i="2"/>
  <c r="G581" i="2"/>
  <c r="F581" i="2" a="1"/>
  <c r="M579" i="2" l="1"/>
  <c r="J580" i="2"/>
  <c r="P580" i="2"/>
  <c r="F581" i="2"/>
  <c r="G582" i="2"/>
  <c r="O579" i="2"/>
  <c r="P579" i="2"/>
  <c r="F582" i="2" a="1"/>
  <c r="M580" i="2" l="1"/>
  <c r="O580" i="2" s="1"/>
  <c r="J581" i="2"/>
  <c r="F582" i="2"/>
  <c r="P581" i="2"/>
  <c r="G583" i="2"/>
  <c r="F583" i="2" a="1"/>
  <c r="M581" i="2" l="1"/>
  <c r="O581" i="2" s="1"/>
  <c r="J582" i="2"/>
  <c r="F583" i="2"/>
  <c r="G584" i="2"/>
  <c r="F584" i="2" a="1"/>
  <c r="M582" i="2" l="1"/>
  <c r="F584" i="2"/>
  <c r="J583" i="2"/>
  <c r="G585" i="2"/>
  <c r="O582" i="2"/>
  <c r="P582" i="2"/>
  <c r="F585" i="2" a="1"/>
  <c r="M583" i="2" l="1"/>
  <c r="O583" i="2" s="1"/>
  <c r="J584" i="2"/>
  <c r="P584" i="2"/>
  <c r="F585" i="2"/>
  <c r="P583" i="2"/>
  <c r="G586" i="2"/>
  <c r="F586" i="2" a="1"/>
  <c r="M584" i="2" l="1"/>
  <c r="O584" i="2" s="1"/>
  <c r="J585" i="2"/>
  <c r="F586" i="2"/>
  <c r="G587" i="2"/>
  <c r="F587" i="2" a="1"/>
  <c r="M585" i="2" l="1"/>
  <c r="J586" i="2"/>
  <c r="P586" i="2"/>
  <c r="F587" i="2"/>
  <c r="G588" i="2"/>
  <c r="P585" i="2"/>
  <c r="O585" i="2"/>
  <c r="F588" i="2" a="1"/>
  <c r="M586" i="2" l="1"/>
  <c r="O586" i="2" s="1"/>
  <c r="J587" i="2"/>
  <c r="F588" i="2"/>
  <c r="G589" i="2"/>
  <c r="F589" i="2" a="1"/>
  <c r="M587" i="2" l="1"/>
  <c r="O587" i="2" s="1"/>
  <c r="J588" i="2"/>
  <c r="P588" i="2"/>
  <c r="F589" i="2"/>
  <c r="P587" i="2"/>
  <c r="G590" i="2"/>
  <c r="F590" i="2" a="1"/>
  <c r="M588" i="2" l="1"/>
  <c r="O588" i="2" s="1"/>
  <c r="F590" i="2"/>
  <c r="J589" i="2"/>
  <c r="G591" i="2"/>
  <c r="F591" i="2" a="1"/>
  <c r="M589" i="2" l="1"/>
  <c r="F591" i="2"/>
  <c r="J590" i="2"/>
  <c r="P589" i="2"/>
  <c r="O589" i="2"/>
  <c r="G592" i="2"/>
  <c r="F592" i="2" a="1"/>
  <c r="M590" i="2" l="1"/>
  <c r="O590" i="2" s="1"/>
  <c r="P591" i="2"/>
  <c r="J591" i="2"/>
  <c r="F592" i="2"/>
  <c r="P590" i="2"/>
  <c r="G593" i="2"/>
  <c r="F593" i="2" a="1"/>
  <c r="M591" i="2" l="1"/>
  <c r="O591" i="2" s="1"/>
  <c r="F593" i="2"/>
  <c r="J592" i="2"/>
  <c r="G594" i="2"/>
  <c r="F594" i="2" a="1"/>
  <c r="M592" i="2" l="1"/>
  <c r="F594" i="2"/>
  <c r="J593" i="2"/>
  <c r="O592" i="2"/>
  <c r="P592" i="2"/>
  <c r="G595" i="2"/>
  <c r="F595" i="2" a="1"/>
  <c r="M593" i="2" l="1"/>
  <c r="O593" i="2" s="1"/>
  <c r="F595" i="2"/>
  <c r="P593" i="2"/>
  <c r="J594" i="2"/>
  <c r="G596" i="2"/>
  <c r="F596" i="2" a="1"/>
  <c r="M594" i="2" l="1"/>
  <c r="O594" i="2" s="1"/>
  <c r="J595" i="2"/>
  <c r="F596" i="2"/>
  <c r="P594" i="2"/>
  <c r="G597" i="2"/>
  <c r="F597" i="2" a="1"/>
  <c r="M595" i="2" l="1"/>
  <c r="F597" i="2"/>
  <c r="J596" i="2"/>
  <c r="P595" i="2"/>
  <c r="O595" i="2"/>
  <c r="G598" i="2"/>
  <c r="F598" i="2" a="1"/>
  <c r="M596" i="2" l="1"/>
  <c r="O596" i="2" s="1"/>
  <c r="F598" i="2"/>
  <c r="J597" i="2"/>
  <c r="P596" i="2"/>
  <c r="G599" i="2"/>
  <c r="F599" i="2" a="1"/>
  <c r="M597" i="2" l="1"/>
  <c r="O597" i="2" s="1"/>
  <c r="J598" i="2"/>
  <c r="P598" i="2"/>
  <c r="F599" i="2"/>
  <c r="P597" i="2"/>
  <c r="G600" i="2"/>
  <c r="F600" i="2" a="1"/>
  <c r="M598" i="2" l="1"/>
  <c r="O598" i="2" s="1"/>
  <c r="J599" i="2"/>
  <c r="P599" i="2"/>
  <c r="F600" i="2"/>
  <c r="G601" i="2"/>
  <c r="F601" i="2" a="1"/>
  <c r="M599" i="2" l="1"/>
  <c r="O599" i="2" s="1"/>
  <c r="F601" i="2"/>
  <c r="J600" i="2"/>
  <c r="G602" i="2"/>
  <c r="F602" i="2" a="1"/>
  <c r="M600" i="2" l="1"/>
  <c r="O600" i="2" s="1"/>
  <c r="F602" i="2"/>
  <c r="J601" i="2"/>
  <c r="P600" i="2"/>
  <c r="G603" i="2"/>
  <c r="F603" i="2" a="1"/>
  <c r="M601" i="2" l="1"/>
  <c r="O601" i="2" s="1"/>
  <c r="J602" i="2"/>
  <c r="P602" i="2"/>
  <c r="F603" i="2"/>
  <c r="P601" i="2"/>
  <c r="G604" i="2"/>
  <c r="F604" i="2" a="1"/>
  <c r="M602" i="2" l="1"/>
  <c r="O602" i="2" s="1"/>
  <c r="J603" i="2"/>
  <c r="F604" i="2"/>
  <c r="G605" i="2"/>
  <c r="F605" i="2" a="1"/>
  <c r="M603" i="2" l="1"/>
  <c r="O603" i="2" s="1"/>
  <c r="J604" i="2"/>
  <c r="F605" i="2"/>
  <c r="G606" i="2"/>
  <c r="P603" i="2"/>
  <c r="F606" i="2" a="1"/>
  <c r="M604" i="2" l="1"/>
  <c r="O604" i="2" s="1"/>
  <c r="J605" i="2"/>
  <c r="F606" i="2"/>
  <c r="G607" i="2"/>
  <c r="P604" i="2"/>
  <c r="F607" i="2" a="1"/>
  <c r="M605" i="2" l="1"/>
  <c r="F607" i="2"/>
  <c r="J606" i="2"/>
  <c r="P605" i="2"/>
  <c r="O605" i="2"/>
  <c r="G608" i="2"/>
  <c r="F608" i="2" a="1"/>
  <c r="M606" i="2" l="1"/>
  <c r="O606" i="2" s="1"/>
  <c r="F608" i="2"/>
  <c r="P606" i="2"/>
  <c r="J607" i="2"/>
  <c r="G609" i="2"/>
  <c r="F609" i="2" a="1"/>
  <c r="M607" i="2" l="1"/>
  <c r="O607" i="2" s="1"/>
  <c r="J608" i="2"/>
  <c r="F609" i="2"/>
  <c r="P607" i="2"/>
  <c r="G610" i="2"/>
  <c r="F610" i="2" a="1"/>
  <c r="M608" i="2" l="1"/>
  <c r="F610" i="2"/>
  <c r="J609" i="2"/>
  <c r="G611" i="2"/>
  <c r="O608" i="2"/>
  <c r="P608" i="2"/>
  <c r="F611" i="2" a="1"/>
  <c r="M609" i="2" l="1"/>
  <c r="J610" i="2"/>
  <c r="P610" i="2"/>
  <c r="F611" i="2"/>
  <c r="O609" i="2"/>
  <c r="P609" i="2"/>
  <c r="G612" i="2"/>
  <c r="F612" i="2" a="1"/>
  <c r="M610" i="2" l="1"/>
  <c r="O610" i="2" s="1"/>
  <c r="J611" i="2"/>
  <c r="F612" i="2"/>
  <c r="G613" i="2"/>
  <c r="F613" i="2" a="1"/>
  <c r="M611" i="2" l="1"/>
  <c r="O611" i="2" s="1"/>
  <c r="J612" i="2"/>
  <c r="F613" i="2"/>
  <c r="P611" i="2"/>
  <c r="G614" i="2"/>
  <c r="F614" i="2" a="1"/>
  <c r="M612" i="2" l="1"/>
  <c r="F614" i="2"/>
  <c r="J613" i="2"/>
  <c r="G615" i="2"/>
  <c r="P612" i="2"/>
  <c r="O612" i="2"/>
  <c r="F615" i="2" a="1"/>
  <c r="M613" i="2" l="1"/>
  <c r="J614" i="2"/>
  <c r="F615" i="2"/>
  <c r="P613" i="2"/>
  <c r="O613" i="2"/>
  <c r="G616" i="2"/>
  <c r="F616" i="2" a="1"/>
  <c r="M614" i="2" l="1"/>
  <c r="F616" i="2"/>
  <c r="J615" i="2"/>
  <c r="G617" i="2"/>
  <c r="P614" i="2"/>
  <c r="O614" i="2"/>
  <c r="F617" i="2" a="1"/>
  <c r="M615" i="2" l="1"/>
  <c r="F617" i="2"/>
  <c r="J616" i="2"/>
  <c r="P615" i="2"/>
  <c r="O615" i="2"/>
  <c r="G618" i="2"/>
  <c r="F618" i="2" a="1"/>
  <c r="M616" i="2" l="1"/>
  <c r="O616" i="2" s="1"/>
  <c r="J617" i="2"/>
  <c r="P617" i="2"/>
  <c r="F618" i="2"/>
  <c r="G619" i="2"/>
  <c r="P616" i="2"/>
  <c r="F619" i="2" a="1"/>
  <c r="M617" i="2" l="1"/>
  <c r="O617" i="2" s="1"/>
  <c r="F619" i="2"/>
  <c r="J618" i="2"/>
  <c r="G620" i="2"/>
  <c r="F620" i="2" a="1"/>
  <c r="M618" i="2" l="1"/>
  <c r="O618" i="2" s="1"/>
  <c r="F620" i="2"/>
  <c r="J619" i="2"/>
  <c r="P618" i="2"/>
  <c r="G621" i="2"/>
  <c r="F621" i="2" a="1"/>
  <c r="M619" i="2" l="1"/>
  <c r="O619" i="2" s="1"/>
  <c r="F621" i="2"/>
  <c r="J620" i="2"/>
  <c r="P619" i="2"/>
  <c r="G622" i="2"/>
  <c r="F622" i="2" a="1"/>
  <c r="M620" i="2" l="1"/>
  <c r="O620" i="2" s="1"/>
  <c r="J621" i="2"/>
  <c r="P621" i="2"/>
  <c r="F622" i="2"/>
  <c r="P620" i="2"/>
  <c r="G623" i="2"/>
  <c r="F623" i="2" a="1"/>
  <c r="M621" i="2" l="1"/>
  <c r="O621" i="2" s="1"/>
  <c r="J622" i="2"/>
  <c r="P622" i="2"/>
  <c r="F623" i="2"/>
  <c r="G624" i="2"/>
  <c r="F624" i="2" a="1"/>
  <c r="M622" i="2" l="1"/>
  <c r="O622" i="2" s="1"/>
  <c r="F624" i="2"/>
  <c r="J623" i="2"/>
  <c r="G625" i="2"/>
  <c r="F625" i="2" a="1"/>
  <c r="M623" i="2" l="1"/>
  <c r="O623" i="2" s="1"/>
  <c r="J624" i="2"/>
  <c r="P624" i="2"/>
  <c r="F625" i="2"/>
  <c r="P623" i="2"/>
  <c r="G626" i="2"/>
  <c r="F626" i="2" a="1"/>
  <c r="M624" i="2" l="1"/>
  <c r="O624" i="2" s="1"/>
  <c r="J625" i="2"/>
  <c r="F626" i="2"/>
  <c r="G627" i="2"/>
  <c r="F627" i="2" a="1"/>
  <c r="M625" i="2" l="1"/>
  <c r="F627" i="2"/>
  <c r="J626" i="2"/>
  <c r="G628" i="2"/>
  <c r="P625" i="2"/>
  <c r="O625" i="2"/>
  <c r="F628" i="2" a="1"/>
  <c r="M626" i="2" l="1"/>
  <c r="F628" i="2"/>
  <c r="J627" i="2"/>
  <c r="G629" i="2"/>
  <c r="O626" i="2"/>
  <c r="P626" i="2"/>
  <c r="F629" i="2" a="1"/>
  <c r="M627" i="2" l="1"/>
  <c r="O627" i="2" s="1"/>
  <c r="P627" i="2"/>
  <c r="J628" i="2"/>
  <c r="F629" i="2"/>
  <c r="G630" i="2"/>
  <c r="F630" i="2" a="1"/>
  <c r="M628" i="2" l="1"/>
  <c r="F630" i="2"/>
  <c r="J629" i="2"/>
  <c r="G631" i="2"/>
  <c r="O628" i="2"/>
  <c r="P628" i="2"/>
  <c r="F631" i="2" a="1"/>
  <c r="M629" i="2" l="1"/>
  <c r="O629" i="2" s="1"/>
  <c r="J630" i="2"/>
  <c r="F631" i="2"/>
  <c r="P629" i="2"/>
  <c r="G632" i="2"/>
  <c r="F632" i="2" a="1"/>
  <c r="M630" i="2" l="1"/>
  <c r="O630" i="2" s="1"/>
  <c r="J631" i="2"/>
  <c r="P631" i="2"/>
  <c r="P630" i="2"/>
  <c r="F632" i="2"/>
  <c r="G633" i="2"/>
  <c r="F633" i="2" a="1"/>
  <c r="M631" i="2" l="1"/>
  <c r="O631" i="2" s="1"/>
  <c r="M632" i="2"/>
  <c r="F633" i="2"/>
  <c r="J632" i="2"/>
  <c r="G634" i="2"/>
  <c r="F634" i="2" a="1"/>
  <c r="M633" i="2" l="1"/>
  <c r="F634" i="2"/>
  <c r="J633" i="2"/>
  <c r="G635" i="2"/>
  <c r="P632" i="2"/>
  <c r="O632" i="2"/>
  <c r="F635" i="2" a="1"/>
  <c r="J634" i="2" l="1"/>
  <c r="P634" i="2"/>
  <c r="F635" i="2"/>
  <c r="M634" i="2"/>
  <c r="O634" i="2" s="1"/>
  <c r="G636" i="2"/>
  <c r="O633" i="2"/>
  <c r="P633" i="2"/>
  <c r="F636" i="2" a="1"/>
  <c r="M635" i="2" l="1"/>
  <c r="F636" i="2"/>
  <c r="J635" i="2"/>
  <c r="O635" i="2" l="1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BA0891D4-E11C-4B69-AECF-A3562B9F40B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A20A2EE-ABD4-40C2-82E4-354C1AE100C4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73E1D007-1E18-4FB9-9877-215B14AE0933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562A6BC3-BEF9-4998-AAF4-8B9395D82F73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249E64FB-8900-44C9-BE59-B70C7644D041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50D3A51A-8AC4-431E-9E43-730159354E8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<sst xmlns="http://schemas.openxmlformats.org/spreadsheetml/2006/main" count="543" uniqueCount="158">
  <si>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</si>
  <si>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</si>
  <si>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</si>
  <si>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</si>
  <si>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</si>
  <si>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</si>
  <si>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</si>
  <si>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</si>
  <si>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</si>
  <si>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</si>
  <si>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</si>
  <si>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</si>
  <si>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</si>
  <si>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</si>
  <si>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</si>
  <si>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</si>
  <si>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</si>
  <si>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</si>
  <si>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</si>
  <si>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</si>
  <si>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</si>
  <si>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</si>
  <si>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</si>
  <si>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</si>
  <si>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</si>
  <si>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</si>
  <si>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</si>
  <si>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</si>
  <si>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</si>
  <si>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</si>
  <si>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</si>
  <si>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</si>
  <si>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</si>
  <si>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</si>
  <si>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</si>
  <si>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</si>
  <si>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</si>
  <si>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</si>
  <si>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</si>
  <si>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</si>
  <si>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</si>
  <si>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</si>
  <si>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</si>
  <si>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</si>
  <si>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</si>
  <si>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</si>
  <si>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</si>
  <si>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</si>
  <si>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</si>
  <si>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</si>
  <si>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</si>
  <si>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</si>
  <si>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</si>
  <si>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</si>
  <si>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</si>
  <si>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</si>
  <si>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</si>
  <si>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</si>
  <si>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</si>
  <si>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</si>
  <si>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</si>
  <si>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</si>
  <si>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</si>
  <si>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</si>
  <si>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</si>
  <si>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</si>
  <si>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</si>
  <si>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</si>
  <si>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</si>
  <si>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</si>
  <si>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</si>
  <si>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</si>
  <si>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</si>
  <si>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</si>
  <si>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</si>
  <si>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</si>
  <si>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</si>
  <si>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</si>
  <si>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</si>
  <si>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</si>
  <si>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</si>
  <si>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</si>
  <si>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</si>
  <si>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</si>
  <si>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</si>
  <si>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</si>
  <si>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</si>
  <si>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</si>
  <si>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</si>
  <si>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</si>
  <si>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</si>
  <si>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</si>
  <si>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</si>
  <si>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</si>
  <si>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</si>
  <si>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</si>
  <si>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</si>
  <si>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</si>
  <si>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</si>
  <si>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</si>
  <si>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</si>
  <si>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</si>
  <si>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</si>
  <si>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</si>
  <si>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</si>
  <si>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</si>
  <si>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</si>
  <si>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</si>
  <si>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</si>
  <si>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</si>
  <si>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</si>
  <si>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</si>
  <si>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</si>
  <si>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</si>
  <si>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</si>
  <si>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</si>
  <si>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</si>
  <si>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</si>
  <si>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</si>
  <si>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</si>
  <si>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</si>
  <si>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</si>
  <si>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</si>
  <si>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</si>
  <si>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</si>
  <si>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</si>
  <si>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</si>
  <si>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</si>
  <si>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</si>
  <si>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depth at 25% 2200Ah</t>
  </si>
  <si>
    <t>depth at 25% 6600Ah</t>
  </si>
  <si>
    <t>depth at 25% 11000Ah</t>
  </si>
  <si>
    <t>depth at 25% 88000 Ah</t>
  </si>
  <si>
    <t>Model 1</t>
  </si>
  <si>
    <t>Model 2</t>
  </si>
  <si>
    <t>Model 3</t>
  </si>
  <si>
    <t>Battery</t>
  </si>
  <si>
    <t>Capacity (mAh)</t>
  </si>
  <si>
    <t>Energy (kJ)</t>
  </si>
  <si>
    <t>Drilling duration (s)</t>
  </si>
  <si>
    <t>Battery 1</t>
  </si>
  <si>
    <t>Battery 2</t>
  </si>
  <si>
    <t>Battery 3</t>
  </si>
  <si>
    <t>Battery 4</t>
  </si>
  <si>
    <t>Battery 5</t>
  </si>
  <si>
    <t>Battery 6</t>
  </si>
  <si>
    <t>Constant power draw (W)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</si>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</sst>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7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0" fontId="0" fillId="0" borderId="1" xfId="0" applyFill="1" applyBorder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2" fontId="0" fillId="0" borderId="1" xfId="0" applyNumberFormat="1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9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wrapText="1"/>
    </xf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/>
    <xf numFmtId="0" fontId="2" fillId="0" borderId="15" xfId="0" applyFont="1" applyBorder="1" applyAlignment="1"/>
    <xf numFmtId="0" fontId="2" fillId="0" borderId="0" xfId="0" applyFont="1" applyBorder="1" applyAlignment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" fontId="0" fillId="0" borderId="0" xfId="0" applyNumberForma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0" xfId="0" applyNumberFormat="1" applyBorder="1"/>
    <xf numFmtId="2" fontId="0" fillId="0" borderId="3" xfId="0" applyNumberFormat="1" applyBorder="1"/>
    <xf numFmtId="2" fontId="0" fillId="0" borderId="3" xfId="1" applyNumberFormat="1" applyFont="1" applyBorder="1"/>
    <xf numFmtId="0" fontId="0" fillId="5" borderId="0" xfId="0" applyFill="1" applyBorder="1"/>
    <xf numFmtId="1" fontId="0" fillId="0" borderId="3" xfId="1" applyNumberFormat="1" applyFont="1" applyBorder="1"/>
    <xf numFmtId="0" fontId="0" fillId="0" borderId="1" xfId="0" applyFill="1" applyBorder="1" applyAlignment="1">
      <alignment wrapText="1"/>
    </xf>
    <xf numFmtId="0" fontId="0" fillId="0" borderId="9" xfId="0" applyFill="1" applyBorder="1" applyAlignment="1">
      <alignment wrapText="1"/>
    </xf>
    <xf numFmtId="0" fontId="0" fillId="0" borderId="10" xfId="0" applyFill="1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0" fontId="0" fillId="0" borderId="9" xfId="0" applyBorder="1" applyAlignment="1">
      <alignment wrapText="1"/>
    </xf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Fill="1" applyBorder="1" applyAlignment="1">
      <alignment wrapText="1"/>
    </xf>
    <xf numFmtId="10" fontId="0" fillId="0" borderId="19" xfId="1" applyNumberFormat="1" applyFont="1" applyBorder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Fill="1" applyBorder="1" applyAlignment="1">
      <alignment horizontal="center" wrapText="1"/>
    </xf>
    <xf numFmtId="0" fontId="2" fillId="0" borderId="15" xfId="0" applyFont="1" applyFill="1" applyBorder="1" applyAlignment="1">
      <alignment horizontal="center" wrapText="1"/>
    </xf>
    <xf numFmtId="0" fontId="2" fillId="0" borderId="1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variable drive efficiency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Data'!$D$18:$D$35</c:f>
              <c:numCache>
                <c:formatCode>0.00</c:formatCode>
                <c:ptCount val="18"/>
                <c:pt idx="0">
                  <c:v>285.90001136064529</c:v>
                </c:pt>
                <c:pt idx="1">
                  <c:v>308.40001225471497</c:v>
                </c:pt>
                <c:pt idx="2">
                  <c:v>328.9500130712986</c:v>
                </c:pt>
                <c:pt idx="3">
                  <c:v>347.85001382231712</c:v>
                </c:pt>
                <c:pt idx="4">
                  <c:v>365.250014513731</c:v>
                </c:pt>
                <c:pt idx="5">
                  <c:v>381.45001515746117</c:v>
                </c:pt>
                <c:pt idx="6">
                  <c:v>396.30001574754715</c:v>
                </c:pt>
                <c:pt idx="7">
                  <c:v>410.25001630187035</c:v>
                </c:pt>
                <c:pt idx="8">
                  <c:v>423.15001681447029</c:v>
                </c:pt>
                <c:pt idx="9">
                  <c:v>435.30001729726791</c:v>
                </c:pt>
                <c:pt idx="10">
                  <c:v>446.55001774430275</c:v>
                </c:pt>
                <c:pt idx="11">
                  <c:v>457.20001816749573</c:v>
                </c:pt>
                <c:pt idx="12">
                  <c:v>467.10001856088638</c:v>
                </c:pt>
                <c:pt idx="13">
                  <c:v>476.55001893639565</c:v>
                </c:pt>
                <c:pt idx="14">
                  <c:v>485.40001928806305</c:v>
                </c:pt>
                <c:pt idx="15">
                  <c:v>493.80001962184906</c:v>
                </c:pt>
                <c:pt idx="16">
                  <c:v>501.75001993775368</c:v>
                </c:pt>
                <c:pt idx="17">
                  <c:v>509.40002024173737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Data'!$E$18:$E$35</c:f>
              <c:numCache>
                <c:formatCode>0.00</c:formatCode>
                <c:ptCount val="18"/>
                <c:pt idx="0">
                  <c:v>198.15000787377357</c:v>
                </c:pt>
                <c:pt idx="1">
                  <c:v>214.5000085234642</c:v>
                </c:pt>
                <c:pt idx="2">
                  <c:v>229.50000911951065</c:v>
                </c:pt>
                <c:pt idx="3">
                  <c:v>243.30000966787338</c:v>
                </c:pt>
                <c:pt idx="4">
                  <c:v>256.05001017451286</c:v>
                </c:pt>
                <c:pt idx="5">
                  <c:v>267.90001064538956</c:v>
                </c:pt>
                <c:pt idx="6">
                  <c:v>278.85001108050346</c:v>
                </c:pt>
                <c:pt idx="7">
                  <c:v>289.20001149177551</c:v>
                </c:pt>
                <c:pt idx="8">
                  <c:v>298.65001186728477</c:v>
                </c:pt>
                <c:pt idx="9">
                  <c:v>307.65001222491264</c:v>
                </c:pt>
                <c:pt idx="10">
                  <c:v>316.05001255869865</c:v>
                </c:pt>
                <c:pt idx="11">
                  <c:v>324.00001287460327</c:v>
                </c:pt>
                <c:pt idx="12">
                  <c:v>331.5000131726265</c:v>
                </c:pt>
                <c:pt idx="13">
                  <c:v>338.55001345276833</c:v>
                </c:pt>
                <c:pt idx="14">
                  <c:v>345.15001371502876</c:v>
                </c:pt>
                <c:pt idx="15">
                  <c:v>351.45001396536827</c:v>
                </c:pt>
                <c:pt idx="16">
                  <c:v>357.45001420378685</c:v>
                </c:pt>
                <c:pt idx="17">
                  <c:v>363.00001442432404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tx>
            <c:v>2200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Data'!$K$18:$K$31</c:f>
              <c:numCache>
                <c:formatCode>0.00</c:formatCode>
                <c:ptCount val="14"/>
                <c:pt idx="0">
                  <c:v>77.850003093481064</c:v>
                </c:pt>
                <c:pt idx="1">
                  <c:v>93.600003719329834</c:v>
                </c:pt>
                <c:pt idx="2">
                  <c:v>106.20000422000885</c:v>
                </c:pt>
                <c:pt idx="3">
                  <c:v>116.5500046312809</c:v>
                </c:pt>
                <c:pt idx="4">
                  <c:v>125.25000497698784</c:v>
                </c:pt>
                <c:pt idx="5">
                  <c:v>132.30000525712967</c:v>
                </c:pt>
                <c:pt idx="6">
                  <c:v>138.45000550150871</c:v>
                </c:pt>
                <c:pt idx="7">
                  <c:v>143.40000569820404</c:v>
                </c:pt>
                <c:pt idx="8">
                  <c:v>147.75000587105751</c:v>
                </c:pt>
                <c:pt idx="9">
                  <c:v>151.35000601410866</c:v>
                </c:pt>
                <c:pt idx="10">
                  <c:v>154.50000613927841</c:v>
                </c:pt>
                <c:pt idx="11">
                  <c:v>157.05000624060631</c:v>
                </c:pt>
                <c:pt idx="12">
                  <c:v>159.30000633001328</c:v>
                </c:pt>
                <c:pt idx="13">
                  <c:v>161.10000640153885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Data'!$L$18:$L$31</c:f>
              <c:numCache>
                <c:formatCode>0.00</c:formatCode>
                <c:ptCount val="14"/>
                <c:pt idx="0">
                  <c:v>648.00002574920654</c:v>
                </c:pt>
                <c:pt idx="1">
                  <c:v>758.10003012418747</c:v>
                </c:pt>
                <c:pt idx="2">
                  <c:v>843.90003353357315</c:v>
                </c:pt>
                <c:pt idx="3">
                  <c:v>912.60003626346588</c:v>
                </c:pt>
                <c:pt idx="4">
                  <c:v>968.85003849864006</c:v>
                </c:pt>
                <c:pt idx="5">
                  <c:v>1015.650040358305</c:v>
                </c:pt>
                <c:pt idx="6">
                  <c:v>1055.1000419259071</c:v>
                </c:pt>
                <c:pt idx="7">
                  <c:v>1088.8500432670116</c:v>
                </c:pt>
                <c:pt idx="8">
                  <c:v>1118.1000444293022</c:v>
                </c:pt>
                <c:pt idx="9">
                  <c:v>1143.4500454366207</c:v>
                </c:pt>
                <c:pt idx="10">
                  <c:v>1165.8000463247299</c:v>
                </c:pt>
                <c:pt idx="11">
                  <c:v>1185.6000471115112</c:v>
                </c:pt>
                <c:pt idx="12">
                  <c:v>1203.1500478088856</c:v>
                </c:pt>
                <c:pt idx="13">
                  <c:v>1218.7500484287739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Data'!$M$18:$M$31</c:f>
              <c:numCache>
                <c:formatCode>0.00</c:formatCode>
                <c:ptCount val="14"/>
                <c:pt idx="0">
                  <c:v>387.75001540780067</c:v>
                </c:pt>
                <c:pt idx="1">
                  <c:v>460.05001828074455</c:v>
                </c:pt>
                <c:pt idx="2">
                  <c:v>517.95002058148384</c:v>
                </c:pt>
                <c:pt idx="3">
                  <c:v>565.20002245903015</c:v>
                </c:pt>
                <c:pt idx="4">
                  <c:v>604.35002401471138</c:v>
                </c:pt>
                <c:pt idx="5">
                  <c:v>637.50002533197403</c:v>
                </c:pt>
                <c:pt idx="6">
                  <c:v>665.70002645254135</c:v>
                </c:pt>
                <c:pt idx="7">
                  <c:v>689.85002741217613</c:v>
                </c:pt>
                <c:pt idx="8">
                  <c:v>711.00002825260162</c:v>
                </c:pt>
                <c:pt idx="9">
                  <c:v>729.45002898573875</c:v>
                </c:pt>
                <c:pt idx="10">
                  <c:v>745.80002963542938</c:v>
                </c:pt>
                <c:pt idx="11">
                  <c:v>760.20003020763397</c:v>
                </c:pt>
                <c:pt idx="12">
                  <c:v>772.95003071427345</c:v>
                </c:pt>
                <c:pt idx="13">
                  <c:v>784.50003117322922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Data'!$N$18:$N$31</c:f>
              <c:numCache>
                <c:formatCode>0.00</c:formatCode>
                <c:ptCount val="14"/>
                <c:pt idx="0">
                  <c:v>523.35002079606056</c:v>
                </c:pt>
                <c:pt idx="1">
                  <c:v>616.35002449154854</c:v>
                </c:pt>
                <c:pt idx="2">
                  <c:v>689.85002741217613</c:v>
                </c:pt>
                <c:pt idx="3">
                  <c:v>749.25002977252007</c:v>
                </c:pt>
                <c:pt idx="4">
                  <c:v>798.15003171563148</c:v>
                </c:pt>
                <c:pt idx="5">
                  <c:v>839.25003334879875</c:v>
                </c:pt>
                <c:pt idx="6">
                  <c:v>874.05003473162651</c:v>
                </c:pt>
                <c:pt idx="7">
                  <c:v>903.90003591775894</c:v>
                </c:pt>
                <c:pt idx="8">
                  <c:v>929.70003694295883</c:v>
                </c:pt>
                <c:pt idx="9">
                  <c:v>952.35003784298897</c:v>
                </c:pt>
                <c:pt idx="10">
                  <c:v>972.15003862977028</c:v>
                </c:pt>
                <c:pt idx="11">
                  <c:v>989.70003932714462</c:v>
                </c:pt>
                <c:pt idx="12">
                  <c:v>1005.4500399529934</c:v>
                </c:pt>
                <c:pt idx="13">
                  <c:v>1019.4000405073166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Data'!$U$18:$U$26</c:f>
              <c:numCache>
                <c:formatCode>0.00</c:formatCode>
                <c:ptCount val="9"/>
                <c:pt idx="0">
                  <c:v>204.60000813007355</c:v>
                </c:pt>
                <c:pt idx="1">
                  <c:v>509.40002024173737</c:v>
                </c:pt>
                <c:pt idx="2">
                  <c:v>765.30003041028976</c:v>
                </c:pt>
                <c:pt idx="3">
                  <c:v>983.40003907680511</c:v>
                </c:pt>
                <c:pt idx="4">
                  <c:v>1171.3500465452671</c:v>
                </c:pt>
                <c:pt idx="5">
                  <c:v>1335.0000530481339</c:v>
                </c:pt>
                <c:pt idx="6">
                  <c:v>1478.8500587642193</c:v>
                </c:pt>
                <c:pt idx="7">
                  <c:v>1606.2000638246536</c:v>
                </c:pt>
                <c:pt idx="8">
                  <c:v>1719.9000683426857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Data'!$V$18:$V$26</c:f>
              <c:numCache>
                <c:formatCode>0.00</c:formatCode>
                <c:ptCount val="9"/>
                <c:pt idx="0">
                  <c:v>118.95000472664833</c:v>
                </c:pt>
                <c:pt idx="1">
                  <c:v>363.00001442432404</c:v>
                </c:pt>
                <c:pt idx="2">
                  <c:v>575.5500228703022</c:v>
                </c:pt>
                <c:pt idx="3">
                  <c:v>762.30003029108047</c:v>
                </c:pt>
                <c:pt idx="4">
                  <c:v>927.60003685951233</c:v>
                </c:pt>
                <c:pt idx="5">
                  <c:v>1075.0500427186489</c:v>
                </c:pt>
                <c:pt idx="6">
                  <c:v>1207.3500479757786</c:v>
                </c:pt>
                <c:pt idx="7">
                  <c:v>1326.6000527143478</c:v>
                </c:pt>
                <c:pt idx="8">
                  <c:v>1434.9000570178032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0.25m/s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Plot'!$L$18:$L$31</c:f>
              <c:numCache>
                <c:formatCode>0.00</c:formatCode>
                <c:ptCount val="14"/>
                <c:pt idx="0">
                  <c:v>78.450003117322922</c:v>
                </c:pt>
                <c:pt idx="1">
                  <c:v>62.100002467632294</c:v>
                </c:pt>
                <c:pt idx="2">
                  <c:v>47.25000187754631</c:v>
                </c:pt>
                <c:pt idx="3">
                  <c:v>33.600001335144043</c:v>
                </c:pt>
                <c:pt idx="4">
                  <c:v>21.150000840425491</c:v>
                </c:pt>
                <c:pt idx="5">
                  <c:v>9.4500003755092621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Plot'!$N$18:$N$31</c:f>
              <c:numCache>
                <c:formatCode>0.00</c:formatCode>
                <c:ptCount val="14"/>
                <c:pt idx="0">
                  <c:v>499.20001983642578</c:v>
                </c:pt>
                <c:pt idx="1">
                  <c:v>467.85001859068871</c:v>
                </c:pt>
                <c:pt idx="2">
                  <c:v>438.90001744031906</c:v>
                </c:pt>
                <c:pt idx="3">
                  <c:v>412.20001637935638</c:v>
                </c:pt>
                <c:pt idx="4">
                  <c:v>387.30001538991928</c:v>
                </c:pt>
                <c:pt idx="5">
                  <c:v>364.20001447200775</c:v>
                </c:pt>
                <c:pt idx="6">
                  <c:v>342.60001361370087</c:v>
                </c:pt>
                <c:pt idx="7">
                  <c:v>322.35001280903816</c:v>
                </c:pt>
                <c:pt idx="8">
                  <c:v>303.45001205801964</c:v>
                </c:pt>
                <c:pt idx="9">
                  <c:v>285.60001134872437</c:v>
                </c:pt>
                <c:pt idx="10">
                  <c:v>268.95001068711281</c:v>
                </c:pt>
                <c:pt idx="11">
                  <c:v>253.20001006126404</c:v>
                </c:pt>
                <c:pt idx="12">
                  <c:v>238.20000946521759</c:v>
                </c:pt>
                <c:pt idx="13">
                  <c:v>224.25000891089439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Plot'!$O$18:$O$31</c:f>
              <c:numCache>
                <c:formatCode>0.00</c:formatCode>
                <c:ptCount val="14"/>
                <c:pt idx="0">
                  <c:v>674.55002680420876</c:v>
                </c:pt>
                <c:pt idx="1">
                  <c:v>638.25002536177635</c:v>
                </c:pt>
                <c:pt idx="2">
                  <c:v>604.50002402067184</c:v>
                </c:pt>
                <c:pt idx="3">
                  <c:v>573.15002277493477</c:v>
                </c:pt>
                <c:pt idx="4">
                  <c:v>544.05002161860466</c:v>
                </c:pt>
                <c:pt idx="5">
                  <c:v>516.75002053380013</c:v>
                </c:pt>
                <c:pt idx="6">
                  <c:v>491.25001952052116</c:v>
                </c:pt>
                <c:pt idx="7">
                  <c:v>467.40001857280731</c:v>
                </c:pt>
                <c:pt idx="8">
                  <c:v>444.90001767873764</c:v>
                </c:pt>
                <c:pt idx="9">
                  <c:v>423.75001683831215</c:v>
                </c:pt>
                <c:pt idx="10">
                  <c:v>403.80001604557037</c:v>
                </c:pt>
                <c:pt idx="11">
                  <c:v>384.90001529455185</c:v>
                </c:pt>
                <c:pt idx="12">
                  <c:v>367.05001458525658</c:v>
                </c:pt>
                <c:pt idx="13">
                  <c:v>350.10001391172409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Plot'!$M$18:$M$31</c:f>
              <c:numCache>
                <c:formatCode>0.00</c:formatCode>
                <c:ptCount val="14"/>
                <c:pt idx="0">
                  <c:v>831.30003303289413</c:v>
                </c:pt>
                <c:pt idx="1">
                  <c:v>791.10003143548965</c:v>
                </c:pt>
                <c:pt idx="2">
                  <c:v>753.750029951334</c:v>
                </c:pt>
                <c:pt idx="3">
                  <c:v>718.95002856850624</c:v>
                </c:pt>
                <c:pt idx="4">
                  <c:v>686.40002727508545</c:v>
                </c:pt>
                <c:pt idx="5">
                  <c:v>655.8000260591507</c:v>
                </c:pt>
                <c:pt idx="6">
                  <c:v>627.15002492070198</c:v>
                </c:pt>
                <c:pt idx="7">
                  <c:v>600.30002385377884</c:v>
                </c:pt>
                <c:pt idx="8">
                  <c:v>574.80002284049988</c:v>
                </c:pt>
                <c:pt idx="9">
                  <c:v>550.80002188682556</c:v>
                </c:pt>
                <c:pt idx="10">
                  <c:v>528.15002098679543</c:v>
                </c:pt>
                <c:pt idx="11">
                  <c:v>506.70002013444901</c:v>
                </c:pt>
                <c:pt idx="12">
                  <c:v>486.30001932382584</c:v>
                </c:pt>
                <c:pt idx="13">
                  <c:v>466.95001855492592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.25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.35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Plot'!$U$36:$U$49</c:f>
              <c:numCache>
                <c:formatCode>0.00</c:formatCode>
                <c:ptCount val="14"/>
                <c:pt idx="0">
                  <c:v>49.945319999999995</c:v>
                </c:pt>
                <c:pt idx="1">
                  <c:v>52.445319999999995</c:v>
                </c:pt>
                <c:pt idx="2">
                  <c:v>54.945319999999995</c:v>
                </c:pt>
                <c:pt idx="3">
                  <c:v>57.445319999999995</c:v>
                </c:pt>
                <c:pt idx="4">
                  <c:v>59.945319999999995</c:v>
                </c:pt>
                <c:pt idx="5">
                  <c:v>62.445319999999995</c:v>
                </c:pt>
                <c:pt idx="6">
                  <c:v>64.945319999999995</c:v>
                </c:pt>
                <c:pt idx="7">
                  <c:v>67.445319999999995</c:v>
                </c:pt>
                <c:pt idx="8">
                  <c:v>69.945319999999995</c:v>
                </c:pt>
                <c:pt idx="9">
                  <c:v>72.445319999999995</c:v>
                </c:pt>
                <c:pt idx="10">
                  <c:v>74.945319999999995</c:v>
                </c:pt>
                <c:pt idx="11">
                  <c:v>77.445319999999995</c:v>
                </c:pt>
                <c:pt idx="12">
                  <c:v>79.945319999999995</c:v>
                </c:pt>
                <c:pt idx="13">
                  <c:v>82.445319999999995</c:v>
                </c:pt>
              </c:numCache>
            </c:numRef>
          </c:xVal>
          <c:yVal>
            <c:numRef>
              <c:f>'Power Draw Plot'!$V$36:$V$49</c:f>
              <c:numCache>
                <c:formatCode>0.00</c:formatCode>
                <c:ptCount val="14"/>
                <c:pt idx="0">
                  <c:v>448.80001783370972</c:v>
                </c:pt>
                <c:pt idx="1">
                  <c:v>414.75001648068428</c:v>
                </c:pt>
                <c:pt idx="2">
                  <c:v>383.25001522898674</c:v>
                </c:pt>
                <c:pt idx="3">
                  <c:v>354.15001407265663</c:v>
                </c:pt>
                <c:pt idx="4">
                  <c:v>327.00001299381256</c:v>
                </c:pt>
                <c:pt idx="5">
                  <c:v>301.95001199841499</c:v>
                </c:pt>
                <c:pt idx="6">
                  <c:v>278.55001106858253</c:v>
                </c:pt>
                <c:pt idx="7">
                  <c:v>256.50001019239426</c:v>
                </c:pt>
                <c:pt idx="8">
                  <c:v>235.95000937581062</c:v>
                </c:pt>
                <c:pt idx="9">
                  <c:v>216.75000861287117</c:v>
                </c:pt>
                <c:pt idx="10">
                  <c:v>198.60000789165497</c:v>
                </c:pt>
                <c:pt idx="11">
                  <c:v>181.50000721216202</c:v>
                </c:pt>
                <c:pt idx="12">
                  <c:v>165.45000657439232</c:v>
                </c:pt>
                <c:pt idx="13">
                  <c:v>150.15000596642494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.50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Plot'!$U$56:$U$69</c:f>
              <c:numCache>
                <c:formatCode>0.00</c:formatCode>
                <c:ptCount val="14"/>
                <c:pt idx="0">
                  <c:v>49.207599999999999</c:v>
                </c:pt>
                <c:pt idx="1">
                  <c:v>51.707599999999999</c:v>
                </c:pt>
                <c:pt idx="2">
                  <c:v>54.207599999999999</c:v>
                </c:pt>
                <c:pt idx="3">
                  <c:v>56.707599999999999</c:v>
                </c:pt>
                <c:pt idx="4">
                  <c:v>59.207599999999999</c:v>
                </c:pt>
                <c:pt idx="5">
                  <c:v>61.707599999999999</c:v>
                </c:pt>
                <c:pt idx="6">
                  <c:v>64.207599999999999</c:v>
                </c:pt>
                <c:pt idx="7">
                  <c:v>66.707599999999999</c:v>
                </c:pt>
                <c:pt idx="8">
                  <c:v>69.207599999999999</c:v>
                </c:pt>
                <c:pt idx="9">
                  <c:v>71.707599999999999</c:v>
                </c:pt>
                <c:pt idx="10">
                  <c:v>74.207599999999999</c:v>
                </c:pt>
                <c:pt idx="11">
                  <c:v>76.707599999999999</c:v>
                </c:pt>
                <c:pt idx="12">
                  <c:v>79.207599999999999</c:v>
                </c:pt>
                <c:pt idx="13">
                  <c:v>81.707599999999999</c:v>
                </c:pt>
              </c:numCache>
            </c:numRef>
          </c:xVal>
          <c:yVal>
            <c:numRef>
              <c:f>'Power Draw Plot'!$V$56:$V$69</c:f>
              <c:numCache>
                <c:formatCode>0.00</c:formatCode>
                <c:ptCount val="14"/>
                <c:pt idx="0">
                  <c:v>715.50002843141556</c:v>
                </c:pt>
                <c:pt idx="1">
                  <c:v>666.30002647638321</c:v>
                </c:pt>
                <c:pt idx="2">
                  <c:v>620.70002466440201</c:v>
                </c:pt>
                <c:pt idx="3">
                  <c:v>578.40002298355103</c:v>
                </c:pt>
                <c:pt idx="4">
                  <c:v>538.95002141594887</c:v>
                </c:pt>
                <c:pt idx="5">
                  <c:v>502.20001995563507</c:v>
                </c:pt>
                <c:pt idx="6">
                  <c:v>467.85001859068871</c:v>
                </c:pt>
                <c:pt idx="7">
                  <c:v>435.60001730918884</c:v>
                </c:pt>
                <c:pt idx="8">
                  <c:v>405.30001610517502</c:v>
                </c:pt>
                <c:pt idx="9">
                  <c:v>376.80001497268677</c:v>
                </c:pt>
                <c:pt idx="10">
                  <c:v>349.95001390576363</c:v>
                </c:pt>
                <c:pt idx="11">
                  <c:v>324.60001289844513</c:v>
                </c:pt>
                <c:pt idx="12">
                  <c:v>300.60001194477081</c:v>
                </c:pt>
                <c:pt idx="13">
                  <c:v>277.80001103878021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1 0.25m/s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18097222222222226"/>
          <c:w val="0.83955796150481188"/>
          <c:h val="0.54380322251385238"/>
        </c:manualLayout>
      </c:layout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Graphs'!$E$14:$E$22</c:f>
              <c:numCache>
                <c:formatCode>0.0</c:formatCode>
                <c:ptCount val="9"/>
                <c:pt idx="0">
                  <c:v>451.35</c:v>
                </c:pt>
                <c:pt idx="1">
                  <c:v>384.75</c:v>
                </c:pt>
                <c:pt idx="2">
                  <c:v>329.25</c:v>
                </c:pt>
                <c:pt idx="3">
                  <c:v>282.28846153846155</c:v>
                </c:pt>
                <c:pt idx="4">
                  <c:v>242.03571428571433</c:v>
                </c:pt>
                <c:pt idx="5">
                  <c:v>176.62500000000006</c:v>
                </c:pt>
                <c:pt idx="6">
                  <c:v>125.75</c:v>
                </c:pt>
                <c:pt idx="7">
                  <c:v>85.050000000000011</c:v>
                </c:pt>
                <c:pt idx="8">
                  <c:v>51.75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445-BB5A-CBDCEA0B30CB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Graphs'!$F$14:$F$22</c:f>
              <c:numCache>
                <c:formatCode>0.0</c:formatCode>
                <c:ptCount val="9"/>
                <c:pt idx="0">
                  <c:v>817.65000000000009</c:v>
                </c:pt>
                <c:pt idx="1">
                  <c:v>717.75</c:v>
                </c:pt>
                <c:pt idx="2">
                  <c:v>634.5</c:v>
                </c:pt>
                <c:pt idx="3">
                  <c:v>564.05769230769226</c:v>
                </c:pt>
                <c:pt idx="4">
                  <c:v>503.67857142857144</c:v>
                </c:pt>
                <c:pt idx="5">
                  <c:v>405.5625</c:v>
                </c:pt>
                <c:pt idx="6">
                  <c:v>329.25</c:v>
                </c:pt>
                <c:pt idx="7">
                  <c:v>268.20000000000005</c:v>
                </c:pt>
                <c:pt idx="8">
                  <c:v>218.25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445-BB5A-CBDCEA0B30CB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Graphs'!$G$14:$G$22</c:f>
              <c:numCache>
                <c:formatCode>0.0</c:formatCode>
                <c:ptCount val="9"/>
                <c:pt idx="0">
                  <c:v>1183.95</c:v>
                </c:pt>
                <c:pt idx="1">
                  <c:v>1050.75</c:v>
                </c:pt>
                <c:pt idx="2">
                  <c:v>939.75</c:v>
                </c:pt>
                <c:pt idx="3">
                  <c:v>845.82692307692309</c:v>
                </c:pt>
                <c:pt idx="4">
                  <c:v>765.32142857142867</c:v>
                </c:pt>
                <c:pt idx="5">
                  <c:v>634.50000000000011</c:v>
                </c:pt>
                <c:pt idx="6">
                  <c:v>532.75</c:v>
                </c:pt>
                <c:pt idx="7">
                  <c:v>451.35</c:v>
                </c:pt>
                <c:pt idx="8">
                  <c:v>384.75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E7-4445-BB5A-CBDCEA0B30CB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Graphs'!$H$14:$H$22</c:f>
              <c:numCache>
                <c:formatCode>0.0</c:formatCode>
                <c:ptCount val="9"/>
                <c:pt idx="0">
                  <c:v>1550.2500000000002</c:v>
                </c:pt>
                <c:pt idx="1">
                  <c:v>1383.75</c:v>
                </c:pt>
                <c:pt idx="2">
                  <c:v>1245</c:v>
                </c:pt>
                <c:pt idx="3">
                  <c:v>1127.5961538461538</c:v>
                </c:pt>
                <c:pt idx="4">
                  <c:v>1026.9642857142858</c:v>
                </c:pt>
                <c:pt idx="5">
                  <c:v>863.4375</c:v>
                </c:pt>
                <c:pt idx="6">
                  <c:v>736.25000000000011</c:v>
                </c:pt>
                <c:pt idx="7">
                  <c:v>634.50000000000011</c:v>
                </c:pt>
                <c:pt idx="8">
                  <c:v>551.25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E7-4445-BB5A-CBDCEA0B30CB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Graphs'!$I$14:$I$22</c:f>
              <c:numCache>
                <c:formatCode>0.0</c:formatCode>
                <c:ptCount val="9"/>
                <c:pt idx="0">
                  <c:v>1916.5500000000002</c:v>
                </c:pt>
                <c:pt idx="1">
                  <c:v>1716.75</c:v>
                </c:pt>
                <c:pt idx="2">
                  <c:v>1550.25</c:v>
                </c:pt>
                <c:pt idx="3">
                  <c:v>1409.3653846153845</c:v>
                </c:pt>
                <c:pt idx="4">
                  <c:v>1288.6071428571429</c:v>
                </c:pt>
                <c:pt idx="5">
                  <c:v>1092.375</c:v>
                </c:pt>
                <c:pt idx="6">
                  <c:v>939.75</c:v>
                </c:pt>
                <c:pt idx="7">
                  <c:v>817.65000000000009</c:v>
                </c:pt>
                <c:pt idx="8">
                  <c:v>717.75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E7-4445-BB5A-CBDCEA0B30CB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Graphs'!$J$14:$J$22</c:f>
              <c:numCache>
                <c:formatCode>0.0</c:formatCode>
                <c:ptCount val="9"/>
                <c:pt idx="0">
                  <c:v>2282.8500000000004</c:v>
                </c:pt>
                <c:pt idx="1">
                  <c:v>2049.7500000000005</c:v>
                </c:pt>
                <c:pt idx="2">
                  <c:v>1855.5</c:v>
                </c:pt>
                <c:pt idx="3">
                  <c:v>1691.1346153846157</c:v>
                </c:pt>
                <c:pt idx="4">
                  <c:v>1550.2500000000002</c:v>
                </c:pt>
                <c:pt idx="5">
                  <c:v>1321.3125</c:v>
                </c:pt>
                <c:pt idx="6">
                  <c:v>1143.25</c:v>
                </c:pt>
                <c:pt idx="7">
                  <c:v>1000.8000000000002</c:v>
                </c:pt>
                <c:pt idx="8">
                  <c:v>884.25000000000023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E7-4445-BB5A-CBDCEA0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3557391696683623"/>
              <c:y val="0.79866048823369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2 0.35m/s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Graphs'!$E$25:$E$33</c:f>
              <c:numCache>
                <c:formatCode>0.0</c:formatCode>
                <c:ptCount val="9"/>
                <c:pt idx="0">
                  <c:v>631.89</c:v>
                </c:pt>
                <c:pt idx="1">
                  <c:v>538.65</c:v>
                </c:pt>
                <c:pt idx="2">
                  <c:v>460.95</c:v>
                </c:pt>
                <c:pt idx="3">
                  <c:v>395.20384615384614</c:v>
                </c:pt>
                <c:pt idx="4">
                  <c:v>338.85</c:v>
                </c:pt>
                <c:pt idx="5">
                  <c:v>247.27500000000006</c:v>
                </c:pt>
                <c:pt idx="6">
                  <c:v>176.04999999999998</c:v>
                </c:pt>
                <c:pt idx="7">
                  <c:v>119.07000000000001</c:v>
                </c:pt>
                <c:pt idx="8">
                  <c:v>72.449999999999989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F-42A7-A9AB-7AC44C1E7235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Graphs'!$F$25:$F$33</c:f>
              <c:numCache>
                <c:formatCode>0.0</c:formatCode>
                <c:ptCount val="9"/>
                <c:pt idx="0">
                  <c:v>1144.71</c:v>
                </c:pt>
                <c:pt idx="1">
                  <c:v>1004.8499999999999</c:v>
                </c:pt>
                <c:pt idx="2">
                  <c:v>888.3</c:v>
                </c:pt>
                <c:pt idx="3">
                  <c:v>789.6807692307691</c:v>
                </c:pt>
                <c:pt idx="4">
                  <c:v>705.15</c:v>
                </c:pt>
                <c:pt idx="5">
                  <c:v>567.78749999999991</c:v>
                </c:pt>
                <c:pt idx="6">
                  <c:v>460.95</c:v>
                </c:pt>
                <c:pt idx="7">
                  <c:v>375.48</c:v>
                </c:pt>
                <c:pt idx="8">
                  <c:v>305.54999999999995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F-42A7-A9AB-7AC44C1E7235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Graphs'!$G$25:$G$33</c:f>
              <c:numCache>
                <c:formatCode>0.0</c:formatCode>
                <c:ptCount val="9"/>
                <c:pt idx="0">
                  <c:v>1657.53</c:v>
                </c:pt>
                <c:pt idx="1">
                  <c:v>1471.05</c:v>
                </c:pt>
                <c:pt idx="2">
                  <c:v>1315.6499999999999</c:v>
                </c:pt>
                <c:pt idx="3">
                  <c:v>1184.1576923076923</c:v>
                </c:pt>
                <c:pt idx="4">
                  <c:v>1071.45</c:v>
                </c:pt>
                <c:pt idx="5">
                  <c:v>888.30000000000007</c:v>
                </c:pt>
                <c:pt idx="6">
                  <c:v>745.84999999999991</c:v>
                </c:pt>
                <c:pt idx="7">
                  <c:v>631.89</c:v>
                </c:pt>
                <c:pt idx="8">
                  <c:v>538.65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F-42A7-A9AB-7AC44C1E7235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Graphs'!$H$25:$H$33</c:f>
              <c:numCache>
                <c:formatCode>0.0</c:formatCode>
                <c:ptCount val="9"/>
                <c:pt idx="0">
                  <c:v>2170.3500000000004</c:v>
                </c:pt>
                <c:pt idx="1">
                  <c:v>1937.2499999999998</c:v>
                </c:pt>
                <c:pt idx="2">
                  <c:v>1743</c:v>
                </c:pt>
                <c:pt idx="3">
                  <c:v>1578.6346153846152</c:v>
                </c:pt>
                <c:pt idx="4">
                  <c:v>1437.75</c:v>
                </c:pt>
                <c:pt idx="5">
                  <c:v>1208.8125</c:v>
                </c:pt>
                <c:pt idx="6">
                  <c:v>1030.75</c:v>
                </c:pt>
                <c:pt idx="7">
                  <c:v>888.30000000000007</c:v>
                </c:pt>
                <c:pt idx="8">
                  <c:v>771.75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F-42A7-A9AB-7AC44C1E7235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Graphs'!$I$25:$I$33</c:f>
              <c:numCache>
                <c:formatCode>0.0</c:formatCode>
                <c:ptCount val="9"/>
                <c:pt idx="0">
                  <c:v>2683.17</c:v>
                </c:pt>
                <c:pt idx="1">
                  <c:v>2403.4499999999998</c:v>
                </c:pt>
                <c:pt idx="2">
                  <c:v>2170.35</c:v>
                </c:pt>
                <c:pt idx="3">
                  <c:v>1973.1115384615382</c:v>
                </c:pt>
                <c:pt idx="4">
                  <c:v>1804.05</c:v>
                </c:pt>
                <c:pt idx="5">
                  <c:v>1529.3249999999998</c:v>
                </c:pt>
                <c:pt idx="6">
                  <c:v>1315.6499999999999</c:v>
                </c:pt>
                <c:pt idx="7">
                  <c:v>1144.71</c:v>
                </c:pt>
                <c:pt idx="8">
                  <c:v>1004.8499999999999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F-42A7-A9AB-7AC44C1E7235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Graphs'!$J$25:$J$33</c:f>
              <c:numCache>
                <c:formatCode>0.0</c:formatCode>
                <c:ptCount val="9"/>
                <c:pt idx="0">
                  <c:v>3195.9900000000002</c:v>
                </c:pt>
                <c:pt idx="1">
                  <c:v>2869.6500000000005</c:v>
                </c:pt>
                <c:pt idx="2">
                  <c:v>2597.6999999999998</c:v>
                </c:pt>
                <c:pt idx="3">
                  <c:v>2367.5884615384616</c:v>
                </c:pt>
                <c:pt idx="4">
                  <c:v>2170.3500000000004</c:v>
                </c:pt>
                <c:pt idx="5">
                  <c:v>1849.8374999999999</c:v>
                </c:pt>
                <c:pt idx="6">
                  <c:v>1600.55</c:v>
                </c:pt>
                <c:pt idx="7">
                  <c:v>1401.1200000000001</c:v>
                </c:pt>
                <c:pt idx="8">
                  <c:v>1237.9500000000003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2A7-A9AB-7AC44C1E7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2626963507734122"/>
              <c:y val="0.812516837154886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Maximum Depth vs. Battery Capacity, Martian Gravity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'Depth vs Battery Mars'!$T$17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88-44B9-9542-0EF8D83CDC85}"/>
            </c:ext>
          </c:extLst>
        </c:ser>
        <c:ser>
          <c:idx val="1"/>
          <c:order val="1"/>
          <c:tx>
            <c:strRef>
              <c:f>'Depth vs Battery Mars'!$U$17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88-44B9-9542-0EF8D83CDC85}"/>
            </c:ext>
          </c:extLst>
        </c:ser>
        <c:ser>
          <c:idx val="2"/>
          <c:order val="2"/>
          <c:tx>
            <c:strRef>
              <c:f>'Depth vs Battery Mars'!$V$17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Mars'!$V$18:$V$212</c:f>
              <c:numCache>
                <c:formatCode>0.0</c:formatCode>
                <c:ptCount val="195"/>
                <c:pt idx="0">
                  <c:v>108.60000431537628</c:v>
                </c:pt>
                <c:pt idx="1">
                  <c:v>370.27501471340656</c:v>
                </c:pt>
                <c:pt idx="2">
                  <c:v>620.9250246733427</c:v>
                </c:pt>
                <c:pt idx="3">
                  <c:v>861.60003423690796</c:v>
                </c:pt>
                <c:pt idx="4">
                  <c:v>1092.825043424964</c:v>
                </c:pt>
                <c:pt idx="5">
                  <c:v>1315.2000522613525</c:v>
                </c:pt>
                <c:pt idx="6">
                  <c:v>1529.4000607728958</c:v>
                </c:pt>
                <c:pt idx="7">
                  <c:v>1735.7250689715147</c:v>
                </c:pt>
                <c:pt idx="8">
                  <c:v>1934.8500768840313</c:v>
                </c:pt>
                <c:pt idx="9">
                  <c:v>2127.0750845223665</c:v>
                </c:pt>
                <c:pt idx="10">
                  <c:v>2312.7750919014215</c:v>
                </c:pt>
                <c:pt idx="11">
                  <c:v>2492.4000990390778</c:v>
                </c:pt>
                <c:pt idx="12">
                  <c:v>2666.1751059442759</c:v>
                </c:pt>
                <c:pt idx="13">
                  <c:v>2834.475112631917</c:v>
                </c:pt>
                <c:pt idx="14">
                  <c:v>2997.5251191109419</c:v>
                </c:pt>
                <c:pt idx="15">
                  <c:v>3155.6251253932714</c:v>
                </c:pt>
                <c:pt idx="16">
                  <c:v>3309.0001314878464</c:v>
                </c:pt>
                <c:pt idx="17">
                  <c:v>3457.8751374036074</c:v>
                </c:pt>
                <c:pt idx="18">
                  <c:v>3602.5501431524754</c:v>
                </c:pt>
                <c:pt idx="19">
                  <c:v>3743.0251487344503</c:v>
                </c:pt>
                <c:pt idx="20">
                  <c:v>3879.6001541614532</c:v>
                </c:pt>
                <c:pt idx="21">
                  <c:v>4012.5001594424248</c:v>
                </c:pt>
                <c:pt idx="22">
                  <c:v>4141.8001645803452</c:v>
                </c:pt>
                <c:pt idx="23">
                  <c:v>4267.7251695841551</c:v>
                </c:pt>
                <c:pt idx="24">
                  <c:v>4390.3501744568348</c:v>
                </c:pt>
                <c:pt idx="25">
                  <c:v>4509.8251792043447</c:v>
                </c:pt>
                <c:pt idx="26">
                  <c:v>4626.3751838356256</c:v>
                </c:pt>
                <c:pt idx="27">
                  <c:v>4739.9251883476973</c:v>
                </c:pt>
                <c:pt idx="28">
                  <c:v>4850.7751927524805</c:v>
                </c:pt>
                <c:pt idx="29">
                  <c:v>4958.9251970499754</c:v>
                </c:pt>
                <c:pt idx="30">
                  <c:v>5064.4502012431622</c:v>
                </c:pt>
                <c:pt idx="31">
                  <c:v>5167.5752053409815</c:v>
                </c:pt>
                <c:pt idx="32">
                  <c:v>5268.3002093434334</c:v>
                </c:pt>
                <c:pt idx="33">
                  <c:v>5366.6252132505178</c:v>
                </c:pt>
                <c:pt idx="34">
                  <c:v>5462.8502170741558</c:v>
                </c:pt>
                <c:pt idx="35">
                  <c:v>5556.900220811367</c:v>
                </c:pt>
                <c:pt idx="36">
                  <c:v>5648.8502244651318</c:v>
                </c:pt>
                <c:pt idx="37">
                  <c:v>5738.8502280414104</c:v>
                </c:pt>
                <c:pt idx="38">
                  <c:v>5826.9002315402031</c:v>
                </c:pt>
                <c:pt idx="39">
                  <c:v>5913.1502349674702</c:v>
                </c:pt>
                <c:pt idx="40">
                  <c:v>5997.5252383202314</c:v>
                </c:pt>
                <c:pt idx="41">
                  <c:v>6080.1752416044474</c:v>
                </c:pt>
                <c:pt idx="42">
                  <c:v>6161.1752448230982</c:v>
                </c:pt>
                <c:pt idx="43">
                  <c:v>6240.4502479732037</c:v>
                </c:pt>
                <c:pt idx="44">
                  <c:v>6318.2252510637045</c:v>
                </c:pt>
                <c:pt idx="45">
                  <c:v>6394.3502540886402</c:v>
                </c:pt>
                <c:pt idx="46">
                  <c:v>6469.1252570599318</c:v>
                </c:pt>
                <c:pt idx="47">
                  <c:v>6542.4002599716187</c:v>
                </c:pt>
                <c:pt idx="48">
                  <c:v>6614.2502628266811</c:v>
                </c:pt>
                <c:pt idx="49">
                  <c:v>6684.7502656280994</c:v>
                </c:pt>
                <c:pt idx="50">
                  <c:v>6753.9752683788538</c:v>
                </c:pt>
                <c:pt idx="51">
                  <c:v>6821.850271075964</c:v>
                </c:pt>
                <c:pt idx="52">
                  <c:v>6888.6002737283707</c:v>
                </c:pt>
                <c:pt idx="53">
                  <c:v>6954.0002763271332</c:v>
                </c:pt>
                <c:pt idx="54">
                  <c:v>7018.2752788811922</c:v>
                </c:pt>
                <c:pt idx="55">
                  <c:v>7081.3502813875675</c:v>
                </c:pt>
                <c:pt idx="56">
                  <c:v>7143.4502838551998</c:v>
                </c:pt>
                <c:pt idx="57">
                  <c:v>7204.3502862751484</c:v>
                </c:pt>
                <c:pt idx="58">
                  <c:v>7264.275288656354</c:v>
                </c:pt>
                <c:pt idx="59">
                  <c:v>7323.075290992856</c:v>
                </c:pt>
                <c:pt idx="60">
                  <c:v>7380.9752932935953</c:v>
                </c:pt>
                <c:pt idx="61">
                  <c:v>7437.8252955526114</c:v>
                </c:pt>
                <c:pt idx="62">
                  <c:v>7493.7002977728844</c:v>
                </c:pt>
                <c:pt idx="63">
                  <c:v>7548.7502999603748</c:v>
                </c:pt>
                <c:pt idx="64">
                  <c:v>7602.8253021091223</c:v>
                </c:pt>
                <c:pt idx="65">
                  <c:v>7656.0753042250872</c:v>
                </c:pt>
                <c:pt idx="66">
                  <c:v>7708.4253063052893</c:v>
                </c:pt>
                <c:pt idx="67">
                  <c:v>7759.9503083527088</c:v>
                </c:pt>
                <c:pt idx="68">
                  <c:v>7810.725310370326</c:v>
                </c:pt>
                <c:pt idx="69">
                  <c:v>7860.6003123521805</c:v>
                </c:pt>
                <c:pt idx="70">
                  <c:v>7909.7253143042326</c:v>
                </c:pt>
                <c:pt idx="71">
                  <c:v>7958.1003162264824</c:v>
                </c:pt>
                <c:pt idx="72">
                  <c:v>8005.8003181219101</c:v>
                </c:pt>
                <c:pt idx="73">
                  <c:v>8052.6753199845552</c:v>
                </c:pt>
                <c:pt idx="74">
                  <c:v>8098.9503218233585</c:v>
                </c:pt>
                <c:pt idx="75">
                  <c:v>8144.4753236323595</c:v>
                </c:pt>
                <c:pt idx="76">
                  <c:v>8189.3253254145384</c:v>
                </c:pt>
                <c:pt idx="77">
                  <c:v>8233.5003271698952</c:v>
                </c:pt>
                <c:pt idx="78">
                  <c:v>8277.0753289014101</c:v>
                </c:pt>
                <c:pt idx="79">
                  <c:v>8319.9003306031227</c:v>
                </c:pt>
                <c:pt idx="80">
                  <c:v>8362.2753322869539</c:v>
                </c:pt>
                <c:pt idx="81">
                  <c:v>8403.9753339439631</c:v>
                </c:pt>
                <c:pt idx="82">
                  <c:v>8445.0753355771303</c:v>
                </c:pt>
                <c:pt idx="83">
                  <c:v>8485.5753371864557</c:v>
                </c:pt>
                <c:pt idx="84">
                  <c:v>8525.5503387749195</c:v>
                </c:pt>
                <c:pt idx="85">
                  <c:v>8565.0003403425217</c:v>
                </c:pt>
                <c:pt idx="86">
                  <c:v>8603.850341886282</c:v>
                </c:pt>
                <c:pt idx="87">
                  <c:v>8642.1753434091806</c:v>
                </c:pt>
                <c:pt idx="88">
                  <c:v>8679.9753449112177</c:v>
                </c:pt>
                <c:pt idx="89">
                  <c:v>8717.3253463953733</c:v>
                </c:pt>
                <c:pt idx="90">
                  <c:v>8754.0753478556871</c:v>
                </c:pt>
                <c:pt idx="91">
                  <c:v>8790.4503493010998</c:v>
                </c:pt>
                <c:pt idx="92">
                  <c:v>8826.2253507226706</c:v>
                </c:pt>
                <c:pt idx="93">
                  <c:v>8861.6253521293402</c:v>
                </c:pt>
                <c:pt idx="94">
                  <c:v>8896.5003535151482</c:v>
                </c:pt>
                <c:pt idx="95">
                  <c:v>8931.000354886055</c:v>
                </c:pt>
                <c:pt idx="96">
                  <c:v>8964.9753562361002</c:v>
                </c:pt>
                <c:pt idx="97">
                  <c:v>8998.5753575712442</c:v>
                </c:pt>
                <c:pt idx="98">
                  <c:v>9031.7253588885069</c:v>
                </c:pt>
                <c:pt idx="99">
                  <c:v>9064.5003601908684</c:v>
                </c:pt>
                <c:pt idx="100">
                  <c:v>9096.8253614753485</c:v>
                </c:pt>
                <c:pt idx="101">
                  <c:v>9128.7753627449274</c:v>
                </c:pt>
                <c:pt idx="102">
                  <c:v>9160.2753639966249</c:v>
                </c:pt>
                <c:pt idx="103">
                  <c:v>9191.4753652364016</c:v>
                </c:pt>
                <c:pt idx="104">
                  <c:v>9222.2253664582968</c:v>
                </c:pt>
                <c:pt idx="105">
                  <c:v>9252.6003676652908</c:v>
                </c:pt>
                <c:pt idx="106">
                  <c:v>9282.675368860364</c:v>
                </c:pt>
                <c:pt idx="107">
                  <c:v>9312.3003700375557</c:v>
                </c:pt>
                <c:pt idx="108">
                  <c:v>9341.6253712028265</c:v>
                </c:pt>
                <c:pt idx="109">
                  <c:v>9370.5753723531961</c:v>
                </c:pt>
                <c:pt idx="110">
                  <c:v>9399.3003734946251</c:v>
                </c:pt>
                <c:pt idx="111">
                  <c:v>9427.5753746181726</c:v>
                </c:pt>
                <c:pt idx="112">
                  <c:v>9455.5503757297993</c:v>
                </c:pt>
                <c:pt idx="113">
                  <c:v>9483.225376829505</c:v>
                </c:pt>
                <c:pt idx="114">
                  <c:v>9510.5253779143095</c:v>
                </c:pt>
                <c:pt idx="115">
                  <c:v>9537.5253789871931</c:v>
                </c:pt>
                <c:pt idx="116">
                  <c:v>9564.2253800481558</c:v>
                </c:pt>
                <c:pt idx="117">
                  <c:v>9590.7003811001778</c:v>
                </c:pt>
                <c:pt idx="118">
                  <c:v>9616.8003821372986</c:v>
                </c:pt>
                <c:pt idx="119">
                  <c:v>9642.6753831654787</c:v>
                </c:pt>
                <c:pt idx="120">
                  <c:v>9668.1753841787577</c:v>
                </c:pt>
                <c:pt idx="121">
                  <c:v>9693.3753851801157</c:v>
                </c:pt>
                <c:pt idx="122">
                  <c:v>9718.4253861755133</c:v>
                </c:pt>
                <c:pt idx="123">
                  <c:v>9743.1003871560097</c:v>
                </c:pt>
                <c:pt idx="124">
                  <c:v>9767.6253881305456</c:v>
                </c:pt>
                <c:pt idx="125">
                  <c:v>9791.7003890872002</c:v>
                </c:pt>
                <c:pt idx="126">
                  <c:v>9815.7003900408745</c:v>
                </c:pt>
                <c:pt idx="127">
                  <c:v>9839.4003909826279</c:v>
                </c:pt>
                <c:pt idx="128">
                  <c:v>9862.8003919124603</c:v>
                </c:pt>
                <c:pt idx="129">
                  <c:v>9885.9753928333521</c:v>
                </c:pt>
                <c:pt idx="130">
                  <c:v>9908.9253937453032</c:v>
                </c:pt>
                <c:pt idx="131">
                  <c:v>9931.5753946453333</c:v>
                </c:pt>
                <c:pt idx="132">
                  <c:v>9954.075395539403</c:v>
                </c:pt>
                <c:pt idx="133">
                  <c:v>9976.2753964215517</c:v>
                </c:pt>
                <c:pt idx="134">
                  <c:v>9998.2503972947598</c:v>
                </c:pt>
                <c:pt idx="135">
                  <c:v>10020.075398162007</c:v>
                </c:pt>
                <c:pt idx="136">
                  <c:v>10041.600399017334</c:v>
                </c:pt>
                <c:pt idx="137">
                  <c:v>10062.90039986372</c:v>
                </c:pt>
                <c:pt idx="138">
                  <c:v>10084.050400704145</c:v>
                </c:pt>
                <c:pt idx="139">
                  <c:v>10104.97540153563</c:v>
                </c:pt>
                <c:pt idx="140">
                  <c:v>10125.675402358174</c:v>
                </c:pt>
                <c:pt idx="141">
                  <c:v>10146.150403171778</c:v>
                </c:pt>
                <c:pt idx="142">
                  <c:v>10166.475403979421</c:v>
                </c:pt>
                <c:pt idx="143">
                  <c:v>10186.575404778123</c:v>
                </c:pt>
                <c:pt idx="144">
                  <c:v>10206.525405570865</c:v>
                </c:pt>
                <c:pt idx="145">
                  <c:v>10226.175406351686</c:v>
                </c:pt>
                <c:pt idx="146">
                  <c:v>10245.675407126546</c:v>
                </c:pt>
                <c:pt idx="147">
                  <c:v>10265.025407895446</c:v>
                </c:pt>
                <c:pt idx="148">
                  <c:v>10284.150408655405</c:v>
                </c:pt>
                <c:pt idx="149">
                  <c:v>10303.125409409404</c:v>
                </c:pt>
                <c:pt idx="150">
                  <c:v>10321.950410157442</c:v>
                </c:pt>
                <c:pt idx="151">
                  <c:v>10340.55041089654</c:v>
                </c:pt>
                <c:pt idx="152">
                  <c:v>10358.925411626697</c:v>
                </c:pt>
                <c:pt idx="153">
                  <c:v>10377.225412353873</c:v>
                </c:pt>
                <c:pt idx="154">
                  <c:v>10395.375413075089</c:v>
                </c:pt>
                <c:pt idx="155">
                  <c:v>10413.225413784385</c:v>
                </c:pt>
                <c:pt idx="156">
                  <c:v>10431.07541449368</c:v>
                </c:pt>
                <c:pt idx="157">
                  <c:v>10448.625415191054</c:v>
                </c:pt>
                <c:pt idx="158">
                  <c:v>10466.100415885448</c:v>
                </c:pt>
                <c:pt idx="159">
                  <c:v>10483.350416570902</c:v>
                </c:pt>
                <c:pt idx="160">
                  <c:v>10500.525417253375</c:v>
                </c:pt>
                <c:pt idx="161">
                  <c:v>10517.400417923927</c:v>
                </c:pt>
                <c:pt idx="162">
                  <c:v>10534.27541859448</c:v>
                </c:pt>
                <c:pt idx="163">
                  <c:v>10550.925419256091</c:v>
                </c:pt>
                <c:pt idx="164">
                  <c:v>10567.500419914722</c:v>
                </c:pt>
                <c:pt idx="165">
                  <c:v>10583.850420564413</c:v>
                </c:pt>
                <c:pt idx="166">
                  <c:v>10600.050421208143</c:v>
                </c:pt>
                <c:pt idx="167">
                  <c:v>10616.175421848893</c:v>
                </c:pt>
                <c:pt idx="168">
                  <c:v>10632.075422480702</c:v>
                </c:pt>
                <c:pt idx="169">
                  <c:v>10647.975423112512</c:v>
                </c:pt>
                <c:pt idx="170">
                  <c:v>10663.5754237324</c:v>
                </c:pt>
                <c:pt idx="171">
                  <c:v>10679.175424352288</c:v>
                </c:pt>
                <c:pt idx="172">
                  <c:v>10694.550424963236</c:v>
                </c:pt>
                <c:pt idx="173">
                  <c:v>10709.850425571203</c:v>
                </c:pt>
                <c:pt idx="174">
                  <c:v>10725.00042617321</c:v>
                </c:pt>
                <c:pt idx="175">
                  <c:v>10739.925426766276</c:v>
                </c:pt>
                <c:pt idx="176">
                  <c:v>10754.925427362323</c:v>
                </c:pt>
                <c:pt idx="177">
                  <c:v>10769.700427949429</c:v>
                </c:pt>
                <c:pt idx="178">
                  <c:v>10784.325428530574</c:v>
                </c:pt>
                <c:pt idx="179">
                  <c:v>10798.800429105759</c:v>
                </c:pt>
                <c:pt idx="180">
                  <c:v>10813.275429680943</c:v>
                </c:pt>
                <c:pt idx="181">
                  <c:v>10827.525430247188</c:v>
                </c:pt>
                <c:pt idx="182">
                  <c:v>10841.700430810452</c:v>
                </c:pt>
                <c:pt idx="183">
                  <c:v>10855.725431367755</c:v>
                </c:pt>
                <c:pt idx="184">
                  <c:v>10869.675431922078</c:v>
                </c:pt>
                <c:pt idx="185">
                  <c:v>10883.475432470441</c:v>
                </c:pt>
                <c:pt idx="186">
                  <c:v>10897.200433015823</c:v>
                </c:pt>
                <c:pt idx="187">
                  <c:v>10910.850433558226</c:v>
                </c:pt>
                <c:pt idx="188">
                  <c:v>10924.275434091687</c:v>
                </c:pt>
                <c:pt idx="189">
                  <c:v>10937.700434625149</c:v>
                </c:pt>
                <c:pt idx="190">
                  <c:v>10950.97543515265</c:v>
                </c:pt>
                <c:pt idx="191">
                  <c:v>10964.175435677171</c:v>
                </c:pt>
                <c:pt idx="192">
                  <c:v>10977.225436195731</c:v>
                </c:pt>
                <c:pt idx="193">
                  <c:v>10990.200436711311</c:v>
                </c:pt>
                <c:pt idx="194">
                  <c:v>11003.100437223911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88-44B9-9542-0EF8D83CD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25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24915140739373"/>
              <c:y val="0.933428584554454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  <c:majorUnit val="2200"/>
      </c:valAx>
      <c:valAx>
        <c:axId val="67676739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Depth  (m)</a:t>
                </a:r>
              </a:p>
            </c:rich>
          </c:tx>
          <c:layout>
            <c:manualLayout>
              <c:xMode val="edge"/>
              <c:yMode val="edge"/>
              <c:x val="7.331378299120235E-3"/>
              <c:y val="0.39167724969411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Capacity, Enceladus Gravity</a:t>
            </a:r>
          </a:p>
        </c:rich>
      </c:tx>
      <c:layout>
        <c:manualLayout>
          <c:xMode val="edge"/>
          <c:yMode val="edge"/>
          <c:x val="0.17413489736070381"/>
          <c:y val="1.211305582354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7-42C5-8C27-4DC4FF517839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7-42C5-8C27-4DC4FF517839}"/>
            </c:ext>
          </c:extLst>
        </c:ser>
        <c:ser>
          <c:idx val="2"/>
          <c:order val="2"/>
          <c:tx>
            <c:v>Average Enceladus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Encel'!$V$18:$V$212</c:f>
              <c:numCache>
                <c:formatCode>0.0</c:formatCode>
                <c:ptCount val="195"/>
                <c:pt idx="0">
                  <c:v>338.77501346170902</c:v>
                </c:pt>
                <c:pt idx="1">
                  <c:v>1102.3500438034534</c:v>
                </c:pt>
                <c:pt idx="2">
                  <c:v>1799.9250715225935</c:v>
                </c:pt>
                <c:pt idx="3">
                  <c:v>2441.3250970095396</c:v>
                </c:pt>
                <c:pt idx="4">
                  <c:v>3034.2751205712557</c:v>
                </c:pt>
                <c:pt idx="5">
                  <c:v>3584.9251424521208</c:v>
                </c:pt>
                <c:pt idx="6">
                  <c:v>4098.5251628607512</c:v>
                </c:pt>
                <c:pt idx="7">
                  <c:v>4579.2001819610596</c:v>
                </c:pt>
                <c:pt idx="8">
                  <c:v>5030.4001998901367</c:v>
                </c:pt>
                <c:pt idx="9">
                  <c:v>5455.2752167731524</c:v>
                </c:pt>
                <c:pt idx="10">
                  <c:v>5856.2252327054739</c:v>
                </c:pt>
                <c:pt idx="11">
                  <c:v>6235.5752477794886</c:v>
                </c:pt>
                <c:pt idx="12">
                  <c:v>6595.0502620637417</c:v>
                </c:pt>
                <c:pt idx="13">
                  <c:v>6936.5252756327391</c:v>
                </c:pt>
                <c:pt idx="14">
                  <c:v>7261.3502885401249</c:v>
                </c:pt>
                <c:pt idx="15">
                  <c:v>7570.8003008365631</c:v>
                </c:pt>
                <c:pt idx="16">
                  <c:v>7866.2253125756979</c:v>
                </c:pt>
                <c:pt idx="17">
                  <c:v>8148.3003237843513</c:v>
                </c:pt>
                <c:pt idx="18">
                  <c:v>8418.3003345131874</c:v>
                </c:pt>
                <c:pt idx="19">
                  <c:v>8676.9003447890282</c:v>
                </c:pt>
                <c:pt idx="20">
                  <c:v>8924.8503546416759</c:v>
                </c:pt>
                <c:pt idx="21">
                  <c:v>9162.8253640979528</c:v>
                </c:pt>
                <c:pt idx="22">
                  <c:v>9391.5753731876612</c:v>
                </c:pt>
                <c:pt idx="23">
                  <c:v>9611.4753819257021</c:v>
                </c:pt>
                <c:pt idx="24">
                  <c:v>9823.2003903388977</c:v>
                </c:pt>
                <c:pt idx="25">
                  <c:v>10027.200398445129</c:v>
                </c:pt>
                <c:pt idx="26">
                  <c:v>10223.775406256318</c:v>
                </c:pt>
                <c:pt idx="27">
                  <c:v>10413.525413796306</c:v>
                </c:pt>
                <c:pt idx="28">
                  <c:v>10596.750421077013</c:v>
                </c:pt>
                <c:pt idx="29">
                  <c:v>10773.750428110361</c:v>
                </c:pt>
                <c:pt idx="30">
                  <c:v>10944.900434911251</c:v>
                </c:pt>
                <c:pt idx="31">
                  <c:v>11110.425441488624</c:v>
                </c:pt>
                <c:pt idx="32">
                  <c:v>11270.77544786036</c:v>
                </c:pt>
                <c:pt idx="33">
                  <c:v>11425.950454026461</c:v>
                </c:pt>
                <c:pt idx="34">
                  <c:v>11576.400460004807</c:v>
                </c:pt>
                <c:pt idx="35">
                  <c:v>11722.275465801358</c:v>
                </c:pt>
                <c:pt idx="36">
                  <c:v>11863.875471428037</c:v>
                </c:pt>
                <c:pt idx="37">
                  <c:v>12001.200476884842</c:v>
                </c:pt>
                <c:pt idx="38">
                  <c:v>12134.700482189655</c:v>
                </c:pt>
                <c:pt idx="39">
                  <c:v>12264.300487339497</c:v>
                </c:pt>
                <c:pt idx="40">
                  <c:v>12390.225492343307</c:v>
                </c:pt>
                <c:pt idx="41">
                  <c:v>12512.700497210026</c:v>
                </c:pt>
                <c:pt idx="42">
                  <c:v>12631.875501945615</c:v>
                </c:pt>
                <c:pt idx="43">
                  <c:v>12747.825506553054</c:v>
                </c:pt>
                <c:pt idx="44">
                  <c:v>12860.700511038303</c:v>
                </c:pt>
                <c:pt idx="45">
                  <c:v>12970.725515410304</c:v>
                </c:pt>
                <c:pt idx="46">
                  <c:v>13077.825519666076</c:v>
                </c:pt>
                <c:pt idx="47">
                  <c:v>13182.225523814559</c:v>
                </c:pt>
                <c:pt idx="48">
                  <c:v>13284.075527861714</c:v>
                </c:pt>
                <c:pt idx="49">
                  <c:v>13383.300531804562</c:v>
                </c:pt>
                <c:pt idx="50">
                  <c:v>13480.200535655022</c:v>
                </c:pt>
                <c:pt idx="51">
                  <c:v>13574.625539407134</c:v>
                </c:pt>
                <c:pt idx="52">
                  <c:v>13666.9505430758</c:v>
                </c:pt>
                <c:pt idx="53">
                  <c:v>13757.025546655059</c:v>
                </c:pt>
                <c:pt idx="54">
                  <c:v>13845.075550153852</c:v>
                </c:pt>
                <c:pt idx="55">
                  <c:v>13931.100553572178</c:v>
                </c:pt>
                <c:pt idx="56">
                  <c:v>14015.175556913018</c:v>
                </c:pt>
                <c:pt idx="57">
                  <c:v>14097.300560176373</c:v>
                </c:pt>
                <c:pt idx="58">
                  <c:v>14177.700563371181</c:v>
                </c:pt>
                <c:pt idx="59">
                  <c:v>14256.300566494465</c:v>
                </c:pt>
                <c:pt idx="60">
                  <c:v>14333.175569549203</c:v>
                </c:pt>
                <c:pt idx="61">
                  <c:v>14408.475572541356</c:v>
                </c:pt>
                <c:pt idx="62">
                  <c:v>14482.125575467944</c:v>
                </c:pt>
                <c:pt idx="63">
                  <c:v>14554.200578331947</c:v>
                </c:pt>
                <c:pt idx="64">
                  <c:v>14624.850581139326</c:v>
                </c:pt>
                <c:pt idx="65">
                  <c:v>14694.0005838871</c:v>
                </c:pt>
                <c:pt idx="66">
                  <c:v>14761.80058658123</c:v>
                </c:pt>
                <c:pt idx="67">
                  <c:v>14828.175589218736</c:v>
                </c:pt>
                <c:pt idx="68">
                  <c:v>14893.350591808558</c:v>
                </c:pt>
                <c:pt idx="69">
                  <c:v>14957.175594344735</c:v>
                </c:pt>
                <c:pt idx="70">
                  <c:v>15019.650596827269</c:v>
                </c:pt>
                <c:pt idx="71">
                  <c:v>15081.075599268079</c:v>
                </c:pt>
                <c:pt idx="72">
                  <c:v>15141.300601661205</c:v>
                </c:pt>
                <c:pt idx="73">
                  <c:v>15200.325604006648</c:v>
                </c:pt>
                <c:pt idx="74">
                  <c:v>15258.300606310368</c:v>
                </c:pt>
                <c:pt idx="75">
                  <c:v>15315.150608569384</c:v>
                </c:pt>
                <c:pt idx="76">
                  <c:v>15371.025610789657</c:v>
                </c:pt>
                <c:pt idx="77">
                  <c:v>15425.850612968206</c:v>
                </c:pt>
                <c:pt idx="78">
                  <c:v>15479.700615108013</c:v>
                </c:pt>
                <c:pt idx="79">
                  <c:v>15532.575617209077</c:v>
                </c:pt>
                <c:pt idx="80">
                  <c:v>15584.550619274378</c:v>
                </c:pt>
                <c:pt idx="81">
                  <c:v>15635.475621297956</c:v>
                </c:pt>
                <c:pt idx="82">
                  <c:v>15685.650623291731</c:v>
                </c:pt>
                <c:pt idx="83">
                  <c:v>15735.000625252724</c:v>
                </c:pt>
                <c:pt idx="84">
                  <c:v>15783.375627174973</c:v>
                </c:pt>
                <c:pt idx="85">
                  <c:v>15831.000629067421</c:v>
                </c:pt>
                <c:pt idx="86">
                  <c:v>15877.875630930066</c:v>
                </c:pt>
                <c:pt idx="87">
                  <c:v>15923.925632759929</c:v>
                </c:pt>
                <c:pt idx="88">
                  <c:v>15969.225634559989</c:v>
                </c:pt>
                <c:pt idx="89">
                  <c:v>16013.700636327267</c:v>
                </c:pt>
                <c:pt idx="90">
                  <c:v>16057.575638070703</c:v>
                </c:pt>
                <c:pt idx="91">
                  <c:v>16100.700639784336</c:v>
                </c:pt>
                <c:pt idx="92">
                  <c:v>16143.075641468167</c:v>
                </c:pt>
                <c:pt idx="93">
                  <c:v>16184.775643125176</c:v>
                </c:pt>
                <c:pt idx="94">
                  <c:v>16225.950644761324</c:v>
                </c:pt>
                <c:pt idx="95">
                  <c:v>16266.375646367669</c:v>
                </c:pt>
                <c:pt idx="96">
                  <c:v>16306.200647950172</c:v>
                </c:pt>
                <c:pt idx="97">
                  <c:v>16345.425649508834</c:v>
                </c:pt>
                <c:pt idx="98">
                  <c:v>16384.050651043653</c:v>
                </c:pt>
                <c:pt idx="99">
                  <c:v>16422.075652554631</c:v>
                </c:pt>
                <c:pt idx="100">
                  <c:v>16459.575654044747</c:v>
                </c:pt>
                <c:pt idx="101">
                  <c:v>16496.475655511022</c:v>
                </c:pt>
                <c:pt idx="102">
                  <c:v>16532.850656956434</c:v>
                </c:pt>
                <c:pt idx="103">
                  <c:v>16568.700658380985</c:v>
                </c:pt>
                <c:pt idx="104">
                  <c:v>16604.025659784675</c:v>
                </c:pt>
                <c:pt idx="105">
                  <c:v>16638.825661167502</c:v>
                </c:pt>
                <c:pt idx="106">
                  <c:v>16673.100662529469</c:v>
                </c:pt>
                <c:pt idx="107">
                  <c:v>16706.925663873553</c:v>
                </c:pt>
                <c:pt idx="108">
                  <c:v>16740.300665199757</c:v>
                </c:pt>
                <c:pt idx="109">
                  <c:v>16773.150666505098</c:v>
                </c:pt>
                <c:pt idx="110">
                  <c:v>16805.550667792559</c:v>
                </c:pt>
                <c:pt idx="111">
                  <c:v>16837.575669065118</c:v>
                </c:pt>
                <c:pt idx="112">
                  <c:v>16869.075670316815</c:v>
                </c:pt>
                <c:pt idx="113">
                  <c:v>16900.125671550632</c:v>
                </c:pt>
                <c:pt idx="114">
                  <c:v>16930.800672769547</c:v>
                </c:pt>
                <c:pt idx="115">
                  <c:v>16961.10067397356</c:v>
                </c:pt>
                <c:pt idx="116">
                  <c:v>16990.950675159693</c:v>
                </c:pt>
                <c:pt idx="117">
                  <c:v>17020.350676327944</c:v>
                </c:pt>
                <c:pt idx="118">
                  <c:v>17049.450677484274</c:v>
                </c:pt>
                <c:pt idx="119">
                  <c:v>17078.175678625703</c:v>
                </c:pt>
                <c:pt idx="120">
                  <c:v>17106.525679752231</c:v>
                </c:pt>
                <c:pt idx="121">
                  <c:v>17134.500680863857</c:v>
                </c:pt>
                <c:pt idx="122">
                  <c:v>17162.025681957603</c:v>
                </c:pt>
                <c:pt idx="123">
                  <c:v>17189.250683039427</c:v>
                </c:pt>
                <c:pt idx="124">
                  <c:v>17216.17568410933</c:v>
                </c:pt>
                <c:pt idx="125">
                  <c:v>17242.800685167313</c:v>
                </c:pt>
                <c:pt idx="126">
                  <c:v>17268.975686207414</c:v>
                </c:pt>
                <c:pt idx="127">
                  <c:v>17294.850687235594</c:v>
                </c:pt>
                <c:pt idx="128">
                  <c:v>17320.425688251853</c:v>
                </c:pt>
                <c:pt idx="129">
                  <c:v>17345.700689256191</c:v>
                </c:pt>
                <c:pt idx="130">
                  <c:v>17370.675690248609</c:v>
                </c:pt>
                <c:pt idx="131">
                  <c:v>17395.275691226125</c:v>
                </c:pt>
                <c:pt idx="132">
                  <c:v>17419.6506921947</c:v>
                </c:pt>
                <c:pt idx="133">
                  <c:v>17443.725693151355</c:v>
                </c:pt>
                <c:pt idx="134">
                  <c:v>17467.500694096088</c:v>
                </c:pt>
                <c:pt idx="135">
                  <c:v>17490.975695028901</c:v>
                </c:pt>
                <c:pt idx="136">
                  <c:v>17514.150695949793</c:v>
                </c:pt>
                <c:pt idx="137">
                  <c:v>17537.175696864724</c:v>
                </c:pt>
                <c:pt idx="138">
                  <c:v>17559.825697764754</c:v>
                </c:pt>
                <c:pt idx="139">
                  <c:v>17582.250698655844</c:v>
                </c:pt>
                <c:pt idx="140">
                  <c:v>17604.375699535012</c:v>
                </c:pt>
                <c:pt idx="141">
                  <c:v>17626.35070040822</c:v>
                </c:pt>
                <c:pt idx="142">
                  <c:v>17647.950701266527</c:v>
                </c:pt>
                <c:pt idx="143">
                  <c:v>17669.400702118874</c:v>
                </c:pt>
                <c:pt idx="144">
                  <c:v>17690.550702959299</c:v>
                </c:pt>
                <c:pt idx="145">
                  <c:v>17711.475703790784</c:v>
                </c:pt>
                <c:pt idx="146">
                  <c:v>17732.175704613328</c:v>
                </c:pt>
                <c:pt idx="147">
                  <c:v>17752.650705426931</c:v>
                </c:pt>
                <c:pt idx="148">
                  <c:v>17772.900706231594</c:v>
                </c:pt>
                <c:pt idx="149">
                  <c:v>17792.925707027316</c:v>
                </c:pt>
                <c:pt idx="150">
                  <c:v>17812.725707814097</c:v>
                </c:pt>
                <c:pt idx="151">
                  <c:v>17832.300708591938</c:v>
                </c:pt>
                <c:pt idx="152">
                  <c:v>17851.725709363818</c:v>
                </c:pt>
                <c:pt idx="153">
                  <c:v>17870.925710126758</c:v>
                </c:pt>
                <c:pt idx="154">
                  <c:v>17889.825710877776</c:v>
                </c:pt>
                <c:pt idx="155">
                  <c:v>17908.650711625814</c:v>
                </c:pt>
                <c:pt idx="156">
                  <c:v>17927.175712361932</c:v>
                </c:pt>
                <c:pt idx="157">
                  <c:v>17945.625713095069</c:v>
                </c:pt>
                <c:pt idx="158">
                  <c:v>17963.775713816285</c:v>
                </c:pt>
                <c:pt idx="159">
                  <c:v>17981.775714531541</c:v>
                </c:pt>
                <c:pt idx="160">
                  <c:v>17999.625715240836</c:v>
                </c:pt>
                <c:pt idx="161">
                  <c:v>18017.250715941191</c:v>
                </c:pt>
                <c:pt idx="162">
                  <c:v>18034.650716632605</c:v>
                </c:pt>
                <c:pt idx="163">
                  <c:v>18051.975717321038</c:v>
                </c:pt>
                <c:pt idx="164">
                  <c:v>18069.000717997551</c:v>
                </c:pt>
                <c:pt idx="165">
                  <c:v>18085.950718671083</c:v>
                </c:pt>
                <c:pt idx="166">
                  <c:v>18102.675719335675</c:v>
                </c:pt>
                <c:pt idx="167">
                  <c:v>18119.325719997287</c:v>
                </c:pt>
                <c:pt idx="168">
                  <c:v>18135.750720649958</c:v>
                </c:pt>
                <c:pt idx="169">
                  <c:v>18151.950721293688</c:v>
                </c:pt>
                <c:pt idx="170">
                  <c:v>18168.150721937418</c:v>
                </c:pt>
                <c:pt idx="171">
                  <c:v>18184.050722569227</c:v>
                </c:pt>
                <c:pt idx="172">
                  <c:v>18199.875723198056</c:v>
                </c:pt>
                <c:pt idx="173">
                  <c:v>18215.475723817945</c:v>
                </c:pt>
                <c:pt idx="174">
                  <c:v>18230.925724431872</c:v>
                </c:pt>
                <c:pt idx="175">
                  <c:v>18246.30072504282</c:v>
                </c:pt>
                <c:pt idx="176">
                  <c:v>18261.525725647807</c:v>
                </c:pt>
                <c:pt idx="177">
                  <c:v>18276.600726246834</c:v>
                </c:pt>
                <c:pt idx="178">
                  <c:v>18291.45072683692</c:v>
                </c:pt>
                <c:pt idx="179">
                  <c:v>18306.225727424026</c:v>
                </c:pt>
                <c:pt idx="180">
                  <c:v>18320.925728008151</c:v>
                </c:pt>
                <c:pt idx="181">
                  <c:v>18335.400728583336</c:v>
                </c:pt>
                <c:pt idx="182">
                  <c:v>18349.72572915256</c:v>
                </c:pt>
                <c:pt idx="183">
                  <c:v>18363.975729718804</c:v>
                </c:pt>
                <c:pt idx="184">
                  <c:v>18378.075730279088</c:v>
                </c:pt>
                <c:pt idx="185">
                  <c:v>18392.025730833411</c:v>
                </c:pt>
                <c:pt idx="186">
                  <c:v>18405.900731384754</c:v>
                </c:pt>
                <c:pt idx="187">
                  <c:v>18419.625731930137</c:v>
                </c:pt>
                <c:pt idx="188">
                  <c:v>18433.275732472539</c:v>
                </c:pt>
                <c:pt idx="189">
                  <c:v>18446.700733006001</c:v>
                </c:pt>
                <c:pt idx="190">
                  <c:v>18460.050733536482</c:v>
                </c:pt>
                <c:pt idx="191">
                  <c:v>18473.325734063983</c:v>
                </c:pt>
                <c:pt idx="192">
                  <c:v>18486.450734585524</c:v>
                </c:pt>
                <c:pt idx="193">
                  <c:v>18499.425735101104</c:v>
                </c:pt>
                <c:pt idx="194">
                  <c:v>18512.250735610723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E7-42C5-8C27-4DC4FF517839}"/>
            </c:ext>
          </c:extLst>
        </c:ser>
        <c:ser>
          <c:idx val="3"/>
          <c:order val="3"/>
          <c:tx>
            <c:v>Nominal Life - Europa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BF-445F-B9FA-0A7B6A7CBB80}"/>
            </c:ext>
          </c:extLst>
        </c:ser>
        <c:ser>
          <c:idx val="4"/>
          <c:order val="4"/>
          <c:tx>
            <c:v>Reduced Life - Europa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BF-445F-B9FA-0A7B6A7CBB80}"/>
            </c:ext>
          </c:extLst>
        </c:ser>
        <c:ser>
          <c:idx val="5"/>
          <c:order val="5"/>
          <c:tx>
            <c:v>Average Europa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Europa'!$V$18:$V$212</c:f>
              <c:numCache>
                <c:formatCode>0.0</c:formatCode>
                <c:ptCount val="195"/>
                <c:pt idx="0">
                  <c:v>233.47500927746296</c:v>
                </c:pt>
                <c:pt idx="1">
                  <c:v>785.92503122985363</c:v>
                </c:pt>
                <c:pt idx="2">
                  <c:v>1299.525051638484</c:v>
                </c:pt>
                <c:pt idx="3">
                  <c:v>1778.9250706881285</c:v>
                </c:pt>
                <c:pt idx="4">
                  <c:v>2227.9500885307789</c:v>
                </c:pt>
                <c:pt idx="5">
                  <c:v>2649.8251052945852</c:v>
                </c:pt>
                <c:pt idx="6">
                  <c:v>3047.3251210898161</c:v>
                </c:pt>
                <c:pt idx="7">
                  <c:v>3422.7001360058784</c:v>
                </c:pt>
                <c:pt idx="8">
                  <c:v>3778.125150129199</c:v>
                </c:pt>
                <c:pt idx="9">
                  <c:v>4115.4001635313034</c:v>
                </c:pt>
                <c:pt idx="10">
                  <c:v>4435.8001762628555</c:v>
                </c:pt>
                <c:pt idx="11">
                  <c:v>4740.9001883864403</c:v>
                </c:pt>
                <c:pt idx="12">
                  <c:v>5031.8251999467611</c:v>
                </c:pt>
                <c:pt idx="13">
                  <c:v>5309.6252109855413</c:v>
                </c:pt>
                <c:pt idx="14">
                  <c:v>5575.2752215415239</c:v>
                </c:pt>
                <c:pt idx="15">
                  <c:v>5829.7502316534519</c:v>
                </c:pt>
                <c:pt idx="16">
                  <c:v>6073.5752413421869</c:v>
                </c:pt>
                <c:pt idx="17">
                  <c:v>6307.5752506405115</c:v>
                </c:pt>
                <c:pt idx="18">
                  <c:v>6532.4252595752478</c:v>
                </c:pt>
                <c:pt idx="19">
                  <c:v>6748.6502681672573</c:v>
                </c:pt>
                <c:pt idx="20">
                  <c:v>6956.7002764344215</c:v>
                </c:pt>
                <c:pt idx="21">
                  <c:v>7157.1752844005823</c:v>
                </c:pt>
                <c:pt idx="22">
                  <c:v>7350.4502920806408</c:v>
                </c:pt>
                <c:pt idx="23">
                  <c:v>7536.9752994924784</c:v>
                </c:pt>
                <c:pt idx="24">
                  <c:v>7717.050306648016</c:v>
                </c:pt>
                <c:pt idx="25">
                  <c:v>7891.125313565135</c:v>
                </c:pt>
                <c:pt idx="26">
                  <c:v>8059.3503202497959</c:v>
                </c:pt>
                <c:pt idx="27">
                  <c:v>8222.1753267198801</c:v>
                </c:pt>
                <c:pt idx="28">
                  <c:v>8379.9003329873085</c:v>
                </c:pt>
                <c:pt idx="29">
                  <c:v>8532.6003390550613</c:v>
                </c:pt>
                <c:pt idx="30">
                  <c:v>8680.5753449350595</c:v>
                </c:pt>
                <c:pt idx="31">
                  <c:v>8824.1253506392241</c:v>
                </c:pt>
                <c:pt idx="32">
                  <c:v>8963.4753561764956</c:v>
                </c:pt>
                <c:pt idx="33">
                  <c:v>9098.7003615498543</c:v>
                </c:pt>
                <c:pt idx="34">
                  <c:v>9230.0253667682409</c:v>
                </c:pt>
                <c:pt idx="35">
                  <c:v>9357.7503718435764</c:v>
                </c:pt>
                <c:pt idx="36">
                  <c:v>9481.8753767758608</c:v>
                </c:pt>
                <c:pt idx="37">
                  <c:v>9602.5503815710545</c:v>
                </c:pt>
                <c:pt idx="38">
                  <c:v>9720.0003862380981</c:v>
                </c:pt>
                <c:pt idx="39">
                  <c:v>9834.3753907829523</c:v>
                </c:pt>
                <c:pt idx="40">
                  <c:v>9945.675395205617</c:v>
                </c:pt>
                <c:pt idx="41">
                  <c:v>10054.125399515033</c:v>
                </c:pt>
                <c:pt idx="42">
                  <c:v>10159.87540371716</c:v>
                </c:pt>
                <c:pt idx="43">
                  <c:v>10262.850407809019</c:v>
                </c:pt>
                <c:pt idx="44">
                  <c:v>10363.35041180253</c:v>
                </c:pt>
                <c:pt idx="45">
                  <c:v>10461.375415697694</c:v>
                </c:pt>
                <c:pt idx="46">
                  <c:v>10557.15041950345</c:v>
                </c:pt>
                <c:pt idx="47">
                  <c:v>10650.52542321384</c:v>
                </c:pt>
                <c:pt idx="48">
                  <c:v>10741.725426837802</c:v>
                </c:pt>
                <c:pt idx="49">
                  <c:v>10830.825430378318</c:v>
                </c:pt>
                <c:pt idx="50">
                  <c:v>10917.750433832407</c:v>
                </c:pt>
                <c:pt idx="51">
                  <c:v>11002.875437214971</c:v>
                </c:pt>
                <c:pt idx="52">
                  <c:v>11085.975440517068</c:v>
                </c:pt>
                <c:pt idx="53">
                  <c:v>11167.35044375062</c:v>
                </c:pt>
                <c:pt idx="54">
                  <c:v>11246.850446909666</c:v>
                </c:pt>
                <c:pt idx="55">
                  <c:v>11324.625450000167</c:v>
                </c:pt>
                <c:pt idx="56">
                  <c:v>11400.825453028083</c:v>
                </c:pt>
                <c:pt idx="57">
                  <c:v>11475.375455990434</c:v>
                </c:pt>
                <c:pt idx="58">
                  <c:v>11548.3504588902</c:v>
                </c:pt>
                <c:pt idx="59">
                  <c:v>11619.825461730361</c:v>
                </c:pt>
                <c:pt idx="60">
                  <c:v>11689.875464513898</c:v>
                </c:pt>
                <c:pt idx="61">
                  <c:v>11758.42546723783</c:v>
                </c:pt>
                <c:pt idx="62">
                  <c:v>11825.700469911098</c:v>
                </c:pt>
                <c:pt idx="63">
                  <c:v>11891.625472530723</c:v>
                </c:pt>
                <c:pt idx="64">
                  <c:v>11956.125475093722</c:v>
                </c:pt>
                <c:pt idx="65">
                  <c:v>12019.500477612019</c:v>
                </c:pt>
                <c:pt idx="66">
                  <c:v>12081.600480079651</c:v>
                </c:pt>
                <c:pt idx="67">
                  <c:v>12142.500482499599</c:v>
                </c:pt>
                <c:pt idx="68">
                  <c:v>12202.350484877825</c:v>
                </c:pt>
                <c:pt idx="69">
                  <c:v>12261.075487211347</c:v>
                </c:pt>
                <c:pt idx="70">
                  <c:v>12318.600489497185</c:v>
                </c:pt>
                <c:pt idx="71">
                  <c:v>12375.15049174428</c:v>
                </c:pt>
                <c:pt idx="72">
                  <c:v>12430.725493952632</c:v>
                </c:pt>
                <c:pt idx="73">
                  <c:v>12485.175496116281</c:v>
                </c:pt>
                <c:pt idx="74">
                  <c:v>12538.725498244166</c:v>
                </c:pt>
                <c:pt idx="75">
                  <c:v>12591.375500336289</c:v>
                </c:pt>
                <c:pt idx="76">
                  <c:v>12643.050502389669</c:v>
                </c:pt>
                <c:pt idx="77">
                  <c:v>12693.750504404306</c:v>
                </c:pt>
                <c:pt idx="78">
                  <c:v>12743.700506389141</c:v>
                </c:pt>
                <c:pt idx="79">
                  <c:v>12792.825508341193</c:v>
                </c:pt>
                <c:pt idx="80">
                  <c:v>12840.975510254502</c:v>
                </c:pt>
                <c:pt idx="81">
                  <c:v>12888.450512140989</c:v>
                </c:pt>
                <c:pt idx="82">
                  <c:v>12935.100513994694</c:v>
                </c:pt>
                <c:pt idx="83">
                  <c:v>12980.925515815616</c:v>
                </c:pt>
                <c:pt idx="84">
                  <c:v>13026.075517609715</c:v>
                </c:pt>
                <c:pt idx="85">
                  <c:v>13070.550519376993</c:v>
                </c:pt>
                <c:pt idx="86">
                  <c:v>13114.200521111488</c:v>
                </c:pt>
                <c:pt idx="87">
                  <c:v>13157.175522819161</c:v>
                </c:pt>
                <c:pt idx="88">
                  <c:v>13199.475524500012</c:v>
                </c:pt>
                <c:pt idx="89">
                  <c:v>13241.175526157022</c:v>
                </c:pt>
                <c:pt idx="90">
                  <c:v>13282.125527784228</c:v>
                </c:pt>
                <c:pt idx="91">
                  <c:v>13322.550529390574</c:v>
                </c:pt>
                <c:pt idx="92">
                  <c:v>13362.300530970097</c:v>
                </c:pt>
                <c:pt idx="93">
                  <c:v>13401.375532522798</c:v>
                </c:pt>
                <c:pt idx="94">
                  <c:v>13440.000534057617</c:v>
                </c:pt>
                <c:pt idx="95">
                  <c:v>13478.025535568595</c:v>
                </c:pt>
                <c:pt idx="96">
                  <c:v>13515.450537055731</c:v>
                </c:pt>
                <c:pt idx="97">
                  <c:v>13552.275538519025</c:v>
                </c:pt>
                <c:pt idx="98">
                  <c:v>13588.650539964437</c:v>
                </c:pt>
                <c:pt idx="99">
                  <c:v>13624.425541386008</c:v>
                </c:pt>
                <c:pt idx="100">
                  <c:v>13659.750542789698</c:v>
                </c:pt>
                <c:pt idx="101">
                  <c:v>13694.475544169545</c:v>
                </c:pt>
                <c:pt idx="102">
                  <c:v>13728.825545534492</c:v>
                </c:pt>
                <c:pt idx="103">
                  <c:v>13762.650546878576</c:v>
                </c:pt>
                <c:pt idx="104">
                  <c:v>13795.950548201799</c:v>
                </c:pt>
                <c:pt idx="105">
                  <c:v>13828.800549507141</c:v>
                </c:pt>
                <c:pt idx="106">
                  <c:v>13861.275550797582</c:v>
                </c:pt>
                <c:pt idx="107">
                  <c:v>13893.225552067161</c:v>
                </c:pt>
                <c:pt idx="108">
                  <c:v>13924.800553321838</c:v>
                </c:pt>
                <c:pt idx="109">
                  <c:v>13955.925554558635</c:v>
                </c:pt>
                <c:pt idx="110">
                  <c:v>13986.67555578053</c:v>
                </c:pt>
                <c:pt idx="111">
                  <c:v>14016.975556984544</c:v>
                </c:pt>
                <c:pt idx="112">
                  <c:v>14046.900558173656</c:v>
                </c:pt>
                <c:pt idx="113">
                  <c:v>14076.300559341908</c:v>
                </c:pt>
                <c:pt idx="114">
                  <c:v>14105.400560498238</c:v>
                </c:pt>
                <c:pt idx="115">
                  <c:v>14134.200561642647</c:v>
                </c:pt>
                <c:pt idx="116">
                  <c:v>14162.550562769175</c:v>
                </c:pt>
                <c:pt idx="117">
                  <c:v>14190.600563883781</c:v>
                </c:pt>
                <c:pt idx="118">
                  <c:v>14218.275564983487</c:v>
                </c:pt>
                <c:pt idx="119">
                  <c:v>14245.500566065311</c:v>
                </c:pt>
                <c:pt idx="120">
                  <c:v>14272.500567138195</c:v>
                </c:pt>
                <c:pt idx="121">
                  <c:v>14299.125568196177</c:v>
                </c:pt>
                <c:pt idx="122">
                  <c:v>14325.450569242239</c:v>
                </c:pt>
                <c:pt idx="123">
                  <c:v>14351.400570273399</c:v>
                </c:pt>
                <c:pt idx="124">
                  <c:v>14377.050571292639</c:v>
                </c:pt>
                <c:pt idx="125">
                  <c:v>14402.400572299957</c:v>
                </c:pt>
                <c:pt idx="126">
                  <c:v>14427.450573295355</c:v>
                </c:pt>
                <c:pt idx="127">
                  <c:v>14452.125574275851</c:v>
                </c:pt>
                <c:pt idx="128">
                  <c:v>14476.575575247407</c:v>
                </c:pt>
                <c:pt idx="129">
                  <c:v>14500.725576207042</c:v>
                </c:pt>
                <c:pt idx="130">
                  <c:v>14524.575577154756</c:v>
                </c:pt>
                <c:pt idx="131">
                  <c:v>14548.200578093529</c:v>
                </c:pt>
                <c:pt idx="132">
                  <c:v>14571.525579020381</c:v>
                </c:pt>
                <c:pt idx="133">
                  <c:v>14594.550579935312</c:v>
                </c:pt>
                <c:pt idx="134">
                  <c:v>14617.275580838323</c:v>
                </c:pt>
                <c:pt idx="135">
                  <c:v>14639.850581735373</c:v>
                </c:pt>
                <c:pt idx="136">
                  <c:v>14662.050582617521</c:v>
                </c:pt>
                <c:pt idx="137">
                  <c:v>14684.10058349371</c:v>
                </c:pt>
                <c:pt idx="138">
                  <c:v>14705.850584357977</c:v>
                </c:pt>
                <c:pt idx="139">
                  <c:v>14727.375585213304</c:v>
                </c:pt>
                <c:pt idx="140">
                  <c:v>14748.600586056709</c:v>
                </c:pt>
                <c:pt idx="141">
                  <c:v>14769.675586894155</c:v>
                </c:pt>
                <c:pt idx="142">
                  <c:v>14790.450587719679</c:v>
                </c:pt>
                <c:pt idx="143">
                  <c:v>14811.075588539243</c:v>
                </c:pt>
                <c:pt idx="144">
                  <c:v>14831.400589346886</c:v>
                </c:pt>
                <c:pt idx="145">
                  <c:v>14851.575590148568</c:v>
                </c:pt>
                <c:pt idx="146">
                  <c:v>14871.45059093833</c:v>
                </c:pt>
                <c:pt idx="147">
                  <c:v>14891.175591722131</c:v>
                </c:pt>
                <c:pt idx="148">
                  <c:v>14910.675592496991</c:v>
                </c:pt>
                <c:pt idx="149">
                  <c:v>14929.950593262911</c:v>
                </c:pt>
                <c:pt idx="150">
                  <c:v>14949.07559402287</c:v>
                </c:pt>
                <c:pt idx="151">
                  <c:v>14967.900594770908</c:v>
                </c:pt>
                <c:pt idx="152">
                  <c:v>14986.575595512986</c:v>
                </c:pt>
                <c:pt idx="153">
                  <c:v>15005.100596249104</c:v>
                </c:pt>
                <c:pt idx="154">
                  <c:v>15023.40059697628</c:v>
                </c:pt>
                <c:pt idx="155">
                  <c:v>15041.550597697496</c:v>
                </c:pt>
                <c:pt idx="156">
                  <c:v>15059.475598409772</c:v>
                </c:pt>
                <c:pt idx="157">
                  <c:v>15077.175599113107</c:v>
                </c:pt>
                <c:pt idx="158">
                  <c:v>15094.725599810481</c:v>
                </c:pt>
                <c:pt idx="159">
                  <c:v>15112.200600504875</c:v>
                </c:pt>
                <c:pt idx="160">
                  <c:v>15129.375601187348</c:v>
                </c:pt>
                <c:pt idx="161">
                  <c:v>15146.400601863861</c:v>
                </c:pt>
                <c:pt idx="162">
                  <c:v>15163.350602537394</c:v>
                </c:pt>
                <c:pt idx="163">
                  <c:v>15180.000603199005</c:v>
                </c:pt>
                <c:pt idx="164">
                  <c:v>15196.575603857636</c:v>
                </c:pt>
                <c:pt idx="165">
                  <c:v>15212.925604507327</c:v>
                </c:pt>
                <c:pt idx="166">
                  <c:v>15229.200605154037</c:v>
                </c:pt>
                <c:pt idx="167">
                  <c:v>15245.175605788827</c:v>
                </c:pt>
                <c:pt idx="168">
                  <c:v>15261.150606423616</c:v>
                </c:pt>
                <c:pt idx="169">
                  <c:v>15276.900607049465</c:v>
                </c:pt>
                <c:pt idx="170">
                  <c:v>15292.500607669353</c:v>
                </c:pt>
                <c:pt idx="171">
                  <c:v>15307.950608283281</c:v>
                </c:pt>
                <c:pt idx="172">
                  <c:v>15323.325608894229</c:v>
                </c:pt>
                <c:pt idx="173">
                  <c:v>15338.475609496236</c:v>
                </c:pt>
                <c:pt idx="174">
                  <c:v>15353.475610092282</c:v>
                </c:pt>
                <c:pt idx="175">
                  <c:v>15368.400610685349</c:v>
                </c:pt>
                <c:pt idx="176">
                  <c:v>15383.175611272454</c:v>
                </c:pt>
                <c:pt idx="177">
                  <c:v>15397.725611850619</c:v>
                </c:pt>
                <c:pt idx="178">
                  <c:v>15412.275612428784</c:v>
                </c:pt>
                <c:pt idx="179">
                  <c:v>15426.600612998009</c:v>
                </c:pt>
                <c:pt idx="180">
                  <c:v>15440.850613564253</c:v>
                </c:pt>
                <c:pt idx="181">
                  <c:v>15454.875614121556</c:v>
                </c:pt>
                <c:pt idx="182">
                  <c:v>15468.90061467886</c:v>
                </c:pt>
                <c:pt idx="183">
                  <c:v>15482.700615227222</c:v>
                </c:pt>
                <c:pt idx="184">
                  <c:v>15496.425615772605</c:v>
                </c:pt>
                <c:pt idx="185">
                  <c:v>15510.000616312027</c:v>
                </c:pt>
                <c:pt idx="186">
                  <c:v>15523.500616848469</c:v>
                </c:pt>
                <c:pt idx="187">
                  <c:v>15536.85061737895</c:v>
                </c:pt>
                <c:pt idx="188">
                  <c:v>15550.125617906451</c:v>
                </c:pt>
                <c:pt idx="189">
                  <c:v>15563.250618427992</c:v>
                </c:pt>
                <c:pt idx="190">
                  <c:v>15576.300618946552</c:v>
                </c:pt>
                <c:pt idx="191">
                  <c:v>15589.125619456172</c:v>
                </c:pt>
                <c:pt idx="192">
                  <c:v>15601.950619965792</c:v>
                </c:pt>
                <c:pt idx="193">
                  <c:v>15614.550620466471</c:v>
                </c:pt>
                <c:pt idx="194">
                  <c:v>15627.15062096715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BF-445F-B9FA-0A7B6A7CB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Capacity, Enceladus Gravity</a:t>
            </a:r>
          </a:p>
        </c:rich>
      </c:tx>
      <c:layout>
        <c:manualLayout>
          <c:xMode val="edge"/>
          <c:yMode val="edge"/>
          <c:x val="0.17413489736070381"/>
          <c:y val="1.211305582354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28-4C22-B3B9-60274C4E1EF0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28-4C22-B3B9-60274C4E1EF0}"/>
            </c:ext>
          </c:extLst>
        </c:ser>
        <c:ser>
          <c:idx val="3"/>
          <c:order val="2"/>
          <c:tx>
            <c:v>Nominal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28-4C22-B3B9-60274C4E1EF0}"/>
            </c:ext>
          </c:extLst>
        </c:ser>
        <c:ser>
          <c:idx val="4"/>
          <c:order val="3"/>
          <c:tx>
            <c:v>Reduced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C28-4C22-B3B9-60274C4E1EF0}"/>
            </c:ext>
          </c:extLst>
        </c:ser>
        <c:ser>
          <c:idx val="6"/>
          <c:order val="4"/>
          <c:tx>
            <c:v>Nominal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C28-4C22-B3B9-60274C4E1EF0}"/>
            </c:ext>
          </c:extLst>
        </c:ser>
        <c:ser>
          <c:idx val="7"/>
          <c:order val="5"/>
          <c:tx>
            <c:v>Reduced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C28-4C22-B3B9-60274C4E1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</a:t>
            </a:r>
            <a:r>
              <a:rPr lang="en-US" sz="2000" baseline="0">
                <a:solidFill>
                  <a:schemeClr val="tx1"/>
                </a:solidFill>
              </a:rPr>
              <a:t> for Three Planetary Bodies</a:t>
            </a:r>
            <a:endParaRPr lang="en-US" sz="20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5947214076246335"/>
          <c:y val="1.816958373531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9E-4528-966D-965D93B9EB3F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9E-4528-966D-965D93B9EB3F}"/>
            </c:ext>
          </c:extLst>
        </c:ser>
        <c:ser>
          <c:idx val="3"/>
          <c:order val="2"/>
          <c:tx>
            <c:v>Nominal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9E-4528-966D-965D93B9EB3F}"/>
            </c:ext>
          </c:extLst>
        </c:ser>
        <c:ser>
          <c:idx val="4"/>
          <c:order val="3"/>
          <c:tx>
            <c:v>Reduced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9E-4528-966D-965D93B9EB3F}"/>
            </c:ext>
          </c:extLst>
        </c:ser>
        <c:ser>
          <c:idx val="6"/>
          <c:order val="4"/>
          <c:tx>
            <c:v>Nominal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A9E-4528-966D-965D93B9EB3F}"/>
            </c:ext>
          </c:extLst>
        </c:ser>
        <c:ser>
          <c:idx val="7"/>
          <c:order val="5"/>
          <c:tx>
            <c:v>Reduced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A9E-4528-966D-965D93B9E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Maximum Depth vs. Battery Capacity</a:t>
            </a:r>
            <a:r>
              <a:rPr lang="en-US" sz="2000" baseline="0">
                <a:solidFill>
                  <a:schemeClr val="tx1"/>
                </a:solidFill>
              </a:rPr>
              <a:t> for Three Planetary Bodies</a:t>
            </a:r>
            <a:endParaRPr lang="en-US" sz="20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5947214076246335"/>
          <c:y val="1.816958373531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Nominal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Encel'!$T$18:$T$212</c:f>
              <c:numCache>
                <c:formatCode>0.00</c:formatCode>
                <c:ptCount val="195"/>
                <c:pt idx="0">
                  <c:v>399.4500158727169</c:v>
                </c:pt>
                <c:pt idx="1">
                  <c:v>1255.2000498771667</c:v>
                </c:pt>
                <c:pt idx="2">
                  <c:v>2067.150082141161</c:v>
                </c:pt>
                <c:pt idx="3">
                  <c:v>2838.7501128017902</c:v>
                </c:pt>
                <c:pt idx="4">
                  <c:v>3572.8501419723034</c:v>
                </c:pt>
                <c:pt idx="5">
                  <c:v>4272.1501697599888</c:v>
                </c:pt>
                <c:pt idx="6">
                  <c:v>4939.0501962602139</c:v>
                </c:pt>
                <c:pt idx="7">
                  <c:v>5575.8002215623856</c:v>
                </c:pt>
                <c:pt idx="8">
                  <c:v>6184.3502457439899</c:v>
                </c:pt>
                <c:pt idx="9">
                  <c:v>6766.5002688765526</c:v>
                </c:pt>
                <c:pt idx="10">
                  <c:v>7324.050291031599</c:v>
                </c:pt>
                <c:pt idx="11">
                  <c:v>7858.500312268734</c:v>
                </c:pt>
                <c:pt idx="12">
                  <c:v>8371.0503326356411</c:v>
                </c:pt>
                <c:pt idx="13">
                  <c:v>8863.3503521978855</c:v>
                </c:pt>
                <c:pt idx="14">
                  <c:v>9336.30037099123</c:v>
                </c:pt>
                <c:pt idx="15">
                  <c:v>9791.1003890633583</c:v>
                </c:pt>
                <c:pt idx="16">
                  <c:v>10228.950406461954</c:v>
                </c:pt>
                <c:pt idx="17">
                  <c:v>10650.450423210859</c:v>
                </c:pt>
                <c:pt idx="18">
                  <c:v>11056.800439357758</c:v>
                </c:pt>
                <c:pt idx="19">
                  <c:v>11448.600454926491</c:v>
                </c:pt>
                <c:pt idx="20">
                  <c:v>11826.750469952822</c:v>
                </c:pt>
                <c:pt idx="21">
                  <c:v>12191.850484460592</c:v>
                </c:pt>
                <c:pt idx="22">
                  <c:v>12544.800498485565</c:v>
                </c:pt>
                <c:pt idx="23">
                  <c:v>12885.750512033701</c:v>
                </c:pt>
                <c:pt idx="24">
                  <c:v>13215.750525146723</c:v>
                </c:pt>
                <c:pt idx="25">
                  <c:v>13535.100537836552</c:v>
                </c:pt>
                <c:pt idx="26">
                  <c:v>13844.250550121069</c:v>
                </c:pt>
                <c:pt idx="27">
                  <c:v>14143.800562024117</c:v>
                </c:pt>
                <c:pt idx="28">
                  <c:v>14434.200573563576</c:v>
                </c:pt>
                <c:pt idx="29">
                  <c:v>14715.900584757328</c:v>
                </c:pt>
                <c:pt idx="30">
                  <c:v>14989.050595611334</c:v>
                </c:pt>
                <c:pt idx="31">
                  <c:v>15254.250606149435</c:v>
                </c:pt>
                <c:pt idx="32">
                  <c:v>15511.800616383553</c:v>
                </c:pt>
                <c:pt idx="33">
                  <c:v>15762.000626325607</c:v>
                </c:pt>
                <c:pt idx="34">
                  <c:v>16005.15063598752</c:v>
                </c:pt>
                <c:pt idx="35">
                  <c:v>16241.550645381212</c:v>
                </c:pt>
                <c:pt idx="36">
                  <c:v>16471.650654524565</c:v>
                </c:pt>
                <c:pt idx="37">
                  <c:v>16695.300663411617</c:v>
                </c:pt>
                <c:pt idx="38">
                  <c:v>16913.250672072172</c:v>
                </c:pt>
                <c:pt idx="39">
                  <c:v>17125.350680500269</c:v>
                </c:pt>
                <c:pt idx="40">
                  <c:v>17331.900688707829</c:v>
                </c:pt>
                <c:pt idx="41">
                  <c:v>17533.200696706772</c:v>
                </c:pt>
                <c:pt idx="42">
                  <c:v>17729.400704503059</c:v>
                </c:pt>
                <c:pt idx="43">
                  <c:v>17920.800712108612</c:v>
                </c:pt>
                <c:pt idx="44">
                  <c:v>18107.40071952343</c:v>
                </c:pt>
                <c:pt idx="45">
                  <c:v>18289.500726759434</c:v>
                </c:pt>
                <c:pt idx="46">
                  <c:v>18467.250733822584</c:v>
                </c:pt>
                <c:pt idx="47">
                  <c:v>18640.650740712881</c:v>
                </c:pt>
                <c:pt idx="48">
                  <c:v>18810.150747448206</c:v>
                </c:pt>
                <c:pt idx="49">
                  <c:v>18975.600754022598</c:v>
                </c:pt>
                <c:pt idx="50">
                  <c:v>19137.300760447979</c:v>
                </c:pt>
                <c:pt idx="51">
                  <c:v>19295.250766724348</c:v>
                </c:pt>
                <c:pt idx="52">
                  <c:v>19449.750772863626</c:v>
                </c:pt>
                <c:pt idx="53">
                  <c:v>19600.800778865814</c:v>
                </c:pt>
                <c:pt idx="54">
                  <c:v>19748.550784736872</c:v>
                </c:pt>
                <c:pt idx="55">
                  <c:v>19893.150790482759</c:v>
                </c:pt>
                <c:pt idx="56">
                  <c:v>20034.600796103477</c:v>
                </c:pt>
                <c:pt idx="57">
                  <c:v>20172.900801599026</c:v>
                </c:pt>
                <c:pt idx="58">
                  <c:v>20308.500806987286</c:v>
                </c:pt>
                <c:pt idx="59">
                  <c:v>20441.250812262297</c:v>
                </c:pt>
                <c:pt idx="60">
                  <c:v>20571.150817424059</c:v>
                </c:pt>
                <c:pt idx="61">
                  <c:v>20698.500822484493</c:v>
                </c:pt>
                <c:pt idx="62">
                  <c:v>20823.3008274436</c:v>
                </c:pt>
                <c:pt idx="63">
                  <c:v>20945.550832301378</c:v>
                </c:pt>
                <c:pt idx="64">
                  <c:v>21065.400837063789</c:v>
                </c:pt>
                <c:pt idx="65">
                  <c:v>21182.850841730833</c:v>
                </c:pt>
                <c:pt idx="66">
                  <c:v>21298.05084630847</c:v>
                </c:pt>
                <c:pt idx="67">
                  <c:v>21411.0008507967</c:v>
                </c:pt>
                <c:pt idx="68">
                  <c:v>21522.000855207443</c:v>
                </c:pt>
                <c:pt idx="69">
                  <c:v>21630.75085952878</c:v>
                </c:pt>
                <c:pt idx="70">
                  <c:v>21737.40086376667</c:v>
                </c:pt>
                <c:pt idx="71">
                  <c:v>21842.250867933035</c:v>
                </c:pt>
                <c:pt idx="72">
                  <c:v>21945.150872021914</c:v>
                </c:pt>
                <c:pt idx="73">
                  <c:v>22046.100876033306</c:v>
                </c:pt>
                <c:pt idx="74">
                  <c:v>22145.250879973173</c:v>
                </c:pt>
                <c:pt idx="75">
                  <c:v>22242.600883841515</c:v>
                </c:pt>
                <c:pt idx="76">
                  <c:v>22338.300887644291</c:v>
                </c:pt>
                <c:pt idx="77">
                  <c:v>22432.350891381502</c:v>
                </c:pt>
                <c:pt idx="78">
                  <c:v>22524.750895053148</c:v>
                </c:pt>
                <c:pt idx="79">
                  <c:v>22615.500898659229</c:v>
                </c:pt>
                <c:pt idx="80">
                  <c:v>22704.750902205706</c:v>
                </c:pt>
                <c:pt idx="81">
                  <c:v>22792.350905686617</c:v>
                </c:pt>
                <c:pt idx="82">
                  <c:v>22878.600909113884</c:v>
                </c:pt>
                <c:pt idx="83">
                  <c:v>22963.500912487507</c:v>
                </c:pt>
                <c:pt idx="84">
                  <c:v>23046.900915801525</c:v>
                </c:pt>
                <c:pt idx="85">
                  <c:v>23128.950919061899</c:v>
                </c:pt>
                <c:pt idx="86">
                  <c:v>23209.650922268629</c:v>
                </c:pt>
                <c:pt idx="87">
                  <c:v>23289.150925427675</c:v>
                </c:pt>
                <c:pt idx="88">
                  <c:v>23367.300928533077</c:v>
                </c:pt>
                <c:pt idx="89">
                  <c:v>23444.100931584835</c:v>
                </c:pt>
                <c:pt idx="90">
                  <c:v>23519.85093459487</c:v>
                </c:pt>
                <c:pt idx="91">
                  <c:v>23594.40093755722</c:v>
                </c:pt>
                <c:pt idx="92">
                  <c:v>23667.750940471888</c:v>
                </c:pt>
                <c:pt idx="93">
                  <c:v>23739.900943338871</c:v>
                </c:pt>
                <c:pt idx="94">
                  <c:v>23811.150946170092</c:v>
                </c:pt>
                <c:pt idx="95">
                  <c:v>23881.200948953629</c:v>
                </c:pt>
                <c:pt idx="96">
                  <c:v>23950.200951695442</c:v>
                </c:pt>
                <c:pt idx="97">
                  <c:v>24018.150954395533</c:v>
                </c:pt>
                <c:pt idx="98">
                  <c:v>24085.0509570539</c:v>
                </c:pt>
                <c:pt idx="99">
                  <c:v>24151.050959676504</c:v>
                </c:pt>
                <c:pt idx="100">
                  <c:v>24216.150962263346</c:v>
                </c:pt>
                <c:pt idx="101">
                  <c:v>24280.200964808464</c:v>
                </c:pt>
                <c:pt idx="102">
                  <c:v>24343.35096731782</c:v>
                </c:pt>
                <c:pt idx="103">
                  <c:v>24405.600969791412</c:v>
                </c:pt>
                <c:pt idx="104">
                  <c:v>24467.100972235203</c:v>
                </c:pt>
                <c:pt idx="105">
                  <c:v>24527.55097463727</c:v>
                </c:pt>
                <c:pt idx="106">
                  <c:v>24587.250977009535</c:v>
                </c:pt>
                <c:pt idx="107">
                  <c:v>24646.050979346037</c:v>
                </c:pt>
                <c:pt idx="108">
                  <c:v>24704.100981652737</c:v>
                </c:pt>
                <c:pt idx="109">
                  <c:v>24761.400983929634</c:v>
                </c:pt>
                <c:pt idx="110">
                  <c:v>24817.800986170769</c:v>
                </c:pt>
                <c:pt idx="111">
                  <c:v>24873.600988388062</c:v>
                </c:pt>
                <c:pt idx="112">
                  <c:v>24928.500990569592</c:v>
                </c:pt>
                <c:pt idx="113">
                  <c:v>24982.650992721319</c:v>
                </c:pt>
                <c:pt idx="114">
                  <c:v>25036.200994849205</c:v>
                </c:pt>
                <c:pt idx="115">
                  <c:v>25089.000996947289</c:v>
                </c:pt>
                <c:pt idx="116">
                  <c:v>25141.20099902153</c:v>
                </c:pt>
                <c:pt idx="117">
                  <c:v>25192.501001060009</c:v>
                </c:pt>
                <c:pt idx="118">
                  <c:v>25243.351003080606</c:v>
                </c:pt>
                <c:pt idx="119">
                  <c:v>25293.451005071402</c:v>
                </c:pt>
                <c:pt idx="120">
                  <c:v>25342.951007038355</c:v>
                </c:pt>
                <c:pt idx="121">
                  <c:v>25391.851008981466</c:v>
                </c:pt>
                <c:pt idx="122">
                  <c:v>25440.001010894775</c:v>
                </c:pt>
                <c:pt idx="123">
                  <c:v>25487.701012790203</c:v>
                </c:pt>
                <c:pt idx="124">
                  <c:v>25534.801014661789</c:v>
                </c:pt>
                <c:pt idx="125">
                  <c:v>25581.301016509533</c:v>
                </c:pt>
                <c:pt idx="126">
                  <c:v>25627.201018333435</c:v>
                </c:pt>
                <c:pt idx="127">
                  <c:v>25672.501020133495</c:v>
                </c:pt>
                <c:pt idx="128">
                  <c:v>25717.201021909714</c:v>
                </c:pt>
                <c:pt idx="129">
                  <c:v>25761.601023674011</c:v>
                </c:pt>
                <c:pt idx="130">
                  <c:v>25805.251025408506</c:v>
                </c:pt>
                <c:pt idx="131">
                  <c:v>25848.45102712512</c:v>
                </c:pt>
                <c:pt idx="132">
                  <c:v>25891.201028823853</c:v>
                </c:pt>
                <c:pt idx="133">
                  <c:v>25933.351030498743</c:v>
                </c:pt>
                <c:pt idx="134">
                  <c:v>25975.051032155752</c:v>
                </c:pt>
                <c:pt idx="135">
                  <c:v>26016.30103379488</c:v>
                </c:pt>
                <c:pt idx="136">
                  <c:v>26056.951035410166</c:v>
                </c:pt>
                <c:pt idx="137">
                  <c:v>26097.301037013531</c:v>
                </c:pt>
                <c:pt idx="138">
                  <c:v>26137.051038593054</c:v>
                </c:pt>
                <c:pt idx="139">
                  <c:v>26176.501040160656</c:v>
                </c:pt>
                <c:pt idx="140">
                  <c:v>26215.351041704416</c:v>
                </c:pt>
                <c:pt idx="141">
                  <c:v>26253.901043236256</c:v>
                </c:pt>
                <c:pt idx="142">
                  <c:v>26291.851044744253</c:v>
                </c:pt>
                <c:pt idx="143">
                  <c:v>26329.50104624033</c:v>
                </c:pt>
                <c:pt idx="144">
                  <c:v>26366.701047718525</c:v>
                </c:pt>
                <c:pt idx="145">
                  <c:v>26403.601049184799</c:v>
                </c:pt>
                <c:pt idx="146">
                  <c:v>26439.901050627232</c:v>
                </c:pt>
                <c:pt idx="147">
                  <c:v>26475.901052057743</c:v>
                </c:pt>
                <c:pt idx="148">
                  <c:v>26511.601053476334</c:v>
                </c:pt>
                <c:pt idx="149">
                  <c:v>26546.851054877043</c:v>
                </c:pt>
                <c:pt idx="150">
                  <c:v>26581.651056259871</c:v>
                </c:pt>
                <c:pt idx="151">
                  <c:v>26616.151057630777</c:v>
                </c:pt>
                <c:pt idx="152">
                  <c:v>26650.351058989763</c:v>
                </c:pt>
                <c:pt idx="153">
                  <c:v>26684.101060330868</c:v>
                </c:pt>
                <c:pt idx="154">
                  <c:v>26717.401061654091</c:v>
                </c:pt>
                <c:pt idx="155">
                  <c:v>26750.551062971354</c:v>
                </c:pt>
                <c:pt idx="156">
                  <c:v>26783.251064270735</c:v>
                </c:pt>
                <c:pt idx="157">
                  <c:v>26815.651065558195</c:v>
                </c:pt>
                <c:pt idx="158">
                  <c:v>26847.751066833735</c:v>
                </c:pt>
                <c:pt idx="159">
                  <c:v>26879.401068091393</c:v>
                </c:pt>
                <c:pt idx="160">
                  <c:v>26910.90106934309</c:v>
                </c:pt>
                <c:pt idx="161">
                  <c:v>26941.951070576906</c:v>
                </c:pt>
                <c:pt idx="162">
                  <c:v>26972.701071798801</c:v>
                </c:pt>
                <c:pt idx="163">
                  <c:v>27003.151073008776</c:v>
                </c:pt>
                <c:pt idx="164">
                  <c:v>27033.301074206829</c:v>
                </c:pt>
                <c:pt idx="165">
                  <c:v>27063.151075392962</c:v>
                </c:pt>
                <c:pt idx="166">
                  <c:v>27092.701076567173</c:v>
                </c:pt>
                <c:pt idx="167">
                  <c:v>27122.101077735424</c:v>
                </c:pt>
                <c:pt idx="168">
                  <c:v>27151.051078885794</c:v>
                </c:pt>
                <c:pt idx="169">
                  <c:v>27179.701080024242</c:v>
                </c:pt>
                <c:pt idx="170">
                  <c:v>27208.201081156731</c:v>
                </c:pt>
                <c:pt idx="171">
                  <c:v>27236.401082277298</c:v>
                </c:pt>
                <c:pt idx="172">
                  <c:v>27264.301083385944</c:v>
                </c:pt>
                <c:pt idx="173">
                  <c:v>27291.90108448267</c:v>
                </c:pt>
                <c:pt idx="174">
                  <c:v>27319.201085567474</c:v>
                </c:pt>
                <c:pt idx="175">
                  <c:v>27346.351086646318</c:v>
                </c:pt>
                <c:pt idx="176">
                  <c:v>27373.201087713242</c:v>
                </c:pt>
                <c:pt idx="177">
                  <c:v>27399.901088774204</c:v>
                </c:pt>
                <c:pt idx="178">
                  <c:v>27426.151089817286</c:v>
                </c:pt>
                <c:pt idx="179">
                  <c:v>27452.251090854406</c:v>
                </c:pt>
                <c:pt idx="180">
                  <c:v>27478.201091885567</c:v>
                </c:pt>
                <c:pt idx="181">
                  <c:v>27503.851092904806</c:v>
                </c:pt>
                <c:pt idx="182">
                  <c:v>27529.201093912125</c:v>
                </c:pt>
                <c:pt idx="183">
                  <c:v>27554.401094913483</c:v>
                </c:pt>
                <c:pt idx="184">
                  <c:v>27579.30109590292</c:v>
                </c:pt>
                <c:pt idx="185">
                  <c:v>27604.051096886396</c:v>
                </c:pt>
                <c:pt idx="186">
                  <c:v>27628.501097857952</c:v>
                </c:pt>
                <c:pt idx="187">
                  <c:v>27652.801098823547</c:v>
                </c:pt>
                <c:pt idx="188">
                  <c:v>27676.951099783182</c:v>
                </c:pt>
                <c:pt idx="189">
                  <c:v>27700.801100730896</c:v>
                </c:pt>
                <c:pt idx="190">
                  <c:v>27724.351101666689</c:v>
                </c:pt>
                <c:pt idx="191">
                  <c:v>27747.901102602482</c:v>
                </c:pt>
                <c:pt idx="192">
                  <c:v>27771.151103526354</c:v>
                </c:pt>
                <c:pt idx="193">
                  <c:v>27794.101104438305</c:v>
                </c:pt>
                <c:pt idx="194">
                  <c:v>27816.901105344296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B-4EB2-BFDD-07BE8E8032BB}"/>
            </c:ext>
          </c:extLst>
        </c:ser>
        <c:ser>
          <c:idx val="1"/>
          <c:order val="1"/>
          <c:tx>
            <c:v>Reduced Life - Enceladus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Encel'!$U$18:$U$212</c:f>
              <c:numCache>
                <c:formatCode>0.00</c:formatCode>
                <c:ptCount val="195"/>
                <c:pt idx="0">
                  <c:v>278.10001105070114</c:v>
                </c:pt>
                <c:pt idx="1">
                  <c:v>949.50003772974014</c:v>
                </c:pt>
                <c:pt idx="2">
                  <c:v>1532.700060904026</c:v>
                </c:pt>
                <c:pt idx="3">
                  <c:v>2043.900081217289</c:v>
                </c:pt>
                <c:pt idx="4">
                  <c:v>2495.700099170208</c:v>
                </c:pt>
                <c:pt idx="5">
                  <c:v>2897.7001151442528</c:v>
                </c:pt>
                <c:pt idx="6">
                  <c:v>3258.0001294612885</c:v>
                </c:pt>
                <c:pt idx="7">
                  <c:v>3582.6001423597336</c:v>
                </c:pt>
                <c:pt idx="8">
                  <c:v>3876.4501540362835</c:v>
                </c:pt>
                <c:pt idx="9">
                  <c:v>4144.0501646697521</c:v>
                </c:pt>
                <c:pt idx="10">
                  <c:v>4388.4001743793488</c:v>
                </c:pt>
                <c:pt idx="11">
                  <c:v>4612.6501832902431</c:v>
                </c:pt>
                <c:pt idx="12">
                  <c:v>4819.0501914918423</c:v>
                </c:pt>
                <c:pt idx="13">
                  <c:v>5009.7001990675926</c:v>
                </c:pt>
                <c:pt idx="14">
                  <c:v>5186.4002060890198</c:v>
                </c:pt>
                <c:pt idx="15">
                  <c:v>5350.5002126097679</c:v>
                </c:pt>
                <c:pt idx="16">
                  <c:v>5503.5002186894417</c:v>
                </c:pt>
                <c:pt idx="17">
                  <c:v>5646.1502243578434</c:v>
                </c:pt>
                <c:pt idx="18">
                  <c:v>5779.8002296686172</c:v>
                </c:pt>
                <c:pt idx="19">
                  <c:v>5905.2002346515656</c:v>
                </c:pt>
                <c:pt idx="20">
                  <c:v>6022.9502393305302</c:v>
                </c:pt>
                <c:pt idx="21">
                  <c:v>6133.8002437353134</c:v>
                </c:pt>
                <c:pt idx="22">
                  <c:v>6238.3502478897572</c:v>
                </c:pt>
                <c:pt idx="23">
                  <c:v>6337.2002518177032</c:v>
                </c:pt>
                <c:pt idx="24">
                  <c:v>6430.6502555310726</c:v>
                </c:pt>
                <c:pt idx="25">
                  <c:v>6519.3002590537071</c:v>
                </c:pt>
                <c:pt idx="26">
                  <c:v>6603.3002623915672</c:v>
                </c:pt>
                <c:pt idx="27">
                  <c:v>6683.2502655684948</c:v>
                </c:pt>
                <c:pt idx="28">
                  <c:v>6759.3002685904503</c:v>
                </c:pt>
                <c:pt idx="29">
                  <c:v>6831.6002714633942</c:v>
                </c:pt>
                <c:pt idx="30">
                  <c:v>6900.7502742111683</c:v>
                </c:pt>
                <c:pt idx="31">
                  <c:v>6966.6002768278122</c:v>
                </c:pt>
                <c:pt idx="32">
                  <c:v>7029.7502793371677</c:v>
                </c:pt>
                <c:pt idx="33">
                  <c:v>7089.900281727314</c:v>
                </c:pt>
                <c:pt idx="34">
                  <c:v>7147.6502840220928</c:v>
                </c:pt>
                <c:pt idx="35">
                  <c:v>7203.0002862215042</c:v>
                </c:pt>
                <c:pt idx="36">
                  <c:v>7256.1002883315086</c:v>
                </c:pt>
                <c:pt idx="37">
                  <c:v>7307.1002903580666</c:v>
                </c:pt>
                <c:pt idx="38">
                  <c:v>7356.1502923071384</c:v>
                </c:pt>
                <c:pt idx="39">
                  <c:v>7403.2502941787243</c:v>
                </c:pt>
                <c:pt idx="40">
                  <c:v>7448.5502959787846</c:v>
                </c:pt>
                <c:pt idx="41">
                  <c:v>7492.2002977132797</c:v>
                </c:pt>
                <c:pt idx="42">
                  <c:v>7534.3502993881702</c:v>
                </c:pt>
                <c:pt idx="43">
                  <c:v>7574.8503009974957</c:v>
                </c:pt>
                <c:pt idx="44">
                  <c:v>7614.0003025531769</c:v>
                </c:pt>
                <c:pt idx="45">
                  <c:v>7651.9503040611744</c:v>
                </c:pt>
                <c:pt idx="46">
                  <c:v>7688.4003055095673</c:v>
                </c:pt>
                <c:pt idx="47">
                  <c:v>7723.8003069162369</c:v>
                </c:pt>
                <c:pt idx="48">
                  <c:v>7758.0003082752228</c:v>
                </c:pt>
                <c:pt idx="49">
                  <c:v>7791.000309586525</c:v>
                </c:pt>
                <c:pt idx="50">
                  <c:v>7823.1003108620644</c:v>
                </c:pt>
                <c:pt idx="51">
                  <c:v>7854.00031208992</c:v>
                </c:pt>
                <c:pt idx="52">
                  <c:v>7884.1503132879734</c:v>
                </c:pt>
                <c:pt idx="53">
                  <c:v>7913.2503144443035</c:v>
                </c:pt>
                <c:pt idx="54">
                  <c:v>7941.6003155708313</c:v>
                </c:pt>
                <c:pt idx="55">
                  <c:v>7969.0503166615963</c:v>
                </c:pt>
                <c:pt idx="56">
                  <c:v>7995.750317722559</c:v>
                </c:pt>
                <c:pt idx="57">
                  <c:v>8021.7003187537193</c:v>
                </c:pt>
                <c:pt idx="58">
                  <c:v>8046.9003197550774</c:v>
                </c:pt>
                <c:pt idx="59">
                  <c:v>8071.3503207266331</c:v>
                </c:pt>
                <c:pt idx="60">
                  <c:v>8095.2003216743469</c:v>
                </c:pt>
                <c:pt idx="61">
                  <c:v>8118.4503225982189</c:v>
                </c:pt>
                <c:pt idx="62">
                  <c:v>8140.9503234922886</c:v>
                </c:pt>
                <c:pt idx="63">
                  <c:v>8162.8503243625164</c:v>
                </c:pt>
                <c:pt idx="64">
                  <c:v>8184.3003252148628</c:v>
                </c:pt>
                <c:pt idx="65">
                  <c:v>8205.1503260433674</c:v>
                </c:pt>
                <c:pt idx="66">
                  <c:v>8225.5503268539906</c:v>
                </c:pt>
                <c:pt idx="67">
                  <c:v>8245.3503276407719</c:v>
                </c:pt>
                <c:pt idx="68">
                  <c:v>8264.7003284096718</c:v>
                </c:pt>
                <c:pt idx="69">
                  <c:v>8283.6003291606903</c:v>
                </c:pt>
                <c:pt idx="70">
                  <c:v>8301.900329887867</c:v>
                </c:pt>
                <c:pt idx="71">
                  <c:v>8319.9003306031227</c:v>
                </c:pt>
                <c:pt idx="72">
                  <c:v>8337.4503313004971</c:v>
                </c:pt>
                <c:pt idx="73">
                  <c:v>8354.55033197999</c:v>
                </c:pt>
                <c:pt idx="74">
                  <c:v>8371.350332647562</c:v>
                </c:pt>
                <c:pt idx="75">
                  <c:v>8387.7003332972527</c:v>
                </c:pt>
                <c:pt idx="76">
                  <c:v>8403.7503339350224</c:v>
                </c:pt>
                <c:pt idx="77">
                  <c:v>8419.3503345549107</c:v>
                </c:pt>
                <c:pt idx="78">
                  <c:v>8434.650335162878</c:v>
                </c:pt>
                <c:pt idx="79">
                  <c:v>8449.6503357589245</c:v>
                </c:pt>
                <c:pt idx="80">
                  <c:v>8464.35033634305</c:v>
                </c:pt>
                <c:pt idx="81">
                  <c:v>8478.6003369092941</c:v>
                </c:pt>
                <c:pt idx="82">
                  <c:v>8492.7003374695778</c:v>
                </c:pt>
                <c:pt idx="83">
                  <c:v>8506.5003380179405</c:v>
                </c:pt>
                <c:pt idx="84">
                  <c:v>8519.8503385484219</c:v>
                </c:pt>
                <c:pt idx="85">
                  <c:v>8533.0503390729427</c:v>
                </c:pt>
                <c:pt idx="86">
                  <c:v>8546.1003395915031</c:v>
                </c:pt>
                <c:pt idx="87">
                  <c:v>8558.7003400921822</c:v>
                </c:pt>
                <c:pt idx="88">
                  <c:v>8571.1503405869007</c:v>
                </c:pt>
                <c:pt idx="89">
                  <c:v>8583.3003410696983</c:v>
                </c:pt>
                <c:pt idx="90">
                  <c:v>8595.3003415465355</c:v>
                </c:pt>
                <c:pt idx="91">
                  <c:v>8607.0003420114517</c:v>
                </c:pt>
                <c:pt idx="92">
                  <c:v>8618.400342464447</c:v>
                </c:pt>
                <c:pt idx="93">
                  <c:v>8629.6503429114819</c:v>
                </c:pt>
                <c:pt idx="94">
                  <c:v>8640.7503433525562</c:v>
                </c:pt>
                <c:pt idx="95">
                  <c:v>8651.5503437817097</c:v>
                </c:pt>
                <c:pt idx="96">
                  <c:v>8662.2003442049026</c:v>
                </c:pt>
                <c:pt idx="97">
                  <c:v>8672.7003446221352</c:v>
                </c:pt>
                <c:pt idx="98">
                  <c:v>8683.0503450334072</c:v>
                </c:pt>
                <c:pt idx="99">
                  <c:v>8693.1003454327583</c:v>
                </c:pt>
                <c:pt idx="100">
                  <c:v>8703.000345826149</c:v>
                </c:pt>
                <c:pt idx="101">
                  <c:v>8712.7503462135792</c:v>
                </c:pt>
                <c:pt idx="102">
                  <c:v>8722.3503465950489</c:v>
                </c:pt>
                <c:pt idx="103">
                  <c:v>8731.8003469705582</c:v>
                </c:pt>
                <c:pt idx="104">
                  <c:v>8740.9503473341465</c:v>
                </c:pt>
                <c:pt idx="105">
                  <c:v>8750.1003476977348</c:v>
                </c:pt>
                <c:pt idx="106">
                  <c:v>8758.9503480494022</c:v>
                </c:pt>
                <c:pt idx="107">
                  <c:v>8767.8003484010696</c:v>
                </c:pt>
                <c:pt idx="108">
                  <c:v>8776.5003487467766</c:v>
                </c:pt>
                <c:pt idx="109">
                  <c:v>8784.9003490805626</c:v>
                </c:pt>
                <c:pt idx="110">
                  <c:v>8793.3003494143486</c:v>
                </c:pt>
                <c:pt idx="111">
                  <c:v>8801.5503497421741</c:v>
                </c:pt>
                <c:pt idx="112">
                  <c:v>8809.6503500640392</c:v>
                </c:pt>
                <c:pt idx="113">
                  <c:v>8817.6003503799438</c:v>
                </c:pt>
                <c:pt idx="114">
                  <c:v>8825.400350689888</c:v>
                </c:pt>
                <c:pt idx="115">
                  <c:v>8833.2003509998322</c:v>
                </c:pt>
                <c:pt idx="116">
                  <c:v>8840.7003512978554</c:v>
                </c:pt>
                <c:pt idx="117">
                  <c:v>8848.2003515958786</c:v>
                </c:pt>
                <c:pt idx="118">
                  <c:v>8855.5503518879414</c:v>
                </c:pt>
                <c:pt idx="119">
                  <c:v>8862.9003521800041</c:v>
                </c:pt>
                <c:pt idx="120">
                  <c:v>8870.1003524661064</c:v>
                </c:pt>
                <c:pt idx="121">
                  <c:v>8877.1503527462482</c:v>
                </c:pt>
                <c:pt idx="122">
                  <c:v>8884.0503530204296</c:v>
                </c:pt>
                <c:pt idx="123">
                  <c:v>8890.8003532886505</c:v>
                </c:pt>
                <c:pt idx="124">
                  <c:v>8897.5503535568714</c:v>
                </c:pt>
                <c:pt idx="125">
                  <c:v>8904.3003538250923</c:v>
                </c:pt>
                <c:pt idx="126">
                  <c:v>8910.7503540813923</c:v>
                </c:pt>
                <c:pt idx="127">
                  <c:v>8917.2003543376923</c:v>
                </c:pt>
                <c:pt idx="128">
                  <c:v>8923.6503545939922</c:v>
                </c:pt>
                <c:pt idx="129">
                  <c:v>8929.8003548383713</c:v>
                </c:pt>
                <c:pt idx="130">
                  <c:v>8936.1003550887108</c:v>
                </c:pt>
                <c:pt idx="131">
                  <c:v>8942.1003553271294</c:v>
                </c:pt>
                <c:pt idx="132">
                  <c:v>8948.1003555655479</c:v>
                </c:pt>
                <c:pt idx="133">
                  <c:v>8954.1003558039665</c:v>
                </c:pt>
                <c:pt idx="134">
                  <c:v>8959.9503560364246</c:v>
                </c:pt>
                <c:pt idx="135">
                  <c:v>8965.6503562629223</c:v>
                </c:pt>
                <c:pt idx="136">
                  <c:v>8971.3503564894199</c:v>
                </c:pt>
                <c:pt idx="137">
                  <c:v>8977.0503567159176</c:v>
                </c:pt>
                <c:pt idx="138">
                  <c:v>8982.6003569364548</c:v>
                </c:pt>
                <c:pt idx="139">
                  <c:v>8988.0003571510315</c:v>
                </c:pt>
                <c:pt idx="140">
                  <c:v>8993.4003573656082</c:v>
                </c:pt>
                <c:pt idx="141">
                  <c:v>8998.8003575801849</c:v>
                </c:pt>
                <c:pt idx="142">
                  <c:v>9004.0503577888012</c:v>
                </c:pt>
                <c:pt idx="143">
                  <c:v>9009.3003579974174</c:v>
                </c:pt>
                <c:pt idx="144">
                  <c:v>9014.4003582000732</c:v>
                </c:pt>
                <c:pt idx="145">
                  <c:v>9019.3503583967686</c:v>
                </c:pt>
                <c:pt idx="146">
                  <c:v>9024.4503585994244</c:v>
                </c:pt>
                <c:pt idx="147">
                  <c:v>9029.4003587961197</c:v>
                </c:pt>
                <c:pt idx="148">
                  <c:v>9034.2003589868546</c:v>
                </c:pt>
                <c:pt idx="149">
                  <c:v>9039.0003591775894</c:v>
                </c:pt>
                <c:pt idx="150">
                  <c:v>9043.8003593683243</c:v>
                </c:pt>
                <c:pt idx="151">
                  <c:v>9048.4503595530987</c:v>
                </c:pt>
                <c:pt idx="152">
                  <c:v>9053.1003597378731</c:v>
                </c:pt>
                <c:pt idx="153">
                  <c:v>9057.7503599226475</c:v>
                </c:pt>
                <c:pt idx="154">
                  <c:v>9062.2503601014614</c:v>
                </c:pt>
                <c:pt idx="155">
                  <c:v>9066.7503602802753</c:v>
                </c:pt>
                <c:pt idx="156">
                  <c:v>9071.1003604531288</c:v>
                </c:pt>
                <c:pt idx="157">
                  <c:v>9075.6003606319427</c:v>
                </c:pt>
                <c:pt idx="158">
                  <c:v>9079.8003607988358</c:v>
                </c:pt>
                <c:pt idx="159">
                  <c:v>9084.1503609716892</c:v>
                </c:pt>
                <c:pt idx="160">
                  <c:v>9088.3503611385822</c:v>
                </c:pt>
                <c:pt idx="161">
                  <c:v>9092.5503613054752</c:v>
                </c:pt>
                <c:pt idx="162">
                  <c:v>9096.6003614664078</c:v>
                </c:pt>
                <c:pt idx="163">
                  <c:v>9100.8003616333008</c:v>
                </c:pt>
                <c:pt idx="164">
                  <c:v>9104.7003617882729</c:v>
                </c:pt>
                <c:pt idx="165">
                  <c:v>9108.7503619492054</c:v>
                </c:pt>
                <c:pt idx="166">
                  <c:v>9112.6503621041775</c:v>
                </c:pt>
                <c:pt idx="167">
                  <c:v>9116.5503622591496</c:v>
                </c:pt>
                <c:pt idx="168">
                  <c:v>9120.4503624141216</c:v>
                </c:pt>
                <c:pt idx="169">
                  <c:v>9124.2003625631332</c:v>
                </c:pt>
                <c:pt idx="170">
                  <c:v>9128.1003627181053</c:v>
                </c:pt>
                <c:pt idx="171">
                  <c:v>9131.7003628611565</c:v>
                </c:pt>
                <c:pt idx="172">
                  <c:v>9135.4503630101681</c:v>
                </c:pt>
                <c:pt idx="173">
                  <c:v>9139.0503631532192</c:v>
                </c:pt>
                <c:pt idx="174">
                  <c:v>9142.6503632962704</c:v>
                </c:pt>
                <c:pt idx="175">
                  <c:v>9146.2503634393215</c:v>
                </c:pt>
                <c:pt idx="176">
                  <c:v>9149.8503635823727</c:v>
                </c:pt>
                <c:pt idx="177">
                  <c:v>9153.3003637194633</c:v>
                </c:pt>
                <c:pt idx="178">
                  <c:v>9156.750363856554</c:v>
                </c:pt>
                <c:pt idx="179">
                  <c:v>9160.2003639936447</c:v>
                </c:pt>
                <c:pt idx="180">
                  <c:v>9163.6503641307354</c:v>
                </c:pt>
                <c:pt idx="181">
                  <c:v>9166.9503642618656</c:v>
                </c:pt>
                <c:pt idx="182">
                  <c:v>9170.2503643929958</c:v>
                </c:pt>
                <c:pt idx="183">
                  <c:v>9173.5503645241261</c:v>
                </c:pt>
                <c:pt idx="184">
                  <c:v>9176.8503646552563</c:v>
                </c:pt>
                <c:pt idx="185">
                  <c:v>9180.000364780426</c:v>
                </c:pt>
                <c:pt idx="186">
                  <c:v>9183.3003649115562</c:v>
                </c:pt>
                <c:pt idx="187">
                  <c:v>9186.450365036726</c:v>
                </c:pt>
                <c:pt idx="188">
                  <c:v>9189.6003651618958</c:v>
                </c:pt>
                <c:pt idx="189">
                  <c:v>9192.600365281105</c:v>
                </c:pt>
                <c:pt idx="190">
                  <c:v>9195.7503654062748</c:v>
                </c:pt>
                <c:pt idx="191">
                  <c:v>9198.7503655254841</c:v>
                </c:pt>
                <c:pt idx="192">
                  <c:v>9201.7503656446934</c:v>
                </c:pt>
                <c:pt idx="193">
                  <c:v>9204.7503657639027</c:v>
                </c:pt>
                <c:pt idx="194">
                  <c:v>9207.6003658771515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B-4EB2-BFDD-07BE8E8032BB}"/>
            </c:ext>
          </c:extLst>
        </c:ser>
        <c:ser>
          <c:idx val="3"/>
          <c:order val="2"/>
          <c:tx>
            <c:v>Nominal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Europa'!$T$18:$T$212</c:f>
              <c:numCache>
                <c:formatCode>0.00</c:formatCode>
                <c:ptCount val="195"/>
                <c:pt idx="0">
                  <c:v>274.95001092553139</c:v>
                </c:pt>
                <c:pt idx="1">
                  <c:v>885.00003516674042</c:v>
                </c:pt>
                <c:pt idx="2">
                  <c:v>1468.8000583648682</c:v>
                </c:pt>
                <c:pt idx="3">
                  <c:v>2027.8500805795193</c:v>
                </c:pt>
                <c:pt idx="4">
                  <c:v>2563.8001018762589</c:v>
                </c:pt>
                <c:pt idx="5">
                  <c:v>3078.0001223087311</c:v>
                </c:pt>
                <c:pt idx="6">
                  <c:v>3571.6501419246197</c:v>
                </c:pt>
                <c:pt idx="7">
                  <c:v>4045.9501607716084</c:v>
                </c:pt>
                <c:pt idx="8">
                  <c:v>4502.2501789033413</c:v>
                </c:pt>
                <c:pt idx="9">
                  <c:v>4941.4501963555813</c:v>
                </c:pt>
                <c:pt idx="10">
                  <c:v>5364.3002131581306</c:v>
                </c:pt>
                <c:pt idx="11">
                  <c:v>5772.0002293586731</c:v>
                </c:pt>
                <c:pt idx="12">
                  <c:v>6165.1502449810505</c:v>
                </c:pt>
                <c:pt idx="13">
                  <c:v>6544.5002600550652</c:v>
                </c:pt>
                <c:pt idx="14">
                  <c:v>6910.8002746105194</c:v>
                </c:pt>
                <c:pt idx="15">
                  <c:v>7264.950288683176</c:v>
                </c:pt>
                <c:pt idx="16">
                  <c:v>7607.1003022789955</c:v>
                </c:pt>
                <c:pt idx="17">
                  <c:v>7938.1503154337406</c:v>
                </c:pt>
                <c:pt idx="18">
                  <c:v>8258.7003281712532</c:v>
                </c:pt>
                <c:pt idx="19">
                  <c:v>8569.0503405034542</c:v>
                </c:pt>
                <c:pt idx="20">
                  <c:v>8869.650352448225</c:v>
                </c:pt>
                <c:pt idx="21">
                  <c:v>9161.1003640294075</c:v>
                </c:pt>
                <c:pt idx="22">
                  <c:v>9443.7003752589226</c:v>
                </c:pt>
                <c:pt idx="23">
                  <c:v>9717.9003861546516</c:v>
                </c:pt>
                <c:pt idx="24">
                  <c:v>9984.1503967344761</c:v>
                </c:pt>
                <c:pt idx="25">
                  <c:v>10242.750407010317</c:v>
                </c:pt>
                <c:pt idx="26">
                  <c:v>10493.850416988134</c:v>
                </c:pt>
                <c:pt idx="27">
                  <c:v>10737.90042668581</c:v>
                </c:pt>
                <c:pt idx="28">
                  <c:v>10975.350436121225</c:v>
                </c:pt>
                <c:pt idx="29">
                  <c:v>11206.20044529438</c:v>
                </c:pt>
                <c:pt idx="30">
                  <c:v>11430.750454217196</c:v>
                </c:pt>
                <c:pt idx="31">
                  <c:v>11649.450462907553</c:v>
                </c:pt>
                <c:pt idx="32">
                  <c:v>11862.450471371412</c:v>
                </c:pt>
                <c:pt idx="33">
                  <c:v>12069.900479614735</c:v>
                </c:pt>
                <c:pt idx="34">
                  <c:v>12271.95048764348</c:v>
                </c:pt>
                <c:pt idx="35">
                  <c:v>12469.050495475531</c:v>
                </c:pt>
                <c:pt idx="36">
                  <c:v>12661.200503110886</c:v>
                </c:pt>
                <c:pt idx="37">
                  <c:v>12848.550510555506</c:v>
                </c:pt>
                <c:pt idx="38">
                  <c:v>13031.400517821312</c:v>
                </c:pt>
                <c:pt idx="39">
                  <c:v>13209.900524914265</c:v>
                </c:pt>
                <c:pt idx="40">
                  <c:v>13384.050531834364</c:v>
                </c:pt>
                <c:pt idx="41">
                  <c:v>13554.150538593531</c:v>
                </c:pt>
                <c:pt idx="42">
                  <c:v>13720.350545197725</c:v>
                </c:pt>
                <c:pt idx="43">
                  <c:v>13882.650551646948</c:v>
                </c:pt>
                <c:pt idx="44">
                  <c:v>14041.350557953119</c:v>
                </c:pt>
                <c:pt idx="45">
                  <c:v>14196.45056411624</c:v>
                </c:pt>
                <c:pt idx="46">
                  <c:v>14348.25057014823</c:v>
                </c:pt>
                <c:pt idx="47">
                  <c:v>14496.600576043129</c:v>
                </c:pt>
                <c:pt idx="48">
                  <c:v>14641.800581812859</c:v>
                </c:pt>
                <c:pt idx="49">
                  <c:v>14783.850587457418</c:v>
                </c:pt>
                <c:pt idx="50">
                  <c:v>14922.750592976809</c:v>
                </c:pt>
                <c:pt idx="51">
                  <c:v>15058.95059838891</c:v>
                </c:pt>
                <c:pt idx="52">
                  <c:v>15192.150603681803</c:v>
                </c:pt>
                <c:pt idx="53">
                  <c:v>15322.800608873367</c:v>
                </c:pt>
                <c:pt idx="54">
                  <c:v>15450.600613951683</c:v>
                </c:pt>
                <c:pt idx="55">
                  <c:v>15575.850618928671</c:v>
                </c:pt>
                <c:pt idx="56">
                  <c:v>15698.700623810291</c:v>
                </c:pt>
                <c:pt idx="57">
                  <c:v>15819.150628596544</c:v>
                </c:pt>
                <c:pt idx="58">
                  <c:v>15937.050633281469</c:v>
                </c:pt>
                <c:pt idx="59">
                  <c:v>16052.850637882948</c:v>
                </c:pt>
                <c:pt idx="60">
                  <c:v>16166.40064239502</c:v>
                </c:pt>
                <c:pt idx="61">
                  <c:v>16277.700646817684</c:v>
                </c:pt>
                <c:pt idx="62">
                  <c:v>16387.050651162863</c:v>
                </c:pt>
                <c:pt idx="63">
                  <c:v>16494.300655424595</c:v>
                </c:pt>
                <c:pt idx="64">
                  <c:v>16599.45065960288</c:v>
                </c:pt>
                <c:pt idx="65">
                  <c:v>16702.800663709641</c:v>
                </c:pt>
                <c:pt idx="66">
                  <c:v>16804.200667738914</c:v>
                </c:pt>
                <c:pt idx="67">
                  <c:v>16903.800671696663</c:v>
                </c:pt>
                <c:pt idx="68">
                  <c:v>17001.750675588846</c:v>
                </c:pt>
                <c:pt idx="69">
                  <c:v>17097.900679409504</c:v>
                </c:pt>
                <c:pt idx="70">
                  <c:v>17192.250683158636</c:v>
                </c:pt>
                <c:pt idx="71">
                  <c:v>17285.100686848164</c:v>
                </c:pt>
                <c:pt idx="72">
                  <c:v>17376.300690472126</c:v>
                </c:pt>
                <c:pt idx="73">
                  <c:v>17465.850694030523</c:v>
                </c:pt>
                <c:pt idx="74">
                  <c:v>17554.050697535276</c:v>
                </c:pt>
                <c:pt idx="75">
                  <c:v>17640.750700980425</c:v>
                </c:pt>
                <c:pt idx="76">
                  <c:v>17725.950704365969</c:v>
                </c:pt>
                <c:pt idx="77">
                  <c:v>17809.650707691908</c:v>
                </c:pt>
                <c:pt idx="78">
                  <c:v>17892.150710970163</c:v>
                </c:pt>
                <c:pt idx="79">
                  <c:v>17973.300714194775</c:v>
                </c:pt>
                <c:pt idx="80">
                  <c:v>18052.950717359781</c:v>
                </c:pt>
                <c:pt idx="81">
                  <c:v>18131.550720483065</c:v>
                </c:pt>
                <c:pt idx="82">
                  <c:v>18208.800723552704</c:v>
                </c:pt>
                <c:pt idx="83">
                  <c:v>18284.850726574659</c:v>
                </c:pt>
                <c:pt idx="84">
                  <c:v>18359.700729548931</c:v>
                </c:pt>
                <c:pt idx="85">
                  <c:v>18433.50073248148</c:v>
                </c:pt>
                <c:pt idx="86">
                  <c:v>18506.100735366344</c:v>
                </c:pt>
                <c:pt idx="87">
                  <c:v>18577.500738203526</c:v>
                </c:pt>
                <c:pt idx="88">
                  <c:v>18647.850740998983</c:v>
                </c:pt>
                <c:pt idx="89">
                  <c:v>18717.300743758678</c:v>
                </c:pt>
                <c:pt idx="90">
                  <c:v>18785.55074647069</c:v>
                </c:pt>
                <c:pt idx="91">
                  <c:v>18852.900749146938</c:v>
                </c:pt>
                <c:pt idx="92">
                  <c:v>18919.200751781464</c:v>
                </c:pt>
                <c:pt idx="93">
                  <c:v>18984.450754374266</c:v>
                </c:pt>
                <c:pt idx="94">
                  <c:v>19048.950756937265</c:v>
                </c:pt>
                <c:pt idx="95">
                  <c:v>19112.400759458542</c:v>
                </c:pt>
                <c:pt idx="96">
                  <c:v>19174.950761944056</c:v>
                </c:pt>
                <c:pt idx="97">
                  <c:v>19236.600764393806</c:v>
                </c:pt>
                <c:pt idx="98">
                  <c:v>19297.500766813755</c:v>
                </c:pt>
                <c:pt idx="99">
                  <c:v>19357.35076919198</c:v>
                </c:pt>
                <c:pt idx="100">
                  <c:v>19416.600771546364</c:v>
                </c:pt>
                <c:pt idx="101">
                  <c:v>19474.800773859024</c:v>
                </c:pt>
                <c:pt idx="102">
                  <c:v>19532.400776147842</c:v>
                </c:pt>
                <c:pt idx="103">
                  <c:v>19589.100778400898</c:v>
                </c:pt>
                <c:pt idx="104">
                  <c:v>19645.050780624151</c:v>
                </c:pt>
                <c:pt idx="105">
                  <c:v>19700.250782817602</c:v>
                </c:pt>
                <c:pt idx="106">
                  <c:v>19754.850784987211</c:v>
                </c:pt>
                <c:pt idx="107">
                  <c:v>19808.550787121058</c:v>
                </c:pt>
                <c:pt idx="108">
                  <c:v>19861.650789231062</c:v>
                </c:pt>
                <c:pt idx="109">
                  <c:v>19914.000791311264</c:v>
                </c:pt>
                <c:pt idx="110">
                  <c:v>19965.750793367624</c:v>
                </c:pt>
                <c:pt idx="111">
                  <c:v>20016.750795394182</c:v>
                </c:pt>
                <c:pt idx="112">
                  <c:v>20067.150797396898</c:v>
                </c:pt>
                <c:pt idx="113">
                  <c:v>20116.800799369812</c:v>
                </c:pt>
                <c:pt idx="114">
                  <c:v>20165.850801318884</c:v>
                </c:pt>
                <c:pt idx="115">
                  <c:v>20214.450803250074</c:v>
                </c:pt>
                <c:pt idx="116">
                  <c:v>20262.300805151463</c:v>
                </c:pt>
                <c:pt idx="117">
                  <c:v>20309.550807029009</c:v>
                </c:pt>
                <c:pt idx="118">
                  <c:v>20356.350808888674</c:v>
                </c:pt>
                <c:pt idx="119">
                  <c:v>20402.400810718536</c:v>
                </c:pt>
                <c:pt idx="120">
                  <c:v>20448.000812530518</c:v>
                </c:pt>
                <c:pt idx="121">
                  <c:v>20493.000814318657</c:v>
                </c:pt>
                <c:pt idx="122">
                  <c:v>20537.550816088915</c:v>
                </c:pt>
                <c:pt idx="123">
                  <c:v>20581.500817835331</c:v>
                </c:pt>
                <c:pt idx="124">
                  <c:v>20624.850819557905</c:v>
                </c:pt>
                <c:pt idx="125">
                  <c:v>20667.750821262598</c:v>
                </c:pt>
                <c:pt idx="126">
                  <c:v>20710.200822949409</c:v>
                </c:pt>
                <c:pt idx="127">
                  <c:v>20752.050824612379</c:v>
                </c:pt>
                <c:pt idx="128">
                  <c:v>20793.450826257467</c:v>
                </c:pt>
                <c:pt idx="129">
                  <c:v>20834.400827884674</c:v>
                </c:pt>
                <c:pt idx="130">
                  <c:v>20874.900829493999</c:v>
                </c:pt>
                <c:pt idx="131">
                  <c:v>20914.950831085443</c:v>
                </c:pt>
                <c:pt idx="132">
                  <c:v>20954.550832659006</c:v>
                </c:pt>
                <c:pt idx="133">
                  <c:v>20993.550834208727</c:v>
                </c:pt>
                <c:pt idx="134">
                  <c:v>21032.250835746527</c:v>
                </c:pt>
                <c:pt idx="135">
                  <c:v>21070.500837266445</c:v>
                </c:pt>
                <c:pt idx="136">
                  <c:v>21108.300838768482</c:v>
                </c:pt>
                <c:pt idx="137">
                  <c:v>21145.800840258598</c:v>
                </c:pt>
                <c:pt idx="138">
                  <c:v>21182.700841724873</c:v>
                </c:pt>
                <c:pt idx="139">
                  <c:v>21219.300843179226</c:v>
                </c:pt>
                <c:pt idx="140">
                  <c:v>21255.450844615698</c:v>
                </c:pt>
                <c:pt idx="141">
                  <c:v>21291.300846040249</c:v>
                </c:pt>
                <c:pt idx="142">
                  <c:v>21326.700847446918</c:v>
                </c:pt>
                <c:pt idx="143">
                  <c:v>21361.800848841667</c:v>
                </c:pt>
                <c:pt idx="144">
                  <c:v>21396.450850218534</c:v>
                </c:pt>
                <c:pt idx="145">
                  <c:v>21430.800851583481</c:v>
                </c:pt>
                <c:pt idx="146">
                  <c:v>21464.700852930546</c:v>
                </c:pt>
                <c:pt idx="147">
                  <c:v>21498.30085426569</c:v>
                </c:pt>
                <c:pt idx="148">
                  <c:v>21531.450855582952</c:v>
                </c:pt>
                <c:pt idx="149">
                  <c:v>21564.450856894255</c:v>
                </c:pt>
                <c:pt idx="150">
                  <c:v>21597.000858187675</c:v>
                </c:pt>
                <c:pt idx="151">
                  <c:v>21629.100859463215</c:v>
                </c:pt>
                <c:pt idx="152">
                  <c:v>21661.050860732794</c:v>
                </c:pt>
                <c:pt idx="153">
                  <c:v>21692.550861984491</c:v>
                </c:pt>
                <c:pt idx="154">
                  <c:v>21723.900863230228</c:v>
                </c:pt>
                <c:pt idx="155">
                  <c:v>21754.800864458084</c:v>
                </c:pt>
                <c:pt idx="156">
                  <c:v>21785.400865674019</c:v>
                </c:pt>
                <c:pt idx="157">
                  <c:v>21815.700866878033</c:v>
                </c:pt>
                <c:pt idx="158">
                  <c:v>21845.700868070126</c:v>
                </c:pt>
                <c:pt idx="159">
                  <c:v>21875.550869256258</c:v>
                </c:pt>
                <c:pt idx="160">
                  <c:v>21904.950870424509</c:v>
                </c:pt>
                <c:pt idx="161">
                  <c:v>21934.050871580839</c:v>
                </c:pt>
                <c:pt idx="162">
                  <c:v>21963.000872731209</c:v>
                </c:pt>
                <c:pt idx="163">
                  <c:v>21991.500873863697</c:v>
                </c:pt>
                <c:pt idx="164">
                  <c:v>22019.850874990225</c:v>
                </c:pt>
                <c:pt idx="165">
                  <c:v>22047.900876104832</c:v>
                </c:pt>
                <c:pt idx="166">
                  <c:v>22075.650877207518</c:v>
                </c:pt>
                <c:pt idx="167">
                  <c:v>22103.100878298283</c:v>
                </c:pt>
                <c:pt idx="168">
                  <c:v>22130.400879383087</c:v>
                </c:pt>
                <c:pt idx="169">
                  <c:v>22157.400880455971</c:v>
                </c:pt>
                <c:pt idx="170">
                  <c:v>22184.100881516933</c:v>
                </c:pt>
                <c:pt idx="171">
                  <c:v>22210.650882571936</c:v>
                </c:pt>
                <c:pt idx="172">
                  <c:v>22236.900883615017</c:v>
                </c:pt>
                <c:pt idx="173">
                  <c:v>22262.850884646177</c:v>
                </c:pt>
                <c:pt idx="174">
                  <c:v>22288.650885671377</c:v>
                </c:pt>
                <c:pt idx="175">
                  <c:v>22314.150886684656</c:v>
                </c:pt>
                <c:pt idx="176">
                  <c:v>22339.500887691975</c:v>
                </c:pt>
                <c:pt idx="177">
                  <c:v>22364.550888687372</c:v>
                </c:pt>
                <c:pt idx="178">
                  <c:v>22389.450889676809</c:v>
                </c:pt>
                <c:pt idx="179">
                  <c:v>22414.050890654325</c:v>
                </c:pt>
                <c:pt idx="180">
                  <c:v>22438.500891625881</c:v>
                </c:pt>
                <c:pt idx="181">
                  <c:v>22462.650892585516</c:v>
                </c:pt>
                <c:pt idx="182">
                  <c:v>22486.65089353919</c:v>
                </c:pt>
                <c:pt idx="183">
                  <c:v>22510.350894480944</c:v>
                </c:pt>
                <c:pt idx="184">
                  <c:v>22533.900895416737</c:v>
                </c:pt>
                <c:pt idx="185">
                  <c:v>22557.300896346569</c:v>
                </c:pt>
                <c:pt idx="186">
                  <c:v>22580.400897264481</c:v>
                </c:pt>
                <c:pt idx="187">
                  <c:v>22603.350898176432</c:v>
                </c:pt>
                <c:pt idx="188">
                  <c:v>22626.150899082422</c:v>
                </c:pt>
                <c:pt idx="189">
                  <c:v>22648.800899982452</c:v>
                </c:pt>
                <c:pt idx="190">
                  <c:v>22671.150900870562</c:v>
                </c:pt>
                <c:pt idx="191">
                  <c:v>22693.20090174675</c:v>
                </c:pt>
                <c:pt idx="192">
                  <c:v>22715.250902622938</c:v>
                </c:pt>
                <c:pt idx="193">
                  <c:v>22737.000903487206</c:v>
                </c:pt>
                <c:pt idx="194">
                  <c:v>22758.600904345512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B-4EB2-BFDD-07BE8E8032BB}"/>
            </c:ext>
          </c:extLst>
        </c:ser>
        <c:ser>
          <c:idx val="4"/>
          <c:order val="3"/>
          <c:tx>
            <c:v>Reduced Life - Europa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Europa'!$S$18:$S$212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Europa'!$U$18:$U$212</c:f>
              <c:numCache>
                <c:formatCode>0.00</c:formatCode>
                <c:ptCount val="195"/>
                <c:pt idx="0">
                  <c:v>192.00000762939453</c:v>
                </c:pt>
                <c:pt idx="1">
                  <c:v>686.85002729296684</c:v>
                </c:pt>
                <c:pt idx="2">
                  <c:v>1130.2500449120998</c:v>
                </c:pt>
                <c:pt idx="3">
                  <c:v>1530.0000607967377</c:v>
                </c:pt>
                <c:pt idx="4">
                  <c:v>1892.1000751852989</c:v>
                </c:pt>
                <c:pt idx="5">
                  <c:v>2221.6500882804394</c:v>
                </c:pt>
                <c:pt idx="6">
                  <c:v>2523.0001002550125</c:v>
                </c:pt>
                <c:pt idx="7">
                  <c:v>2799.4501112401485</c:v>
                </c:pt>
                <c:pt idx="8">
                  <c:v>3054.0001213550568</c:v>
                </c:pt>
                <c:pt idx="9">
                  <c:v>3289.3501307070255</c:v>
                </c:pt>
                <c:pt idx="10">
                  <c:v>3507.3001393675804</c:v>
                </c:pt>
                <c:pt idx="11">
                  <c:v>3709.8001474142075</c:v>
                </c:pt>
                <c:pt idx="12">
                  <c:v>3898.5001549124718</c:v>
                </c:pt>
                <c:pt idx="13">
                  <c:v>4074.7501619160175</c:v>
                </c:pt>
                <c:pt idx="14">
                  <c:v>4239.7501684725285</c:v>
                </c:pt>
                <c:pt idx="15">
                  <c:v>4394.5501746237278</c:v>
                </c:pt>
                <c:pt idx="16">
                  <c:v>4540.0501804053783</c:v>
                </c:pt>
                <c:pt idx="17">
                  <c:v>4677.0001858472824</c:v>
                </c:pt>
                <c:pt idx="18">
                  <c:v>4806.1501909792423</c:v>
                </c:pt>
                <c:pt idx="19">
                  <c:v>4928.2501958310604</c:v>
                </c:pt>
                <c:pt idx="20">
                  <c:v>5043.7502004206181</c:v>
                </c:pt>
                <c:pt idx="21">
                  <c:v>5153.2502047717571</c:v>
                </c:pt>
                <c:pt idx="22">
                  <c:v>5257.200208902359</c:v>
                </c:pt>
                <c:pt idx="23">
                  <c:v>5356.0502128303051</c:v>
                </c:pt>
                <c:pt idx="24">
                  <c:v>5449.9502165615559</c:v>
                </c:pt>
                <c:pt idx="25">
                  <c:v>5539.5002201199532</c:v>
                </c:pt>
                <c:pt idx="26">
                  <c:v>5624.8502235114574</c:v>
                </c:pt>
                <c:pt idx="27">
                  <c:v>5706.4502267539501</c:v>
                </c:pt>
                <c:pt idx="28">
                  <c:v>5784.4502298533916</c:v>
                </c:pt>
                <c:pt idx="29">
                  <c:v>5859.0002328157425</c:v>
                </c:pt>
                <c:pt idx="30">
                  <c:v>5930.4002356529236</c:v>
                </c:pt>
                <c:pt idx="31">
                  <c:v>5998.8002383708954</c:v>
                </c:pt>
                <c:pt idx="32">
                  <c:v>6064.5002409815788</c:v>
                </c:pt>
                <c:pt idx="33">
                  <c:v>6127.5002434849739</c:v>
                </c:pt>
                <c:pt idx="34">
                  <c:v>6188.1002458930016</c:v>
                </c:pt>
                <c:pt idx="35">
                  <c:v>6246.4502482116222</c:v>
                </c:pt>
                <c:pt idx="36">
                  <c:v>6302.550250440836</c:v>
                </c:pt>
                <c:pt idx="37">
                  <c:v>6356.5502525866032</c:v>
                </c:pt>
                <c:pt idx="38">
                  <c:v>6408.6002546548843</c:v>
                </c:pt>
                <c:pt idx="39">
                  <c:v>6458.8502566516399</c:v>
                </c:pt>
                <c:pt idx="40">
                  <c:v>6507.30025857687</c:v>
                </c:pt>
                <c:pt idx="41">
                  <c:v>6554.1002604365349</c:v>
                </c:pt>
                <c:pt idx="42">
                  <c:v>6599.4002622365952</c:v>
                </c:pt>
                <c:pt idx="43">
                  <c:v>6643.0502639710903</c:v>
                </c:pt>
                <c:pt idx="44">
                  <c:v>6685.3502656519413</c:v>
                </c:pt>
                <c:pt idx="45">
                  <c:v>6726.3002672791481</c:v>
                </c:pt>
                <c:pt idx="46">
                  <c:v>6766.0502688586712</c:v>
                </c:pt>
                <c:pt idx="47">
                  <c:v>6804.4502703845501</c:v>
                </c:pt>
                <c:pt idx="48">
                  <c:v>6841.6502718627453</c:v>
                </c:pt>
                <c:pt idx="49">
                  <c:v>6877.8002732992172</c:v>
                </c:pt>
                <c:pt idx="50">
                  <c:v>6912.7502746880054</c:v>
                </c:pt>
                <c:pt idx="51">
                  <c:v>6946.8002760410309</c:v>
                </c:pt>
                <c:pt idx="52">
                  <c:v>6979.8002773523331</c:v>
                </c:pt>
                <c:pt idx="53">
                  <c:v>7011.9002786278725</c:v>
                </c:pt>
                <c:pt idx="54">
                  <c:v>7043.1002798676491</c:v>
                </c:pt>
                <c:pt idx="55">
                  <c:v>7073.4002810716629</c:v>
                </c:pt>
                <c:pt idx="56">
                  <c:v>7102.9502822458744</c:v>
                </c:pt>
                <c:pt idx="57">
                  <c:v>7131.6002833843231</c:v>
                </c:pt>
                <c:pt idx="58">
                  <c:v>7159.65028449893</c:v>
                </c:pt>
                <c:pt idx="59">
                  <c:v>7186.800285577774</c:v>
                </c:pt>
                <c:pt idx="60">
                  <c:v>7213.3502866327763</c:v>
                </c:pt>
                <c:pt idx="61">
                  <c:v>7239.1502876579762</c:v>
                </c:pt>
                <c:pt idx="62">
                  <c:v>7264.3502886593342</c:v>
                </c:pt>
                <c:pt idx="63">
                  <c:v>7288.9502896368504</c:v>
                </c:pt>
                <c:pt idx="64">
                  <c:v>7312.8002905845642</c:v>
                </c:pt>
                <c:pt idx="65">
                  <c:v>7336.2002915143967</c:v>
                </c:pt>
                <c:pt idx="66">
                  <c:v>7359.0002924203873</c:v>
                </c:pt>
                <c:pt idx="67">
                  <c:v>7381.200293302536</c:v>
                </c:pt>
                <c:pt idx="68">
                  <c:v>7402.9502941668034</c:v>
                </c:pt>
                <c:pt idx="69">
                  <c:v>7424.2502950131893</c:v>
                </c:pt>
                <c:pt idx="70">
                  <c:v>7444.9502958357334</c:v>
                </c:pt>
                <c:pt idx="71">
                  <c:v>7465.2002966403961</c:v>
                </c:pt>
                <c:pt idx="72">
                  <c:v>7485.1502974331379</c:v>
                </c:pt>
                <c:pt idx="73">
                  <c:v>7504.5002982020378</c:v>
                </c:pt>
                <c:pt idx="74">
                  <c:v>7523.4002989530563</c:v>
                </c:pt>
                <c:pt idx="75">
                  <c:v>7542.0002996921539</c:v>
                </c:pt>
                <c:pt idx="76">
                  <c:v>7560.1503004133701</c:v>
                </c:pt>
                <c:pt idx="77">
                  <c:v>7577.8503011167049</c:v>
                </c:pt>
                <c:pt idx="78">
                  <c:v>7595.2503018081188</c:v>
                </c:pt>
                <c:pt idx="79">
                  <c:v>7612.3503024876118</c:v>
                </c:pt>
                <c:pt idx="80">
                  <c:v>7629.0003031492233</c:v>
                </c:pt>
                <c:pt idx="81">
                  <c:v>7645.350303798914</c:v>
                </c:pt>
                <c:pt idx="82">
                  <c:v>7661.4003044366837</c:v>
                </c:pt>
                <c:pt idx="83">
                  <c:v>7677.000305056572</c:v>
                </c:pt>
                <c:pt idx="84">
                  <c:v>7692.4503056704998</c:v>
                </c:pt>
                <c:pt idx="85">
                  <c:v>7707.6003062725067</c:v>
                </c:pt>
                <c:pt idx="86">
                  <c:v>7722.3003068566322</c:v>
                </c:pt>
                <c:pt idx="87">
                  <c:v>7736.8503074347973</c:v>
                </c:pt>
                <c:pt idx="88">
                  <c:v>7751.1003080010414</c:v>
                </c:pt>
                <c:pt idx="89">
                  <c:v>7765.0503085553646</c:v>
                </c:pt>
                <c:pt idx="90">
                  <c:v>7778.7003090977669</c:v>
                </c:pt>
                <c:pt idx="91">
                  <c:v>7792.2003096342087</c:v>
                </c:pt>
                <c:pt idx="92">
                  <c:v>7805.4003101587296</c:v>
                </c:pt>
                <c:pt idx="93">
                  <c:v>7818.3003106713295</c:v>
                </c:pt>
                <c:pt idx="94">
                  <c:v>7831.050311177969</c:v>
                </c:pt>
                <c:pt idx="95">
                  <c:v>7843.650311678648</c:v>
                </c:pt>
                <c:pt idx="96">
                  <c:v>7855.9503121674061</c:v>
                </c:pt>
                <c:pt idx="97">
                  <c:v>7867.9503126442432</c:v>
                </c:pt>
                <c:pt idx="98">
                  <c:v>7879.8003131151199</c:v>
                </c:pt>
                <c:pt idx="99">
                  <c:v>7891.5003135800362</c:v>
                </c:pt>
                <c:pt idx="100">
                  <c:v>7902.9003140330315</c:v>
                </c:pt>
                <c:pt idx="101">
                  <c:v>7914.1503144800663</c:v>
                </c:pt>
                <c:pt idx="102">
                  <c:v>7925.2503149211407</c:v>
                </c:pt>
                <c:pt idx="103">
                  <c:v>7936.2003153562546</c:v>
                </c:pt>
                <c:pt idx="104">
                  <c:v>7946.8503157794476</c:v>
                </c:pt>
                <c:pt idx="105">
                  <c:v>7957.3503161966801</c:v>
                </c:pt>
                <c:pt idx="106">
                  <c:v>7967.7003166079521</c:v>
                </c:pt>
                <c:pt idx="107">
                  <c:v>7977.9003170132637</c:v>
                </c:pt>
                <c:pt idx="108">
                  <c:v>7987.9503174126148</c:v>
                </c:pt>
                <c:pt idx="109">
                  <c:v>7997.8503178060055</c:v>
                </c:pt>
                <c:pt idx="110">
                  <c:v>8007.6003181934357</c:v>
                </c:pt>
                <c:pt idx="111">
                  <c:v>8017.2003185749054</c:v>
                </c:pt>
                <c:pt idx="112">
                  <c:v>8026.6503189504147</c:v>
                </c:pt>
                <c:pt idx="113">
                  <c:v>8035.800319314003</c:v>
                </c:pt>
                <c:pt idx="114">
                  <c:v>8044.9503196775913</c:v>
                </c:pt>
                <c:pt idx="115">
                  <c:v>8053.9503200352192</c:v>
                </c:pt>
                <c:pt idx="116">
                  <c:v>8062.8003203868866</c:v>
                </c:pt>
                <c:pt idx="117">
                  <c:v>8071.650320738554</c:v>
                </c:pt>
                <c:pt idx="118">
                  <c:v>8080.2003210783005</c:v>
                </c:pt>
                <c:pt idx="119">
                  <c:v>8088.6003214120865</c:v>
                </c:pt>
                <c:pt idx="120">
                  <c:v>8097.0003217458725</c:v>
                </c:pt>
                <c:pt idx="121">
                  <c:v>8105.250322073698</c:v>
                </c:pt>
                <c:pt idx="122">
                  <c:v>8113.3503223955631</c:v>
                </c:pt>
                <c:pt idx="123">
                  <c:v>8121.3003227114677</c:v>
                </c:pt>
                <c:pt idx="124">
                  <c:v>8129.2503230273724</c:v>
                </c:pt>
                <c:pt idx="125">
                  <c:v>8137.0503233373165</c:v>
                </c:pt>
                <c:pt idx="126">
                  <c:v>8144.7003236413002</c:v>
                </c:pt>
                <c:pt idx="127">
                  <c:v>8152.2003239393234</c:v>
                </c:pt>
                <c:pt idx="128">
                  <c:v>8159.7003242373466</c:v>
                </c:pt>
                <c:pt idx="129">
                  <c:v>8167.0503245294094</c:v>
                </c:pt>
                <c:pt idx="130">
                  <c:v>8174.2503248155117</c:v>
                </c:pt>
                <c:pt idx="131">
                  <c:v>8181.450325101614</c:v>
                </c:pt>
                <c:pt idx="132">
                  <c:v>8188.5003253817558</c:v>
                </c:pt>
                <c:pt idx="133">
                  <c:v>8195.5503256618977</c:v>
                </c:pt>
                <c:pt idx="134">
                  <c:v>8202.3003259301186</c:v>
                </c:pt>
                <c:pt idx="135">
                  <c:v>8209.2003262042999</c:v>
                </c:pt>
                <c:pt idx="136">
                  <c:v>8215.8003264665604</c:v>
                </c:pt>
                <c:pt idx="137">
                  <c:v>8222.4003267288208</c:v>
                </c:pt>
                <c:pt idx="138">
                  <c:v>8229.0003269910812</c:v>
                </c:pt>
                <c:pt idx="139">
                  <c:v>8235.4503272473812</c:v>
                </c:pt>
                <c:pt idx="140">
                  <c:v>8241.7503274977207</c:v>
                </c:pt>
                <c:pt idx="141">
                  <c:v>8248.0503277480602</c:v>
                </c:pt>
                <c:pt idx="142">
                  <c:v>8254.2003279924393</c:v>
                </c:pt>
                <c:pt idx="143">
                  <c:v>8260.3503282368183</c:v>
                </c:pt>
                <c:pt idx="144">
                  <c:v>8266.3503284752369</c:v>
                </c:pt>
                <c:pt idx="145">
                  <c:v>8272.3503287136555</c:v>
                </c:pt>
                <c:pt idx="146">
                  <c:v>8278.2003289461136</c:v>
                </c:pt>
                <c:pt idx="147">
                  <c:v>8284.0503291785717</c:v>
                </c:pt>
                <c:pt idx="148">
                  <c:v>8289.9003294110298</c:v>
                </c:pt>
                <c:pt idx="149">
                  <c:v>8295.450329631567</c:v>
                </c:pt>
                <c:pt idx="150">
                  <c:v>8301.1503298580647</c:v>
                </c:pt>
                <c:pt idx="151">
                  <c:v>8306.7003300786018</c:v>
                </c:pt>
                <c:pt idx="152">
                  <c:v>8312.1003302931786</c:v>
                </c:pt>
                <c:pt idx="153">
                  <c:v>8317.6503305137157</c:v>
                </c:pt>
                <c:pt idx="154">
                  <c:v>8322.900330722332</c:v>
                </c:pt>
                <c:pt idx="155">
                  <c:v>8328.3003309369087</c:v>
                </c:pt>
                <c:pt idx="156">
                  <c:v>8333.550331145525</c:v>
                </c:pt>
                <c:pt idx="157">
                  <c:v>8338.6503313481808</c:v>
                </c:pt>
                <c:pt idx="158">
                  <c:v>8343.7503315508366</c:v>
                </c:pt>
                <c:pt idx="159">
                  <c:v>8348.8503317534924</c:v>
                </c:pt>
                <c:pt idx="160">
                  <c:v>8353.8003319501877</c:v>
                </c:pt>
                <c:pt idx="161">
                  <c:v>8358.750332146883</c:v>
                </c:pt>
                <c:pt idx="162">
                  <c:v>8363.7003323435783</c:v>
                </c:pt>
                <c:pt idx="163">
                  <c:v>8368.5003325343132</c:v>
                </c:pt>
                <c:pt idx="164">
                  <c:v>8373.3003327250481</c:v>
                </c:pt>
                <c:pt idx="165">
                  <c:v>8377.9503329098225</c:v>
                </c:pt>
                <c:pt idx="166">
                  <c:v>8382.7503331005573</c:v>
                </c:pt>
                <c:pt idx="167">
                  <c:v>8387.2503332793713</c:v>
                </c:pt>
                <c:pt idx="168">
                  <c:v>8391.9003334641457</c:v>
                </c:pt>
                <c:pt idx="169">
                  <c:v>8396.4003336429596</c:v>
                </c:pt>
                <c:pt idx="170">
                  <c:v>8400.9003338217735</c:v>
                </c:pt>
                <c:pt idx="171">
                  <c:v>8405.250333994627</c:v>
                </c:pt>
                <c:pt idx="172">
                  <c:v>8409.7503341734409</c:v>
                </c:pt>
                <c:pt idx="173">
                  <c:v>8414.1003343462944</c:v>
                </c:pt>
                <c:pt idx="174">
                  <c:v>8418.3003345131874</c:v>
                </c:pt>
                <c:pt idx="175">
                  <c:v>8422.6503346860409</c:v>
                </c:pt>
                <c:pt idx="176">
                  <c:v>8426.8503348529339</c:v>
                </c:pt>
                <c:pt idx="177">
                  <c:v>8430.9003350138664</c:v>
                </c:pt>
                <c:pt idx="178">
                  <c:v>8435.1003351807594</c:v>
                </c:pt>
                <c:pt idx="179">
                  <c:v>8439.150335341692</c:v>
                </c:pt>
                <c:pt idx="180">
                  <c:v>8443.2003355026245</c:v>
                </c:pt>
                <c:pt idx="181">
                  <c:v>8447.1003356575966</c:v>
                </c:pt>
                <c:pt idx="182">
                  <c:v>8451.1503358185291</c:v>
                </c:pt>
                <c:pt idx="183">
                  <c:v>8455.0503359735012</c:v>
                </c:pt>
                <c:pt idx="184">
                  <c:v>8458.9503361284733</c:v>
                </c:pt>
                <c:pt idx="185">
                  <c:v>8462.7003362774849</c:v>
                </c:pt>
                <c:pt idx="186">
                  <c:v>8466.600336432457</c:v>
                </c:pt>
                <c:pt idx="187">
                  <c:v>8470.3503365814686</c:v>
                </c:pt>
                <c:pt idx="188">
                  <c:v>8474.1003367304802</c:v>
                </c:pt>
                <c:pt idx="189">
                  <c:v>8477.7003368735313</c:v>
                </c:pt>
                <c:pt idx="190">
                  <c:v>8481.450337022543</c:v>
                </c:pt>
                <c:pt idx="191">
                  <c:v>8485.0503371655941</c:v>
                </c:pt>
                <c:pt idx="192">
                  <c:v>8488.6503373086452</c:v>
                </c:pt>
                <c:pt idx="193">
                  <c:v>8492.1003374457359</c:v>
                </c:pt>
                <c:pt idx="194">
                  <c:v>8495.7003375887871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0B-4EB2-BFDD-07BE8E8032BB}"/>
            </c:ext>
          </c:extLst>
        </c:ser>
        <c:ser>
          <c:idx val="6"/>
          <c:order val="4"/>
          <c:tx>
            <c:v>Nominal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Mars'!$T$18:$T$212</c:f>
              <c:numCache>
                <c:formatCode>0.00</c:formatCode>
                <c:ptCount val="195"/>
                <c:pt idx="0">
                  <c:v>126.75000503659248</c:v>
                </c:pt>
                <c:pt idx="1">
                  <c:v>410.10001629590988</c:v>
                </c:pt>
                <c:pt idx="2">
                  <c:v>685.50002723932266</c:v>
                </c:pt>
                <c:pt idx="3">
                  <c:v>953.55003789067268</c:v>
                </c:pt>
                <c:pt idx="4">
                  <c:v>1214.4000482559204</c:v>
                </c:pt>
                <c:pt idx="5">
                  <c:v>1468.3500583469868</c:v>
                </c:pt>
                <c:pt idx="6">
                  <c:v>1715.8500681817532</c:v>
                </c:pt>
                <c:pt idx="7">
                  <c:v>1956.7500777542591</c:v>
                </c:pt>
                <c:pt idx="8">
                  <c:v>2191.6500870883465</c:v>
                </c:pt>
                <c:pt idx="9">
                  <c:v>2420.7000961899757</c:v>
                </c:pt>
                <c:pt idx="10">
                  <c:v>2644.0501050651073</c:v>
                </c:pt>
                <c:pt idx="11">
                  <c:v>2862.0001137256622</c:v>
                </c:pt>
                <c:pt idx="12">
                  <c:v>3074.5501221716404</c:v>
                </c:pt>
                <c:pt idx="13">
                  <c:v>3282.1501304209232</c:v>
                </c:pt>
                <c:pt idx="14">
                  <c:v>3484.8001384735107</c:v>
                </c:pt>
                <c:pt idx="15">
                  <c:v>3682.8001463413239</c:v>
                </c:pt>
                <c:pt idx="16">
                  <c:v>3876.1501540243626</c:v>
                </c:pt>
                <c:pt idx="17">
                  <c:v>4065.1501615345478</c:v>
                </c:pt>
                <c:pt idx="18">
                  <c:v>4249.95016887784</c:v>
                </c:pt>
                <c:pt idx="19">
                  <c:v>4430.5501760542393</c:v>
                </c:pt>
                <c:pt idx="20">
                  <c:v>4607.100183069706</c:v>
                </c:pt>
                <c:pt idx="21">
                  <c:v>4779.900189936161</c:v>
                </c:pt>
                <c:pt idx="22">
                  <c:v>4948.9501966536045</c:v>
                </c:pt>
                <c:pt idx="23">
                  <c:v>5114.4002032279968</c:v>
                </c:pt>
                <c:pt idx="24">
                  <c:v>5276.4002096652985</c:v>
                </c:pt>
                <c:pt idx="25">
                  <c:v>5434.9502159655094</c:v>
                </c:pt>
                <c:pt idx="26">
                  <c:v>5590.3502221405506</c:v>
                </c:pt>
                <c:pt idx="27">
                  <c:v>5742.4502281844616</c:v>
                </c:pt>
                <c:pt idx="28">
                  <c:v>5891.5502341091633</c:v>
                </c:pt>
                <c:pt idx="29">
                  <c:v>6037.6502399146557</c:v>
                </c:pt>
                <c:pt idx="30">
                  <c:v>6180.7502456009388</c:v>
                </c:pt>
                <c:pt idx="31">
                  <c:v>6321.1502511799335</c:v>
                </c:pt>
                <c:pt idx="32">
                  <c:v>6458.8502566516399</c:v>
                </c:pt>
                <c:pt idx="33">
                  <c:v>6593.7002620100975</c:v>
                </c:pt>
                <c:pt idx="34">
                  <c:v>6726.1502672731876</c:v>
                </c:pt>
                <c:pt idx="35">
                  <c:v>6856.0502724349499</c:v>
                </c:pt>
                <c:pt idx="36">
                  <c:v>6983.5502775013447</c:v>
                </c:pt>
                <c:pt idx="37">
                  <c:v>7108.6502824723721</c:v>
                </c:pt>
                <c:pt idx="38">
                  <c:v>7231.5002873539925</c:v>
                </c:pt>
                <c:pt idx="39">
                  <c:v>7352.1002921462059</c:v>
                </c:pt>
                <c:pt idx="40">
                  <c:v>7470.4502968490124</c:v>
                </c:pt>
                <c:pt idx="41">
                  <c:v>7586.7003014683723</c:v>
                </c:pt>
                <c:pt idx="42">
                  <c:v>7701.0003060102463</c:v>
                </c:pt>
                <c:pt idx="43">
                  <c:v>7813.2003104686737</c:v>
                </c:pt>
                <c:pt idx="44">
                  <c:v>7923.4503148496151</c:v>
                </c:pt>
                <c:pt idx="45">
                  <c:v>8031.7503191530704</c:v>
                </c:pt>
                <c:pt idx="46">
                  <c:v>8138.2503233850002</c:v>
                </c:pt>
                <c:pt idx="47">
                  <c:v>8242.9503275454044</c:v>
                </c:pt>
                <c:pt idx="48">
                  <c:v>8345.8503316342831</c:v>
                </c:pt>
                <c:pt idx="49">
                  <c:v>8447.1003356575966</c:v>
                </c:pt>
                <c:pt idx="50">
                  <c:v>8546.700339615345</c:v>
                </c:pt>
                <c:pt idx="51">
                  <c:v>8644.5003435015678</c:v>
                </c:pt>
                <c:pt idx="52">
                  <c:v>8740.9503473341465</c:v>
                </c:pt>
                <c:pt idx="53">
                  <c:v>8835.6003510951996</c:v>
                </c:pt>
                <c:pt idx="54">
                  <c:v>8928.9003548026085</c:v>
                </c:pt>
                <c:pt idx="55">
                  <c:v>9020.5503584444523</c:v>
                </c:pt>
                <c:pt idx="56">
                  <c:v>9111.0003620386124</c:v>
                </c:pt>
                <c:pt idx="57">
                  <c:v>9199.8003655672073</c:v>
                </c:pt>
                <c:pt idx="58">
                  <c:v>9287.4003690481186</c:v>
                </c:pt>
                <c:pt idx="59">
                  <c:v>9373.5003724694252</c:v>
                </c:pt>
                <c:pt idx="60">
                  <c:v>9458.4003758430481</c:v>
                </c:pt>
                <c:pt idx="61">
                  <c:v>9541.9503791630268</c:v>
                </c:pt>
                <c:pt idx="62">
                  <c:v>9624.1503824293613</c:v>
                </c:pt>
                <c:pt idx="63">
                  <c:v>9705.3003856539726</c:v>
                </c:pt>
                <c:pt idx="64">
                  <c:v>9785.1003888249397</c:v>
                </c:pt>
                <c:pt idx="65">
                  <c:v>9863.8503919541836</c:v>
                </c:pt>
                <c:pt idx="66">
                  <c:v>9941.4003950357437</c:v>
                </c:pt>
                <c:pt idx="67">
                  <c:v>10017.75039806962</c:v>
                </c:pt>
                <c:pt idx="68">
                  <c:v>10093.200401067734</c:v>
                </c:pt>
                <c:pt idx="69">
                  <c:v>10167.300404012203</c:v>
                </c:pt>
                <c:pt idx="70">
                  <c:v>10240.50040692091</c:v>
                </c:pt>
                <c:pt idx="71">
                  <c:v>10312.650409787893</c:v>
                </c:pt>
                <c:pt idx="72">
                  <c:v>10383.900412619114</c:v>
                </c:pt>
                <c:pt idx="73">
                  <c:v>10453.950415402651</c:v>
                </c:pt>
                <c:pt idx="74">
                  <c:v>10523.250418156385</c:v>
                </c:pt>
                <c:pt idx="75">
                  <c:v>10591.500420868397</c:v>
                </c:pt>
                <c:pt idx="76">
                  <c:v>10658.700423538685</c:v>
                </c:pt>
                <c:pt idx="77">
                  <c:v>10725.150426179171</c:v>
                </c:pt>
                <c:pt idx="78">
                  <c:v>10790.700428783894</c:v>
                </c:pt>
                <c:pt idx="79">
                  <c:v>10855.200431346893</c:v>
                </c:pt>
                <c:pt idx="80">
                  <c:v>10919.100433886051</c:v>
                </c:pt>
                <c:pt idx="81">
                  <c:v>10981.950436383486</c:v>
                </c:pt>
                <c:pt idx="82">
                  <c:v>11044.050438851118</c:v>
                </c:pt>
                <c:pt idx="83">
                  <c:v>11105.400441288948</c:v>
                </c:pt>
                <c:pt idx="84">
                  <c:v>11165.850443691015</c:v>
                </c:pt>
                <c:pt idx="85">
                  <c:v>11225.700446069241</c:v>
                </c:pt>
                <c:pt idx="86">
                  <c:v>11284.650448411703</c:v>
                </c:pt>
                <c:pt idx="87">
                  <c:v>11342.850450724363</c:v>
                </c:pt>
                <c:pt idx="88">
                  <c:v>11400.300453007221</c:v>
                </c:pt>
                <c:pt idx="89">
                  <c:v>11457.150455266237</c:v>
                </c:pt>
                <c:pt idx="90">
                  <c:v>11513.100457489491</c:v>
                </c:pt>
                <c:pt idx="91">
                  <c:v>11568.600459694862</c:v>
                </c:pt>
                <c:pt idx="92">
                  <c:v>11623.200461864471</c:v>
                </c:pt>
                <c:pt idx="93">
                  <c:v>11677.200464010239</c:v>
                </c:pt>
                <c:pt idx="94">
                  <c:v>11730.600466132164</c:v>
                </c:pt>
                <c:pt idx="95">
                  <c:v>11783.400468230247</c:v>
                </c:pt>
                <c:pt idx="96">
                  <c:v>11835.450470298529</c:v>
                </c:pt>
                <c:pt idx="97">
                  <c:v>11886.900472342968</c:v>
                </c:pt>
                <c:pt idx="98">
                  <c:v>11937.750474363565</c:v>
                </c:pt>
                <c:pt idx="99">
                  <c:v>11988.000476360321</c:v>
                </c:pt>
                <c:pt idx="100">
                  <c:v>12037.650478333235</c:v>
                </c:pt>
                <c:pt idx="101">
                  <c:v>12086.850480288267</c:v>
                </c:pt>
                <c:pt idx="102">
                  <c:v>12135.300482213497</c:v>
                </c:pt>
                <c:pt idx="103">
                  <c:v>12183.300484120846</c:v>
                </c:pt>
                <c:pt idx="104">
                  <c:v>12230.700486004353</c:v>
                </c:pt>
                <c:pt idx="105">
                  <c:v>12277.650487869978</c:v>
                </c:pt>
                <c:pt idx="106">
                  <c:v>12324.000489711761</c:v>
                </c:pt>
                <c:pt idx="107">
                  <c:v>12369.750491529703</c:v>
                </c:pt>
                <c:pt idx="108">
                  <c:v>12415.050493329763</c:v>
                </c:pt>
                <c:pt idx="109">
                  <c:v>12459.900495111942</c:v>
                </c:pt>
                <c:pt idx="110">
                  <c:v>12504.30049687624</c:v>
                </c:pt>
                <c:pt idx="111">
                  <c:v>12548.100498616695</c:v>
                </c:pt>
                <c:pt idx="112">
                  <c:v>12591.45050033927</c:v>
                </c:pt>
                <c:pt idx="113">
                  <c:v>12634.350502043962</c:v>
                </c:pt>
                <c:pt idx="114">
                  <c:v>12676.800503730774</c:v>
                </c:pt>
                <c:pt idx="115">
                  <c:v>12718.650505393744</c:v>
                </c:pt>
                <c:pt idx="116">
                  <c:v>12760.200507044792</c:v>
                </c:pt>
                <c:pt idx="117">
                  <c:v>12801.300508677959</c:v>
                </c:pt>
                <c:pt idx="118">
                  <c:v>12841.950510293245</c:v>
                </c:pt>
                <c:pt idx="119">
                  <c:v>12882.15051189065</c:v>
                </c:pt>
                <c:pt idx="120">
                  <c:v>12921.900513470173</c:v>
                </c:pt>
                <c:pt idx="121">
                  <c:v>12961.200515031815</c:v>
                </c:pt>
                <c:pt idx="122">
                  <c:v>13000.200516581535</c:v>
                </c:pt>
                <c:pt idx="123">
                  <c:v>13038.750518113375</c:v>
                </c:pt>
                <c:pt idx="124">
                  <c:v>13077.000519633293</c:v>
                </c:pt>
                <c:pt idx="125">
                  <c:v>13114.65052112937</c:v>
                </c:pt>
                <c:pt idx="126">
                  <c:v>13152.150522619486</c:v>
                </c:pt>
                <c:pt idx="127">
                  <c:v>13189.200524091721</c:v>
                </c:pt>
                <c:pt idx="128">
                  <c:v>13225.800525546074</c:v>
                </c:pt>
                <c:pt idx="129">
                  <c:v>13262.100526988506</c:v>
                </c:pt>
                <c:pt idx="130">
                  <c:v>13297.950528413057</c:v>
                </c:pt>
                <c:pt idx="131">
                  <c:v>13333.500529825687</c:v>
                </c:pt>
                <c:pt idx="132">
                  <c:v>13368.750531226397</c:v>
                </c:pt>
                <c:pt idx="133">
                  <c:v>13403.550532609224</c:v>
                </c:pt>
                <c:pt idx="134">
                  <c:v>13438.050533980131</c:v>
                </c:pt>
                <c:pt idx="135">
                  <c:v>13472.250535339117</c:v>
                </c:pt>
                <c:pt idx="136">
                  <c:v>13506.150536686182</c:v>
                </c:pt>
                <c:pt idx="137">
                  <c:v>13539.600538015366</c:v>
                </c:pt>
                <c:pt idx="138">
                  <c:v>13572.900539338589</c:v>
                </c:pt>
                <c:pt idx="139">
                  <c:v>13605.75054064393</c:v>
                </c:pt>
                <c:pt idx="140">
                  <c:v>13638.300541937351</c:v>
                </c:pt>
                <c:pt idx="141">
                  <c:v>13670.550543218851</c:v>
                </c:pt>
                <c:pt idx="142">
                  <c:v>13702.50054448843</c:v>
                </c:pt>
                <c:pt idx="143">
                  <c:v>13734.300545752048</c:v>
                </c:pt>
                <c:pt idx="144">
                  <c:v>13765.650546997786</c:v>
                </c:pt>
                <c:pt idx="145">
                  <c:v>13796.700548231602</c:v>
                </c:pt>
                <c:pt idx="146">
                  <c:v>13827.450549453497</c:v>
                </c:pt>
                <c:pt idx="147">
                  <c:v>13858.050550669432</c:v>
                </c:pt>
                <c:pt idx="148">
                  <c:v>13888.200551867485</c:v>
                </c:pt>
                <c:pt idx="149">
                  <c:v>13918.200553059578</c:v>
                </c:pt>
                <c:pt idx="150">
                  <c:v>13947.90055423975</c:v>
                </c:pt>
                <c:pt idx="151">
                  <c:v>13977.300555408001</c:v>
                </c:pt>
                <c:pt idx="152">
                  <c:v>14006.400556564331</c:v>
                </c:pt>
                <c:pt idx="153">
                  <c:v>14035.350557714701</c:v>
                </c:pt>
                <c:pt idx="154">
                  <c:v>14064.000558853149</c:v>
                </c:pt>
                <c:pt idx="155">
                  <c:v>14092.350559979677</c:v>
                </c:pt>
                <c:pt idx="156">
                  <c:v>14120.550561100245</c:v>
                </c:pt>
                <c:pt idx="157">
                  <c:v>14148.450562208891</c:v>
                </c:pt>
                <c:pt idx="158">
                  <c:v>14176.050563305616</c:v>
                </c:pt>
                <c:pt idx="159">
                  <c:v>14203.500564396381</c:v>
                </c:pt>
                <c:pt idx="160">
                  <c:v>14230.650565475225</c:v>
                </c:pt>
                <c:pt idx="161">
                  <c:v>14257.500566542149</c:v>
                </c:pt>
                <c:pt idx="162">
                  <c:v>14284.200567603111</c:v>
                </c:pt>
                <c:pt idx="163">
                  <c:v>14310.750568658113</c:v>
                </c:pt>
                <c:pt idx="164">
                  <c:v>14337.000569701195</c:v>
                </c:pt>
                <c:pt idx="165">
                  <c:v>14362.950570732355</c:v>
                </c:pt>
                <c:pt idx="166">
                  <c:v>14388.750571757555</c:v>
                </c:pt>
                <c:pt idx="167">
                  <c:v>14414.400572776794</c:v>
                </c:pt>
                <c:pt idx="168">
                  <c:v>14439.750573784113</c:v>
                </c:pt>
                <c:pt idx="169">
                  <c:v>14464.950574785471</c:v>
                </c:pt>
                <c:pt idx="170">
                  <c:v>14489.850575774908</c:v>
                </c:pt>
                <c:pt idx="171">
                  <c:v>14514.600576758385</c:v>
                </c:pt>
                <c:pt idx="172">
                  <c:v>14539.200577735901</c:v>
                </c:pt>
                <c:pt idx="173">
                  <c:v>14563.500578701496</c:v>
                </c:pt>
                <c:pt idx="174">
                  <c:v>14587.650579661131</c:v>
                </c:pt>
                <c:pt idx="175">
                  <c:v>14611.500580608845</c:v>
                </c:pt>
                <c:pt idx="176">
                  <c:v>14635.350581556559</c:v>
                </c:pt>
                <c:pt idx="177">
                  <c:v>14658.900582492352</c:v>
                </c:pt>
                <c:pt idx="178">
                  <c:v>14682.300583422184</c:v>
                </c:pt>
                <c:pt idx="179">
                  <c:v>14705.400584340096</c:v>
                </c:pt>
                <c:pt idx="180">
                  <c:v>14728.500585258007</c:v>
                </c:pt>
                <c:pt idx="181">
                  <c:v>14751.300586163998</c:v>
                </c:pt>
                <c:pt idx="182">
                  <c:v>14773.950587064028</c:v>
                </c:pt>
                <c:pt idx="183">
                  <c:v>14796.300587952137</c:v>
                </c:pt>
                <c:pt idx="184">
                  <c:v>14818.650588840246</c:v>
                </c:pt>
                <c:pt idx="185">
                  <c:v>14840.700589716434</c:v>
                </c:pt>
                <c:pt idx="186">
                  <c:v>14862.600590586662</c:v>
                </c:pt>
                <c:pt idx="187">
                  <c:v>14884.50059145689</c:v>
                </c:pt>
                <c:pt idx="188">
                  <c:v>14905.950592309237</c:v>
                </c:pt>
                <c:pt idx="189">
                  <c:v>14927.400593161583</c:v>
                </c:pt>
                <c:pt idx="190">
                  <c:v>14948.700594007969</c:v>
                </c:pt>
                <c:pt idx="191">
                  <c:v>14969.850594848394</c:v>
                </c:pt>
                <c:pt idx="192">
                  <c:v>14990.700595676899</c:v>
                </c:pt>
                <c:pt idx="193">
                  <c:v>15011.550596505404</c:v>
                </c:pt>
                <c:pt idx="194">
                  <c:v>15032.250597327948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0B-4EB2-BFDD-07BE8E8032BB}"/>
            </c:ext>
          </c:extLst>
        </c:ser>
        <c:ser>
          <c:idx val="7"/>
          <c:order val="5"/>
          <c:tx>
            <c:v>Reduced Life - Mars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Mars'!$S$18:$S$212</c:f>
              <c:numCache>
                <c:formatCode>0</c:formatCode>
                <c:ptCount val="195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26400</c:v>
                </c:pt>
                <c:pt idx="12">
                  <c:v>28600</c:v>
                </c:pt>
                <c:pt idx="13">
                  <c:v>30800</c:v>
                </c:pt>
                <c:pt idx="14">
                  <c:v>33000</c:v>
                </c:pt>
                <c:pt idx="15">
                  <c:v>35200</c:v>
                </c:pt>
                <c:pt idx="16">
                  <c:v>37400</c:v>
                </c:pt>
                <c:pt idx="17">
                  <c:v>39600</c:v>
                </c:pt>
                <c:pt idx="18">
                  <c:v>41800</c:v>
                </c:pt>
                <c:pt idx="19">
                  <c:v>44000</c:v>
                </c:pt>
                <c:pt idx="20">
                  <c:v>46200</c:v>
                </c:pt>
                <c:pt idx="21">
                  <c:v>48400</c:v>
                </c:pt>
                <c:pt idx="22">
                  <c:v>50600</c:v>
                </c:pt>
                <c:pt idx="23">
                  <c:v>52800</c:v>
                </c:pt>
                <c:pt idx="24">
                  <c:v>55000</c:v>
                </c:pt>
                <c:pt idx="25">
                  <c:v>57200</c:v>
                </c:pt>
                <c:pt idx="26">
                  <c:v>59400</c:v>
                </c:pt>
                <c:pt idx="27">
                  <c:v>61600</c:v>
                </c:pt>
                <c:pt idx="28">
                  <c:v>63800</c:v>
                </c:pt>
                <c:pt idx="29">
                  <c:v>66000</c:v>
                </c:pt>
                <c:pt idx="30">
                  <c:v>68200</c:v>
                </c:pt>
                <c:pt idx="31">
                  <c:v>70400</c:v>
                </c:pt>
                <c:pt idx="32">
                  <c:v>72600</c:v>
                </c:pt>
                <c:pt idx="33">
                  <c:v>74800</c:v>
                </c:pt>
                <c:pt idx="34">
                  <c:v>77000</c:v>
                </c:pt>
                <c:pt idx="35">
                  <c:v>79200</c:v>
                </c:pt>
                <c:pt idx="36">
                  <c:v>81400</c:v>
                </c:pt>
                <c:pt idx="37">
                  <c:v>83600</c:v>
                </c:pt>
                <c:pt idx="38">
                  <c:v>85800</c:v>
                </c:pt>
                <c:pt idx="39">
                  <c:v>88000</c:v>
                </c:pt>
                <c:pt idx="40">
                  <c:v>90200</c:v>
                </c:pt>
                <c:pt idx="41">
                  <c:v>92400</c:v>
                </c:pt>
                <c:pt idx="42">
                  <c:v>94600</c:v>
                </c:pt>
                <c:pt idx="43">
                  <c:v>96800</c:v>
                </c:pt>
                <c:pt idx="44">
                  <c:v>99000</c:v>
                </c:pt>
                <c:pt idx="45">
                  <c:v>101200</c:v>
                </c:pt>
                <c:pt idx="46">
                  <c:v>103400</c:v>
                </c:pt>
                <c:pt idx="47">
                  <c:v>105600</c:v>
                </c:pt>
                <c:pt idx="48">
                  <c:v>107800</c:v>
                </c:pt>
                <c:pt idx="49">
                  <c:v>110000</c:v>
                </c:pt>
                <c:pt idx="50">
                  <c:v>112200</c:v>
                </c:pt>
                <c:pt idx="51">
                  <c:v>114400</c:v>
                </c:pt>
                <c:pt idx="52">
                  <c:v>116600</c:v>
                </c:pt>
                <c:pt idx="53">
                  <c:v>118800</c:v>
                </c:pt>
                <c:pt idx="54">
                  <c:v>121000</c:v>
                </c:pt>
                <c:pt idx="55">
                  <c:v>123200</c:v>
                </c:pt>
                <c:pt idx="56">
                  <c:v>125400</c:v>
                </c:pt>
                <c:pt idx="57">
                  <c:v>127600</c:v>
                </c:pt>
                <c:pt idx="58">
                  <c:v>129800</c:v>
                </c:pt>
                <c:pt idx="59">
                  <c:v>132000</c:v>
                </c:pt>
                <c:pt idx="60">
                  <c:v>134200</c:v>
                </c:pt>
                <c:pt idx="61">
                  <c:v>136400</c:v>
                </c:pt>
                <c:pt idx="62">
                  <c:v>138600</c:v>
                </c:pt>
                <c:pt idx="63">
                  <c:v>140800</c:v>
                </c:pt>
                <c:pt idx="64">
                  <c:v>143000</c:v>
                </c:pt>
                <c:pt idx="65">
                  <c:v>145200</c:v>
                </c:pt>
                <c:pt idx="66">
                  <c:v>147400</c:v>
                </c:pt>
                <c:pt idx="67">
                  <c:v>149600</c:v>
                </c:pt>
                <c:pt idx="68">
                  <c:v>151800</c:v>
                </c:pt>
                <c:pt idx="69">
                  <c:v>154000</c:v>
                </c:pt>
                <c:pt idx="70">
                  <c:v>156200</c:v>
                </c:pt>
                <c:pt idx="71">
                  <c:v>158400</c:v>
                </c:pt>
                <c:pt idx="72">
                  <c:v>160600</c:v>
                </c:pt>
                <c:pt idx="73">
                  <c:v>162800</c:v>
                </c:pt>
                <c:pt idx="74">
                  <c:v>165000</c:v>
                </c:pt>
                <c:pt idx="75">
                  <c:v>167200</c:v>
                </c:pt>
                <c:pt idx="76">
                  <c:v>169400</c:v>
                </c:pt>
                <c:pt idx="77">
                  <c:v>171600</c:v>
                </c:pt>
                <c:pt idx="78">
                  <c:v>173800</c:v>
                </c:pt>
                <c:pt idx="79">
                  <c:v>176000</c:v>
                </c:pt>
                <c:pt idx="80">
                  <c:v>178200</c:v>
                </c:pt>
                <c:pt idx="81">
                  <c:v>180400</c:v>
                </c:pt>
                <c:pt idx="82">
                  <c:v>182600</c:v>
                </c:pt>
                <c:pt idx="83">
                  <c:v>184800</c:v>
                </c:pt>
                <c:pt idx="84">
                  <c:v>187000</c:v>
                </c:pt>
                <c:pt idx="85">
                  <c:v>189200</c:v>
                </c:pt>
                <c:pt idx="86">
                  <c:v>191400</c:v>
                </c:pt>
                <c:pt idx="87">
                  <c:v>193600</c:v>
                </c:pt>
                <c:pt idx="88">
                  <c:v>195800</c:v>
                </c:pt>
                <c:pt idx="89">
                  <c:v>198000</c:v>
                </c:pt>
                <c:pt idx="90">
                  <c:v>200200</c:v>
                </c:pt>
                <c:pt idx="91">
                  <c:v>202400</c:v>
                </c:pt>
                <c:pt idx="92">
                  <c:v>204600</c:v>
                </c:pt>
                <c:pt idx="93">
                  <c:v>206800</c:v>
                </c:pt>
                <c:pt idx="94">
                  <c:v>209000</c:v>
                </c:pt>
                <c:pt idx="95">
                  <c:v>211200</c:v>
                </c:pt>
                <c:pt idx="96">
                  <c:v>213400</c:v>
                </c:pt>
                <c:pt idx="97">
                  <c:v>215600</c:v>
                </c:pt>
                <c:pt idx="98">
                  <c:v>217800</c:v>
                </c:pt>
                <c:pt idx="99">
                  <c:v>220000</c:v>
                </c:pt>
                <c:pt idx="100">
                  <c:v>222200</c:v>
                </c:pt>
                <c:pt idx="101">
                  <c:v>224400</c:v>
                </c:pt>
                <c:pt idx="102">
                  <c:v>226600</c:v>
                </c:pt>
                <c:pt idx="103">
                  <c:v>228800</c:v>
                </c:pt>
                <c:pt idx="104">
                  <c:v>231000</c:v>
                </c:pt>
                <c:pt idx="105">
                  <c:v>233200</c:v>
                </c:pt>
                <c:pt idx="106">
                  <c:v>235400</c:v>
                </c:pt>
                <c:pt idx="107">
                  <c:v>237600</c:v>
                </c:pt>
                <c:pt idx="108">
                  <c:v>239800</c:v>
                </c:pt>
                <c:pt idx="109">
                  <c:v>242000</c:v>
                </c:pt>
                <c:pt idx="110">
                  <c:v>244200</c:v>
                </c:pt>
                <c:pt idx="111">
                  <c:v>246400</c:v>
                </c:pt>
                <c:pt idx="112">
                  <c:v>248600</c:v>
                </c:pt>
                <c:pt idx="113">
                  <c:v>250800</c:v>
                </c:pt>
                <c:pt idx="114">
                  <c:v>253000</c:v>
                </c:pt>
                <c:pt idx="115">
                  <c:v>255200</c:v>
                </c:pt>
                <c:pt idx="116">
                  <c:v>257400</c:v>
                </c:pt>
                <c:pt idx="117">
                  <c:v>259600</c:v>
                </c:pt>
                <c:pt idx="118">
                  <c:v>261800</c:v>
                </c:pt>
                <c:pt idx="119">
                  <c:v>264000</c:v>
                </c:pt>
                <c:pt idx="120">
                  <c:v>266200</c:v>
                </c:pt>
                <c:pt idx="121">
                  <c:v>268400</c:v>
                </c:pt>
                <c:pt idx="122">
                  <c:v>270600</c:v>
                </c:pt>
                <c:pt idx="123">
                  <c:v>272800</c:v>
                </c:pt>
                <c:pt idx="124">
                  <c:v>275000</c:v>
                </c:pt>
                <c:pt idx="125">
                  <c:v>277200</c:v>
                </c:pt>
                <c:pt idx="126">
                  <c:v>279400</c:v>
                </c:pt>
                <c:pt idx="127">
                  <c:v>281600</c:v>
                </c:pt>
                <c:pt idx="128">
                  <c:v>283800</c:v>
                </c:pt>
                <c:pt idx="129">
                  <c:v>286000</c:v>
                </c:pt>
                <c:pt idx="130">
                  <c:v>288200</c:v>
                </c:pt>
                <c:pt idx="131">
                  <c:v>290400</c:v>
                </c:pt>
                <c:pt idx="132">
                  <c:v>292600</c:v>
                </c:pt>
                <c:pt idx="133">
                  <c:v>294800</c:v>
                </c:pt>
                <c:pt idx="134">
                  <c:v>297000</c:v>
                </c:pt>
                <c:pt idx="135">
                  <c:v>299200</c:v>
                </c:pt>
                <c:pt idx="136">
                  <c:v>301400</c:v>
                </c:pt>
                <c:pt idx="137">
                  <c:v>303600</c:v>
                </c:pt>
                <c:pt idx="138">
                  <c:v>305800</c:v>
                </c:pt>
                <c:pt idx="139">
                  <c:v>308000</c:v>
                </c:pt>
                <c:pt idx="140">
                  <c:v>310200</c:v>
                </c:pt>
                <c:pt idx="141">
                  <c:v>312400</c:v>
                </c:pt>
                <c:pt idx="142">
                  <c:v>314600</c:v>
                </c:pt>
                <c:pt idx="143">
                  <c:v>316800</c:v>
                </c:pt>
                <c:pt idx="144">
                  <c:v>319000</c:v>
                </c:pt>
                <c:pt idx="145">
                  <c:v>321200</c:v>
                </c:pt>
                <c:pt idx="146">
                  <c:v>323400</c:v>
                </c:pt>
                <c:pt idx="147">
                  <c:v>325600</c:v>
                </c:pt>
                <c:pt idx="148">
                  <c:v>327800</c:v>
                </c:pt>
                <c:pt idx="149">
                  <c:v>330000</c:v>
                </c:pt>
                <c:pt idx="150">
                  <c:v>332200</c:v>
                </c:pt>
                <c:pt idx="151">
                  <c:v>334400</c:v>
                </c:pt>
                <c:pt idx="152">
                  <c:v>336600</c:v>
                </c:pt>
                <c:pt idx="153">
                  <c:v>338800</c:v>
                </c:pt>
                <c:pt idx="154">
                  <c:v>341000</c:v>
                </c:pt>
                <c:pt idx="155">
                  <c:v>343200</c:v>
                </c:pt>
                <c:pt idx="156">
                  <c:v>345400</c:v>
                </c:pt>
                <c:pt idx="157">
                  <c:v>347600</c:v>
                </c:pt>
                <c:pt idx="158">
                  <c:v>349800</c:v>
                </c:pt>
                <c:pt idx="159">
                  <c:v>352000</c:v>
                </c:pt>
                <c:pt idx="160">
                  <c:v>354200</c:v>
                </c:pt>
                <c:pt idx="161">
                  <c:v>356400</c:v>
                </c:pt>
                <c:pt idx="162">
                  <c:v>358600</c:v>
                </c:pt>
                <c:pt idx="163">
                  <c:v>360800</c:v>
                </c:pt>
                <c:pt idx="164">
                  <c:v>363000</c:v>
                </c:pt>
                <c:pt idx="165">
                  <c:v>365200</c:v>
                </c:pt>
                <c:pt idx="166">
                  <c:v>367400</c:v>
                </c:pt>
                <c:pt idx="167">
                  <c:v>369600</c:v>
                </c:pt>
                <c:pt idx="168">
                  <c:v>371800</c:v>
                </c:pt>
                <c:pt idx="169">
                  <c:v>374000</c:v>
                </c:pt>
                <c:pt idx="170">
                  <c:v>376200</c:v>
                </c:pt>
                <c:pt idx="171">
                  <c:v>378400</c:v>
                </c:pt>
                <c:pt idx="172">
                  <c:v>380600</c:v>
                </c:pt>
                <c:pt idx="173">
                  <c:v>382800</c:v>
                </c:pt>
                <c:pt idx="174">
                  <c:v>385000</c:v>
                </c:pt>
                <c:pt idx="175">
                  <c:v>387200</c:v>
                </c:pt>
                <c:pt idx="176">
                  <c:v>389400</c:v>
                </c:pt>
                <c:pt idx="177">
                  <c:v>391600</c:v>
                </c:pt>
                <c:pt idx="178">
                  <c:v>393800</c:v>
                </c:pt>
                <c:pt idx="179">
                  <c:v>396000</c:v>
                </c:pt>
                <c:pt idx="180">
                  <c:v>398200</c:v>
                </c:pt>
                <c:pt idx="181">
                  <c:v>400400</c:v>
                </c:pt>
                <c:pt idx="182">
                  <c:v>402600</c:v>
                </c:pt>
                <c:pt idx="183">
                  <c:v>404800</c:v>
                </c:pt>
                <c:pt idx="184">
                  <c:v>407000</c:v>
                </c:pt>
                <c:pt idx="185">
                  <c:v>409200</c:v>
                </c:pt>
                <c:pt idx="186">
                  <c:v>411400</c:v>
                </c:pt>
                <c:pt idx="187">
                  <c:v>413600</c:v>
                </c:pt>
                <c:pt idx="188">
                  <c:v>415800</c:v>
                </c:pt>
                <c:pt idx="189">
                  <c:v>418000</c:v>
                </c:pt>
                <c:pt idx="190">
                  <c:v>420200</c:v>
                </c:pt>
                <c:pt idx="191">
                  <c:v>422400</c:v>
                </c:pt>
                <c:pt idx="192">
                  <c:v>424600</c:v>
                </c:pt>
                <c:pt idx="193">
                  <c:v>426800</c:v>
                </c:pt>
                <c:pt idx="194">
                  <c:v>429000</c:v>
                </c:pt>
              </c:numCache>
            </c:numRef>
          </c:xVal>
          <c:yVal>
            <c:numRef>
              <c:f>'Depth vs Battery Mars'!$U$18:$U$212</c:f>
              <c:numCache>
                <c:formatCode>0.00</c:formatCode>
                <c:ptCount val="195"/>
                <c:pt idx="0">
                  <c:v>90.45000359416008</c:v>
                </c:pt>
                <c:pt idx="1">
                  <c:v>330.45001313090324</c:v>
                </c:pt>
                <c:pt idx="2">
                  <c:v>556.35002210736275</c:v>
                </c:pt>
                <c:pt idx="3">
                  <c:v>769.65003058314323</c:v>
                </c:pt>
                <c:pt idx="4">
                  <c:v>971.25003859400749</c:v>
                </c:pt>
                <c:pt idx="5">
                  <c:v>1162.0500461757183</c:v>
                </c:pt>
                <c:pt idx="6">
                  <c:v>1342.9500533640385</c:v>
                </c:pt>
                <c:pt idx="7">
                  <c:v>1514.7000601887703</c:v>
                </c:pt>
                <c:pt idx="8">
                  <c:v>1678.0500666797161</c:v>
                </c:pt>
                <c:pt idx="9">
                  <c:v>1833.4500728547573</c:v>
                </c:pt>
                <c:pt idx="10">
                  <c:v>1981.5000787377357</c:v>
                </c:pt>
                <c:pt idx="11">
                  <c:v>2122.8000843524933</c:v>
                </c:pt>
                <c:pt idx="12">
                  <c:v>2257.8000897169113</c:v>
                </c:pt>
                <c:pt idx="13">
                  <c:v>2386.8000948429108</c:v>
                </c:pt>
                <c:pt idx="14">
                  <c:v>2510.250099748373</c:v>
                </c:pt>
                <c:pt idx="15">
                  <c:v>2628.450104445219</c:v>
                </c:pt>
                <c:pt idx="16">
                  <c:v>2741.8501089513302</c:v>
                </c:pt>
                <c:pt idx="17">
                  <c:v>2850.6001132726669</c:v>
                </c:pt>
                <c:pt idx="18">
                  <c:v>2955.1501174271107</c:v>
                </c:pt>
                <c:pt idx="19">
                  <c:v>3055.5001214146614</c:v>
                </c:pt>
                <c:pt idx="20">
                  <c:v>3152.1001252532005</c:v>
                </c:pt>
                <c:pt idx="21">
                  <c:v>3245.1001289486885</c:v>
                </c:pt>
                <c:pt idx="22">
                  <c:v>3334.6501325070858</c:v>
                </c:pt>
                <c:pt idx="23">
                  <c:v>3421.0501359403133</c:v>
                </c:pt>
                <c:pt idx="24">
                  <c:v>3504.3001392483711</c:v>
                </c:pt>
                <c:pt idx="25">
                  <c:v>3584.7001424431801</c:v>
                </c:pt>
                <c:pt idx="26">
                  <c:v>3662.4001455307007</c:v>
                </c:pt>
                <c:pt idx="27">
                  <c:v>3737.4001485109329</c:v>
                </c:pt>
                <c:pt idx="28">
                  <c:v>3810.0001513957977</c:v>
                </c:pt>
                <c:pt idx="29">
                  <c:v>3880.2001541852951</c:v>
                </c:pt>
                <c:pt idx="30">
                  <c:v>3948.1501568853855</c:v>
                </c:pt>
                <c:pt idx="31">
                  <c:v>4014.0001595020294</c:v>
                </c:pt>
                <c:pt idx="32">
                  <c:v>4077.7501620352268</c:v>
                </c:pt>
                <c:pt idx="33">
                  <c:v>4139.5501644909382</c:v>
                </c:pt>
                <c:pt idx="34">
                  <c:v>4199.550166875124</c:v>
                </c:pt>
                <c:pt idx="35">
                  <c:v>4257.7501691877842</c:v>
                </c:pt>
                <c:pt idx="36">
                  <c:v>4314.1501714289188</c:v>
                </c:pt>
                <c:pt idx="37">
                  <c:v>4369.0501736104488</c:v>
                </c:pt>
                <c:pt idx="38">
                  <c:v>4422.3001757264137</c:v>
                </c:pt>
                <c:pt idx="39">
                  <c:v>4474.2001777887344</c:v>
                </c:pt>
                <c:pt idx="40">
                  <c:v>4524.6001797914505</c:v>
                </c:pt>
                <c:pt idx="41">
                  <c:v>4573.6501817405224</c:v>
                </c:pt>
                <c:pt idx="42">
                  <c:v>4621.3501836359501</c:v>
                </c:pt>
                <c:pt idx="43">
                  <c:v>4667.7001854777336</c:v>
                </c:pt>
                <c:pt idx="44">
                  <c:v>4713.0001872777939</c:v>
                </c:pt>
                <c:pt idx="45">
                  <c:v>4756.95018902421</c:v>
                </c:pt>
                <c:pt idx="46">
                  <c:v>4800.0001907348633</c:v>
                </c:pt>
                <c:pt idx="47">
                  <c:v>4841.8501923978329</c:v>
                </c:pt>
                <c:pt idx="48">
                  <c:v>4882.6501940190792</c:v>
                </c:pt>
                <c:pt idx="49">
                  <c:v>4922.4001955986023</c:v>
                </c:pt>
                <c:pt idx="50">
                  <c:v>4961.2501971423626</c:v>
                </c:pt>
                <c:pt idx="51">
                  <c:v>4999.2001986503601</c:v>
                </c:pt>
                <c:pt idx="52">
                  <c:v>5036.2502001225948</c:v>
                </c:pt>
                <c:pt idx="53">
                  <c:v>5072.4002015590668</c:v>
                </c:pt>
                <c:pt idx="54">
                  <c:v>5107.6502029597759</c:v>
                </c:pt>
                <c:pt idx="55">
                  <c:v>5142.1502043306828</c:v>
                </c:pt>
                <c:pt idx="56">
                  <c:v>5175.9002056717873</c:v>
                </c:pt>
                <c:pt idx="57">
                  <c:v>5208.9002069830894</c:v>
                </c:pt>
                <c:pt idx="58">
                  <c:v>5241.1502082645893</c:v>
                </c:pt>
                <c:pt idx="59">
                  <c:v>5272.6502095162868</c:v>
                </c:pt>
                <c:pt idx="60">
                  <c:v>5303.5502107441425</c:v>
                </c:pt>
                <c:pt idx="61">
                  <c:v>5333.7002119421959</c:v>
                </c:pt>
                <c:pt idx="62">
                  <c:v>5363.2502131164074</c:v>
                </c:pt>
                <c:pt idx="63">
                  <c:v>5392.200214266777</c:v>
                </c:pt>
                <c:pt idx="64">
                  <c:v>5420.5502153933048</c:v>
                </c:pt>
                <c:pt idx="65">
                  <c:v>5448.3002164959908</c:v>
                </c:pt>
                <c:pt idx="66">
                  <c:v>5475.4502175748348</c:v>
                </c:pt>
                <c:pt idx="67">
                  <c:v>5502.1502186357975</c:v>
                </c:pt>
                <c:pt idx="68">
                  <c:v>5528.2502196729183</c:v>
                </c:pt>
                <c:pt idx="69">
                  <c:v>5553.9002206921577</c:v>
                </c:pt>
                <c:pt idx="70">
                  <c:v>5578.9502216875553</c:v>
                </c:pt>
                <c:pt idx="71">
                  <c:v>5603.5502226650715</c:v>
                </c:pt>
                <c:pt idx="72">
                  <c:v>5627.7002236247063</c:v>
                </c:pt>
                <c:pt idx="73">
                  <c:v>5651.4002245664597</c:v>
                </c:pt>
                <c:pt idx="74">
                  <c:v>5674.6502254903316</c:v>
                </c:pt>
                <c:pt idx="75">
                  <c:v>5697.4502263963223</c:v>
                </c:pt>
                <c:pt idx="76">
                  <c:v>5719.9502272903919</c:v>
                </c:pt>
                <c:pt idx="77">
                  <c:v>5741.8502281606197</c:v>
                </c:pt>
                <c:pt idx="78">
                  <c:v>5763.4502290189266</c:v>
                </c:pt>
                <c:pt idx="79">
                  <c:v>5784.6002298593521</c:v>
                </c:pt>
                <c:pt idx="80">
                  <c:v>5805.4502306878567</c:v>
                </c:pt>
                <c:pt idx="81">
                  <c:v>5826.0002315044403</c:v>
                </c:pt>
                <c:pt idx="82">
                  <c:v>5846.1002323031425</c:v>
                </c:pt>
                <c:pt idx="83">
                  <c:v>5865.7502330839634</c:v>
                </c:pt>
                <c:pt idx="84">
                  <c:v>5885.2502338588238</c:v>
                </c:pt>
                <c:pt idx="85">
                  <c:v>5904.3002346158028</c:v>
                </c:pt>
                <c:pt idx="86">
                  <c:v>5923.0502353608608</c:v>
                </c:pt>
                <c:pt idx="87">
                  <c:v>5941.500236093998</c:v>
                </c:pt>
                <c:pt idx="88">
                  <c:v>5959.6502368152142</c:v>
                </c:pt>
                <c:pt idx="89">
                  <c:v>5977.5002375245094</c:v>
                </c:pt>
                <c:pt idx="90">
                  <c:v>5995.0502382218838</c:v>
                </c:pt>
                <c:pt idx="91">
                  <c:v>6012.3002389073372</c:v>
                </c:pt>
                <c:pt idx="92">
                  <c:v>6029.2502395808697</c:v>
                </c:pt>
                <c:pt idx="93">
                  <c:v>6046.0502402484417</c:v>
                </c:pt>
                <c:pt idx="94">
                  <c:v>6062.4002408981323</c:v>
                </c:pt>
                <c:pt idx="95">
                  <c:v>6078.6002415418625</c:v>
                </c:pt>
                <c:pt idx="96">
                  <c:v>6094.5002421736717</c:v>
                </c:pt>
                <c:pt idx="97">
                  <c:v>6110.2502427995205</c:v>
                </c:pt>
                <c:pt idx="98">
                  <c:v>6125.7002434134483</c:v>
                </c:pt>
                <c:pt idx="99">
                  <c:v>6141.0002440214157</c:v>
                </c:pt>
                <c:pt idx="100">
                  <c:v>6156.0002446174622</c:v>
                </c:pt>
                <c:pt idx="101">
                  <c:v>6170.7002452015877</c:v>
                </c:pt>
                <c:pt idx="102">
                  <c:v>6185.2502457797527</c:v>
                </c:pt>
                <c:pt idx="103">
                  <c:v>6199.6502463519573</c:v>
                </c:pt>
                <c:pt idx="104">
                  <c:v>6213.750246912241</c:v>
                </c:pt>
                <c:pt idx="105">
                  <c:v>6227.5502474606037</c:v>
                </c:pt>
                <c:pt idx="106">
                  <c:v>6241.3502480089664</c:v>
                </c:pt>
                <c:pt idx="107">
                  <c:v>6254.8502485454082</c:v>
                </c:pt>
                <c:pt idx="108">
                  <c:v>6268.2002490758896</c:v>
                </c:pt>
                <c:pt idx="109">
                  <c:v>6281.25024959445</c:v>
                </c:pt>
                <c:pt idx="110">
                  <c:v>6294.3002501130104</c:v>
                </c:pt>
                <c:pt idx="111">
                  <c:v>6307.0502506196499</c:v>
                </c:pt>
                <c:pt idx="112">
                  <c:v>6319.6502511203289</c:v>
                </c:pt>
                <c:pt idx="113">
                  <c:v>6332.1002516150475</c:v>
                </c:pt>
                <c:pt idx="114">
                  <c:v>6344.2502520978451</c:v>
                </c:pt>
                <c:pt idx="115">
                  <c:v>6356.4002525806427</c:v>
                </c:pt>
                <c:pt idx="116">
                  <c:v>6368.2502530515194</c:v>
                </c:pt>
                <c:pt idx="117">
                  <c:v>6380.1002535223961</c:v>
                </c:pt>
                <c:pt idx="118">
                  <c:v>6391.6502539813519</c:v>
                </c:pt>
                <c:pt idx="119">
                  <c:v>6403.2002544403076</c:v>
                </c:pt>
                <c:pt idx="120">
                  <c:v>6414.4502548873425</c:v>
                </c:pt>
                <c:pt idx="121">
                  <c:v>6425.5502553284168</c:v>
                </c:pt>
                <c:pt idx="122">
                  <c:v>6436.6502557694912</c:v>
                </c:pt>
                <c:pt idx="123">
                  <c:v>6447.4502561986446</c:v>
                </c:pt>
                <c:pt idx="124">
                  <c:v>6458.2502566277981</c:v>
                </c:pt>
                <c:pt idx="125">
                  <c:v>6468.7502570450306</c:v>
                </c:pt>
                <c:pt idx="126">
                  <c:v>6479.2502574622631</c:v>
                </c:pt>
                <c:pt idx="127">
                  <c:v>6489.6002578735352</c:v>
                </c:pt>
                <c:pt idx="128">
                  <c:v>6499.8002582788467</c:v>
                </c:pt>
                <c:pt idx="129">
                  <c:v>6509.8502586781979</c:v>
                </c:pt>
                <c:pt idx="130">
                  <c:v>6519.900259077549</c:v>
                </c:pt>
                <c:pt idx="131">
                  <c:v>6529.6502594649792</c:v>
                </c:pt>
                <c:pt idx="132">
                  <c:v>6539.4002598524094</c:v>
                </c:pt>
                <c:pt idx="133">
                  <c:v>6549.0002602338791</c:v>
                </c:pt>
                <c:pt idx="134">
                  <c:v>6558.4502606093884</c:v>
                </c:pt>
                <c:pt idx="135">
                  <c:v>6567.9002609848976</c:v>
                </c:pt>
                <c:pt idx="136">
                  <c:v>6577.0502613484859</c:v>
                </c:pt>
                <c:pt idx="137">
                  <c:v>6586.2002617120743</c:v>
                </c:pt>
                <c:pt idx="138">
                  <c:v>6595.2002620697021</c:v>
                </c:pt>
                <c:pt idx="139">
                  <c:v>6604.20026242733</c:v>
                </c:pt>
                <c:pt idx="140">
                  <c:v>6613.0502627789974</c:v>
                </c:pt>
                <c:pt idx="141">
                  <c:v>6621.7502631247044</c:v>
                </c:pt>
                <c:pt idx="142">
                  <c:v>6630.4502634704113</c:v>
                </c:pt>
                <c:pt idx="143">
                  <c:v>6638.8502638041973</c:v>
                </c:pt>
                <c:pt idx="144">
                  <c:v>6647.4002641439438</c:v>
                </c:pt>
                <c:pt idx="145">
                  <c:v>6655.6502644717693</c:v>
                </c:pt>
                <c:pt idx="146">
                  <c:v>6663.9002647995949</c:v>
                </c:pt>
                <c:pt idx="147">
                  <c:v>6672.00026512146</c:v>
                </c:pt>
                <c:pt idx="148">
                  <c:v>6680.100265443325</c:v>
                </c:pt>
                <c:pt idx="149">
                  <c:v>6688.0502657592297</c:v>
                </c:pt>
                <c:pt idx="150">
                  <c:v>6696.0002660751343</c:v>
                </c:pt>
                <c:pt idx="151">
                  <c:v>6703.8002663850784</c:v>
                </c:pt>
                <c:pt idx="152">
                  <c:v>6711.4502666890621</c:v>
                </c:pt>
                <c:pt idx="153">
                  <c:v>6719.1002669930458</c:v>
                </c:pt>
                <c:pt idx="154">
                  <c:v>6726.7502672970295</c:v>
                </c:pt>
                <c:pt idx="155">
                  <c:v>6734.1002675890923</c:v>
                </c:pt>
                <c:pt idx="156">
                  <c:v>6741.6002678871155</c:v>
                </c:pt>
                <c:pt idx="157">
                  <c:v>6748.8002681732178</c:v>
                </c:pt>
                <c:pt idx="158">
                  <c:v>6756.1502684652805</c:v>
                </c:pt>
                <c:pt idx="159">
                  <c:v>6763.2002687454224</c:v>
                </c:pt>
                <c:pt idx="160">
                  <c:v>6770.4002690315247</c:v>
                </c:pt>
                <c:pt idx="161">
                  <c:v>6777.300269305706</c:v>
                </c:pt>
                <c:pt idx="162">
                  <c:v>6784.3502695858479</c:v>
                </c:pt>
                <c:pt idx="163">
                  <c:v>6791.1002698540688</c:v>
                </c:pt>
                <c:pt idx="164">
                  <c:v>6798.0002701282501</c:v>
                </c:pt>
                <c:pt idx="165">
                  <c:v>6804.750270396471</c:v>
                </c:pt>
                <c:pt idx="166">
                  <c:v>6811.3502706587315</c:v>
                </c:pt>
                <c:pt idx="167">
                  <c:v>6817.9502709209919</c:v>
                </c:pt>
                <c:pt idx="168">
                  <c:v>6824.4002711772919</c:v>
                </c:pt>
                <c:pt idx="169">
                  <c:v>6831.0002714395523</c:v>
                </c:pt>
                <c:pt idx="170">
                  <c:v>6837.3002716898918</c:v>
                </c:pt>
                <c:pt idx="171">
                  <c:v>6843.7502719461918</c:v>
                </c:pt>
                <c:pt idx="172">
                  <c:v>6849.9002721905708</c:v>
                </c:pt>
                <c:pt idx="173">
                  <c:v>6856.2002724409103</c:v>
                </c:pt>
                <c:pt idx="174">
                  <c:v>6862.3502726852894</c:v>
                </c:pt>
                <c:pt idx="175">
                  <c:v>6868.350272923708</c:v>
                </c:pt>
                <c:pt idx="176">
                  <c:v>6874.500273168087</c:v>
                </c:pt>
                <c:pt idx="177">
                  <c:v>6880.5002734065056</c:v>
                </c:pt>
                <c:pt idx="178">
                  <c:v>6886.3502736389637</c:v>
                </c:pt>
                <c:pt idx="179">
                  <c:v>6892.2002738714218</c:v>
                </c:pt>
                <c:pt idx="180">
                  <c:v>6898.0502741038799</c:v>
                </c:pt>
                <c:pt idx="181">
                  <c:v>6903.7502743303776</c:v>
                </c:pt>
                <c:pt idx="182">
                  <c:v>6909.4502745568752</c:v>
                </c:pt>
                <c:pt idx="183">
                  <c:v>6915.1502747833729</c:v>
                </c:pt>
                <c:pt idx="184">
                  <c:v>6920.7002750039101</c:v>
                </c:pt>
                <c:pt idx="185">
                  <c:v>6926.2502752244473</c:v>
                </c:pt>
                <c:pt idx="186">
                  <c:v>6931.8002754449844</c:v>
                </c:pt>
                <c:pt idx="187">
                  <c:v>6937.2002756595612</c:v>
                </c:pt>
                <c:pt idx="188">
                  <c:v>6942.6002758741379</c:v>
                </c:pt>
                <c:pt idx="189">
                  <c:v>6948.0002760887146</c:v>
                </c:pt>
                <c:pt idx="190">
                  <c:v>6953.2502762973309</c:v>
                </c:pt>
                <c:pt idx="191">
                  <c:v>6958.5002765059471</c:v>
                </c:pt>
                <c:pt idx="192">
                  <c:v>6963.7502767145634</c:v>
                </c:pt>
                <c:pt idx="193">
                  <c:v>6968.8502769172192</c:v>
                </c:pt>
                <c:pt idx="194">
                  <c:v>6973.950277119875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0B-4EB2-BFDD-07BE8E80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25000"/>
          <c:min val="2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Battery Capacity (mAh)</a:t>
                </a:r>
              </a:p>
            </c:rich>
          </c:tx>
          <c:layout>
            <c:manualLayout>
              <c:xMode val="edge"/>
              <c:yMode val="edge"/>
              <c:x val="0.41696919666566606"/>
              <c:y val="0.93432704901002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  <c:majorUnit val="4400"/>
      </c:valAx>
      <c:valAx>
        <c:axId val="676767392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88269794721412E-3"/>
              <c:y val="0.39455402097021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FA9CDF-C459-4C45-8B0B-FC6C1EF125BC}">
  <sheetPr/>
  <sheetViews>
    <sheetView tabSelected="1" zoomScale="7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5A7848-8DC8-4646-9102-6F54CD1B6D1C}">
  <sheetPr/>
  <sheetViews>
    <sheetView zoomScale="20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009086A-79A9-44D0-8B94-220FD3666B7D}">
  <sheetPr/>
  <sheetViews>
    <sheetView zoomScale="7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7654ED-2D27-4A78-89C5-56A799EA7546}">
  <sheetPr/>
  <sheetViews>
    <sheetView zoomScale="75" workbookViewId="0" zoomToFit="1"/>
  </sheetViews>
  <pageMargins left="0.7" right="0.7" top="0.75" bottom="0.75" header="0.3" footer="0.3"/>
  <pageSetup orientation="landscape" horizontalDpi="4294967293" verticalDpi="30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95142D-A100-453E-8132-FFD22C097C7F}">
  <sheetPr/>
  <sheetViews>
    <sheetView zoomScale="75" workbookViewId="0" zoomToFit="1"/>
  </sheetViews>
  <pageMargins left="0.7" right="0.7" top="0.75" bottom="0.75" header="0.3" footer="0.3"/>
  <pageSetup orientation="landscape" horizontalDpi="4294967293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180974</xdr:rowOff>
    </xdr:from>
    <xdr:to>
      <xdr:col>5</xdr:col>
      <xdr:colOff>242889</xdr:colOff>
      <xdr:row>31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538162</xdr:colOff>
      <xdr:row>15</xdr:row>
      <xdr:rowOff>123825</xdr:rowOff>
    </xdr:from>
    <xdr:to>
      <xdr:col>11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261937</xdr:colOff>
      <xdr:row>14</xdr:row>
      <xdr:rowOff>9523</xdr:rowOff>
    </xdr:from>
    <xdr:to>
      <xdr:col>19</xdr:col>
      <xdr:colOff>23812</xdr:colOff>
      <xdr:row>30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</xdr:colOff>
      <xdr:row>12</xdr:row>
      <xdr:rowOff>133350</xdr:rowOff>
    </xdr:from>
    <xdr:to>
      <xdr:col>5</xdr:col>
      <xdr:colOff>1095375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152398</xdr:colOff>
      <xdr:row>16</xdr:row>
      <xdr:rowOff>104775</xdr:rowOff>
    </xdr:from>
    <xdr:to>
      <xdr:col>13</xdr:col>
      <xdr:colOff>500743</xdr:colOff>
      <xdr:row>31</xdr:row>
      <xdr:rowOff>111577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290512</xdr:colOff>
      <xdr:row>10</xdr:row>
      <xdr:rowOff>28575</xdr:rowOff>
    </xdr:from>
    <xdr:to>
      <xdr:col>18</xdr:col>
      <xdr:colOff>438150</xdr:colOff>
      <xdr:row>24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386B1A-18B4-498A-A0C0-3A2CA9FDB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133349</xdr:colOff>
      <xdr:row>23</xdr:row>
      <xdr:rowOff>133349</xdr:rowOff>
    </xdr:from>
    <xdr:to>
      <xdr:col>18</xdr:col>
      <xdr:colOff>276224</xdr:colOff>
      <xdr:row>36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69E6C-1556-42B1-A9D2-579B7A2A5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BA38B-953E-42A0-876A-36B8EA44403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A55A8-510D-4414-9F0D-8C8986DF2F3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062FEB-3972-4790-8EB2-7E1FCDD256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2F9250-1A72-4083-BFC9-A8DB3060BD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721DB-D040-4529-92FA-5C6585DAB7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topLeftCell="A7" zoomScaleNormal="100" workbookViewId="0">
      <selection activeCell="C9" sqref="C9"/>
    </sheetView>
  </sheetViews>
  <sheetFormatPr defaultRowHeight="14.5" x14ac:dyDescent="0.35"/>
  <cols>
    <col min="1" max="1" width="11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1" spans="2:19" ht="21.75" customHeight="1" x14ac:dyDescent="0.55000000000000004">
      <c r="B1" s="101" t="s">
        <v>80</v>
      </c>
      <c r="C1" s="101"/>
      <c r="D1" s="101"/>
      <c r="E1" s="101"/>
      <c r="F1" s="101"/>
    </row>
    <row r="3" spans="2:19" x14ac:dyDescent="0.35">
      <c r="B3" s="54" t="s">
        <v>66</v>
      </c>
      <c r="C3" s="3">
        <v>3.7207599999999998</v>
      </c>
      <c r="D3" s="3" t="s">
        <v>8</v>
      </c>
      <c r="E3" s="9"/>
      <c r="F3" s="54" t="s">
        <v>71</v>
      </c>
      <c r="G3" s="3">
        <v>1</v>
      </c>
      <c r="H3" s="3" t="s">
        <v>4</v>
      </c>
      <c r="J3" s="54" t="s">
        <v>13</v>
      </c>
      <c r="K3" s="12">
        <f>3.7*5</f>
        <v>18.5</v>
      </c>
      <c r="L3" s="3" t="s">
        <v>15</v>
      </c>
    </row>
    <row r="4" spans="2:19" x14ac:dyDescent="0.35">
      <c r="B4" s="54" t="s">
        <v>93</v>
      </c>
      <c r="C4" s="3">
        <v>10</v>
      </c>
      <c r="D4" s="3" t="s">
        <v>94</v>
      </c>
      <c r="F4" s="54" t="s">
        <v>111</v>
      </c>
      <c r="G4" s="3">
        <v>80000</v>
      </c>
      <c r="H4" s="3" t="s">
        <v>22</v>
      </c>
      <c r="J4" s="54" t="s">
        <v>14</v>
      </c>
      <c r="K4" s="3">
        <v>4400</v>
      </c>
      <c r="L4" s="3" t="s">
        <v>0</v>
      </c>
      <c r="M4" s="99" t="s">
        <v>77</v>
      </c>
      <c r="N4" s="100"/>
      <c r="O4" s="100"/>
      <c r="P4" s="100"/>
      <c r="Q4" s="57" t="e" cm="1">
        <f t="array" aca="1" ref="Q4" ca="1">CELL("contents",INDEX(C13:C636,MATCH("yes",P13:P636,0)))</f>
        <v>#N/A</v>
      </c>
      <c r="R4" s="56" t="s">
        <v>5</v>
      </c>
      <c r="S4" t="s">
        <v>99</v>
      </c>
    </row>
    <row r="5" spans="2:19" x14ac:dyDescent="0.35">
      <c r="B5" s="55" t="s">
        <v>106</v>
      </c>
      <c r="C5" s="55">
        <f>C3*C4</f>
        <v>37.207599999999999</v>
      </c>
      <c r="D5" s="55" t="s">
        <v>105</v>
      </c>
      <c r="E5" s="14"/>
      <c r="F5" s="54" t="s">
        <v>112</v>
      </c>
      <c r="G5" s="3">
        <v>2250</v>
      </c>
      <c r="H5" s="3" t="s">
        <v>20</v>
      </c>
      <c r="J5" s="54" t="s">
        <v>1</v>
      </c>
      <c r="K5" s="10">
        <v>-3.6000000000000001E-5</v>
      </c>
      <c r="L5" s="9" t="s">
        <v>3</v>
      </c>
      <c r="M5" s="99" t="s">
        <v>78</v>
      </c>
      <c r="N5" s="100"/>
      <c r="O5" s="100"/>
      <c r="P5" s="100"/>
      <c r="Q5" s="57" t="e" cm="1">
        <f t="array" aca="1" ref="Q5" ca="1">CELL("contents",INDEX(C14:C636,MATCH("yes",O14:O636,0)))</f>
        <v>#N/A</v>
      </c>
      <c r="R5" s="56" t="s">
        <v>5</v>
      </c>
      <c r="S5" s="7" t="e" cm="1">
        <f t="array" ref="S5">maxDepthToMinSOC(H5,H6,C10,C11,C8,$H$4,$C$6,$H$10,$C$5,$C$7,$C$4)</f>
        <v>#VALUE!</v>
      </c>
    </row>
    <row r="6" spans="2:19" x14ac:dyDescent="0.35">
      <c r="B6" s="55" t="s">
        <v>115</v>
      </c>
      <c r="C6" s="80">
        <f>'Operating Loads'!C31</f>
        <v>6.6000000000000005</v>
      </c>
      <c r="D6" s="55" t="s">
        <v>7</v>
      </c>
      <c r="E6" s="14"/>
      <c r="F6" s="55" t="s">
        <v>110</v>
      </c>
      <c r="G6" s="79">
        <f>G4/G5</f>
        <v>35.555555555555557</v>
      </c>
      <c r="H6" s="55" t="s">
        <v>59</v>
      </c>
      <c r="J6" s="54" t="s">
        <v>2</v>
      </c>
      <c r="K6" s="11">
        <v>0.93500000000000005</v>
      </c>
      <c r="L6" s="9" t="s">
        <v>3</v>
      </c>
    </row>
    <row r="7" spans="2:19" x14ac:dyDescent="0.35">
      <c r="B7" s="54" t="s">
        <v>10</v>
      </c>
      <c r="C7" s="3">
        <v>0.15</v>
      </c>
      <c r="D7" s="3" t="s">
        <v>5</v>
      </c>
      <c r="E7" s="14"/>
      <c r="J7" s="54" t="s">
        <v>17</v>
      </c>
      <c r="K7" s="13">
        <v>1</v>
      </c>
      <c r="L7" s="3"/>
    </row>
    <row r="8" spans="2:19" x14ac:dyDescent="0.35">
      <c r="B8" s="54" t="s">
        <v>103</v>
      </c>
      <c r="C8" s="3">
        <v>0.25</v>
      </c>
      <c r="D8" s="3" t="s">
        <v>6</v>
      </c>
      <c r="E8" s="14"/>
      <c r="J8" s="54" t="s">
        <v>18</v>
      </c>
      <c r="K8" s="13">
        <v>0.25</v>
      </c>
      <c r="L8" s="3"/>
    </row>
    <row r="9" spans="2:19" ht="19.5" customHeight="1" x14ac:dyDescent="0.35">
      <c r="B9" s="54" t="s">
        <v>104</v>
      </c>
      <c r="C9" s="3">
        <v>4</v>
      </c>
      <c r="D9" s="3" t="s">
        <v>105</v>
      </c>
      <c r="E9" s="14"/>
      <c r="J9" s="55" t="s">
        <v>114</v>
      </c>
      <c r="K9" s="55">
        <f>K4*3.6/1000*K3</f>
        <v>293.04000000000002</v>
      </c>
      <c r="L9" s="55" t="s">
        <v>16</v>
      </c>
    </row>
    <row r="10" spans="2:19" x14ac:dyDescent="0.35">
      <c r="B10" s="54" t="s">
        <v>64</v>
      </c>
      <c r="C10" s="13">
        <v>0.25</v>
      </c>
      <c r="D10" s="3"/>
      <c r="E10" s="15"/>
      <c r="J10" s="55" t="s">
        <v>113</v>
      </c>
      <c r="K10" s="80" cm="1">
        <f t="array" ref="K10">UseableCapacity(K9,K7,K8)</f>
        <v>219.78000000000003</v>
      </c>
      <c r="L10" s="55" t="s">
        <v>16</v>
      </c>
    </row>
    <row r="11" spans="2:19" x14ac:dyDescent="0.35">
      <c r="B11" s="55" t="s">
        <v>19</v>
      </c>
      <c r="C11" s="55" cm="1">
        <f t="array" ref="C11">drivePower(C3,C4,C8,C9,C10)</f>
        <v>38.207599999999999</v>
      </c>
      <c r="D11" s="55" t="s">
        <v>7</v>
      </c>
      <c r="E11" s="15"/>
      <c r="F11" s="54" t="s">
        <v>74</v>
      </c>
      <c r="G11" s="3">
        <v>1</v>
      </c>
      <c r="J11" s="55" t="s">
        <v>109</v>
      </c>
      <c r="K11" s="55">
        <f>K4*0.5</f>
        <v>2200</v>
      </c>
      <c r="L11" s="55" t="s">
        <v>107</v>
      </c>
    </row>
    <row r="12" spans="2:19" x14ac:dyDescent="0.35">
      <c r="J12" s="55" t="s">
        <v>108</v>
      </c>
      <c r="K12" s="55">
        <f>K11*K3/1000</f>
        <v>40.700000000000003</v>
      </c>
      <c r="L12" s="55" t="s">
        <v>59</v>
      </c>
    </row>
    <row r="13" spans="2:19" ht="72.5" x14ac:dyDescent="0.35">
      <c r="B13" s="52" t="s">
        <v>9</v>
      </c>
      <c r="C13" s="52" t="s">
        <v>11</v>
      </c>
      <c r="D13" s="52" t="s">
        <v>12</v>
      </c>
      <c r="E13" s="52" t="s">
        <v>21</v>
      </c>
      <c r="F13" s="52" t="s">
        <v>98</v>
      </c>
      <c r="G13" s="52" t="s">
        <v>65</v>
      </c>
      <c r="H13" s="52" t="s">
        <v>72</v>
      </c>
      <c r="I13" s="52" t="s">
        <v>69</v>
      </c>
      <c r="J13" s="52" t="s">
        <v>67</v>
      </c>
      <c r="K13" s="52" t="s">
        <v>70</v>
      </c>
      <c r="L13" s="52" t="s">
        <v>100</v>
      </c>
      <c r="M13" s="52" t="s">
        <v>68</v>
      </c>
      <c r="N13" s="52" t="s">
        <v>73</v>
      </c>
      <c r="O13" s="52" t="s">
        <v>75</v>
      </c>
      <c r="P13" s="52" t="s">
        <v>76</v>
      </c>
    </row>
    <row r="14" spans="2:19" x14ac:dyDescent="0.3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66" cm="1">
        <f t="array" ref="F14">estimatedTripDuration(C14,$C$7,$C$6)/60</f>
        <v>0.12666666732894052</v>
      </c>
      <c r="G14">
        <f>B14</f>
        <v>0</v>
      </c>
      <c r="H14" s="53">
        <f>G14/$G$3</f>
        <v>0</v>
      </c>
      <c r="I14" s="7" cm="1">
        <f t="array" ref="I14">CurrentCapacity(K$9,K$5,K$6,H14)</f>
        <v>273.99240000000003</v>
      </c>
      <c r="J14" s="51">
        <f>E14/I14</f>
        <v>0.3619634689176352</v>
      </c>
      <c r="K14" s="5" cm="1">
        <f t="array" ref="K14">UseableCapacity(I14,$K$7,$K$8)</f>
        <v>205.49430000000001</v>
      </c>
      <c r="L14" s="66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35">
      <c r="B15">
        <f>B14+$G$11</f>
        <v>1</v>
      </c>
      <c r="C15" s="7">
        <f t="shared" ref="C15:C78" si="0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66" cm="1">
        <f t="array" ref="F15">estimatedTripDuration(C15,$C$7,$C$6)/60</f>
        <v>0.16000000066227385</v>
      </c>
      <c r="G15">
        <f t="shared" ref="G15:G78" si="1">B15</f>
        <v>1</v>
      </c>
      <c r="H15" s="53">
        <f t="shared" ref="H15:H78" si="2">G15/$G$3</f>
        <v>1</v>
      </c>
      <c r="I15" s="7" cm="1">
        <f t="array" ref="I15">CurrentCapacity(K$9,K$5,K$6,H15)</f>
        <v>273.98185056</v>
      </c>
      <c r="J15" s="51">
        <f t="shared" ref="J15:J78" si="3">E15/I15</f>
        <v>0.36217365667926921</v>
      </c>
      <c r="K15" s="5" cm="1">
        <f t="array" ref="K15">UseableCapacity(I15,$K$7,$K$8)</f>
        <v>205.48638792</v>
      </c>
      <c r="L15" s="66">
        <f t="shared" ref="L15:L78" si="4">(K$7*I15)-E15</f>
        <v>174.75284187893172</v>
      </c>
      <c r="M15" s="7">
        <f t="shared" ref="M15:M78" si="5">K15-E15</f>
        <v>106.25737923893172</v>
      </c>
      <c r="N15" s="7">
        <f t="shared" ref="N15:N78" si="6">$K$9-I15</f>
        <v>19.058149440000022</v>
      </c>
      <c r="O15" t="str">
        <f t="shared" ref="O15:O78" si="7">IF(M15&lt;0,"yes","no")</f>
        <v>no</v>
      </c>
      <c r="P15" t="str">
        <f t="shared" ref="P15:P78" si="8">IF(L15&lt;0,"yes","no")</f>
        <v>no</v>
      </c>
    </row>
    <row r="16" spans="2:19" x14ac:dyDescent="0.35">
      <c r="B16">
        <f t="shared" ref="B16:B79" si="9">B15+$G$11</f>
        <v>2</v>
      </c>
      <c r="C16" s="7">
        <f t="shared" si="0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66" cm="1">
        <f t="array" ref="F16">estimatedTripDuration(C16,$C$7,$C$6)/60</f>
        <v>0.19333333399560718</v>
      </c>
      <c r="G16">
        <f t="shared" si="1"/>
        <v>2</v>
      </c>
      <c r="H16" s="53">
        <f t="shared" si="2"/>
        <v>2</v>
      </c>
      <c r="I16" s="7" cm="1">
        <f t="array" ref="I16">CurrentCapacity(K$9,K$5,K$6,H16)</f>
        <v>273.97130112000002</v>
      </c>
      <c r="J16" s="51">
        <f t="shared" si="3"/>
        <v>0.36238386062773131</v>
      </c>
      <c r="K16" s="5" cm="1">
        <f t="array" ref="K16">UseableCapacity(I16,$K$7,$K$8)</f>
        <v>205.47847584000002</v>
      </c>
      <c r="L16" s="66">
        <f t="shared" si="4"/>
        <v>174.68852331893174</v>
      </c>
      <c r="M16" s="7">
        <f t="shared" si="5"/>
        <v>106.19569803893172</v>
      </c>
      <c r="N16" s="7">
        <f t="shared" si="6"/>
        <v>19.068698879999999</v>
      </c>
      <c r="O16" t="str">
        <f t="shared" si="7"/>
        <v>no</v>
      </c>
      <c r="P16" t="str">
        <f t="shared" si="8"/>
        <v>no</v>
      </c>
    </row>
    <row r="17" spans="2:16" x14ac:dyDescent="0.35">
      <c r="B17">
        <f t="shared" si="9"/>
        <v>3</v>
      </c>
      <c r="C17" s="7">
        <f t="shared" si="0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66" cm="1">
        <f t="array" ref="F17">estimatedTripDuration(C17,$C$7,$C$6)/60</f>
        <v>0.2266666673289405</v>
      </c>
      <c r="G17">
        <f t="shared" si="1"/>
        <v>3</v>
      </c>
      <c r="H17" s="53">
        <f t="shared" si="2"/>
        <v>3</v>
      </c>
      <c r="I17" s="7" cm="1">
        <f t="array" ref="I17">CurrentCapacity(K$9,K$5,K$6,H17)</f>
        <v>273.96075168000004</v>
      </c>
      <c r="J17" s="51">
        <f t="shared" si="3"/>
        <v>0.36259408076489136</v>
      </c>
      <c r="K17" s="5" cm="1">
        <f t="array" ref="K17">UseableCapacity(I17,$K$7,$K$8)</f>
        <v>205.47056376000003</v>
      </c>
      <c r="L17" s="66">
        <f t="shared" si="4"/>
        <v>174.62420475893177</v>
      </c>
      <c r="M17" s="7">
        <f t="shared" si="5"/>
        <v>106.13401683893176</v>
      </c>
      <c r="N17" s="7">
        <f t="shared" si="6"/>
        <v>19.079248319999977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4</v>
      </c>
      <c r="C18" s="7">
        <f t="shared" si="0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66" cm="1">
        <f t="array" ref="F18">estimatedTripDuration(C18,$C$7,$C$6)/60</f>
        <v>0.2600000006622738</v>
      </c>
      <c r="G18">
        <f t="shared" si="1"/>
        <v>4</v>
      </c>
      <c r="H18" s="53">
        <f t="shared" si="2"/>
        <v>4</v>
      </c>
      <c r="I18" s="7" cm="1">
        <f t="array" ref="I18">CurrentCapacity(K$9,K$5,K$6,H18)</f>
        <v>273.95020224000001</v>
      </c>
      <c r="J18" s="51">
        <f t="shared" si="3"/>
        <v>0.36280431709261984</v>
      </c>
      <c r="K18" s="5" cm="1">
        <f t="array" ref="K18">UseableCapacity(I18,$K$7,$K$8)</f>
        <v>205.46265168000002</v>
      </c>
      <c r="L18" s="66">
        <f t="shared" si="4"/>
        <v>174.55988619893171</v>
      </c>
      <c r="M18" s="7">
        <f t="shared" si="5"/>
        <v>106.07233563893172</v>
      </c>
      <c r="N18" s="7">
        <f t="shared" si="6"/>
        <v>19.08979776000001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5</v>
      </c>
      <c r="C19" s="7">
        <f t="shared" si="0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66" cm="1">
        <f t="array" ref="F19">estimatedTripDuration(C19,$C$7,$C$6)/60</f>
        <v>0.29333333399560713</v>
      </c>
      <c r="G19">
        <f t="shared" si="1"/>
        <v>5</v>
      </c>
      <c r="H19" s="53">
        <f t="shared" si="2"/>
        <v>5</v>
      </c>
      <c r="I19" s="7" cm="1">
        <f t="array" ref="I19">CurrentCapacity(K$9,K$5,K$6,H19)</f>
        <v>273.93965280000003</v>
      </c>
      <c r="J19" s="51">
        <f t="shared" si="3"/>
        <v>0.36301456961278694</v>
      </c>
      <c r="K19" s="5" cm="1">
        <f t="array" ref="K19">UseableCapacity(I19,$K$7,$K$8)</f>
        <v>205.45473960000004</v>
      </c>
      <c r="L19" s="66">
        <f t="shared" si="4"/>
        <v>174.49556763893173</v>
      </c>
      <c r="M19" s="7">
        <f t="shared" si="5"/>
        <v>106.01065443893174</v>
      </c>
      <c r="N19" s="7">
        <f t="shared" si="6"/>
        <v>19.100347199999987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6</v>
      </c>
      <c r="C20" s="7">
        <f t="shared" si="0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66" cm="1">
        <f t="array" ref="F20">estimatedTripDuration(C20,$C$7,$C$6)/60</f>
        <v>0.32666666732894051</v>
      </c>
      <c r="G20">
        <f t="shared" si="1"/>
        <v>6</v>
      </c>
      <c r="H20" s="53">
        <f t="shared" si="2"/>
        <v>6</v>
      </c>
      <c r="I20" s="7" cm="1">
        <f t="array" ref="I20">CurrentCapacity(K$9,K$5,K$6,H20)</f>
        <v>273.92910336000006</v>
      </c>
      <c r="J20" s="51">
        <f t="shared" si="3"/>
        <v>0.36322483832726354</v>
      </c>
      <c r="K20" s="5" cm="1">
        <f t="array" ref="K20">UseableCapacity(I20,$K$7,$K$8)</f>
        <v>205.44682752000006</v>
      </c>
      <c r="L20" s="66">
        <f t="shared" si="4"/>
        <v>174.43124907893178</v>
      </c>
      <c r="M20" s="7">
        <f t="shared" si="5"/>
        <v>105.94897323893177</v>
      </c>
      <c r="N20" s="7">
        <f t="shared" si="6"/>
        <v>19.110896639999964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7</v>
      </c>
      <c r="C21" s="7">
        <f t="shared" si="0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66" cm="1">
        <f t="array" ref="F21">estimatedTripDuration(C21,$C$7,$C$6)/60</f>
        <v>0.36000000066227389</v>
      </c>
      <c r="G21">
        <f t="shared" si="1"/>
        <v>7</v>
      </c>
      <c r="H21" s="53">
        <f t="shared" si="2"/>
        <v>7</v>
      </c>
      <c r="I21" s="7" cm="1">
        <f t="array" ref="I21">CurrentCapacity(K$9,K$5,K$6,H21)</f>
        <v>273.91855392000002</v>
      </c>
      <c r="J21" s="51">
        <f t="shared" si="3"/>
        <v>0.36343512323792093</v>
      </c>
      <c r="K21" s="5" cm="1">
        <f t="array" ref="K21">UseableCapacity(I21,$K$7,$K$8)</f>
        <v>205.43891544000002</v>
      </c>
      <c r="L21" s="66">
        <f t="shared" si="4"/>
        <v>174.36693051893172</v>
      </c>
      <c r="M21" s="7">
        <f t="shared" si="5"/>
        <v>105.88729203893172</v>
      </c>
      <c r="N21" s="7">
        <f t="shared" si="6"/>
        <v>19.121446079999998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8</v>
      </c>
      <c r="C22" s="7">
        <f t="shared" si="0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66" cm="1">
        <f t="array" ref="F22">estimatedTripDuration(C22,$C$7,$C$6)/60</f>
        <v>0.39333333399560721</v>
      </c>
      <c r="G22">
        <f t="shared" si="1"/>
        <v>8</v>
      </c>
      <c r="H22" s="53">
        <f t="shared" si="2"/>
        <v>8</v>
      </c>
      <c r="I22" s="7" cm="1">
        <f t="array" ref="I22">CurrentCapacity(K$9,K$5,K$6,H22)</f>
        <v>273.90800448000005</v>
      </c>
      <c r="J22" s="51">
        <f t="shared" si="3"/>
        <v>0.36364542434663016</v>
      </c>
      <c r="K22" s="5" cm="1">
        <f t="array" ref="K22">UseableCapacity(I22,$K$7,$K$8)</f>
        <v>205.43100336000003</v>
      </c>
      <c r="L22" s="66">
        <f t="shared" si="4"/>
        <v>174.30261195893175</v>
      </c>
      <c r="M22" s="7">
        <f t="shared" si="5"/>
        <v>105.82561083893174</v>
      </c>
      <c r="N22" s="7">
        <f t="shared" si="6"/>
        <v>19.131995519999975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9</v>
      </c>
      <c r="C23" s="7">
        <f t="shared" si="0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66" cm="1">
        <f t="array" ref="F23">estimatedTripDuration(C23,$C$7,$C$6)/60</f>
        <v>0.42666666732894054</v>
      </c>
      <c r="G23">
        <f t="shared" si="1"/>
        <v>9</v>
      </c>
      <c r="H23" s="53">
        <f t="shared" si="2"/>
        <v>9</v>
      </c>
      <c r="I23" s="7" cm="1">
        <f t="array" ref="I23">CurrentCapacity(K$9,K$5,K$6,H23)</f>
        <v>273.89745504000001</v>
      </c>
      <c r="J23" s="51">
        <f t="shared" si="3"/>
        <v>0.36385574165526313</v>
      </c>
      <c r="K23" s="5" cm="1">
        <f t="array" ref="K23">UseableCapacity(I23,$K$7,$K$8)</f>
        <v>205.42309127999999</v>
      </c>
      <c r="L23" s="66">
        <f t="shared" si="4"/>
        <v>174.23829339893172</v>
      </c>
      <c r="M23" s="7">
        <f t="shared" si="5"/>
        <v>105.7639296389317</v>
      </c>
      <c r="N23" s="7">
        <f t="shared" si="6"/>
        <v>19.142544960000009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10</v>
      </c>
      <c r="C24" s="7">
        <f t="shared" si="0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66" cm="1">
        <f t="array" ref="F24">estimatedTripDuration(C24,$C$7,$C$6)/60</f>
        <v>0.46000000066227387</v>
      </c>
      <c r="G24">
        <f t="shared" si="1"/>
        <v>10</v>
      </c>
      <c r="H24" s="53">
        <f t="shared" si="2"/>
        <v>10</v>
      </c>
      <c r="I24" s="7" cm="1">
        <f t="array" ref="I24">CurrentCapacity(K$9,K$5,K$6,H24)</f>
        <v>273.88690560000003</v>
      </c>
      <c r="J24" s="51">
        <f t="shared" si="3"/>
        <v>0.36406607516569162</v>
      </c>
      <c r="K24" s="5" cm="1">
        <f t="array" ref="K24">UseableCapacity(I24,$K$7,$K$8)</f>
        <v>205.41517920000001</v>
      </c>
      <c r="L24" s="66">
        <f t="shared" si="4"/>
        <v>174.17397483893174</v>
      </c>
      <c r="M24" s="7">
        <f t="shared" si="5"/>
        <v>105.70224843893172</v>
      </c>
      <c r="N24" s="7">
        <f t="shared" si="6"/>
        <v>19.153094399999986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11</v>
      </c>
      <c r="C25" s="7">
        <f t="shared" si="0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66" cm="1">
        <f t="array" ref="F25">estimatedTripDuration(C25,$C$7,$C$6)/60</f>
        <v>0.49333333399560719</v>
      </c>
      <c r="G25">
        <f t="shared" si="1"/>
        <v>11</v>
      </c>
      <c r="H25" s="53">
        <f t="shared" si="2"/>
        <v>11</v>
      </c>
      <c r="I25" s="7" cm="1">
        <f t="array" ref="I25">CurrentCapacity(K$9,K$5,K$6,H25)</f>
        <v>273.87635616000006</v>
      </c>
      <c r="J25" s="51">
        <f t="shared" si="3"/>
        <v>0.3642764248797879</v>
      </c>
      <c r="K25" s="5" cm="1">
        <f t="array" ref="K25">UseableCapacity(I25,$K$7,$K$8)</f>
        <v>205.40726712000003</v>
      </c>
      <c r="L25" s="66">
        <f t="shared" si="4"/>
        <v>174.10965627893177</v>
      </c>
      <c r="M25" s="7">
        <f t="shared" si="5"/>
        <v>105.64056723893174</v>
      </c>
      <c r="N25" s="7">
        <f t="shared" si="6"/>
        <v>19.163643839999963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12</v>
      </c>
      <c r="C26" s="7">
        <f t="shared" si="0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66" cm="1">
        <f t="array" ref="F26">estimatedTripDuration(C26,$C$7,$C$6)/60</f>
        <v>0.52666666732894052</v>
      </c>
      <c r="G26">
        <f t="shared" si="1"/>
        <v>12</v>
      </c>
      <c r="H26" s="53">
        <f t="shared" si="2"/>
        <v>12</v>
      </c>
      <c r="I26" s="7" cm="1">
        <f t="array" ref="I26">CurrentCapacity(K$9,K$5,K$6,H26)</f>
        <v>273.86580672000002</v>
      </c>
      <c r="J26" s="51">
        <f t="shared" si="3"/>
        <v>0.36448679079942459</v>
      </c>
      <c r="K26" s="5" cm="1">
        <f t="array" ref="K26">UseableCapacity(I26,$K$7,$K$8)</f>
        <v>205.39935504000002</v>
      </c>
      <c r="L26" s="66">
        <f t="shared" si="4"/>
        <v>174.04533771893171</v>
      </c>
      <c r="M26" s="7">
        <f t="shared" si="5"/>
        <v>105.57888603893171</v>
      </c>
      <c r="N26" s="7">
        <f t="shared" si="6"/>
        <v>19.174193279999997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13</v>
      </c>
      <c r="C27" s="7">
        <f t="shared" si="0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66" cm="1">
        <f t="array" ref="F27">estimatedTripDuration(C27,$C$7,$C$6)/60</f>
        <v>0.56000000066227384</v>
      </c>
      <c r="G27">
        <f t="shared" si="1"/>
        <v>13</v>
      </c>
      <c r="H27" s="53">
        <f t="shared" si="2"/>
        <v>13</v>
      </c>
      <c r="I27" s="7" cm="1">
        <f t="array" ref="I27">CurrentCapacity(K$9,K$5,K$6,H27)</f>
        <v>273.85525728000005</v>
      </c>
      <c r="J27" s="51">
        <f t="shared" si="3"/>
        <v>0.3646971729264743</v>
      </c>
      <c r="K27" s="5" cm="1">
        <f t="array" ref="K27">UseableCapacity(I27,$K$7,$K$8)</f>
        <v>205.39144296000003</v>
      </c>
      <c r="L27" s="66">
        <f t="shared" si="4"/>
        <v>173.98101915893176</v>
      </c>
      <c r="M27" s="7">
        <f t="shared" si="5"/>
        <v>105.51720483893175</v>
      </c>
      <c r="N27" s="7">
        <f t="shared" si="6"/>
        <v>19.184742719999974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14</v>
      </c>
      <c r="C28" s="7">
        <f t="shared" si="0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66" cm="1">
        <f t="array" ref="F28">estimatedTripDuration(C28,$C$7,$C$6)/60</f>
        <v>0.59333333399560728</v>
      </c>
      <c r="G28">
        <f t="shared" si="1"/>
        <v>14</v>
      </c>
      <c r="H28" s="53">
        <f t="shared" si="2"/>
        <v>14</v>
      </c>
      <c r="I28" s="7" cm="1">
        <f t="array" ref="I28">CurrentCapacity(K$9,K$5,K$6,H28)</f>
        <v>273.84470784000007</v>
      </c>
      <c r="J28" s="51">
        <f t="shared" si="3"/>
        <v>0.36490757126281032</v>
      </c>
      <c r="K28" s="5" cm="1">
        <f t="array" ref="K28">UseableCapacity(I28,$K$7,$K$8)</f>
        <v>205.38353088000005</v>
      </c>
      <c r="L28" s="66">
        <f t="shared" si="4"/>
        <v>173.91670059893175</v>
      </c>
      <c r="M28" s="7">
        <f t="shared" si="5"/>
        <v>105.45552363893175</v>
      </c>
      <c r="N28" s="7">
        <f t="shared" si="6"/>
        <v>19.195292159999951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15</v>
      </c>
      <c r="C29" s="7">
        <f t="shared" si="0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66" cm="1">
        <f t="array" ref="F29">estimatedTripDuration(C29,$C$7,$C$6)/60</f>
        <v>0.6266666673289405</v>
      </c>
      <c r="G29">
        <f t="shared" si="1"/>
        <v>15</v>
      </c>
      <c r="H29" s="53">
        <f t="shared" si="2"/>
        <v>15</v>
      </c>
      <c r="I29" s="7" cm="1">
        <f t="array" ref="I29">CurrentCapacity(K$9,K$5,K$6,H29)</f>
        <v>273.83415840000004</v>
      </c>
      <c r="J29" s="51">
        <f t="shared" si="3"/>
        <v>0.36511798581030597</v>
      </c>
      <c r="K29" s="5" cm="1">
        <f t="array" ref="K29">UseableCapacity(I29,$K$7,$K$8)</f>
        <v>205.37561880000004</v>
      </c>
      <c r="L29" s="66">
        <f t="shared" si="4"/>
        <v>173.85238203893175</v>
      </c>
      <c r="M29" s="7">
        <f t="shared" si="5"/>
        <v>105.39384243893176</v>
      </c>
      <c r="N29" s="7">
        <f t="shared" si="6"/>
        <v>19.205841599999985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16</v>
      </c>
      <c r="C30" s="7">
        <f t="shared" si="0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66" cm="1">
        <f t="array" ref="F30">estimatedTripDuration(C30,$C$7,$C$6)/60</f>
        <v>0.66000000066227382</v>
      </c>
      <c r="G30">
        <f t="shared" si="1"/>
        <v>16</v>
      </c>
      <c r="H30" s="53">
        <f t="shared" si="2"/>
        <v>16</v>
      </c>
      <c r="I30" s="7" cm="1">
        <f t="array" ref="I30">CurrentCapacity(K$9,K$5,K$6,H30)</f>
        <v>273.82360896</v>
      </c>
      <c r="J30" s="51">
        <f t="shared" si="3"/>
        <v>0.36532841657083492</v>
      </c>
      <c r="K30" s="5" cm="1">
        <f t="array" ref="K30">UseableCapacity(I30,$K$7,$K$8)</f>
        <v>205.36770672</v>
      </c>
      <c r="L30" s="66">
        <f t="shared" si="4"/>
        <v>173.78806347893172</v>
      </c>
      <c r="M30" s="7">
        <f t="shared" si="5"/>
        <v>105.33216123893172</v>
      </c>
      <c r="N30" s="7">
        <f t="shared" si="6"/>
        <v>19.216391040000019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17</v>
      </c>
      <c r="C31" s="7">
        <f t="shared" si="0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66" cm="1">
        <f t="array" ref="F31">estimatedTripDuration(C31,$C$7,$C$6)/60</f>
        <v>0.69333333399560715</v>
      </c>
      <c r="G31">
        <f t="shared" si="1"/>
        <v>17</v>
      </c>
      <c r="H31" s="53">
        <f t="shared" si="2"/>
        <v>17</v>
      </c>
      <c r="I31" s="7" cm="1">
        <f t="array" ref="I31">CurrentCapacity(K$9,K$5,K$6,H31)</f>
        <v>273.81305952000002</v>
      </c>
      <c r="J31" s="51">
        <f t="shared" si="3"/>
        <v>0.36553886354627108</v>
      </c>
      <c r="K31" s="5" cm="1">
        <f t="array" ref="K31">UseableCapacity(I31,$K$7,$K$8)</f>
        <v>205.35979464000002</v>
      </c>
      <c r="L31" s="66">
        <f t="shared" si="4"/>
        <v>173.72374491893174</v>
      </c>
      <c r="M31" s="7">
        <f t="shared" si="5"/>
        <v>105.27048003893172</v>
      </c>
      <c r="N31" s="7">
        <f t="shared" si="6"/>
        <v>19.226940479999996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18</v>
      </c>
      <c r="C32" s="7">
        <f t="shared" si="0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66" cm="1">
        <f t="array" ref="F32">estimatedTripDuration(C32,$C$7,$C$6)/60</f>
        <v>0.72666666732894047</v>
      </c>
      <c r="G32">
        <f t="shared" si="1"/>
        <v>18</v>
      </c>
      <c r="H32" s="53">
        <f t="shared" si="2"/>
        <v>18</v>
      </c>
      <c r="I32" s="7" cm="1">
        <f t="array" ref="I32">CurrentCapacity(K$9,K$5,K$6,H32)</f>
        <v>273.80251008000005</v>
      </c>
      <c r="J32" s="51">
        <f t="shared" si="3"/>
        <v>0.3657493267384887</v>
      </c>
      <c r="K32" s="5" cm="1">
        <f t="array" ref="K32">UseableCapacity(I32,$K$7,$K$8)</f>
        <v>205.35188256000004</v>
      </c>
      <c r="L32" s="66">
        <f t="shared" si="4"/>
        <v>173.65942635893177</v>
      </c>
      <c r="M32" s="7">
        <f t="shared" si="5"/>
        <v>105.20879883893176</v>
      </c>
      <c r="N32" s="7">
        <f t="shared" si="6"/>
        <v>19.237489919999973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19</v>
      </c>
      <c r="C33" s="7">
        <f t="shared" si="0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66" cm="1">
        <f t="array" ref="F33">estimatedTripDuration(C33,$C$7,$C$6)/60</f>
        <v>0.7600000006622738</v>
      </c>
      <c r="G33">
        <f t="shared" si="1"/>
        <v>19</v>
      </c>
      <c r="H33" s="53">
        <f t="shared" si="2"/>
        <v>19</v>
      </c>
      <c r="I33" s="7" cm="1">
        <f t="array" ref="I33">CurrentCapacity(K$9,K$5,K$6,H33)</f>
        <v>273.79196064000001</v>
      </c>
      <c r="J33" s="51">
        <f t="shared" si="3"/>
        <v>0.36595980614936258</v>
      </c>
      <c r="K33" s="5" cm="1">
        <f t="array" ref="K33">UseableCapacity(I33,$K$7,$K$8)</f>
        <v>205.34397048</v>
      </c>
      <c r="L33" s="66">
        <f t="shared" si="4"/>
        <v>173.59510779893171</v>
      </c>
      <c r="M33" s="7">
        <f t="shared" si="5"/>
        <v>105.14711763893169</v>
      </c>
      <c r="N33" s="7">
        <f t="shared" si="6"/>
        <v>19.248039360000007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20</v>
      </c>
      <c r="C34" s="7">
        <f t="shared" si="0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66" cm="1">
        <f t="array" ref="F34">estimatedTripDuration(C34,$C$7,$C$6)/60</f>
        <v>0.79333333399560713</v>
      </c>
      <c r="G34">
        <f t="shared" si="1"/>
        <v>20</v>
      </c>
      <c r="H34" s="53">
        <f t="shared" si="2"/>
        <v>20</v>
      </c>
      <c r="I34" s="7" cm="1">
        <f t="array" ref="I34">CurrentCapacity(K$9,K$5,K$6,H34)</f>
        <v>273.78141120000004</v>
      </c>
      <c r="J34" s="51">
        <f t="shared" si="3"/>
        <v>0.36617030178076704</v>
      </c>
      <c r="K34" s="5" cm="1">
        <f t="array" ref="K34">UseableCapacity(I34,$K$7,$K$8)</f>
        <v>205.33605840000001</v>
      </c>
      <c r="L34" s="66">
        <f t="shared" si="4"/>
        <v>173.53078923893173</v>
      </c>
      <c r="M34" s="7">
        <f t="shared" si="5"/>
        <v>105.08543643893172</v>
      </c>
      <c r="N34" s="7">
        <f t="shared" si="6"/>
        <v>19.258588799999984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21</v>
      </c>
      <c r="C35" s="7">
        <f t="shared" si="0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66" cm="1">
        <f t="array" ref="F35">estimatedTripDuration(C35,$C$7,$C$6)/60</f>
        <v>0.82666666732894045</v>
      </c>
      <c r="G35">
        <f t="shared" si="1"/>
        <v>21</v>
      </c>
      <c r="H35" s="53">
        <f t="shared" si="2"/>
        <v>21</v>
      </c>
      <c r="I35" s="7" cm="1">
        <f t="array" ref="I35">CurrentCapacity(K$9,K$5,K$6,H35)</f>
        <v>273.77086176000006</v>
      </c>
      <c r="J35" s="51">
        <f t="shared" si="3"/>
        <v>0.36638081363457758</v>
      </c>
      <c r="K35" s="5" cm="1">
        <f t="array" ref="K35">UseableCapacity(I35,$K$7,$K$8)</f>
        <v>205.32814632000003</v>
      </c>
      <c r="L35" s="66">
        <f t="shared" si="4"/>
        <v>173.46647067893178</v>
      </c>
      <c r="M35" s="7">
        <f t="shared" si="5"/>
        <v>105.02375523893174</v>
      </c>
      <c r="N35" s="7">
        <f t="shared" si="6"/>
        <v>19.269138239999961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22</v>
      </c>
      <c r="C36" s="7">
        <f t="shared" si="0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66" cm="1">
        <f t="array" ref="F36">estimatedTripDuration(C36,$C$7,$C$6)/60</f>
        <v>0.86000000066227378</v>
      </c>
      <c r="G36">
        <f t="shared" si="1"/>
        <v>22</v>
      </c>
      <c r="H36" s="53">
        <f t="shared" si="2"/>
        <v>22</v>
      </c>
      <c r="I36" s="7" cm="1">
        <f t="array" ref="I36">CurrentCapacity(K$9,K$5,K$6,H36)</f>
        <v>273.76031232000003</v>
      </c>
      <c r="J36" s="51">
        <f t="shared" si="3"/>
        <v>0.36659134171266966</v>
      </c>
      <c r="K36" s="5" cm="1">
        <f t="array" ref="K36">UseableCapacity(I36,$K$7,$K$8)</f>
        <v>205.32023424000002</v>
      </c>
      <c r="L36" s="66">
        <f t="shared" si="4"/>
        <v>173.40215211893172</v>
      </c>
      <c r="M36" s="7">
        <f t="shared" si="5"/>
        <v>104.96207403893172</v>
      </c>
      <c r="N36" s="7">
        <f t="shared" si="6"/>
        <v>19.279687679999995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23</v>
      </c>
      <c r="C37" s="7">
        <f t="shared" si="0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66" cm="1">
        <f t="array" ref="F37">estimatedTripDuration(C37,$C$7,$C$6)/60</f>
        <v>0.8933333339956071</v>
      </c>
      <c r="G37">
        <f t="shared" si="1"/>
        <v>23</v>
      </c>
      <c r="H37" s="53">
        <f t="shared" si="2"/>
        <v>23</v>
      </c>
      <c r="I37" s="7" cm="1">
        <f t="array" ref="I37">CurrentCapacity(K$9,K$5,K$6,H37)</f>
        <v>273.74976287999999</v>
      </c>
      <c r="J37" s="51">
        <f t="shared" si="3"/>
        <v>0.36680188601691877</v>
      </c>
      <c r="K37" s="5" cm="1">
        <f t="array" ref="K37">UseableCapacity(I37,$K$7,$K$8)</f>
        <v>205.31232216000001</v>
      </c>
      <c r="L37" s="66">
        <f t="shared" si="4"/>
        <v>173.33783355893169</v>
      </c>
      <c r="M37" s="7">
        <f t="shared" si="5"/>
        <v>104.90039283893171</v>
      </c>
      <c r="N37" s="7">
        <f t="shared" si="6"/>
        <v>19.290237120000029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24</v>
      </c>
      <c r="C38" s="7">
        <f t="shared" si="0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66" cm="1">
        <f t="array" ref="F38">estimatedTripDuration(C38,$C$7,$C$6)/60</f>
        <v>0.92666666732894043</v>
      </c>
      <c r="G38">
        <f t="shared" si="1"/>
        <v>24</v>
      </c>
      <c r="H38" s="53">
        <f t="shared" si="2"/>
        <v>24</v>
      </c>
      <c r="I38" s="7" cm="1">
        <f t="array" ref="I38">CurrentCapacity(K$9,K$5,K$6,H38)</f>
        <v>273.73921344000001</v>
      </c>
      <c r="J38" s="51">
        <f t="shared" si="3"/>
        <v>0.36701244654920095</v>
      </c>
      <c r="K38" s="5" cm="1">
        <f t="array" ref="K38">UseableCapacity(I38,$K$7,$K$8)</f>
        <v>205.30441008000003</v>
      </c>
      <c r="L38" s="66">
        <f t="shared" si="4"/>
        <v>173.27351499893172</v>
      </c>
      <c r="M38" s="7">
        <f t="shared" si="5"/>
        <v>104.83871163893171</v>
      </c>
      <c r="N38" s="7">
        <f t="shared" si="6"/>
        <v>19.300786560000006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25</v>
      </c>
      <c r="C39" s="7">
        <f t="shared" si="0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66" cm="1">
        <f t="array" ref="F39">estimatedTripDuration(C39,$C$7,$C$6)/60</f>
        <v>0.96000000066227387</v>
      </c>
      <c r="G39">
        <f t="shared" si="1"/>
        <v>25</v>
      </c>
      <c r="H39" s="53">
        <f t="shared" si="2"/>
        <v>25</v>
      </c>
      <c r="I39" s="7" cm="1">
        <f t="array" ref="I39">CurrentCapacity(K$9,K$5,K$6,H39)</f>
        <v>273.72866400000004</v>
      </c>
      <c r="J39" s="51">
        <f t="shared" si="3"/>
        <v>0.36722302331139234</v>
      </c>
      <c r="K39" s="5" cm="1">
        <f t="array" ref="K39">UseableCapacity(I39,$K$7,$K$8)</f>
        <v>205.29649800000004</v>
      </c>
      <c r="L39" s="66">
        <f t="shared" si="4"/>
        <v>173.20919643893174</v>
      </c>
      <c r="M39" s="7">
        <f t="shared" si="5"/>
        <v>104.77703043893175</v>
      </c>
      <c r="N39" s="7">
        <f t="shared" si="6"/>
        <v>19.311335999999983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26</v>
      </c>
      <c r="C40" s="7">
        <f t="shared" si="0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66" cm="1">
        <f t="array" ref="F40">estimatedTripDuration(C40,$C$7,$C$6)/60</f>
        <v>0.99333333399560719</v>
      </c>
      <c r="G40">
        <f t="shared" si="1"/>
        <v>26</v>
      </c>
      <c r="H40" s="53">
        <f t="shared" si="2"/>
        <v>26</v>
      </c>
      <c r="I40" s="7" cm="1">
        <f t="array" ref="I40">CurrentCapacity(K$9,K$5,K$6,H40)</f>
        <v>273.71811456</v>
      </c>
      <c r="J40" s="51">
        <f t="shared" si="3"/>
        <v>0.36743361630536975</v>
      </c>
      <c r="K40" s="5" cm="1">
        <f t="array" ref="K40">UseableCapacity(I40,$K$7,$K$8)</f>
        <v>205.28858592</v>
      </c>
      <c r="L40" s="66">
        <f t="shared" si="4"/>
        <v>173.14487787893171</v>
      </c>
      <c r="M40" s="7">
        <f t="shared" si="5"/>
        <v>104.71534923893172</v>
      </c>
      <c r="N40" s="7">
        <f t="shared" si="6"/>
        <v>19.321885440000017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27</v>
      </c>
      <c r="C41" s="7">
        <f t="shared" si="0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66" cm="1">
        <f t="array" ref="F41">estimatedTripDuration(C41,$C$7,$C$6)/60</f>
        <v>1.0266666673289404</v>
      </c>
      <c r="G41">
        <f t="shared" si="1"/>
        <v>27</v>
      </c>
      <c r="H41" s="53">
        <f t="shared" si="2"/>
        <v>27</v>
      </c>
      <c r="I41" s="7" cm="1">
        <f t="array" ref="I41">CurrentCapacity(K$9,K$5,K$6,H41)</f>
        <v>273.70756512000003</v>
      </c>
      <c r="J41" s="51">
        <f t="shared" si="3"/>
        <v>0.36764422553300996</v>
      </c>
      <c r="K41" s="5" cm="1">
        <f t="array" ref="K41">UseableCapacity(I41,$K$7,$K$8)</f>
        <v>205.28067384000002</v>
      </c>
      <c r="L41" s="66">
        <f t="shared" si="4"/>
        <v>173.08055931893173</v>
      </c>
      <c r="M41" s="7">
        <f t="shared" si="5"/>
        <v>104.65366803893173</v>
      </c>
      <c r="N41" s="7">
        <f t="shared" si="6"/>
        <v>19.332434879999994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28</v>
      </c>
      <c r="C42" s="7">
        <f t="shared" si="0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66" cm="1">
        <f t="array" ref="F42">estimatedTripDuration(C42,$C$7,$C$6)/60</f>
        <v>1.0600000006622738</v>
      </c>
      <c r="G42">
        <f t="shared" si="1"/>
        <v>28</v>
      </c>
      <c r="H42" s="53">
        <f t="shared" si="2"/>
        <v>28</v>
      </c>
      <c r="I42" s="7" cm="1">
        <f t="array" ref="I42">CurrentCapacity(K$9,K$5,K$6,H42)</f>
        <v>273.69701568000005</v>
      </c>
      <c r="J42" s="51">
        <f t="shared" si="3"/>
        <v>0.36785485099618992</v>
      </c>
      <c r="K42" s="5" cm="1">
        <f t="array" ref="K42">UseableCapacity(I42,$K$7,$K$8)</f>
        <v>205.27276176000004</v>
      </c>
      <c r="L42" s="66">
        <f t="shared" si="4"/>
        <v>173.01624075893176</v>
      </c>
      <c r="M42" s="7">
        <f t="shared" si="5"/>
        <v>104.59198683893176</v>
      </c>
      <c r="N42" s="7">
        <f t="shared" si="6"/>
        <v>19.342984319999971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29</v>
      </c>
      <c r="C43" s="7">
        <f t="shared" si="0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66" cm="1">
        <f t="array" ref="F43">estimatedTripDuration(C43,$C$7,$C$6)/60</f>
        <v>1.0933333339956071</v>
      </c>
      <c r="G43">
        <f t="shared" si="1"/>
        <v>29</v>
      </c>
      <c r="H43" s="53">
        <f t="shared" si="2"/>
        <v>29</v>
      </c>
      <c r="I43" s="7" cm="1">
        <f t="array" ref="I43">CurrentCapacity(K$9,K$5,K$6,H43)</f>
        <v>273.68646624000002</v>
      </c>
      <c r="J43" s="51">
        <f t="shared" si="3"/>
        <v>0.36806549269678751</v>
      </c>
      <c r="K43" s="5" cm="1">
        <f t="array" ref="K43">UseableCapacity(I43,$K$7,$K$8)</f>
        <v>205.26484968</v>
      </c>
      <c r="L43" s="66">
        <f t="shared" si="4"/>
        <v>172.9519221989317</v>
      </c>
      <c r="M43" s="7">
        <f t="shared" si="5"/>
        <v>104.53030563893169</v>
      </c>
      <c r="N43" s="7">
        <f t="shared" si="6"/>
        <v>19.353533760000005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30</v>
      </c>
      <c r="C44" s="7">
        <f t="shared" si="0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66" cm="1">
        <f t="array" ref="F44">estimatedTripDuration(C44,$C$7,$C$6)/60</f>
        <v>1.1266666673289405</v>
      </c>
      <c r="G44">
        <f t="shared" si="1"/>
        <v>30</v>
      </c>
      <c r="H44" s="53">
        <f t="shared" si="2"/>
        <v>30</v>
      </c>
      <c r="I44" s="7" cm="1">
        <f t="array" ref="I44">CurrentCapacity(K$9,K$5,K$6,H44)</f>
        <v>273.67591680000004</v>
      </c>
      <c r="J44" s="51">
        <f t="shared" si="3"/>
        <v>0.36827615063667996</v>
      </c>
      <c r="K44" s="5" cm="1">
        <f t="array" ref="K44">UseableCapacity(I44,$K$7,$K$8)</f>
        <v>205.25693760000001</v>
      </c>
      <c r="L44" s="66">
        <f t="shared" si="4"/>
        <v>172.88760363893175</v>
      </c>
      <c r="M44" s="7">
        <f t="shared" si="5"/>
        <v>104.46862443893171</v>
      </c>
      <c r="N44" s="7">
        <f t="shared" si="6"/>
        <v>19.364083199999982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31</v>
      </c>
      <c r="C45" s="7">
        <f t="shared" si="0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66" cm="1">
        <f t="array" ref="F45">estimatedTripDuration(C45,$C$7,$C$6)/60</f>
        <v>1.1600000006622735</v>
      </c>
      <c r="G45">
        <f t="shared" si="1"/>
        <v>31</v>
      </c>
      <c r="H45" s="53">
        <f t="shared" si="2"/>
        <v>31</v>
      </c>
      <c r="I45" s="7" cm="1">
        <f t="array" ref="I45">CurrentCapacity(K$9,K$5,K$6,H45)</f>
        <v>273.66536736</v>
      </c>
      <c r="J45" s="51">
        <f t="shared" si="3"/>
        <v>0.36848682481774547</v>
      </c>
      <c r="K45" s="5" cm="1">
        <f t="array" ref="K45">UseableCapacity(I45,$K$7,$K$8)</f>
        <v>205.24902552</v>
      </c>
      <c r="L45" s="66">
        <f t="shared" si="4"/>
        <v>172.82328507893172</v>
      </c>
      <c r="M45" s="7">
        <f t="shared" si="5"/>
        <v>104.40694323893172</v>
      </c>
      <c r="N45" s="7">
        <f t="shared" si="6"/>
        <v>19.374632640000016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32</v>
      </c>
      <c r="C46" s="7">
        <f t="shared" si="0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66" cm="1">
        <f t="array" ref="F46">estimatedTripDuration(C46,$C$7,$C$6)/60</f>
        <v>1.1933333339956071</v>
      </c>
      <c r="G46">
        <f t="shared" si="1"/>
        <v>32</v>
      </c>
      <c r="H46" s="53">
        <f t="shared" si="2"/>
        <v>32</v>
      </c>
      <c r="I46" s="7" cm="1">
        <f t="array" ref="I46">CurrentCapacity(K$9,K$5,K$6,H46)</f>
        <v>273.65481792000003</v>
      </c>
      <c r="J46" s="51">
        <f t="shared" si="3"/>
        <v>0.36869751524186245</v>
      </c>
      <c r="K46" s="5" cm="1">
        <f t="array" ref="K46">UseableCapacity(I46,$K$7,$K$8)</f>
        <v>205.24111344000002</v>
      </c>
      <c r="L46" s="66">
        <f t="shared" si="4"/>
        <v>172.75896651893174</v>
      </c>
      <c r="M46" s="7">
        <f t="shared" si="5"/>
        <v>104.34526203893172</v>
      </c>
      <c r="N46" s="7">
        <f t="shared" si="6"/>
        <v>19.385182079999993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33</v>
      </c>
      <c r="C47" s="7">
        <f t="shared" si="0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66" cm="1">
        <f t="array" ref="F47">estimatedTripDuration(C47,$C$7,$C$6)/60</f>
        <v>1.2266666673289406</v>
      </c>
      <c r="G47">
        <f t="shared" si="1"/>
        <v>33</v>
      </c>
      <c r="H47" s="53">
        <f t="shared" si="2"/>
        <v>33</v>
      </c>
      <c r="I47" s="7" cm="1">
        <f t="array" ref="I47">CurrentCapacity(K$9,K$5,K$6,H47)</f>
        <v>273.64426848000005</v>
      </c>
      <c r="J47" s="51">
        <f t="shared" si="3"/>
        <v>0.36890822191090927</v>
      </c>
      <c r="K47" s="5" cm="1">
        <f t="array" ref="K47">UseableCapacity(I47,$K$7,$K$8)</f>
        <v>205.23320136000004</v>
      </c>
      <c r="L47" s="66">
        <f t="shared" si="4"/>
        <v>172.69464795893174</v>
      </c>
      <c r="M47" s="7">
        <f t="shared" si="5"/>
        <v>104.28358083893174</v>
      </c>
      <c r="N47" s="7">
        <f t="shared" si="6"/>
        <v>19.39573151999997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34</v>
      </c>
      <c r="C48" s="7">
        <f t="shared" si="0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66" cm="1">
        <f t="array" ref="F48">estimatedTripDuration(C48,$C$7,$C$6)/60</f>
        <v>1.2600000006622738</v>
      </c>
      <c r="G48">
        <f t="shared" si="1"/>
        <v>34</v>
      </c>
      <c r="H48" s="53">
        <f t="shared" si="2"/>
        <v>34</v>
      </c>
      <c r="I48" s="7" cm="1">
        <f t="array" ref="I48">CurrentCapacity(K$9,K$5,K$6,H48)</f>
        <v>273.63371904000002</v>
      </c>
      <c r="J48" s="51">
        <f t="shared" si="3"/>
        <v>0.36911894482676505</v>
      </c>
      <c r="K48" s="5" cm="1">
        <f t="array" ref="K48">UseableCapacity(I48,$K$7,$K$8)</f>
        <v>205.22528928000003</v>
      </c>
      <c r="L48" s="66">
        <f t="shared" si="4"/>
        <v>172.63032939893174</v>
      </c>
      <c r="M48" s="7">
        <f t="shared" si="5"/>
        <v>104.22189963893173</v>
      </c>
      <c r="N48" s="7">
        <f t="shared" si="6"/>
        <v>19.406280960000004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35</v>
      </c>
      <c r="C49" s="7">
        <f t="shared" si="0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66" cm="1">
        <f t="array" ref="F49">estimatedTripDuration(C49,$C$7,$C$6)/60</f>
        <v>1.2933333339956072</v>
      </c>
      <c r="G49">
        <f t="shared" si="1"/>
        <v>35</v>
      </c>
      <c r="H49" s="53">
        <f t="shared" si="2"/>
        <v>35</v>
      </c>
      <c r="I49" s="7" cm="1">
        <f t="array" ref="I49">CurrentCapacity(K$9,K$5,K$6,H49)</f>
        <v>273.62316960000004</v>
      </c>
      <c r="J49" s="51">
        <f t="shared" si="3"/>
        <v>0.36932968399130878</v>
      </c>
      <c r="K49" s="5" cm="1">
        <f t="array" ref="K49">UseableCapacity(I49,$K$7,$K$8)</f>
        <v>205.21737720000004</v>
      </c>
      <c r="L49" s="66">
        <f t="shared" si="4"/>
        <v>172.56601083893173</v>
      </c>
      <c r="M49" s="7">
        <f t="shared" si="5"/>
        <v>104.16021843893175</v>
      </c>
      <c r="N49" s="7">
        <f t="shared" si="6"/>
        <v>19.416830399999981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36</v>
      </c>
      <c r="C50" s="7">
        <f t="shared" si="0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66" cm="1">
        <f t="array" ref="F50">estimatedTripDuration(C50,$C$7,$C$6)/60</f>
        <v>1.3266666673289405</v>
      </c>
      <c r="G50">
        <f t="shared" si="1"/>
        <v>36</v>
      </c>
      <c r="H50" s="53">
        <f t="shared" si="2"/>
        <v>36</v>
      </c>
      <c r="I50" s="7" cm="1">
        <f t="array" ref="I50">CurrentCapacity(K$9,K$5,K$6,H50)</f>
        <v>273.61262016000006</v>
      </c>
      <c r="J50" s="51">
        <f t="shared" si="3"/>
        <v>0.36954043940641984</v>
      </c>
      <c r="K50" s="5" cm="1">
        <f t="array" ref="K50">UseableCapacity(I50,$K$7,$K$8)</f>
        <v>205.20946512000006</v>
      </c>
      <c r="L50" s="66">
        <f t="shared" si="4"/>
        <v>172.50169227893178</v>
      </c>
      <c r="M50" s="7">
        <f t="shared" si="5"/>
        <v>104.09853723893178</v>
      </c>
      <c r="N50" s="7">
        <f t="shared" si="6"/>
        <v>19.427379839999958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37</v>
      </c>
      <c r="C51" s="7">
        <f t="shared" si="0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66" cm="1">
        <f t="array" ref="F51">estimatedTripDuration(C51,$C$7,$C$6)/60</f>
        <v>1.3600000006622739</v>
      </c>
      <c r="G51">
        <f t="shared" si="1"/>
        <v>37</v>
      </c>
      <c r="H51" s="53">
        <f t="shared" si="2"/>
        <v>37</v>
      </c>
      <c r="I51" s="7" cm="1">
        <f t="array" ref="I51">CurrentCapacity(K$9,K$5,K$6,H51)</f>
        <v>273.60207072000003</v>
      </c>
      <c r="J51" s="51">
        <f t="shared" si="3"/>
        <v>0.36975121107397846</v>
      </c>
      <c r="K51" s="5" cm="1">
        <f t="array" ref="K51">UseableCapacity(I51,$K$7,$K$8)</f>
        <v>205.20155304000002</v>
      </c>
      <c r="L51" s="66">
        <f t="shared" si="4"/>
        <v>172.43737371893172</v>
      </c>
      <c r="M51" s="7">
        <f t="shared" si="5"/>
        <v>104.03685603893172</v>
      </c>
      <c r="N51" s="7">
        <f t="shared" si="6"/>
        <v>19.437929279999992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38</v>
      </c>
      <c r="C52" s="7">
        <f t="shared" si="0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66" cm="1">
        <f t="array" ref="F52">estimatedTripDuration(C52,$C$7,$C$6)/60</f>
        <v>1.3933333339956071</v>
      </c>
      <c r="G52">
        <f t="shared" si="1"/>
        <v>38</v>
      </c>
      <c r="H52" s="53">
        <f t="shared" si="2"/>
        <v>38</v>
      </c>
      <c r="I52" s="7" cm="1">
        <f t="array" ref="I52">CurrentCapacity(K$9,K$5,K$6,H52)</f>
        <v>273.59152128000005</v>
      </c>
      <c r="J52" s="51">
        <f t="shared" si="3"/>
        <v>0.36996199899586407</v>
      </c>
      <c r="K52" s="5" cm="1">
        <f t="array" ref="K52">UseableCapacity(I52,$K$7,$K$8)</f>
        <v>205.19364096000004</v>
      </c>
      <c r="L52" s="66">
        <f t="shared" si="4"/>
        <v>172.37305515893175</v>
      </c>
      <c r="M52" s="7">
        <f t="shared" si="5"/>
        <v>103.97517483893174</v>
      </c>
      <c r="N52" s="7">
        <f t="shared" si="6"/>
        <v>19.448478719999969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39</v>
      </c>
      <c r="C53" s="7">
        <f t="shared" si="0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66" cm="1">
        <f t="array" ref="F53">estimatedTripDuration(C53,$C$7,$C$6)/60</f>
        <v>1.4266666673289405</v>
      </c>
      <c r="G53">
        <f t="shared" si="1"/>
        <v>39</v>
      </c>
      <c r="H53" s="53">
        <f t="shared" si="2"/>
        <v>39</v>
      </c>
      <c r="I53" s="7" cm="1">
        <f t="array" ref="I53">CurrentCapacity(K$9,K$5,K$6,H53)</f>
        <v>273.58097184000002</v>
      </c>
      <c r="J53" s="51">
        <f t="shared" si="3"/>
        <v>0.3701728031739574</v>
      </c>
      <c r="K53" s="5" cm="1">
        <f t="array" ref="K53">UseableCapacity(I53,$K$7,$K$8)</f>
        <v>205.18572888</v>
      </c>
      <c r="L53" s="66">
        <f t="shared" si="4"/>
        <v>172.30873659893172</v>
      </c>
      <c r="M53" s="7">
        <f t="shared" si="5"/>
        <v>103.91349363893168</v>
      </c>
      <c r="N53" s="7">
        <f t="shared" si="6"/>
        <v>19.459028160000003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40</v>
      </c>
      <c r="C54" s="7">
        <f t="shared" si="0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66" cm="1">
        <f t="array" ref="F54">estimatedTripDuration(C54,$C$7,$C$6)/60</f>
        <v>1.4600000006622738</v>
      </c>
      <c r="G54">
        <f t="shared" si="1"/>
        <v>40</v>
      </c>
      <c r="H54" s="53">
        <f t="shared" si="2"/>
        <v>40</v>
      </c>
      <c r="I54" s="7" cm="1">
        <f t="array" ref="I54">CurrentCapacity(K$9,K$5,K$6,H54)</f>
        <v>273.57042240000004</v>
      </c>
      <c r="J54" s="51">
        <f t="shared" si="3"/>
        <v>0.37038362361013877</v>
      </c>
      <c r="K54" s="5" cm="1">
        <f t="array" ref="K54">UseableCapacity(I54,$K$7,$K$8)</f>
        <v>205.17781680000002</v>
      </c>
      <c r="L54" s="66">
        <f t="shared" si="4"/>
        <v>172.24441803893177</v>
      </c>
      <c r="M54" s="7">
        <f t="shared" si="5"/>
        <v>103.85181243893173</v>
      </c>
      <c r="N54" s="7">
        <f t="shared" si="6"/>
        <v>19.46957759999998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41</v>
      </c>
      <c r="C55" s="7">
        <f t="shared" si="0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66" cm="1">
        <f t="array" ref="F55">estimatedTripDuration(C55,$C$7,$C$6)/60</f>
        <v>1.4933333339956072</v>
      </c>
      <c r="G55">
        <f t="shared" si="1"/>
        <v>41</v>
      </c>
      <c r="H55" s="53">
        <f t="shared" si="2"/>
        <v>41</v>
      </c>
      <c r="I55" s="7" cm="1">
        <f t="array" ref="I55">CurrentCapacity(K$9,K$5,K$6,H55)</f>
        <v>273.55987296000001</v>
      </c>
      <c r="J55" s="51">
        <f t="shared" si="3"/>
        <v>0.37059446030628934</v>
      </c>
      <c r="K55" s="5" cm="1">
        <f t="array" ref="K55">UseableCapacity(I55,$K$7,$K$8)</f>
        <v>205.16990472000001</v>
      </c>
      <c r="L55" s="66">
        <f t="shared" si="4"/>
        <v>172.18009947893171</v>
      </c>
      <c r="M55" s="7">
        <f t="shared" si="5"/>
        <v>103.79013123893172</v>
      </c>
      <c r="N55" s="7">
        <f t="shared" si="6"/>
        <v>19.480127040000013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42</v>
      </c>
      <c r="C56" s="7">
        <f t="shared" si="0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66" cm="1">
        <f t="array" ref="F56">estimatedTripDuration(C56,$C$7,$C$6)/60</f>
        <v>1.5266666673289404</v>
      </c>
      <c r="G56">
        <f t="shared" si="1"/>
        <v>42</v>
      </c>
      <c r="H56" s="53">
        <f t="shared" si="2"/>
        <v>42</v>
      </c>
      <c r="I56" s="7" cm="1">
        <f t="array" ref="I56">CurrentCapacity(K$9,K$5,K$6,H56)</f>
        <v>273.54932352000003</v>
      </c>
      <c r="J56" s="51">
        <f t="shared" si="3"/>
        <v>0.37080531326429028</v>
      </c>
      <c r="K56" s="5" cm="1">
        <f t="array" ref="K56">UseableCapacity(I56,$K$7,$K$8)</f>
        <v>205.16199264000002</v>
      </c>
      <c r="L56" s="66">
        <f t="shared" si="4"/>
        <v>172.11578091893173</v>
      </c>
      <c r="M56" s="7">
        <f t="shared" si="5"/>
        <v>103.72845003893173</v>
      </c>
      <c r="N56" s="7">
        <f t="shared" si="6"/>
        <v>19.490676479999991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43</v>
      </c>
      <c r="C57" s="7">
        <f t="shared" si="0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66" cm="1">
        <f t="array" ref="F57">estimatedTripDuration(C57,$C$7,$C$6)/60</f>
        <v>1.5600000006622738</v>
      </c>
      <c r="G57">
        <f t="shared" si="1"/>
        <v>43</v>
      </c>
      <c r="H57" s="53">
        <f t="shared" si="2"/>
        <v>43</v>
      </c>
      <c r="I57" s="7" cm="1">
        <f t="array" ref="I57">CurrentCapacity(K$9,K$5,K$6,H57)</f>
        <v>273.53877408000005</v>
      </c>
      <c r="J57" s="51">
        <f t="shared" si="3"/>
        <v>0.37101618248602286</v>
      </c>
      <c r="K57" s="5" cm="1">
        <f t="array" ref="K57">UseableCapacity(I57,$K$7,$K$8)</f>
        <v>205.15408056000004</v>
      </c>
      <c r="L57" s="66">
        <f t="shared" si="4"/>
        <v>172.05146235893176</v>
      </c>
      <c r="M57" s="7">
        <f t="shared" si="5"/>
        <v>103.66676883893176</v>
      </c>
      <c r="N57" s="7">
        <f t="shared" si="6"/>
        <v>19.501225919999968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44</v>
      </c>
      <c r="C58" s="7">
        <f t="shared" si="0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66" cm="1">
        <f t="array" ref="F58">estimatedTripDuration(C58,$C$7,$C$6)/60</f>
        <v>1.5933333339956071</v>
      </c>
      <c r="G58">
        <f t="shared" si="1"/>
        <v>44</v>
      </c>
      <c r="H58" s="53">
        <f t="shared" si="2"/>
        <v>44</v>
      </c>
      <c r="I58" s="7" cm="1">
        <f t="array" ref="I58">CurrentCapacity(K$9,K$5,K$6,H58)</f>
        <v>273.52822464000002</v>
      </c>
      <c r="J58" s="51">
        <f t="shared" si="3"/>
        <v>0.3712270679733693</v>
      </c>
      <c r="K58" s="5" cm="1">
        <f t="array" ref="K58">UseableCapacity(I58,$K$7,$K$8)</f>
        <v>205.14616848000003</v>
      </c>
      <c r="L58" s="66">
        <f t="shared" si="4"/>
        <v>171.9871437989317</v>
      </c>
      <c r="M58" s="7">
        <f t="shared" si="5"/>
        <v>103.60508763893172</v>
      </c>
      <c r="N58" s="7">
        <f t="shared" si="6"/>
        <v>19.511775360000001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45</v>
      </c>
      <c r="C59" s="7">
        <f t="shared" si="0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66" cm="1">
        <f t="array" ref="F59">estimatedTripDuration(C59,$C$7,$C$6)/60</f>
        <v>1.6266666673289405</v>
      </c>
      <c r="G59">
        <f t="shared" si="1"/>
        <v>45</v>
      </c>
      <c r="H59" s="53">
        <f t="shared" si="2"/>
        <v>45</v>
      </c>
      <c r="I59" s="7" cm="1">
        <f t="array" ref="I59">CurrentCapacity(K$9,K$5,K$6,H59)</f>
        <v>273.51767520000004</v>
      </c>
      <c r="J59" s="51">
        <f t="shared" si="3"/>
        <v>0.37143796972821108</v>
      </c>
      <c r="K59" s="5" cm="1">
        <f t="array" ref="K59">UseableCapacity(I59,$K$7,$K$8)</f>
        <v>205.13825640000005</v>
      </c>
      <c r="L59" s="66">
        <f t="shared" si="4"/>
        <v>171.92282523893175</v>
      </c>
      <c r="M59" s="7">
        <f t="shared" si="5"/>
        <v>103.54340643893175</v>
      </c>
      <c r="N59" s="7">
        <f t="shared" si="6"/>
        <v>19.522324799999978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46</v>
      </c>
      <c r="C60" s="7">
        <f t="shared" si="0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66" cm="1">
        <f t="array" ref="F60">estimatedTripDuration(C60,$C$7,$C$6)/60</f>
        <v>1.6600000006622737</v>
      </c>
      <c r="G60">
        <f t="shared" si="1"/>
        <v>46</v>
      </c>
      <c r="H60" s="53">
        <f t="shared" si="2"/>
        <v>46</v>
      </c>
      <c r="I60" s="7" cm="1">
        <f t="array" ref="I60">CurrentCapacity(K$9,K$5,K$6,H60)</f>
        <v>273.50712576000006</v>
      </c>
      <c r="J60" s="51">
        <f t="shared" si="3"/>
        <v>0.37164888775243099</v>
      </c>
      <c r="K60" s="5" cm="1">
        <f t="array" ref="K60">UseableCapacity(I60,$K$7,$K$8)</f>
        <v>205.13034432000006</v>
      </c>
      <c r="L60" s="66">
        <f t="shared" si="4"/>
        <v>171.85850667893178</v>
      </c>
      <c r="M60" s="7">
        <f t="shared" si="5"/>
        <v>103.48172523893177</v>
      </c>
      <c r="N60" s="7">
        <f t="shared" si="6"/>
        <v>19.532874239999956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47</v>
      </c>
      <c r="C61" s="7">
        <f t="shared" si="0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66" cm="1">
        <f t="array" ref="F61">estimatedTripDuration(C61,$C$7,$C$6)/60</f>
        <v>1.6933333339956071</v>
      </c>
      <c r="G61">
        <f t="shared" si="1"/>
        <v>47</v>
      </c>
      <c r="H61" s="53">
        <f t="shared" si="2"/>
        <v>47</v>
      </c>
      <c r="I61" s="7" cm="1">
        <f t="array" ref="I61">CurrentCapacity(K$9,K$5,K$6,H61)</f>
        <v>273.49657632000003</v>
      </c>
      <c r="J61" s="51">
        <f t="shared" si="3"/>
        <v>0.37185982204791168</v>
      </c>
      <c r="K61" s="5" cm="1">
        <f t="array" ref="K61">UseableCapacity(I61,$K$7,$K$8)</f>
        <v>205.12243224000002</v>
      </c>
      <c r="L61" s="66">
        <f t="shared" si="4"/>
        <v>171.79418811893174</v>
      </c>
      <c r="M61" s="7">
        <f t="shared" si="5"/>
        <v>103.42004403893172</v>
      </c>
      <c r="N61" s="7">
        <f t="shared" si="6"/>
        <v>19.543423679999989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48</v>
      </c>
      <c r="C62" s="7">
        <f t="shared" si="0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66" cm="1">
        <f t="array" ref="F62">estimatedTripDuration(C62,$C$7,$C$6)/60</f>
        <v>1.7266666673289406</v>
      </c>
      <c r="G62">
        <f t="shared" si="1"/>
        <v>48</v>
      </c>
      <c r="H62" s="53">
        <f t="shared" si="2"/>
        <v>48</v>
      </c>
      <c r="I62" s="7" cm="1">
        <f t="array" ref="I62">CurrentCapacity(K$9,K$5,K$6,H62)</f>
        <v>273.48602688000005</v>
      </c>
      <c r="J62" s="51">
        <f t="shared" si="3"/>
        <v>0.37207077261653582</v>
      </c>
      <c r="K62" s="5" cm="1">
        <f t="array" ref="K62">UseableCapacity(I62,$K$7,$K$8)</f>
        <v>205.11452016000004</v>
      </c>
      <c r="L62" s="66">
        <f t="shared" si="4"/>
        <v>171.72986955893174</v>
      </c>
      <c r="M62" s="7">
        <f t="shared" si="5"/>
        <v>103.35836283893174</v>
      </c>
      <c r="N62" s="7">
        <f t="shared" si="6"/>
        <v>19.553973119999966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49</v>
      </c>
      <c r="C63" s="7">
        <f t="shared" si="0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66" cm="1">
        <f t="array" ref="F63">estimatedTripDuration(C63,$C$7,$C$6)/60</f>
        <v>1.7600000006622738</v>
      </c>
      <c r="G63">
        <f t="shared" si="1"/>
        <v>49</v>
      </c>
      <c r="H63" s="53">
        <f t="shared" si="2"/>
        <v>49</v>
      </c>
      <c r="I63" s="7" cm="1">
        <f t="array" ref="I63">CurrentCapacity(K$9,K$5,K$6,H63)</f>
        <v>273.47547744000002</v>
      </c>
      <c r="J63" s="51">
        <f t="shared" si="3"/>
        <v>0.37228173946018689</v>
      </c>
      <c r="K63" s="5" cm="1">
        <f t="array" ref="K63">UseableCapacity(I63,$K$7,$K$8)</f>
        <v>205.10660808</v>
      </c>
      <c r="L63" s="66">
        <f t="shared" si="4"/>
        <v>171.66555099893174</v>
      </c>
      <c r="M63" s="7">
        <f t="shared" si="5"/>
        <v>103.2966816389317</v>
      </c>
      <c r="N63" s="7">
        <f t="shared" si="6"/>
        <v>19.56452256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50</v>
      </c>
      <c r="C64" s="7">
        <f t="shared" si="0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66" cm="1">
        <f t="array" ref="F64">estimatedTripDuration(C64,$C$7,$C$6)/60</f>
        <v>1.7933333339956072</v>
      </c>
      <c r="G64">
        <f t="shared" si="1"/>
        <v>50</v>
      </c>
      <c r="H64" s="53">
        <f t="shared" si="2"/>
        <v>50</v>
      </c>
      <c r="I64" s="7" cm="1">
        <f t="array" ref="I64">CurrentCapacity(K$9,K$5,K$6,H64)</f>
        <v>273.46492800000004</v>
      </c>
      <c r="J64" s="51">
        <f t="shared" si="3"/>
        <v>0.37249272258074823</v>
      </c>
      <c r="K64" s="5" cm="1">
        <f t="array" ref="K64">UseableCapacity(I64,$K$7,$K$8)</f>
        <v>205.09869600000002</v>
      </c>
      <c r="L64" s="66">
        <f t="shared" si="4"/>
        <v>171.60123243893173</v>
      </c>
      <c r="M64" s="7">
        <f t="shared" si="5"/>
        <v>103.23500043893172</v>
      </c>
      <c r="N64" s="7">
        <f t="shared" si="6"/>
        <v>19.575071999999977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51</v>
      </c>
      <c r="C65" s="7">
        <f t="shared" si="0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66" cm="1">
        <f t="array" ref="F65">estimatedTripDuration(C65,$C$7,$C$6)/60</f>
        <v>1.8266666673289405</v>
      </c>
      <c r="G65">
        <f t="shared" si="1"/>
        <v>51</v>
      </c>
      <c r="H65" s="53">
        <f t="shared" si="2"/>
        <v>51</v>
      </c>
      <c r="I65" s="7" cm="1">
        <f t="array" ref="I65">CurrentCapacity(K$9,K$5,K$6,H65)</f>
        <v>273.45437856000007</v>
      </c>
      <c r="J65" s="51">
        <f t="shared" si="3"/>
        <v>0.37270372198010371</v>
      </c>
      <c r="K65" s="5" cm="1">
        <f t="array" ref="K65">UseableCapacity(I65,$K$7,$K$8)</f>
        <v>205.09078392000004</v>
      </c>
      <c r="L65" s="66">
        <f t="shared" si="4"/>
        <v>171.53691387893178</v>
      </c>
      <c r="M65" s="7">
        <f t="shared" si="5"/>
        <v>103.17331923893174</v>
      </c>
      <c r="N65" s="7">
        <f t="shared" si="6"/>
        <v>19.585621439999954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52</v>
      </c>
      <c r="C66" s="7">
        <f t="shared" si="0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66" cm="1">
        <f t="array" ref="F66">estimatedTripDuration(C66,$C$7,$C$6)/60</f>
        <v>1.8600000006622739</v>
      </c>
      <c r="G66">
        <f t="shared" si="1"/>
        <v>52</v>
      </c>
      <c r="H66" s="53">
        <f t="shared" si="2"/>
        <v>52</v>
      </c>
      <c r="I66" s="7" cm="1">
        <f t="array" ref="I66">CurrentCapacity(K$9,K$5,K$6,H66)</f>
        <v>273.44382912000003</v>
      </c>
      <c r="J66" s="51">
        <f t="shared" si="3"/>
        <v>0.3729147376601375</v>
      </c>
      <c r="K66" s="5" cm="1">
        <f t="array" ref="K66">UseableCapacity(I66,$K$7,$K$8)</f>
        <v>205.08287184000002</v>
      </c>
      <c r="L66" s="66">
        <f t="shared" si="4"/>
        <v>171.47259531893175</v>
      </c>
      <c r="M66" s="7">
        <f t="shared" si="5"/>
        <v>103.11163803893174</v>
      </c>
      <c r="N66" s="7">
        <f t="shared" si="6"/>
        <v>19.596170879999988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53</v>
      </c>
      <c r="C67" s="7">
        <f t="shared" si="0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66" cm="1">
        <f t="array" ref="F67">estimatedTripDuration(C67,$C$7,$C$6)/60</f>
        <v>1.8933333339956071</v>
      </c>
      <c r="G67">
        <f t="shared" si="1"/>
        <v>53</v>
      </c>
      <c r="H67" s="53">
        <f t="shared" si="2"/>
        <v>53</v>
      </c>
      <c r="I67" s="7" cm="1">
        <f t="array" ref="I67">CurrentCapacity(K$9,K$5,K$6,H67)</f>
        <v>273.43327968000006</v>
      </c>
      <c r="J67" s="51">
        <f t="shared" si="3"/>
        <v>0.37312576962273392</v>
      </c>
      <c r="K67" s="5" cm="1">
        <f t="array" ref="K67">UseableCapacity(I67,$K$7,$K$8)</f>
        <v>205.07495976000004</v>
      </c>
      <c r="L67" s="66">
        <f t="shared" si="4"/>
        <v>171.40827675893178</v>
      </c>
      <c r="M67" s="7">
        <f t="shared" si="5"/>
        <v>103.04995683893176</v>
      </c>
      <c r="N67" s="7">
        <f t="shared" si="6"/>
        <v>19.606720319999965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54</v>
      </c>
      <c r="C68" s="7">
        <f t="shared" si="0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66" cm="1">
        <f t="array" ref="F68">estimatedTripDuration(C68,$C$7,$C$6)/60</f>
        <v>1.9266666673289405</v>
      </c>
      <c r="G68">
        <f t="shared" si="1"/>
        <v>54</v>
      </c>
      <c r="H68" s="53">
        <f t="shared" si="2"/>
        <v>54</v>
      </c>
      <c r="I68" s="7" cm="1">
        <f t="array" ref="I68">CurrentCapacity(K$9,K$5,K$6,H68)</f>
        <v>273.42273024000008</v>
      </c>
      <c r="J68" s="51">
        <f t="shared" si="3"/>
        <v>0.37333681786977785</v>
      </c>
      <c r="K68" s="5" cm="1">
        <f t="array" ref="K68">UseableCapacity(I68,$K$7,$K$8)</f>
        <v>205.06704768000006</v>
      </c>
      <c r="L68" s="66">
        <f t="shared" si="4"/>
        <v>171.34395819893177</v>
      </c>
      <c r="M68" s="7">
        <f t="shared" si="5"/>
        <v>102.98827563893175</v>
      </c>
      <c r="N68" s="7">
        <f t="shared" si="6"/>
        <v>19.617269759999942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55</v>
      </c>
      <c r="C69" s="7">
        <f t="shared" si="0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66" cm="1">
        <f t="array" ref="F69">estimatedTripDuration(C69,$C$7,$C$6)/60</f>
        <v>1.9600000006622738</v>
      </c>
      <c r="G69">
        <f t="shared" si="1"/>
        <v>55</v>
      </c>
      <c r="H69" s="53">
        <f t="shared" si="2"/>
        <v>55</v>
      </c>
      <c r="I69" s="7" cm="1">
        <f t="array" ref="I69">CurrentCapacity(K$9,K$5,K$6,H69)</f>
        <v>273.41218080000004</v>
      </c>
      <c r="J69" s="51">
        <f t="shared" si="3"/>
        <v>0.37354788240315395</v>
      </c>
      <c r="K69" s="5" cm="1">
        <f t="array" ref="K69">UseableCapacity(I69,$K$7,$K$8)</f>
        <v>205.05913560000005</v>
      </c>
      <c r="L69" s="66">
        <f t="shared" si="4"/>
        <v>171.27963963893177</v>
      </c>
      <c r="M69" s="7">
        <f t="shared" si="5"/>
        <v>102.92659443893176</v>
      </c>
      <c r="N69" s="7">
        <f t="shared" si="6"/>
        <v>19.627819199999976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56</v>
      </c>
      <c r="C70" s="7">
        <f t="shared" si="0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66" cm="1">
        <f t="array" ref="F70">estimatedTripDuration(C70,$C$7,$C$6)/60</f>
        <v>1.9933333339956074</v>
      </c>
      <c r="G70">
        <f t="shared" si="1"/>
        <v>56</v>
      </c>
      <c r="H70" s="53">
        <f t="shared" si="2"/>
        <v>56</v>
      </c>
      <c r="I70" s="7" cm="1">
        <f t="array" ref="I70">CurrentCapacity(K$9,K$5,K$6,H70)</f>
        <v>273.40163136000001</v>
      </c>
      <c r="J70" s="51">
        <f t="shared" si="3"/>
        <v>0.37375896322474778</v>
      </c>
      <c r="K70" s="5" cm="1">
        <f t="array" ref="K70">UseableCapacity(I70,$K$7,$K$8)</f>
        <v>205.05122352000001</v>
      </c>
      <c r="L70" s="66">
        <f t="shared" si="4"/>
        <v>171.21532107893171</v>
      </c>
      <c r="M70" s="7">
        <f t="shared" si="5"/>
        <v>102.86491323893172</v>
      </c>
      <c r="N70" s="7">
        <f t="shared" si="6"/>
        <v>19.63836864000001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57</v>
      </c>
      <c r="C71" s="7">
        <f t="shared" si="0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66" cm="1">
        <f t="array" ref="F71">estimatedTripDuration(C71,$C$7,$C$6)/60</f>
        <v>2.0266666673289402</v>
      </c>
      <c r="G71">
        <f t="shared" si="1"/>
        <v>57</v>
      </c>
      <c r="H71" s="53">
        <f t="shared" si="2"/>
        <v>57</v>
      </c>
      <c r="I71" s="7" cm="1">
        <f t="array" ref="I71">CurrentCapacity(K$9,K$5,K$6,H71)</f>
        <v>273.39108192000003</v>
      </c>
      <c r="J71" s="51">
        <f t="shared" si="3"/>
        <v>0.37397006033644464</v>
      </c>
      <c r="K71" s="5" cm="1">
        <f t="array" ref="K71">UseableCapacity(I71,$K$7,$K$8)</f>
        <v>205.04331144000002</v>
      </c>
      <c r="L71" s="66">
        <f t="shared" si="4"/>
        <v>171.15100251893173</v>
      </c>
      <c r="M71" s="7">
        <f t="shared" si="5"/>
        <v>102.80323203893172</v>
      </c>
      <c r="N71" s="7">
        <f t="shared" si="6"/>
        <v>19.648918079999987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58</v>
      </c>
      <c r="C72" s="7">
        <f t="shared" si="0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66" cm="1">
        <f t="array" ref="F72">estimatedTripDuration(C72,$C$7,$C$6)/60</f>
        <v>2.0600000006622738</v>
      </c>
      <c r="G72">
        <f t="shared" si="1"/>
        <v>58</v>
      </c>
      <c r="H72" s="53">
        <f t="shared" si="2"/>
        <v>58</v>
      </c>
      <c r="I72" s="7" cm="1">
        <f t="array" ref="I72">CurrentCapacity(K$9,K$5,K$6,H72)</f>
        <v>273.38053248000006</v>
      </c>
      <c r="J72" s="51">
        <f t="shared" si="3"/>
        <v>0.37418117374013049</v>
      </c>
      <c r="K72" s="5" cm="1">
        <f t="array" ref="K72">UseableCapacity(I72,$K$7,$K$8)</f>
        <v>205.03539936000004</v>
      </c>
      <c r="L72" s="66">
        <f t="shared" si="4"/>
        <v>171.08668395893176</v>
      </c>
      <c r="M72" s="7">
        <f t="shared" si="5"/>
        <v>102.74155083893176</v>
      </c>
      <c r="N72" s="7">
        <f t="shared" si="6"/>
        <v>19.659467519999964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59</v>
      </c>
      <c r="C73" s="7">
        <f t="shared" si="0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66" cm="1">
        <f t="array" ref="F73">estimatedTripDuration(C73,$C$7,$C$6)/60</f>
        <v>2.0933333339956071</v>
      </c>
      <c r="G73">
        <f t="shared" si="1"/>
        <v>59</v>
      </c>
      <c r="H73" s="53">
        <f t="shared" si="2"/>
        <v>59</v>
      </c>
      <c r="I73" s="7" cm="1">
        <f t="array" ref="I73">CurrentCapacity(K$9,K$5,K$6,H73)</f>
        <v>273.36998304000002</v>
      </c>
      <c r="J73" s="51">
        <f t="shared" si="3"/>
        <v>0.37439230343769159</v>
      </c>
      <c r="K73" s="5" cm="1">
        <f t="array" ref="K73">UseableCapacity(I73,$K$7,$K$8)</f>
        <v>205.02748728</v>
      </c>
      <c r="L73" s="66">
        <f t="shared" si="4"/>
        <v>171.02236539893173</v>
      </c>
      <c r="M73" s="7">
        <f t="shared" si="5"/>
        <v>102.67986963893171</v>
      </c>
      <c r="N73" s="7">
        <f t="shared" si="6"/>
        <v>19.670016959999998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60</v>
      </c>
      <c r="C74" s="7">
        <f t="shared" si="0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66" cm="1">
        <f t="array" ref="F74">estimatedTripDuration(C74,$C$7,$C$6)/60</f>
        <v>2.1266666673289403</v>
      </c>
      <c r="G74">
        <f t="shared" si="1"/>
        <v>60</v>
      </c>
      <c r="H74" s="53">
        <f t="shared" si="2"/>
        <v>60</v>
      </c>
      <c r="I74" s="7" cm="1">
        <f t="array" ref="I74">CurrentCapacity(K$9,K$5,K$6,H74)</f>
        <v>273.35943360000005</v>
      </c>
      <c r="J74" s="51">
        <f t="shared" si="3"/>
        <v>0.3746034494310142</v>
      </c>
      <c r="K74" s="5" cm="1">
        <f t="array" ref="K74">UseableCapacity(I74,$K$7,$K$8)</f>
        <v>205.01957520000002</v>
      </c>
      <c r="L74" s="66">
        <f t="shared" si="4"/>
        <v>170.95804683893175</v>
      </c>
      <c r="M74" s="7">
        <f t="shared" si="5"/>
        <v>102.61818843893172</v>
      </c>
      <c r="N74" s="7">
        <f t="shared" si="6"/>
        <v>19.680566399999975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61</v>
      </c>
      <c r="C75" s="7">
        <f t="shared" si="0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66" cm="1">
        <f t="array" ref="F75">estimatedTripDuration(C75,$C$7,$C$6)/60</f>
        <v>2.1600000006622739</v>
      </c>
      <c r="G75">
        <f t="shared" si="1"/>
        <v>61</v>
      </c>
      <c r="H75" s="53">
        <f t="shared" si="2"/>
        <v>61</v>
      </c>
      <c r="I75" s="7" cm="1">
        <f t="array" ref="I75">CurrentCapacity(K$9,K$5,K$6,H75)</f>
        <v>273.34888416000007</v>
      </c>
      <c r="J75" s="51">
        <f t="shared" si="3"/>
        <v>0.37481461172198499</v>
      </c>
      <c r="K75" s="5" cm="1">
        <f t="array" ref="K75">UseableCapacity(I75,$K$7,$K$8)</f>
        <v>205.01166312000004</v>
      </c>
      <c r="L75" s="66">
        <f t="shared" si="4"/>
        <v>170.8937282789318</v>
      </c>
      <c r="M75" s="7">
        <f t="shared" si="5"/>
        <v>102.55650723893176</v>
      </c>
      <c r="N75" s="7">
        <f t="shared" si="6"/>
        <v>19.691115839999952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62</v>
      </c>
      <c r="C76" s="7">
        <f t="shared" si="0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66" cm="1">
        <f t="array" ref="F76">estimatedTripDuration(C76,$C$7,$C$6)/60</f>
        <v>2.1933333339956067</v>
      </c>
      <c r="G76">
        <f t="shared" si="1"/>
        <v>62</v>
      </c>
      <c r="H76" s="53">
        <f t="shared" si="2"/>
        <v>62</v>
      </c>
      <c r="I76" s="7" cm="1">
        <f t="array" ref="I76">CurrentCapacity(K$9,K$5,K$6,H76)</f>
        <v>273.33833472000003</v>
      </c>
      <c r="J76" s="51">
        <f t="shared" si="3"/>
        <v>0.37502579031249134</v>
      </c>
      <c r="K76" s="5" cm="1">
        <f t="array" ref="K76">UseableCapacity(I76,$K$7,$K$8)</f>
        <v>205.00375104000003</v>
      </c>
      <c r="L76" s="66">
        <f t="shared" si="4"/>
        <v>170.82940971893174</v>
      </c>
      <c r="M76" s="7">
        <f t="shared" si="5"/>
        <v>102.49482603893172</v>
      </c>
      <c r="N76" s="7">
        <f t="shared" si="6"/>
        <v>19.701665279999986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63</v>
      </c>
      <c r="C77" s="7">
        <f t="shared" si="0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66" cm="1">
        <f t="array" ref="F77">estimatedTripDuration(C77,$C$7,$C$6)/60</f>
        <v>2.2266666673289408</v>
      </c>
      <c r="G77">
        <f t="shared" si="1"/>
        <v>63</v>
      </c>
      <c r="H77" s="53">
        <f t="shared" si="2"/>
        <v>63</v>
      </c>
      <c r="I77" s="7" cm="1">
        <f t="array" ref="I77">CurrentCapacity(K$9,K$5,K$6,H77)</f>
        <v>273.32778528</v>
      </c>
      <c r="J77" s="51">
        <f t="shared" si="3"/>
        <v>0.37523698520442023</v>
      </c>
      <c r="K77" s="5" cm="1">
        <f t="array" ref="K77">UseableCapacity(I77,$K$7,$K$8)</f>
        <v>204.99583896000001</v>
      </c>
      <c r="L77" s="66">
        <f t="shared" si="4"/>
        <v>170.76509115893168</v>
      </c>
      <c r="M77" s="7">
        <f t="shared" si="5"/>
        <v>102.43314483893171</v>
      </c>
      <c r="N77" s="7">
        <f t="shared" si="6"/>
        <v>19.71221472000002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64</v>
      </c>
      <c r="C78" s="7">
        <f t="shared" si="0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66" cm="1">
        <f t="array" ref="F78">estimatedTripDuration(C78,$C$7,$C$6)/60</f>
        <v>2.2600000006622736</v>
      </c>
      <c r="G78">
        <f t="shared" si="1"/>
        <v>64</v>
      </c>
      <c r="H78" s="53">
        <f t="shared" si="2"/>
        <v>64</v>
      </c>
      <c r="I78" s="7" cm="1">
        <f t="array" ref="I78">CurrentCapacity(K$9,K$5,K$6,H78)</f>
        <v>273.31723584000002</v>
      </c>
      <c r="J78" s="51">
        <f t="shared" si="3"/>
        <v>0.37544819639965921</v>
      </c>
      <c r="K78" s="5" cm="1">
        <f t="array" ref="K78">UseableCapacity(I78,$K$7,$K$8)</f>
        <v>204.98792688000003</v>
      </c>
      <c r="L78" s="66">
        <f t="shared" si="4"/>
        <v>170.70077259893174</v>
      </c>
      <c r="M78" s="7">
        <f t="shared" si="5"/>
        <v>102.37146363893173</v>
      </c>
      <c r="N78" s="7">
        <f t="shared" si="6"/>
        <v>19.722764159999997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65</v>
      </c>
      <c r="C79" s="7">
        <f t="shared" ref="C79:C142" si="10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66" cm="1">
        <f t="array" ref="F79">estimatedTripDuration(C79,$C$7,$C$6)/60</f>
        <v>2.2933333339956068</v>
      </c>
      <c r="G79">
        <f t="shared" ref="G79:G102" si="11">B79</f>
        <v>65</v>
      </c>
      <c r="H79" s="53">
        <f t="shared" ref="H79:H142" si="12">G79/$G$3</f>
        <v>65</v>
      </c>
      <c r="I79" s="7" cm="1">
        <f t="array" ref="I79">CurrentCapacity(K$9,K$5,K$6,H79)</f>
        <v>273.30668640000005</v>
      </c>
      <c r="J79" s="51">
        <f t="shared" ref="J79:J142" si="13">E79/I79</f>
        <v>0.37565942390009632</v>
      </c>
      <c r="K79" s="5" cm="1">
        <f t="array" ref="K79">UseableCapacity(I79,$K$7,$K$8)</f>
        <v>204.98001480000005</v>
      </c>
      <c r="L79" s="66">
        <f t="shared" ref="L79:L142" si="14">(K$7*I79)-E79</f>
        <v>170.63645403893173</v>
      </c>
      <c r="M79" s="7">
        <f t="shared" ref="M79:M142" si="15">K79-E79</f>
        <v>102.30978243893175</v>
      </c>
      <c r="N79" s="7">
        <f t="shared" ref="N79:N142" si="16">$K$9-I79</f>
        <v>19.733313599999974</v>
      </c>
      <c r="O79" t="str">
        <f t="shared" ref="O79:O102" si="17">IF(M79&lt;0,"yes","no")</f>
        <v>no</v>
      </c>
      <c r="P79" t="str">
        <f t="shared" ref="P79:P102" si="18">IF(L79&lt;0,"yes","no")</f>
        <v>no</v>
      </c>
    </row>
    <row r="80" spans="2:16" x14ac:dyDescent="0.35">
      <c r="B80">
        <f t="shared" ref="B80:B143" si="19">B79+$G$11</f>
        <v>66</v>
      </c>
      <c r="C80" s="7">
        <f t="shared" si="10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66" cm="1">
        <f t="array" ref="F80">estimatedTripDuration(C80,$C$7,$C$6)/60</f>
        <v>2.3266666673289405</v>
      </c>
      <c r="G80">
        <f t="shared" si="11"/>
        <v>66</v>
      </c>
      <c r="H80" s="53">
        <f t="shared" si="12"/>
        <v>66</v>
      </c>
      <c r="I80" s="7" cm="1">
        <f t="array" ref="I80">CurrentCapacity(K$9,K$5,K$6,H80)</f>
        <v>273.29613696000001</v>
      </c>
      <c r="J80" s="51">
        <f t="shared" si="13"/>
        <v>0.37587066770761968</v>
      </c>
      <c r="K80" s="5" cm="1">
        <f t="array" ref="K80">UseableCapacity(I80,$K$7,$K$8)</f>
        <v>204.97210272000001</v>
      </c>
      <c r="L80" s="66">
        <f t="shared" si="14"/>
        <v>170.57213547893173</v>
      </c>
      <c r="M80" s="7">
        <f t="shared" si="15"/>
        <v>102.24810123893172</v>
      </c>
      <c r="N80" s="7">
        <f t="shared" si="16"/>
        <v>19.743863040000008</v>
      </c>
      <c r="O80" t="str">
        <f t="shared" si="17"/>
        <v>no</v>
      </c>
      <c r="P80" t="str">
        <f t="shared" si="18"/>
        <v>no</v>
      </c>
    </row>
    <row r="81" spans="2:16" x14ac:dyDescent="0.35">
      <c r="B81">
        <f t="shared" si="19"/>
        <v>67</v>
      </c>
      <c r="C81" s="7">
        <f t="shared" si="10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66" cm="1">
        <f t="array" ref="F81">estimatedTripDuration(C81,$C$7,$C$6)/60</f>
        <v>2.3600000006622737</v>
      </c>
      <c r="G81">
        <f t="shared" si="11"/>
        <v>67</v>
      </c>
      <c r="H81" s="53">
        <f t="shared" si="12"/>
        <v>67</v>
      </c>
      <c r="I81" s="7" cm="1">
        <f t="array" ref="I81">CurrentCapacity(K$9,K$5,K$6,H81)</f>
        <v>273.28558752000004</v>
      </c>
      <c r="J81" s="51">
        <f t="shared" si="13"/>
        <v>0.37608192782411781</v>
      </c>
      <c r="K81" s="5" cm="1">
        <f t="array" ref="K81">UseableCapacity(I81,$K$7,$K$8)</f>
        <v>204.96419064000003</v>
      </c>
      <c r="L81" s="66">
        <f t="shared" si="14"/>
        <v>170.50781691893175</v>
      </c>
      <c r="M81" s="7">
        <f t="shared" si="15"/>
        <v>102.18642003893174</v>
      </c>
      <c r="N81" s="7">
        <f t="shared" si="16"/>
        <v>19.754412479999985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68</v>
      </c>
      <c r="C82" s="7">
        <f t="shared" si="10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66" cm="1">
        <f t="array" ref="F82">estimatedTripDuration(C82,$C$7,$C$6)/60</f>
        <v>2.3933333339956069</v>
      </c>
      <c r="G82">
        <f t="shared" si="11"/>
        <v>68</v>
      </c>
      <c r="H82" s="53">
        <f t="shared" si="12"/>
        <v>68</v>
      </c>
      <c r="I82" s="7" cm="1">
        <f t="array" ref="I82">CurrentCapacity(K$9,K$5,K$6,H82)</f>
        <v>273.27503808000006</v>
      </c>
      <c r="J82" s="51">
        <f t="shared" si="13"/>
        <v>0.37629320425147944</v>
      </c>
      <c r="K82" s="5" cm="1">
        <f t="array" ref="K82">UseableCapacity(I82,$K$7,$K$8)</f>
        <v>204.95627856000004</v>
      </c>
      <c r="L82" s="66">
        <f t="shared" si="14"/>
        <v>170.44349835893178</v>
      </c>
      <c r="M82" s="7">
        <f t="shared" si="15"/>
        <v>102.12473883893176</v>
      </c>
      <c r="N82" s="7">
        <f t="shared" si="16"/>
        <v>19.764961919999962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69</v>
      </c>
      <c r="C83" s="7">
        <f t="shared" si="10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66" cm="1">
        <f t="array" ref="F83">estimatedTripDuration(C83,$C$7,$C$6)/60</f>
        <v>2.4266666673289401</v>
      </c>
      <c r="G83">
        <f t="shared" si="11"/>
        <v>69</v>
      </c>
      <c r="H83" s="53">
        <f t="shared" si="12"/>
        <v>69</v>
      </c>
      <c r="I83" s="7" cm="1">
        <f t="array" ref="I83">CurrentCapacity(K$9,K$5,K$6,H83)</f>
        <v>273.26448864000002</v>
      </c>
      <c r="J83" s="51">
        <f t="shared" si="13"/>
        <v>0.37650449699159383</v>
      </c>
      <c r="K83" s="5" cm="1">
        <f t="array" ref="K83">UseableCapacity(I83,$K$7,$K$8)</f>
        <v>204.94836648</v>
      </c>
      <c r="L83" s="66">
        <f t="shared" si="14"/>
        <v>170.37917979893172</v>
      </c>
      <c r="M83" s="7">
        <f t="shared" si="15"/>
        <v>102.0630576389317</v>
      </c>
      <c r="N83" s="7">
        <f t="shared" si="16"/>
        <v>19.775511359999996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70</v>
      </c>
      <c r="C84" s="7">
        <f t="shared" si="10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66" cm="1">
        <f t="array" ref="F84">estimatedTripDuration(C84,$C$7,$C$6)/60</f>
        <v>2.4600000006622738</v>
      </c>
      <c r="G84">
        <f t="shared" si="11"/>
        <v>70</v>
      </c>
      <c r="H84" s="53">
        <f t="shared" si="12"/>
        <v>70</v>
      </c>
      <c r="I84" s="7" cm="1">
        <f t="array" ref="I84">CurrentCapacity(K$9,K$5,K$6,H84)</f>
        <v>273.25393920000005</v>
      </c>
      <c r="J84" s="51">
        <f t="shared" si="13"/>
        <v>0.3767158060463498</v>
      </c>
      <c r="K84" s="5" cm="1">
        <f t="array" ref="K84">UseableCapacity(I84,$K$7,$K$8)</f>
        <v>204.94045440000002</v>
      </c>
      <c r="L84" s="66">
        <f t="shared" si="14"/>
        <v>170.31486123893177</v>
      </c>
      <c r="M84" s="7">
        <f t="shared" si="15"/>
        <v>102.00137643893174</v>
      </c>
      <c r="N84" s="7">
        <f t="shared" si="16"/>
        <v>19.786060799999973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71</v>
      </c>
      <c r="C85" s="7">
        <f t="shared" si="10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66" cm="1">
        <f t="array" ref="F85">estimatedTripDuration(C85,$C$7,$C$6)/60</f>
        <v>2.493333333995607</v>
      </c>
      <c r="G85">
        <f t="shared" si="11"/>
        <v>71</v>
      </c>
      <c r="H85" s="53">
        <f t="shared" si="12"/>
        <v>71</v>
      </c>
      <c r="I85" s="7" cm="1">
        <f t="array" ref="I85">CurrentCapacity(K$9,K$5,K$6,H85)</f>
        <v>273.24338976000001</v>
      </c>
      <c r="J85" s="51">
        <f t="shared" si="13"/>
        <v>0.37692713141763756</v>
      </c>
      <c r="K85" s="5" cm="1">
        <f t="array" ref="K85">UseableCapacity(I85,$K$7,$K$8)</f>
        <v>204.93254232000001</v>
      </c>
      <c r="L85" s="66">
        <f t="shared" si="14"/>
        <v>170.25054267893171</v>
      </c>
      <c r="M85" s="7">
        <f t="shared" si="15"/>
        <v>101.93969523893172</v>
      </c>
      <c r="N85" s="7">
        <f t="shared" si="16"/>
        <v>19.796610240000007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72</v>
      </c>
      <c r="C86" s="7">
        <f t="shared" si="10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66" cm="1">
        <f t="array" ref="F86">estimatedTripDuration(C86,$C$7,$C$6)/60</f>
        <v>2.5266666673289402</v>
      </c>
      <c r="G86">
        <f t="shared" si="11"/>
        <v>72</v>
      </c>
      <c r="H86" s="53">
        <f t="shared" si="12"/>
        <v>72</v>
      </c>
      <c r="I86" s="7" cm="1">
        <f t="array" ref="I86">CurrentCapacity(K$9,K$5,K$6,H86)</f>
        <v>273.23284032000004</v>
      </c>
      <c r="J86" s="51">
        <f t="shared" si="13"/>
        <v>0.37713847310734677</v>
      </c>
      <c r="K86" s="5" cm="1">
        <f t="array" ref="K86">UseableCapacity(I86,$K$7,$K$8)</f>
        <v>204.92463024000003</v>
      </c>
      <c r="L86" s="66">
        <f t="shared" si="14"/>
        <v>170.18622411893173</v>
      </c>
      <c r="M86" s="7">
        <f t="shared" si="15"/>
        <v>101.87801403893172</v>
      </c>
      <c r="N86" s="7">
        <f t="shared" si="16"/>
        <v>19.807159679999984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73</v>
      </c>
      <c r="C87" s="7">
        <f t="shared" si="10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66" cm="1">
        <f t="array" ref="F87">estimatedTripDuration(C87,$C$7,$C$6)/60</f>
        <v>2.5600000006622734</v>
      </c>
      <c r="G87">
        <f t="shared" si="11"/>
        <v>73</v>
      </c>
      <c r="H87" s="53">
        <f t="shared" si="12"/>
        <v>73</v>
      </c>
      <c r="I87" s="7" cm="1">
        <f t="array" ref="I87">CurrentCapacity(K$9,K$5,K$6,H87)</f>
        <v>273.22229088000006</v>
      </c>
      <c r="J87" s="51">
        <f t="shared" si="13"/>
        <v>0.37734983111736753</v>
      </c>
      <c r="K87" s="5" cm="1">
        <f t="array" ref="K87">UseableCapacity(I87,$K$7,$K$8)</f>
        <v>204.91671816000004</v>
      </c>
      <c r="L87" s="66">
        <f t="shared" si="14"/>
        <v>170.12190555893176</v>
      </c>
      <c r="M87" s="7">
        <f t="shared" si="15"/>
        <v>101.81633283893176</v>
      </c>
      <c r="N87" s="7">
        <f t="shared" si="16"/>
        <v>19.817709119999961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74</v>
      </c>
      <c r="C88" s="7">
        <f t="shared" si="10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66" cm="1">
        <f t="array" ref="F88">estimatedTripDuration(C88,$C$7,$C$6)/60</f>
        <v>2.5933333339956071</v>
      </c>
      <c r="G88">
        <f t="shared" si="11"/>
        <v>74</v>
      </c>
      <c r="H88" s="53">
        <f t="shared" si="12"/>
        <v>74</v>
      </c>
      <c r="I88" s="7" cm="1">
        <f t="array" ref="I88">CurrentCapacity(K$9,K$5,K$6,H88)</f>
        <v>273.21174144000003</v>
      </c>
      <c r="J88" s="51">
        <f t="shared" si="13"/>
        <v>0.37756120544959071</v>
      </c>
      <c r="K88" s="5" cm="1">
        <f t="array" ref="K88">UseableCapacity(I88,$K$7,$K$8)</f>
        <v>204.90880608000003</v>
      </c>
      <c r="L88" s="66">
        <f t="shared" si="14"/>
        <v>170.05758699893173</v>
      </c>
      <c r="M88" s="7">
        <f t="shared" si="15"/>
        <v>101.75465163893173</v>
      </c>
      <c r="N88" s="7">
        <f t="shared" si="16"/>
        <v>19.828258559999995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75</v>
      </c>
      <c r="C89" s="7">
        <f t="shared" si="10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66" cm="1">
        <f t="array" ref="F89">estimatedTripDuration(C89,$C$7,$C$6)/60</f>
        <v>2.6266666673289403</v>
      </c>
      <c r="G89">
        <f t="shared" si="11"/>
        <v>75</v>
      </c>
      <c r="H89" s="53">
        <f t="shared" si="12"/>
        <v>75</v>
      </c>
      <c r="I89" s="7" cm="1">
        <f t="array" ref="I89">CurrentCapacity(K$9,K$5,K$6,H89)</f>
        <v>273.20119200000005</v>
      </c>
      <c r="J89" s="51">
        <f t="shared" si="13"/>
        <v>0.37777259610590674</v>
      </c>
      <c r="K89" s="5" cm="1">
        <f t="array" ref="K89">UseableCapacity(I89,$K$7,$K$8)</f>
        <v>204.90089400000005</v>
      </c>
      <c r="L89" s="66">
        <f t="shared" si="14"/>
        <v>169.99326843893175</v>
      </c>
      <c r="M89" s="7">
        <f t="shared" si="15"/>
        <v>101.69297043893175</v>
      </c>
      <c r="N89" s="7">
        <f t="shared" si="16"/>
        <v>19.838807999999972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76</v>
      </c>
      <c r="C90" s="7">
        <f t="shared" si="10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66" cm="1">
        <f t="array" ref="F90">estimatedTripDuration(C90,$C$7,$C$6)/60</f>
        <v>2.6600000006622735</v>
      </c>
      <c r="G90">
        <f t="shared" si="11"/>
        <v>76</v>
      </c>
      <c r="H90" s="53">
        <f t="shared" si="12"/>
        <v>76</v>
      </c>
      <c r="I90" s="7" cm="1">
        <f t="array" ref="I90">CurrentCapacity(K$9,K$5,K$6,H90)</f>
        <v>273.19064256000007</v>
      </c>
      <c r="J90" s="51">
        <f t="shared" si="13"/>
        <v>0.37798400308820684</v>
      </c>
      <c r="K90" s="5" cm="1">
        <f t="array" ref="K90">UseableCapacity(I90,$K$7,$K$8)</f>
        <v>204.89298192000007</v>
      </c>
      <c r="L90" s="66">
        <f t="shared" si="14"/>
        <v>169.9289498789318</v>
      </c>
      <c r="M90" s="7">
        <f t="shared" si="15"/>
        <v>101.63128923893179</v>
      </c>
      <c r="N90" s="7">
        <f t="shared" si="16"/>
        <v>19.849357439999949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77</v>
      </c>
      <c r="C91" s="7">
        <f t="shared" si="10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66" cm="1">
        <f t="array" ref="F91">estimatedTripDuration(C91,$C$7,$C$6)/60</f>
        <v>2.6933333339956067</v>
      </c>
      <c r="G91">
        <f t="shared" si="11"/>
        <v>77</v>
      </c>
      <c r="H91" s="53">
        <f t="shared" si="12"/>
        <v>77</v>
      </c>
      <c r="I91" s="7" cm="1">
        <f t="array" ref="I91">CurrentCapacity(K$9,K$5,K$6,H91)</f>
        <v>273.18009312000004</v>
      </c>
      <c r="J91" s="51">
        <f t="shared" si="13"/>
        <v>0.37819542639838266</v>
      </c>
      <c r="K91" s="5" cm="1">
        <f t="array" ref="K91">UseableCapacity(I91,$K$7,$K$8)</f>
        <v>204.88506984000003</v>
      </c>
      <c r="L91" s="66">
        <f t="shared" si="14"/>
        <v>169.86463131893174</v>
      </c>
      <c r="M91" s="7">
        <f t="shared" si="15"/>
        <v>101.56960803893173</v>
      </c>
      <c r="N91" s="7">
        <f t="shared" si="16"/>
        <v>19.859906879999983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78</v>
      </c>
      <c r="C92" s="7">
        <f t="shared" si="10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66" cm="1">
        <f t="array" ref="F92">estimatedTripDuration(C92,$C$7,$C$6)/60</f>
        <v>2.7266666673289404</v>
      </c>
      <c r="G92">
        <f t="shared" si="11"/>
        <v>78</v>
      </c>
      <c r="H92" s="53">
        <f t="shared" si="12"/>
        <v>78</v>
      </c>
      <c r="I92" s="7" cm="1">
        <f t="array" ref="I92">CurrentCapacity(K$9,K$5,K$6,H92)</f>
        <v>273.16954368</v>
      </c>
      <c r="J92" s="51">
        <f t="shared" si="13"/>
        <v>0.37840686603832557</v>
      </c>
      <c r="K92" s="5" cm="1">
        <f t="array" ref="K92">UseableCapacity(I92,$K$7,$K$8)</f>
        <v>204.87715775999999</v>
      </c>
      <c r="L92" s="66">
        <f t="shared" si="14"/>
        <v>169.80031275893171</v>
      </c>
      <c r="M92" s="7">
        <f t="shared" si="15"/>
        <v>101.5079268389317</v>
      </c>
      <c r="N92" s="7">
        <f t="shared" si="16"/>
        <v>19.870456320000017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79</v>
      </c>
      <c r="C93" s="7">
        <f t="shared" si="10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66" cm="1">
        <f t="array" ref="F93">estimatedTripDuration(C93,$C$7,$C$6)/60</f>
        <v>2.7600000006622736</v>
      </c>
      <c r="G93">
        <f t="shared" si="11"/>
        <v>79</v>
      </c>
      <c r="H93" s="53">
        <f t="shared" si="12"/>
        <v>79</v>
      </c>
      <c r="I93" s="7" cm="1">
        <f t="array" ref="I93">CurrentCapacity(K$9,K$5,K$6,H93)</f>
        <v>273.15899424000003</v>
      </c>
      <c r="J93" s="51">
        <f t="shared" si="13"/>
        <v>0.37861832200992773</v>
      </c>
      <c r="K93" s="5" cm="1">
        <f t="array" ref="K93">UseableCapacity(I93,$K$7,$K$8)</f>
        <v>204.86924568000001</v>
      </c>
      <c r="L93" s="66">
        <f t="shared" si="14"/>
        <v>169.73599419893171</v>
      </c>
      <c r="M93" s="7">
        <f t="shared" si="15"/>
        <v>101.44624563893169</v>
      </c>
      <c r="N93" s="7">
        <f t="shared" si="16"/>
        <v>19.881005759999994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80</v>
      </c>
      <c r="C94" s="7">
        <f t="shared" si="10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66" cm="1">
        <f t="array" ref="F94">estimatedTripDuration(C94,$C$7,$C$6)/60</f>
        <v>2.7933333339956068</v>
      </c>
      <c r="G94">
        <f t="shared" si="11"/>
        <v>80</v>
      </c>
      <c r="H94" s="53">
        <f t="shared" si="12"/>
        <v>80</v>
      </c>
      <c r="I94" s="7" cm="1">
        <f t="array" ref="I94">CurrentCapacity(K$9,K$5,K$6,H94)</f>
        <v>273.14844480000005</v>
      </c>
      <c r="J94" s="51">
        <f t="shared" si="13"/>
        <v>0.37882979431508107</v>
      </c>
      <c r="K94" s="5" cm="1">
        <f t="array" ref="K94">UseableCapacity(I94,$K$7,$K$8)</f>
        <v>204.86133360000002</v>
      </c>
      <c r="L94" s="66">
        <f t="shared" si="14"/>
        <v>169.67167563893176</v>
      </c>
      <c r="M94" s="7">
        <f t="shared" si="15"/>
        <v>101.38456443893173</v>
      </c>
      <c r="N94" s="7">
        <f t="shared" si="16"/>
        <v>19.891555199999971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81</v>
      </c>
      <c r="C95" s="7">
        <f t="shared" si="10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66" cm="1">
        <f t="array" ref="F95">estimatedTripDuration(C95,$C$7,$C$6)/60</f>
        <v>2.8266666673289405</v>
      </c>
      <c r="G95">
        <f t="shared" si="11"/>
        <v>81</v>
      </c>
      <c r="H95" s="53">
        <f t="shared" si="12"/>
        <v>81</v>
      </c>
      <c r="I95" s="7" cm="1">
        <f t="array" ref="I95">CurrentCapacity(K$9,K$5,K$6,H95)</f>
        <v>273.13789536000002</v>
      </c>
      <c r="J95" s="51">
        <f t="shared" si="13"/>
        <v>0.37904128295567857</v>
      </c>
      <c r="K95" s="5" cm="1">
        <f t="array" ref="K95">UseableCapacity(I95,$K$7,$K$8)</f>
        <v>204.85342152000001</v>
      </c>
      <c r="L95" s="66">
        <f t="shared" si="14"/>
        <v>169.60735707893173</v>
      </c>
      <c r="M95" s="7">
        <f t="shared" si="15"/>
        <v>101.32288323893172</v>
      </c>
      <c r="N95" s="7">
        <f t="shared" si="16"/>
        <v>19.902104640000005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82</v>
      </c>
      <c r="C96" s="7">
        <f t="shared" si="10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66" cm="1">
        <f t="array" ref="F96">estimatedTripDuration(C96,$C$7,$C$6)/60</f>
        <v>2.8600000006622737</v>
      </c>
      <c r="G96">
        <f t="shared" si="11"/>
        <v>82</v>
      </c>
      <c r="H96" s="53">
        <f t="shared" si="12"/>
        <v>82</v>
      </c>
      <c r="I96" s="7" cm="1">
        <f t="array" ref="I96">CurrentCapacity(K$9,K$5,K$6,H96)</f>
        <v>273.12734592000004</v>
      </c>
      <c r="J96" s="51">
        <f t="shared" si="13"/>
        <v>0.37925278793361289</v>
      </c>
      <c r="K96" s="5" cm="1">
        <f t="array" ref="K96">UseableCapacity(I96,$K$7,$K$8)</f>
        <v>204.84550944000003</v>
      </c>
      <c r="L96" s="66">
        <f t="shared" si="14"/>
        <v>169.54303851893172</v>
      </c>
      <c r="M96" s="7">
        <f t="shared" si="15"/>
        <v>101.26120203893173</v>
      </c>
      <c r="N96" s="7">
        <f t="shared" si="16"/>
        <v>19.912654079999982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83</v>
      </c>
      <c r="C97" s="7">
        <f t="shared" si="10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66" cm="1">
        <f t="array" ref="F97">estimatedTripDuration(C97,$C$7,$C$6)/60</f>
        <v>2.8933333339956069</v>
      </c>
      <c r="G97">
        <f t="shared" si="11"/>
        <v>83</v>
      </c>
      <c r="H97" s="53">
        <f t="shared" si="12"/>
        <v>83</v>
      </c>
      <c r="I97" s="7" cm="1">
        <f t="array" ref="I97">CurrentCapacity(K$9,K$5,K$6,H97)</f>
        <v>273.11679648000006</v>
      </c>
      <c r="J97" s="51">
        <f t="shared" si="13"/>
        <v>0.37946430925077707</v>
      </c>
      <c r="K97" s="5" cm="1">
        <f t="array" ref="K97">UseableCapacity(I97,$K$7,$K$8)</f>
        <v>204.83759736000005</v>
      </c>
      <c r="L97" s="66">
        <f t="shared" si="14"/>
        <v>169.47871995893178</v>
      </c>
      <c r="M97" s="7">
        <f t="shared" si="15"/>
        <v>101.19952083893176</v>
      </c>
      <c r="N97" s="7">
        <f t="shared" si="16"/>
        <v>19.923203519999959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84</v>
      </c>
      <c r="C98" s="7">
        <f t="shared" si="10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66" cm="1">
        <f t="array" ref="F98">estimatedTripDuration(C98,$C$7,$C$6)/60</f>
        <v>2.9266666673289401</v>
      </c>
      <c r="G98">
        <f t="shared" si="11"/>
        <v>84</v>
      </c>
      <c r="H98" s="53">
        <f t="shared" si="12"/>
        <v>84</v>
      </c>
      <c r="I98" s="7" cm="1">
        <f t="array" ref="I98">CurrentCapacity(K$9,K$5,K$6,H98)</f>
        <v>273.10624704000003</v>
      </c>
      <c r="J98" s="51">
        <f t="shared" si="13"/>
        <v>0.37967584690906486</v>
      </c>
      <c r="K98" s="5" cm="1">
        <f t="array" ref="K98">UseableCapacity(I98,$K$7,$K$8)</f>
        <v>204.82968528000004</v>
      </c>
      <c r="L98" s="66">
        <f t="shared" si="14"/>
        <v>169.41440139893172</v>
      </c>
      <c r="M98" s="7">
        <f t="shared" si="15"/>
        <v>101.13783963893174</v>
      </c>
      <c r="N98" s="7">
        <f t="shared" si="16"/>
        <v>19.933752959999993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85</v>
      </c>
      <c r="C99" s="7">
        <f t="shared" si="10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66" cm="1">
        <f t="array" ref="F99">estimatedTripDuration(C99,$C$7,$C$6)/60</f>
        <v>2.9600000006622738</v>
      </c>
      <c r="G99">
        <f t="shared" si="11"/>
        <v>85</v>
      </c>
      <c r="H99" s="53">
        <f t="shared" si="12"/>
        <v>85</v>
      </c>
      <c r="I99" s="7" cm="1">
        <f t="array" ref="I99">CurrentCapacity(K$9,K$5,K$6,H99)</f>
        <v>273.09569760000005</v>
      </c>
      <c r="J99" s="51">
        <f t="shared" si="13"/>
        <v>0.37988740091036965</v>
      </c>
      <c r="K99" s="5" cm="1">
        <f t="array" ref="K99">UseableCapacity(I99,$K$7,$K$8)</f>
        <v>204.82177320000005</v>
      </c>
      <c r="L99" s="66">
        <f t="shared" si="14"/>
        <v>169.35008283893177</v>
      </c>
      <c r="M99" s="7">
        <f t="shared" si="15"/>
        <v>101.07615843893176</v>
      </c>
      <c r="N99" s="7">
        <f t="shared" si="16"/>
        <v>19.94430239999997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86</v>
      </c>
      <c r="C100" s="7">
        <f t="shared" si="10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66" cm="1">
        <f t="array" ref="F100">estimatedTripDuration(C100,$C$7,$C$6)/60</f>
        <v>2.993333333995607</v>
      </c>
      <c r="G100">
        <f t="shared" si="11"/>
        <v>86</v>
      </c>
      <c r="H100" s="53">
        <f t="shared" si="12"/>
        <v>86</v>
      </c>
      <c r="I100" s="7" cm="1">
        <f t="array" ref="I100">CurrentCapacity(K$9,K$5,K$6,H100)</f>
        <v>273.08514816000002</v>
      </c>
      <c r="J100" s="51">
        <f t="shared" si="13"/>
        <v>0.38009897125658565</v>
      </c>
      <c r="K100" s="5" cm="1">
        <f t="array" ref="K100">UseableCapacity(I100,$K$7,$K$8)</f>
        <v>204.81386112000001</v>
      </c>
      <c r="L100" s="66">
        <f t="shared" si="14"/>
        <v>169.28576427893174</v>
      </c>
      <c r="M100" s="7">
        <f t="shared" si="15"/>
        <v>101.01447723893173</v>
      </c>
      <c r="N100" s="7">
        <f t="shared" si="16"/>
        <v>19.954851840000003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87</v>
      </c>
      <c r="C101" s="7">
        <f t="shared" si="10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66" cm="1">
        <f t="array" ref="F101">estimatedTripDuration(C101,$C$7,$C$6)/60</f>
        <v>3.0266666673289402</v>
      </c>
      <c r="G101">
        <f t="shared" si="11"/>
        <v>87</v>
      </c>
      <c r="H101" s="53">
        <f t="shared" si="12"/>
        <v>87</v>
      </c>
      <c r="I101" s="7" cm="1">
        <f t="array" ref="I101">CurrentCapacity(K$9,K$5,K$6,H101)</f>
        <v>273.07459872000004</v>
      </c>
      <c r="J101" s="51">
        <f t="shared" si="13"/>
        <v>0.38031055794960722</v>
      </c>
      <c r="K101" s="5" cm="1">
        <f t="array" ref="K101">UseableCapacity(I101,$K$7,$K$8)</f>
        <v>204.80594904000003</v>
      </c>
      <c r="L101" s="66">
        <f t="shared" si="14"/>
        <v>169.22144571893173</v>
      </c>
      <c r="M101" s="7">
        <f t="shared" si="15"/>
        <v>100.95279603893172</v>
      </c>
      <c r="N101" s="7">
        <f t="shared" si="16"/>
        <v>19.96540127999998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88</v>
      </c>
      <c r="C102" s="7">
        <f t="shared" si="10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66" cm="1">
        <f t="array" ref="F102">estimatedTripDuration(C102,$C$7,$C$6)/60</f>
        <v>3.0600000006622734</v>
      </c>
      <c r="G102">
        <f t="shared" si="11"/>
        <v>88</v>
      </c>
      <c r="H102" s="53">
        <f t="shared" si="12"/>
        <v>88</v>
      </c>
      <c r="I102" s="7" cm="1">
        <f t="array" ref="I102">CurrentCapacity(K$9,K$5,K$6,H102)</f>
        <v>273.06404928000006</v>
      </c>
      <c r="J102" s="51">
        <f t="shared" si="13"/>
        <v>0.38052216099132874</v>
      </c>
      <c r="K102" s="5" cm="1">
        <f t="array" ref="K102">UseableCapacity(I102,$K$7,$K$8)</f>
        <v>204.79803696000005</v>
      </c>
      <c r="L102" s="66">
        <f t="shared" si="14"/>
        <v>169.15712715893176</v>
      </c>
      <c r="M102" s="7">
        <f t="shared" si="15"/>
        <v>100.89111483893174</v>
      </c>
      <c r="N102" s="7">
        <f t="shared" si="16"/>
        <v>19.975950719999958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89</v>
      </c>
      <c r="C103" s="7">
        <f t="shared" si="10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66" cm="1">
        <f t="array" ref="F103">estimatedTripDuration(C103,$C$7,$C$6)/60</f>
        <v>3.0933333339956071</v>
      </c>
      <c r="G103">
        <f t="shared" ref="G103:G166" si="20">B103</f>
        <v>89</v>
      </c>
      <c r="H103" s="53">
        <f t="shared" si="12"/>
        <v>89</v>
      </c>
      <c r="I103" s="7" cm="1">
        <f t="array" ref="I103">CurrentCapacity(K$9,K$5,K$6,H103)</f>
        <v>273.05349984000003</v>
      </c>
      <c r="J103" s="51">
        <f t="shared" si="13"/>
        <v>0.3807337803836453</v>
      </c>
      <c r="K103" s="5" cm="1">
        <f t="array" ref="K103">UseableCapacity(I103,$K$7,$K$8)</f>
        <v>204.79012488000001</v>
      </c>
      <c r="L103" s="66">
        <f t="shared" si="14"/>
        <v>169.09280859893173</v>
      </c>
      <c r="M103" s="7">
        <f t="shared" si="15"/>
        <v>100.8294336389317</v>
      </c>
      <c r="N103" s="7">
        <f t="shared" si="16"/>
        <v>19.986500159999991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35">
      <c r="B104">
        <f t="shared" si="19"/>
        <v>90</v>
      </c>
      <c r="C104" s="7">
        <f t="shared" si="10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66" cm="1">
        <f t="array" ref="F104">estimatedTripDuration(C104,$C$7,$C$6)/60</f>
        <v>3.1266666673289403</v>
      </c>
      <c r="G104">
        <f t="shared" si="20"/>
        <v>90</v>
      </c>
      <c r="H104" s="53">
        <f t="shared" si="12"/>
        <v>90</v>
      </c>
      <c r="I104" s="7" cm="1">
        <f t="array" ref="I104">CurrentCapacity(K$9,K$5,K$6,H104)</f>
        <v>273.04295040000005</v>
      </c>
      <c r="J104" s="51">
        <f t="shared" si="13"/>
        <v>0.38094541612845201</v>
      </c>
      <c r="K104" s="5" cm="1">
        <f t="array" ref="K104">UseableCapacity(I104,$K$7,$K$8)</f>
        <v>204.78221280000002</v>
      </c>
      <c r="L104" s="66">
        <f t="shared" si="14"/>
        <v>169.02849003893175</v>
      </c>
      <c r="M104" s="7">
        <f t="shared" si="15"/>
        <v>100.76775243893172</v>
      </c>
      <c r="N104" s="7">
        <f t="shared" si="16"/>
        <v>19.997049599999968</v>
      </c>
      <c r="O104" t="str">
        <f t="shared" si="21"/>
        <v>no</v>
      </c>
      <c r="P104" t="str">
        <f t="shared" si="22"/>
        <v>no</v>
      </c>
    </row>
    <row r="105" spans="2:16" x14ac:dyDescent="0.35">
      <c r="B105">
        <f t="shared" si="19"/>
        <v>91</v>
      </c>
      <c r="C105" s="7">
        <f t="shared" si="10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66" cm="1">
        <f t="array" ref="F105">estimatedTripDuration(C105,$C$7,$C$6)/60</f>
        <v>3.1600000006622735</v>
      </c>
      <c r="G105">
        <f t="shared" si="20"/>
        <v>91</v>
      </c>
      <c r="H105" s="53">
        <f t="shared" si="12"/>
        <v>91</v>
      </c>
      <c r="I105" s="7" cm="1">
        <f t="array" ref="I105">CurrentCapacity(K$9,K$5,K$6,H105)</f>
        <v>273.03240096000007</v>
      </c>
      <c r="J105" s="51">
        <f t="shared" si="13"/>
        <v>0.38115706822764434</v>
      </c>
      <c r="K105" s="5" cm="1">
        <f t="array" ref="K105">UseableCapacity(I105,$K$7,$K$8)</f>
        <v>204.77430072000004</v>
      </c>
      <c r="L105" s="66">
        <f t="shared" si="14"/>
        <v>168.9641714789318</v>
      </c>
      <c r="M105" s="7">
        <f t="shared" si="15"/>
        <v>100.70607123893176</v>
      </c>
      <c r="N105" s="7">
        <f t="shared" si="16"/>
        <v>20.007599039999945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92</v>
      </c>
      <c r="C106" s="7">
        <f t="shared" si="10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66" cm="1">
        <f t="array" ref="F106">estimatedTripDuration(C106,$C$7,$C$6)/60</f>
        <v>3.1933333339956067</v>
      </c>
      <c r="G106">
        <f t="shared" si="20"/>
        <v>92</v>
      </c>
      <c r="H106" s="53">
        <f t="shared" si="12"/>
        <v>92</v>
      </c>
      <c r="I106" s="7" cm="1">
        <f t="array" ref="I106">CurrentCapacity(K$9,K$5,K$6,H106)</f>
        <v>273.02185152000004</v>
      </c>
      <c r="J106" s="51">
        <f t="shared" si="13"/>
        <v>0.38136873668311816</v>
      </c>
      <c r="K106" s="5" cm="1">
        <f t="array" ref="K106">UseableCapacity(I106,$K$7,$K$8)</f>
        <v>204.76638864000003</v>
      </c>
      <c r="L106" s="66">
        <f t="shared" si="14"/>
        <v>168.89985291893174</v>
      </c>
      <c r="M106" s="7">
        <f t="shared" si="15"/>
        <v>100.64439003893175</v>
      </c>
      <c r="N106" s="7">
        <f t="shared" si="16"/>
        <v>20.018148479999979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93</v>
      </c>
      <c r="C107" s="7">
        <f t="shared" si="10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66" cm="1">
        <f t="array" ref="F107">estimatedTripDuration(C107,$C$7,$C$6)/60</f>
        <v>3.2266666673289404</v>
      </c>
      <c r="G107">
        <f t="shared" si="20"/>
        <v>93</v>
      </c>
      <c r="H107" s="53">
        <f t="shared" si="12"/>
        <v>93</v>
      </c>
      <c r="I107" s="7" cm="1">
        <f t="array" ref="I107">CurrentCapacity(K$9,K$5,K$6,H107)</f>
        <v>273.01130208000001</v>
      </c>
      <c r="J107" s="51">
        <f t="shared" si="13"/>
        <v>0.38158042149676957</v>
      </c>
      <c r="K107" s="5" cm="1">
        <f t="array" ref="K107">UseableCapacity(I107,$K$7,$K$8)</f>
        <v>204.75847656000002</v>
      </c>
      <c r="L107" s="66">
        <f t="shared" si="14"/>
        <v>168.83553435893174</v>
      </c>
      <c r="M107" s="7">
        <f t="shared" si="15"/>
        <v>100.58270883893174</v>
      </c>
      <c r="N107" s="7">
        <f t="shared" si="16"/>
        <v>20.028697920000013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94</v>
      </c>
      <c r="C108" s="7">
        <f t="shared" si="10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66" cm="1">
        <f t="array" ref="F108">estimatedTripDuration(C108,$C$7,$C$6)/60</f>
        <v>3.2600000006622736</v>
      </c>
      <c r="G108">
        <f t="shared" si="20"/>
        <v>94</v>
      </c>
      <c r="H108" s="53">
        <f t="shared" si="12"/>
        <v>94</v>
      </c>
      <c r="I108" s="7" cm="1">
        <f t="array" ref="I108">CurrentCapacity(K$9,K$5,K$6,H108)</f>
        <v>273.00075264000003</v>
      </c>
      <c r="J108" s="51">
        <f t="shared" si="13"/>
        <v>0.38179212267049484</v>
      </c>
      <c r="K108" s="5" cm="1">
        <f t="array" ref="K108">UseableCapacity(I108,$K$7,$K$8)</f>
        <v>204.75056448000004</v>
      </c>
      <c r="L108" s="66">
        <f t="shared" si="14"/>
        <v>168.77121579893173</v>
      </c>
      <c r="M108" s="7">
        <f t="shared" si="15"/>
        <v>100.52102763893173</v>
      </c>
      <c r="N108" s="7">
        <f t="shared" si="16"/>
        <v>20.03924735999999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95</v>
      </c>
      <c r="C109" s="7">
        <f t="shared" si="10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66" cm="1">
        <f t="array" ref="F109">estimatedTripDuration(C109,$C$7,$C$6)/60</f>
        <v>3.2933333339956068</v>
      </c>
      <c r="G109">
        <f t="shared" si="20"/>
        <v>95</v>
      </c>
      <c r="H109" s="53">
        <f t="shared" si="12"/>
        <v>95</v>
      </c>
      <c r="I109" s="7" cm="1">
        <f t="array" ref="I109">CurrentCapacity(K$9,K$5,K$6,H109)</f>
        <v>272.99020320000005</v>
      </c>
      <c r="J109" s="51">
        <f t="shared" si="13"/>
        <v>0.38200384020619044</v>
      </c>
      <c r="K109" s="5" cm="1">
        <f t="array" ref="K109">UseableCapacity(I109,$K$7,$K$8)</f>
        <v>204.74265240000005</v>
      </c>
      <c r="L109" s="66">
        <f t="shared" si="14"/>
        <v>168.70689723893179</v>
      </c>
      <c r="M109" s="7">
        <f t="shared" si="15"/>
        <v>100.45934643893177</v>
      </c>
      <c r="N109" s="7">
        <f t="shared" si="16"/>
        <v>20.049796799999967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96</v>
      </c>
      <c r="C110" s="7">
        <f t="shared" si="10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66" cm="1">
        <f t="array" ref="F110">estimatedTripDuration(C110,$C$7,$C$6)/60</f>
        <v>3.3266666673289405</v>
      </c>
      <c r="G110">
        <f t="shared" si="20"/>
        <v>96</v>
      </c>
      <c r="H110" s="53">
        <f t="shared" si="12"/>
        <v>96</v>
      </c>
      <c r="I110" s="7" cm="1">
        <f t="array" ref="I110">CurrentCapacity(K$9,K$5,K$6,H110)</f>
        <v>272.97965376000002</v>
      </c>
      <c r="J110" s="51">
        <f t="shared" si="13"/>
        <v>0.38221557410575374</v>
      </c>
      <c r="K110" s="5" cm="1">
        <f t="array" ref="K110">UseableCapacity(I110,$K$7,$K$8)</f>
        <v>204.73474032000001</v>
      </c>
      <c r="L110" s="66">
        <f t="shared" si="14"/>
        <v>168.64257867893173</v>
      </c>
      <c r="M110" s="7">
        <f t="shared" si="15"/>
        <v>100.39766523893172</v>
      </c>
      <c r="N110" s="7">
        <f t="shared" si="16"/>
        <v>20.060346240000001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97</v>
      </c>
      <c r="C111" s="7">
        <f t="shared" si="10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66" cm="1">
        <f t="array" ref="F111">estimatedTripDuration(C111,$C$7,$C$6)/60</f>
        <v>3.3600000006622737</v>
      </c>
      <c r="G111">
        <f t="shared" si="20"/>
        <v>97</v>
      </c>
      <c r="H111" s="53">
        <f t="shared" si="12"/>
        <v>97</v>
      </c>
      <c r="I111" s="7" cm="1">
        <f t="array" ref="I111">CurrentCapacity(K$9,K$5,K$6,H111)</f>
        <v>272.96910432000004</v>
      </c>
      <c r="J111" s="51">
        <f t="shared" si="13"/>
        <v>0.38242732437108173</v>
      </c>
      <c r="K111" s="5" cm="1">
        <f t="array" ref="K111">UseableCapacity(I111,$K$7,$K$8)</f>
        <v>204.72682824000003</v>
      </c>
      <c r="L111" s="66">
        <f t="shared" si="14"/>
        <v>168.57826011893172</v>
      </c>
      <c r="M111" s="7">
        <f t="shared" si="15"/>
        <v>100.33598403893173</v>
      </c>
      <c r="N111" s="7">
        <f t="shared" si="16"/>
        <v>20.070895679999978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98</v>
      </c>
      <c r="C112" s="7">
        <f t="shared" si="10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66" cm="1">
        <f t="array" ref="F112">estimatedTripDuration(C112,$C$7,$C$6)/60</f>
        <v>3.3933333339956069</v>
      </c>
      <c r="G112">
        <f t="shared" si="20"/>
        <v>98</v>
      </c>
      <c r="H112" s="53">
        <f t="shared" si="12"/>
        <v>98</v>
      </c>
      <c r="I112" s="7" cm="1">
        <f t="array" ref="I112">CurrentCapacity(K$9,K$5,K$6,H112)</f>
        <v>272.95855488000007</v>
      </c>
      <c r="J112" s="51">
        <f t="shared" si="13"/>
        <v>0.38263909100407184</v>
      </c>
      <c r="K112" s="5" cm="1">
        <f t="array" ref="K112">UseableCapacity(I112,$K$7,$K$8)</f>
        <v>204.71891616000005</v>
      </c>
      <c r="L112" s="66">
        <f t="shared" si="14"/>
        <v>168.51394155893178</v>
      </c>
      <c r="M112" s="7">
        <f t="shared" si="15"/>
        <v>100.27430283893176</v>
      </c>
      <c r="N112" s="7">
        <f t="shared" si="16"/>
        <v>20.081445119999955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99</v>
      </c>
      <c r="C113" s="7">
        <f t="shared" si="10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66" cm="1">
        <f t="array" ref="F113">estimatedTripDuration(C113,$C$7,$C$6)/60</f>
        <v>3.4266666673289401</v>
      </c>
      <c r="G113">
        <f t="shared" si="20"/>
        <v>99</v>
      </c>
      <c r="H113" s="53">
        <f t="shared" si="12"/>
        <v>99</v>
      </c>
      <c r="I113" s="7" cm="1">
        <f t="array" ref="I113">CurrentCapacity(K$9,K$5,K$6,H113)</f>
        <v>272.94800544000003</v>
      </c>
      <c r="J113" s="51">
        <f t="shared" si="13"/>
        <v>0.38285087400662227</v>
      </c>
      <c r="K113" s="5" cm="1">
        <f t="array" ref="K113">UseableCapacity(I113,$K$7,$K$8)</f>
        <v>204.71100408000001</v>
      </c>
      <c r="L113" s="66">
        <f t="shared" si="14"/>
        <v>168.44962299893172</v>
      </c>
      <c r="M113" s="7">
        <f t="shared" si="15"/>
        <v>100.21262163893171</v>
      </c>
      <c r="N113" s="7">
        <f t="shared" si="16"/>
        <v>20.091994559999989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100</v>
      </c>
      <c r="C114" s="7">
        <f t="shared" si="10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66" cm="1">
        <f t="array" ref="F114">estimatedTripDuration(C114,$C$7,$C$6)/60</f>
        <v>3.4600000006622738</v>
      </c>
      <c r="G114">
        <f t="shared" si="20"/>
        <v>100</v>
      </c>
      <c r="H114" s="53">
        <f t="shared" si="12"/>
        <v>100</v>
      </c>
      <c r="I114" s="7" cm="1">
        <f t="array" ref="I114">CurrentCapacity(K$9,K$5,K$6,H114)</f>
        <v>272.937456</v>
      </c>
      <c r="J114" s="51">
        <f t="shared" si="13"/>
        <v>0.38306267338063082</v>
      </c>
      <c r="K114" s="5" cm="1">
        <f t="array" ref="K114">UseableCapacity(I114,$K$7,$K$8)</f>
        <v>204.703092</v>
      </c>
      <c r="L114" s="66">
        <f t="shared" si="14"/>
        <v>168.38530443893171</v>
      </c>
      <c r="M114" s="7">
        <f t="shared" si="15"/>
        <v>100.1509404389317</v>
      </c>
      <c r="N114" s="7">
        <f t="shared" si="16"/>
        <v>20.102544000000023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101</v>
      </c>
      <c r="C115" s="7">
        <f t="shared" si="10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66" cm="1">
        <f t="array" ref="F115">estimatedTripDuration(C115,$C$7,$C$6)/60</f>
        <v>3.493333333995607</v>
      </c>
      <c r="G115">
        <f t="shared" si="20"/>
        <v>101</v>
      </c>
      <c r="H115" s="53">
        <f t="shared" si="12"/>
        <v>101</v>
      </c>
      <c r="I115" s="7" cm="1">
        <f t="array" ref="I115">CurrentCapacity(K$9,K$5,K$6,H115)</f>
        <v>272.92690656000002</v>
      </c>
      <c r="J115" s="51">
        <f t="shared" si="13"/>
        <v>0.38327448912799589</v>
      </c>
      <c r="K115" s="5" cm="1">
        <f t="array" ref="K115">UseableCapacity(I115,$K$7,$K$8)</f>
        <v>204.69517992000002</v>
      </c>
      <c r="L115" s="66">
        <f t="shared" si="14"/>
        <v>168.32098587893174</v>
      </c>
      <c r="M115" s="7">
        <f t="shared" si="15"/>
        <v>100.08925923893173</v>
      </c>
      <c r="N115" s="7">
        <f t="shared" si="16"/>
        <v>20.11309344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102</v>
      </c>
      <c r="C116" s="7">
        <f t="shared" si="10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66" cm="1">
        <f t="array" ref="F116">estimatedTripDuration(C116,$C$7,$C$6)/60</f>
        <v>3.5266666673289402</v>
      </c>
      <c r="G116">
        <f t="shared" si="20"/>
        <v>102</v>
      </c>
      <c r="H116" s="53">
        <f t="shared" si="12"/>
        <v>102</v>
      </c>
      <c r="I116" s="7" cm="1">
        <f t="array" ref="I116">CurrentCapacity(K$9,K$5,K$6,H116)</f>
        <v>272.91635712000004</v>
      </c>
      <c r="J116" s="51">
        <f t="shared" si="13"/>
        <v>0.38348632125061644</v>
      </c>
      <c r="K116" s="5" cm="1">
        <f t="array" ref="K116">UseableCapacity(I116,$K$7,$K$8)</f>
        <v>204.68726784000003</v>
      </c>
      <c r="L116" s="66">
        <f t="shared" si="14"/>
        <v>168.25666731893176</v>
      </c>
      <c r="M116" s="7">
        <f t="shared" si="15"/>
        <v>100.02757803893174</v>
      </c>
      <c r="N116" s="7">
        <f t="shared" si="16"/>
        <v>20.123642879999977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103</v>
      </c>
      <c r="C117" s="7">
        <f t="shared" si="10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66" cm="1">
        <f t="array" ref="F117">estimatedTripDuration(C117,$C$7,$C$6)/60</f>
        <v>3.5600000006622734</v>
      </c>
      <c r="G117">
        <f t="shared" si="20"/>
        <v>103</v>
      </c>
      <c r="H117" s="53">
        <f t="shared" si="12"/>
        <v>103</v>
      </c>
      <c r="I117" s="7" cm="1">
        <f t="array" ref="I117">CurrentCapacity(K$9,K$5,K$6,H117)</f>
        <v>272.90580768000001</v>
      </c>
      <c r="J117" s="51">
        <f t="shared" si="13"/>
        <v>0.38369816975039134</v>
      </c>
      <c r="K117" s="5" cm="1">
        <f t="array" ref="K117">UseableCapacity(I117,$K$7,$K$8)</f>
        <v>204.67935576000002</v>
      </c>
      <c r="L117" s="66">
        <f t="shared" si="14"/>
        <v>168.1923487589317</v>
      </c>
      <c r="M117" s="7">
        <f t="shared" si="15"/>
        <v>99.965896838931727</v>
      </c>
      <c r="N117" s="7">
        <f t="shared" si="16"/>
        <v>20.134192320000011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104</v>
      </c>
      <c r="C118" s="7">
        <f t="shared" si="10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66" cm="1">
        <f t="array" ref="F118">estimatedTripDuration(C118,$C$7,$C$6)/60</f>
        <v>3.5933333339956071</v>
      </c>
      <c r="G118">
        <f t="shared" si="20"/>
        <v>104</v>
      </c>
      <c r="H118" s="53">
        <f t="shared" si="12"/>
        <v>104</v>
      </c>
      <c r="I118" s="7" cm="1">
        <f t="array" ref="I118">CurrentCapacity(K$9,K$5,K$6,H118)</f>
        <v>272.89525824000003</v>
      </c>
      <c r="J118" s="51">
        <f t="shared" si="13"/>
        <v>0.38391003462921985</v>
      </c>
      <c r="K118" s="5" cm="1">
        <f t="array" ref="K118">UseableCapacity(I118,$K$7,$K$8)</f>
        <v>204.67144368000004</v>
      </c>
      <c r="L118" s="66">
        <f t="shared" si="14"/>
        <v>168.12803019893173</v>
      </c>
      <c r="M118" s="7">
        <f t="shared" si="15"/>
        <v>99.904215638931731</v>
      </c>
      <c r="N118" s="7">
        <f t="shared" si="16"/>
        <v>20.144741759999988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105</v>
      </c>
      <c r="C119" s="7">
        <f t="shared" si="10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66" cm="1">
        <f t="array" ref="F119">estimatedTripDuration(C119,$C$7,$C$6)/60</f>
        <v>3.6266666673289403</v>
      </c>
      <c r="G119">
        <f t="shared" si="20"/>
        <v>105</v>
      </c>
      <c r="H119" s="53">
        <f t="shared" si="12"/>
        <v>105</v>
      </c>
      <c r="I119" s="7" cm="1">
        <f t="array" ref="I119">CurrentCapacity(K$9,K$5,K$6,H119)</f>
        <v>272.88470880000006</v>
      </c>
      <c r="J119" s="51">
        <f t="shared" si="13"/>
        <v>0.38412191588900158</v>
      </c>
      <c r="K119" s="5" cm="1">
        <f t="array" ref="K119">UseableCapacity(I119,$K$7,$K$8)</f>
        <v>204.66353160000006</v>
      </c>
      <c r="L119" s="66">
        <f t="shared" si="14"/>
        <v>168.06371163893175</v>
      </c>
      <c r="M119" s="7">
        <f t="shared" si="15"/>
        <v>99.84253443893175</v>
      </c>
      <c r="N119" s="7">
        <f t="shared" si="16"/>
        <v>20.155291199999965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106</v>
      </c>
      <c r="C120" s="7">
        <f t="shared" si="10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66" cm="1">
        <f t="array" ref="F120">estimatedTripDuration(C120,$C$7,$C$6)/60</f>
        <v>3.6600000006622735</v>
      </c>
      <c r="G120">
        <f t="shared" si="20"/>
        <v>106</v>
      </c>
      <c r="H120" s="53">
        <f t="shared" si="12"/>
        <v>106</v>
      </c>
      <c r="I120" s="7" cm="1">
        <f t="array" ref="I120">CurrentCapacity(K$9,K$5,K$6,H120)</f>
        <v>272.87415936000002</v>
      </c>
      <c r="J120" s="51">
        <f t="shared" si="13"/>
        <v>0.38433381353163643</v>
      </c>
      <c r="K120" s="5" cm="1">
        <f t="array" ref="K120">UseableCapacity(I120,$K$7,$K$8)</f>
        <v>204.65561952000002</v>
      </c>
      <c r="L120" s="66">
        <f t="shared" si="14"/>
        <v>167.99939307893175</v>
      </c>
      <c r="M120" s="7">
        <f t="shared" si="15"/>
        <v>99.780853238931726</v>
      </c>
      <c r="N120" s="7">
        <f t="shared" si="16"/>
        <v>20.165840639999999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107</v>
      </c>
      <c r="C121" s="7">
        <f t="shared" si="10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66" cm="1">
        <f t="array" ref="F121">estimatedTripDuration(C121,$C$7,$C$6)/60</f>
        <v>3.6933333339956076</v>
      </c>
      <c r="G121">
        <f t="shared" si="20"/>
        <v>107</v>
      </c>
      <c r="H121" s="53">
        <f t="shared" si="12"/>
        <v>107</v>
      </c>
      <c r="I121" s="7" cm="1">
        <f t="array" ref="I121">CurrentCapacity(K$9,K$5,K$6,H121)</f>
        <v>272.86360992000004</v>
      </c>
      <c r="J121" s="51">
        <f t="shared" si="13"/>
        <v>0.38454572755902455</v>
      </c>
      <c r="K121" s="5" cm="1">
        <f t="array" ref="K121">UseableCapacity(I121,$K$7,$K$8)</f>
        <v>204.64770744000003</v>
      </c>
      <c r="L121" s="66">
        <f t="shared" si="14"/>
        <v>167.93507451893174</v>
      </c>
      <c r="M121" s="7">
        <f t="shared" si="15"/>
        <v>99.719172038931745</v>
      </c>
      <c r="N121" s="7">
        <f t="shared" si="16"/>
        <v>20.176390079999976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108</v>
      </c>
      <c r="C122" s="7">
        <f t="shared" si="10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66" cm="1">
        <f t="array" ref="F122">estimatedTripDuration(C122,$C$7,$C$6)/60</f>
        <v>3.7266666673289404</v>
      </c>
      <c r="G122">
        <f t="shared" si="20"/>
        <v>108</v>
      </c>
      <c r="H122" s="53">
        <f t="shared" si="12"/>
        <v>108</v>
      </c>
      <c r="I122" s="7" cm="1">
        <f t="array" ref="I122">CurrentCapacity(K$9,K$5,K$6,H122)</f>
        <v>272.85306048000001</v>
      </c>
      <c r="J122" s="51">
        <f t="shared" si="13"/>
        <v>0.38475765797306655</v>
      </c>
      <c r="K122" s="5" cm="1">
        <f t="array" ref="K122">UseableCapacity(I122,$K$7,$K$8)</f>
        <v>204.63979535999999</v>
      </c>
      <c r="L122" s="66">
        <f t="shared" si="14"/>
        <v>167.87075595893174</v>
      </c>
      <c r="M122" s="7">
        <f t="shared" si="15"/>
        <v>99.657490838931707</v>
      </c>
      <c r="N122" s="7">
        <f t="shared" si="16"/>
        <v>20.18693952000001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109</v>
      </c>
      <c r="C123" s="7">
        <f t="shared" si="10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66" cm="1">
        <f t="array" ref="F123">estimatedTripDuration(C123,$C$7,$C$6)/60</f>
        <v>3.7600000006622731</v>
      </c>
      <c r="G123">
        <f t="shared" si="20"/>
        <v>109</v>
      </c>
      <c r="H123" s="53">
        <f t="shared" si="12"/>
        <v>109</v>
      </c>
      <c r="I123" s="7" cm="1">
        <f t="array" ref="I123">CurrentCapacity(K$9,K$5,K$6,H123)</f>
        <v>272.84251104000003</v>
      </c>
      <c r="J123" s="51">
        <f t="shared" si="13"/>
        <v>0.38496960477566305</v>
      </c>
      <c r="K123" s="5" cm="1">
        <f t="array" ref="K123">UseableCapacity(I123,$K$7,$K$8)</f>
        <v>204.63188328000001</v>
      </c>
      <c r="L123" s="66">
        <f t="shared" si="14"/>
        <v>167.80643739893173</v>
      </c>
      <c r="M123" s="7">
        <f t="shared" si="15"/>
        <v>99.595809638931712</v>
      </c>
      <c r="N123" s="7">
        <f t="shared" si="16"/>
        <v>20.197488959999987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110</v>
      </c>
      <c r="C124" s="7">
        <f t="shared" si="10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66" cm="1">
        <f t="array" ref="F124">estimatedTripDuration(C124,$C$7,$C$6)/60</f>
        <v>3.7933333339956068</v>
      </c>
      <c r="G124">
        <f t="shared" si="20"/>
        <v>110</v>
      </c>
      <c r="H124" s="53">
        <f t="shared" si="12"/>
        <v>110</v>
      </c>
      <c r="I124" s="7" cm="1">
        <f t="array" ref="I124">CurrentCapacity(K$9,K$5,K$6,H124)</f>
        <v>272.83196160000006</v>
      </c>
      <c r="J124" s="51">
        <f t="shared" si="13"/>
        <v>0.38518156796871506</v>
      </c>
      <c r="K124" s="5" cm="1">
        <f t="array" ref="K124">UseableCapacity(I124,$K$7,$K$8)</f>
        <v>204.62397120000003</v>
      </c>
      <c r="L124" s="66">
        <f t="shared" si="14"/>
        <v>167.74211883893179</v>
      </c>
      <c r="M124" s="7">
        <f t="shared" si="15"/>
        <v>99.534128438931745</v>
      </c>
      <c r="N124" s="7">
        <f t="shared" si="16"/>
        <v>20.208038399999964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111</v>
      </c>
      <c r="C125" s="7">
        <f t="shared" si="10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66" cm="1">
        <f t="array" ref="F125">estimatedTripDuration(C125,$C$7,$C$6)/60</f>
        <v>3.8266666673289405</v>
      </c>
      <c r="G125">
        <f t="shared" si="20"/>
        <v>111</v>
      </c>
      <c r="H125" s="53">
        <f t="shared" si="12"/>
        <v>111</v>
      </c>
      <c r="I125" s="7" cm="1">
        <f t="array" ref="I125">CurrentCapacity(K$9,K$5,K$6,H125)</f>
        <v>272.82141216000002</v>
      </c>
      <c r="J125" s="51">
        <f t="shared" si="13"/>
        <v>0.38539354755412419</v>
      </c>
      <c r="K125" s="5" cm="1">
        <f t="array" ref="K125">UseableCapacity(I125,$K$7,$K$8)</f>
        <v>204.61605912000002</v>
      </c>
      <c r="L125" s="66">
        <f t="shared" si="14"/>
        <v>167.67780027893173</v>
      </c>
      <c r="M125" s="7">
        <f t="shared" si="15"/>
        <v>99.472447238931736</v>
      </c>
      <c r="N125" s="7">
        <f t="shared" si="16"/>
        <v>20.218587839999998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112</v>
      </c>
      <c r="C126" s="7">
        <f t="shared" si="10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66" cm="1">
        <f t="array" ref="F126">estimatedTripDuration(C126,$C$7,$C$6)/60</f>
        <v>3.8600000006622741</v>
      </c>
      <c r="G126">
        <f t="shared" si="20"/>
        <v>112</v>
      </c>
      <c r="H126" s="53">
        <f t="shared" si="12"/>
        <v>112</v>
      </c>
      <c r="I126" s="7" cm="1">
        <f t="array" ref="I126">CurrentCapacity(K$9,K$5,K$6,H126)</f>
        <v>272.81086272000005</v>
      </c>
      <c r="J126" s="51">
        <f t="shared" si="13"/>
        <v>0.38560554353379189</v>
      </c>
      <c r="K126" s="5" cm="1">
        <f t="array" ref="K126">UseableCapacity(I126,$K$7,$K$8)</f>
        <v>204.60814704000003</v>
      </c>
      <c r="L126" s="66">
        <f t="shared" si="14"/>
        <v>167.61348171893172</v>
      </c>
      <c r="M126" s="7">
        <f t="shared" si="15"/>
        <v>99.410766038931726</v>
      </c>
      <c r="N126" s="7">
        <f t="shared" si="16"/>
        <v>20.229137279999975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113</v>
      </c>
      <c r="C127" s="7">
        <f t="shared" si="10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66" cm="1">
        <f t="array" ref="F127">estimatedTripDuration(C127,$C$7,$C$6)/60</f>
        <v>3.8933333339956069</v>
      </c>
      <c r="G127">
        <f t="shared" si="20"/>
        <v>113</v>
      </c>
      <c r="H127" s="53">
        <f t="shared" si="12"/>
        <v>113</v>
      </c>
      <c r="I127" s="7" cm="1">
        <f t="array" ref="I127">CurrentCapacity(K$9,K$5,K$6,H127)</f>
        <v>272.80031328000007</v>
      </c>
      <c r="J127" s="51">
        <f t="shared" si="13"/>
        <v>0.38581755590962008</v>
      </c>
      <c r="K127" s="5" cm="1">
        <f t="array" ref="K127">UseableCapacity(I127,$K$7,$K$8)</f>
        <v>204.60023496000005</v>
      </c>
      <c r="L127" s="66">
        <f t="shared" si="14"/>
        <v>167.54916315893178</v>
      </c>
      <c r="M127" s="7">
        <f t="shared" si="15"/>
        <v>99.349084838931759</v>
      </c>
      <c r="N127" s="7">
        <f t="shared" si="16"/>
        <v>20.239686719999952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114</v>
      </c>
      <c r="C128" s="7">
        <f t="shared" si="10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66" cm="1">
        <f t="array" ref="F128">estimatedTripDuration(C128,$C$7,$C$6)/60</f>
        <v>3.9266666673289397</v>
      </c>
      <c r="G128">
        <f t="shared" si="20"/>
        <v>114</v>
      </c>
      <c r="H128" s="53">
        <f t="shared" si="12"/>
        <v>114</v>
      </c>
      <c r="I128" s="7" cm="1">
        <f t="array" ref="I128">CurrentCapacity(K$9,K$5,K$6,H128)</f>
        <v>272.78976384000003</v>
      </c>
      <c r="J128" s="51">
        <f t="shared" si="13"/>
        <v>0.38602958468351117</v>
      </c>
      <c r="K128" s="5" cm="1">
        <f t="array" ref="K128">UseableCapacity(I128,$K$7,$K$8)</f>
        <v>204.59232288000004</v>
      </c>
      <c r="L128" s="66">
        <f t="shared" si="14"/>
        <v>167.48484459893172</v>
      </c>
      <c r="M128" s="7">
        <f t="shared" si="15"/>
        <v>99.287403638931735</v>
      </c>
      <c r="N128" s="7">
        <f t="shared" si="16"/>
        <v>20.250236159999986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115</v>
      </c>
      <c r="C129" s="7">
        <f t="shared" si="10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66" cm="1">
        <f t="array" ref="F129">estimatedTripDuration(C129,$C$7,$C$6)/60</f>
        <v>3.9600000006622738</v>
      </c>
      <c r="G129">
        <f t="shared" si="20"/>
        <v>115</v>
      </c>
      <c r="H129" s="53">
        <f t="shared" si="12"/>
        <v>115</v>
      </c>
      <c r="I129" s="7" cm="1">
        <f t="array" ref="I129">CurrentCapacity(K$9,K$5,K$6,H129)</f>
        <v>272.7792144</v>
      </c>
      <c r="J129" s="51">
        <f t="shared" si="13"/>
        <v>0.38624162985736754</v>
      </c>
      <c r="K129" s="5" cm="1">
        <f t="array" ref="K129">UseableCapacity(I129,$K$7,$K$8)</f>
        <v>204.5844108</v>
      </c>
      <c r="L129" s="66">
        <f t="shared" si="14"/>
        <v>167.42052603893171</v>
      </c>
      <c r="M129" s="7">
        <f t="shared" si="15"/>
        <v>99.225722438931697</v>
      </c>
      <c r="N129" s="7">
        <f t="shared" si="16"/>
        <v>20.26078560000002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116</v>
      </c>
      <c r="C130" s="7">
        <f t="shared" si="10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66" cm="1">
        <f t="array" ref="F130">estimatedTripDuration(C130,$C$7,$C$6)/60</f>
        <v>3.993333333995607</v>
      </c>
      <c r="G130">
        <f t="shared" si="20"/>
        <v>116</v>
      </c>
      <c r="H130" s="53">
        <f t="shared" si="12"/>
        <v>116</v>
      </c>
      <c r="I130" s="7" cm="1">
        <f t="array" ref="I130">CurrentCapacity(K$9,K$5,K$6,H130)</f>
        <v>272.76866496000002</v>
      </c>
      <c r="J130" s="51">
        <f t="shared" si="13"/>
        <v>0.38645369143309194</v>
      </c>
      <c r="K130" s="5" cm="1">
        <f t="array" ref="K130">UseableCapacity(I130,$K$7,$K$8)</f>
        <v>204.57649872000002</v>
      </c>
      <c r="L130" s="66">
        <f t="shared" si="14"/>
        <v>167.35620747893174</v>
      </c>
      <c r="M130" s="7">
        <f t="shared" si="15"/>
        <v>99.164041238931731</v>
      </c>
      <c r="N130" s="7">
        <f t="shared" si="16"/>
        <v>20.271335039999997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117</v>
      </c>
      <c r="C131" s="7">
        <f t="shared" si="10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66" cm="1">
        <f t="array" ref="F131">estimatedTripDuration(C131,$C$7,$C$6)/60</f>
        <v>4.0266666673289411</v>
      </c>
      <c r="G131">
        <f t="shared" si="20"/>
        <v>117</v>
      </c>
      <c r="H131" s="53">
        <f t="shared" si="12"/>
        <v>117</v>
      </c>
      <c r="I131" s="7" cm="1">
        <f t="array" ref="I131">CurrentCapacity(K$9,K$5,K$6,H131)</f>
        <v>272.75811552000005</v>
      </c>
      <c r="J131" s="51">
        <f t="shared" si="13"/>
        <v>0.38666576941258773</v>
      </c>
      <c r="K131" s="5" cm="1">
        <f t="array" ref="K131">UseableCapacity(I131,$K$7,$K$8)</f>
        <v>204.56858664000004</v>
      </c>
      <c r="L131" s="66">
        <f t="shared" si="14"/>
        <v>167.29188891893176</v>
      </c>
      <c r="M131" s="7">
        <f t="shared" si="15"/>
        <v>99.102360038931735</v>
      </c>
      <c r="N131" s="7">
        <f t="shared" si="16"/>
        <v>20.281884479999974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118</v>
      </c>
      <c r="C132" s="7">
        <f t="shared" si="10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66" cm="1">
        <f t="array" ref="F132">estimatedTripDuration(C132,$C$7,$C$6)/60</f>
        <v>4.0600000006622734</v>
      </c>
      <c r="G132">
        <f t="shared" si="20"/>
        <v>118</v>
      </c>
      <c r="H132" s="53">
        <f t="shared" si="12"/>
        <v>118</v>
      </c>
      <c r="I132" s="7" cm="1">
        <f t="array" ref="I132">CurrentCapacity(K$9,K$5,K$6,H132)</f>
        <v>272.74756608000001</v>
      </c>
      <c r="J132" s="51">
        <f t="shared" si="13"/>
        <v>0.38687786379775818</v>
      </c>
      <c r="K132" s="5" cm="1">
        <f t="array" ref="K132">UseableCapacity(I132,$K$7,$K$8)</f>
        <v>204.56067456</v>
      </c>
      <c r="L132" s="66">
        <f t="shared" si="14"/>
        <v>167.2275703589317</v>
      </c>
      <c r="M132" s="7">
        <f t="shared" si="15"/>
        <v>99.040678838931697</v>
      </c>
      <c r="N132" s="7">
        <f t="shared" si="16"/>
        <v>20.292433920000008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119</v>
      </c>
      <c r="C133" s="7">
        <f t="shared" si="10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66" cm="1">
        <f t="array" ref="F133">estimatedTripDuration(C133,$C$7,$C$6)/60</f>
        <v>4.0933333339956066</v>
      </c>
      <c r="G133">
        <f t="shared" si="20"/>
        <v>119</v>
      </c>
      <c r="H133" s="53">
        <f t="shared" si="12"/>
        <v>119</v>
      </c>
      <c r="I133" s="7" cm="1">
        <f t="array" ref="I133">CurrentCapacity(K$9,K$5,K$6,H133)</f>
        <v>272.73701664000004</v>
      </c>
      <c r="J133" s="51">
        <f t="shared" si="13"/>
        <v>0.38708997459050698</v>
      </c>
      <c r="K133" s="5" cm="1">
        <f t="array" ref="K133">UseableCapacity(I133,$K$7,$K$8)</f>
        <v>204.55276248000001</v>
      </c>
      <c r="L133" s="66">
        <f t="shared" si="14"/>
        <v>167.16325179893175</v>
      </c>
      <c r="M133" s="7">
        <f t="shared" si="15"/>
        <v>98.978997638931716</v>
      </c>
      <c r="N133" s="7">
        <f t="shared" si="16"/>
        <v>20.302983359999985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120</v>
      </c>
      <c r="C134" s="7">
        <f t="shared" si="10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66" cm="1">
        <f t="array" ref="F134">estimatedTripDuration(C134,$C$7,$C$6)/60</f>
        <v>4.1266666673289398</v>
      </c>
      <c r="G134">
        <f t="shared" si="20"/>
        <v>120</v>
      </c>
      <c r="H134" s="53">
        <f t="shared" si="12"/>
        <v>120</v>
      </c>
      <c r="I134" s="7" cm="1">
        <f t="array" ref="I134">CurrentCapacity(K$9,K$5,K$6,H134)</f>
        <v>272.72646720000006</v>
      </c>
      <c r="J134" s="51">
        <f t="shared" si="13"/>
        <v>0.38730210179273811</v>
      </c>
      <c r="K134" s="5" cm="1">
        <f t="array" ref="K134">UseableCapacity(I134,$K$7,$K$8)</f>
        <v>204.54485040000003</v>
      </c>
      <c r="L134" s="66">
        <f t="shared" si="14"/>
        <v>167.09893323893178</v>
      </c>
      <c r="M134" s="7">
        <f t="shared" si="15"/>
        <v>98.917316438931749</v>
      </c>
      <c r="N134" s="7">
        <f t="shared" si="16"/>
        <v>20.313532799999962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121</v>
      </c>
      <c r="C135" s="7">
        <f t="shared" si="10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66" cm="1">
        <f t="array" ref="F135">estimatedTripDuration(C135,$C$7,$C$6)/60</f>
        <v>4.1600000006622739</v>
      </c>
      <c r="G135">
        <f t="shared" si="20"/>
        <v>121</v>
      </c>
      <c r="H135" s="53">
        <f t="shared" si="12"/>
        <v>121</v>
      </c>
      <c r="I135" s="7" cm="1">
        <f t="array" ref="I135">CurrentCapacity(K$9,K$5,K$6,H135)</f>
        <v>272.71591776000002</v>
      </c>
      <c r="J135" s="51">
        <f t="shared" si="13"/>
        <v>0.38751424540635615</v>
      </c>
      <c r="K135" s="5" cm="1">
        <f t="array" ref="K135">UseableCapacity(I135,$K$7,$K$8)</f>
        <v>204.53693832000002</v>
      </c>
      <c r="L135" s="66">
        <f t="shared" si="14"/>
        <v>167.03461467893175</v>
      </c>
      <c r="M135" s="7">
        <f t="shared" si="15"/>
        <v>98.855635238931725</v>
      </c>
      <c r="N135" s="7">
        <f t="shared" si="16"/>
        <v>20.324082239999996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122</v>
      </c>
      <c r="C136" s="7">
        <f t="shared" si="10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66" cm="1">
        <f t="array" ref="F136">estimatedTripDuration(C136,$C$7,$C$6)/60</f>
        <v>4.1933333339956071</v>
      </c>
      <c r="G136">
        <f t="shared" si="20"/>
        <v>122</v>
      </c>
      <c r="H136" s="53">
        <f t="shared" si="12"/>
        <v>122</v>
      </c>
      <c r="I136" s="7" cm="1">
        <f t="array" ref="I136">CurrentCapacity(K$9,K$5,K$6,H136)</f>
        <v>272.70536832000005</v>
      </c>
      <c r="J136" s="51">
        <f t="shared" si="13"/>
        <v>0.38772640543326536</v>
      </c>
      <c r="K136" s="5" cm="1">
        <f t="array" ref="K136">UseableCapacity(I136,$K$7,$K$8)</f>
        <v>204.52902624000004</v>
      </c>
      <c r="L136" s="66">
        <f t="shared" si="14"/>
        <v>166.97029611893174</v>
      </c>
      <c r="M136" s="7">
        <f t="shared" si="15"/>
        <v>98.793954038931744</v>
      </c>
      <c r="N136" s="7">
        <f t="shared" si="16"/>
        <v>20.334631679999973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123</v>
      </c>
      <c r="C137" s="7">
        <f t="shared" si="10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66" cm="1">
        <f t="array" ref="F137">estimatedTripDuration(C137,$C$7,$C$6)/60</f>
        <v>4.2266666673289404</v>
      </c>
      <c r="G137">
        <f t="shared" si="20"/>
        <v>123</v>
      </c>
      <c r="H137" s="53">
        <f t="shared" si="12"/>
        <v>123</v>
      </c>
      <c r="I137" s="7" cm="1">
        <f t="array" ref="I137">CurrentCapacity(K$9,K$5,K$6,H137)</f>
        <v>272.69481888000001</v>
      </c>
      <c r="J137" s="51">
        <f t="shared" si="13"/>
        <v>0.38793858187537078</v>
      </c>
      <c r="K137" s="5" cm="1">
        <f t="array" ref="K137">UseableCapacity(I137,$K$7,$K$8)</f>
        <v>204.52111416000002</v>
      </c>
      <c r="L137" s="66">
        <f t="shared" si="14"/>
        <v>166.90597755893174</v>
      </c>
      <c r="M137" s="7">
        <f t="shared" si="15"/>
        <v>98.732272838931735</v>
      </c>
      <c r="N137" s="7">
        <f t="shared" si="16"/>
        <v>20.345181120000007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124</v>
      </c>
      <c r="C138" s="7">
        <f t="shared" si="10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66" cm="1">
        <f t="array" ref="F138">estimatedTripDuration(C138,$C$7,$C$6)/60</f>
        <v>4.2600000006622727</v>
      </c>
      <c r="G138">
        <f t="shared" si="20"/>
        <v>124</v>
      </c>
      <c r="H138" s="53">
        <f t="shared" si="12"/>
        <v>124</v>
      </c>
      <c r="I138" s="7" cm="1">
        <f t="array" ref="I138">CurrentCapacity(K$9,K$5,K$6,H138)</f>
        <v>272.68426944000004</v>
      </c>
      <c r="J138" s="51">
        <f t="shared" si="13"/>
        <v>0.38815077473457754</v>
      </c>
      <c r="K138" s="5" cm="1">
        <f t="array" ref="K138">UseableCapacity(I138,$K$7,$K$8)</f>
        <v>204.51320208000004</v>
      </c>
      <c r="L138" s="66">
        <f t="shared" si="14"/>
        <v>166.84165899893173</v>
      </c>
      <c r="M138" s="7">
        <f t="shared" si="15"/>
        <v>98.670591638931739</v>
      </c>
      <c r="N138" s="7">
        <f t="shared" si="16"/>
        <v>20.355730559999984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125</v>
      </c>
      <c r="C139" s="7">
        <f t="shared" si="10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66" cm="1">
        <f t="array" ref="F139">estimatedTripDuration(C139,$C$7,$C$6)/60</f>
        <v>4.2933333339956068</v>
      </c>
      <c r="G139">
        <f t="shared" si="20"/>
        <v>125</v>
      </c>
      <c r="H139" s="53">
        <f t="shared" si="12"/>
        <v>125</v>
      </c>
      <c r="I139" s="7" cm="1">
        <f t="array" ref="I139">CurrentCapacity(K$9,K$5,K$6,H139)</f>
        <v>272.67372000000006</v>
      </c>
      <c r="J139" s="51">
        <f t="shared" si="13"/>
        <v>0.38836298401279107</v>
      </c>
      <c r="K139" s="5" cm="1">
        <f t="array" ref="K139">UseableCapacity(I139,$K$7,$K$8)</f>
        <v>204.50529000000006</v>
      </c>
      <c r="L139" s="66">
        <f t="shared" si="14"/>
        <v>166.77734043893179</v>
      </c>
      <c r="M139" s="7">
        <f t="shared" si="15"/>
        <v>98.608910438931773</v>
      </c>
      <c r="N139" s="7">
        <f t="shared" si="16"/>
        <v>20.366279999999961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126</v>
      </c>
      <c r="C140" s="7">
        <f t="shared" si="10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66" cm="1">
        <f t="array" ref="F140">estimatedTripDuration(C140,$C$7,$C$6)/60</f>
        <v>4.32666666732894</v>
      </c>
      <c r="G140">
        <f t="shared" si="20"/>
        <v>126</v>
      </c>
      <c r="H140" s="53">
        <f t="shared" si="12"/>
        <v>126</v>
      </c>
      <c r="I140" s="7" cm="1">
        <f t="array" ref="I140">CurrentCapacity(K$9,K$5,K$6,H140)</f>
        <v>272.66317056000003</v>
      </c>
      <c r="J140" s="51">
        <f t="shared" si="13"/>
        <v>0.38857520971191728</v>
      </c>
      <c r="K140" s="5" cm="1">
        <f t="array" ref="K140">UseableCapacity(I140,$K$7,$K$8)</f>
        <v>204.49737792000002</v>
      </c>
      <c r="L140" s="66">
        <f t="shared" si="14"/>
        <v>166.71302187893173</v>
      </c>
      <c r="M140" s="7">
        <f t="shared" si="15"/>
        <v>98.547229238931735</v>
      </c>
      <c r="N140" s="7">
        <f t="shared" si="16"/>
        <v>20.376829439999995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127</v>
      </c>
      <c r="C141" s="7">
        <f t="shared" si="10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66" cm="1">
        <f t="array" ref="F141">estimatedTripDuration(C141,$C$7,$C$6)/60</f>
        <v>4.3600000006622741</v>
      </c>
      <c r="G141">
        <f t="shared" si="20"/>
        <v>127</v>
      </c>
      <c r="H141" s="53">
        <f t="shared" si="12"/>
        <v>127</v>
      </c>
      <c r="I141" s="7" cm="1">
        <f t="array" ref="I141">CurrentCapacity(K$9,K$5,K$6,H141)</f>
        <v>272.65262112000005</v>
      </c>
      <c r="J141" s="51">
        <f t="shared" si="13"/>
        <v>0.38878745183386221</v>
      </c>
      <c r="K141" s="5" cm="1">
        <f t="array" ref="K141">UseableCapacity(I141,$K$7,$K$8)</f>
        <v>204.48946584000004</v>
      </c>
      <c r="L141" s="66">
        <f t="shared" si="14"/>
        <v>166.64870331893175</v>
      </c>
      <c r="M141" s="7">
        <f t="shared" si="15"/>
        <v>98.485548038931739</v>
      </c>
      <c r="N141" s="7">
        <f t="shared" si="16"/>
        <v>20.387378879999972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128</v>
      </c>
      <c r="C142" s="7">
        <f t="shared" si="10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66" cm="1">
        <f t="array" ref="F142">estimatedTripDuration(C142,$C$7,$C$6)/60</f>
        <v>4.3933333339956082</v>
      </c>
      <c r="G142">
        <f t="shared" si="20"/>
        <v>128</v>
      </c>
      <c r="H142" s="53">
        <f t="shared" si="12"/>
        <v>128</v>
      </c>
      <c r="I142" s="7" cm="1">
        <f t="array" ref="I142">CurrentCapacity(K$9,K$5,K$6,H142)</f>
        <v>272.64207168000007</v>
      </c>
      <c r="J142" s="51">
        <f t="shared" si="13"/>
        <v>0.38899971038053205</v>
      </c>
      <c r="K142" s="5" cm="1">
        <f t="array" ref="K142">UseableCapacity(I142,$K$7,$K$8)</f>
        <v>204.48155376000005</v>
      </c>
      <c r="L142" s="66">
        <f t="shared" si="14"/>
        <v>166.58438475893178</v>
      </c>
      <c r="M142" s="7">
        <f t="shared" si="15"/>
        <v>98.423866838931772</v>
      </c>
      <c r="N142" s="7">
        <f t="shared" si="16"/>
        <v>20.397928319999949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129</v>
      </c>
      <c r="C143" s="7">
        <f t="shared" ref="C143:C206" si="23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66" cm="1">
        <f t="array" ref="F143">estimatedTripDuration(C143,$C$7,$C$6)/60</f>
        <v>4.4266666673289414</v>
      </c>
      <c r="G143">
        <f t="shared" si="20"/>
        <v>129</v>
      </c>
      <c r="H143" s="53">
        <f t="shared" ref="H143:H206" si="24">G143/$G$3</f>
        <v>129</v>
      </c>
      <c r="I143" s="7" cm="1">
        <f t="array" ref="I143">CurrentCapacity(K$9,K$5,K$6,H143)</f>
        <v>272.63152224000004</v>
      </c>
      <c r="J143" s="51">
        <f t="shared" ref="J143:J206" si="25">E143/I143</f>
        <v>0.38921198535383378</v>
      </c>
      <c r="K143" s="5" cm="1">
        <f t="array" ref="K143">UseableCapacity(I143,$K$7,$K$8)</f>
        <v>204.47364168000001</v>
      </c>
      <c r="L143" s="66">
        <f t="shared" ref="L143:L206" si="26">(K$7*I143)-E143</f>
        <v>166.52006619893172</v>
      </c>
      <c r="M143" s="7">
        <f t="shared" ref="M143:M206" si="27">K143-E143</f>
        <v>98.362185638931706</v>
      </c>
      <c r="N143" s="7">
        <f t="shared" ref="N143:N206" si="28">$K$9-I143</f>
        <v>20.408477759999982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ref="B144:B207" si="29">B143+$G$11</f>
        <v>130</v>
      </c>
      <c r="C144" s="7">
        <f t="shared" si="23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66" cm="1">
        <f t="array" ref="F144">estimatedTripDuration(C144,$C$7,$C$6)/60</f>
        <v>4.4600000006622746</v>
      </c>
      <c r="G144">
        <f t="shared" si="20"/>
        <v>130</v>
      </c>
      <c r="H144" s="53">
        <f t="shared" si="24"/>
        <v>130</v>
      </c>
      <c r="I144" s="7" cm="1">
        <f t="array" ref="I144">CurrentCapacity(K$9,K$5,K$6,H144)</f>
        <v>272.6209728</v>
      </c>
      <c r="J144" s="51">
        <f t="shared" si="25"/>
        <v>0.38942427675567409</v>
      </c>
      <c r="K144" s="5" cm="1">
        <f t="array" ref="K144">UseableCapacity(I144,$K$7,$K$8)</f>
        <v>204.4657296</v>
      </c>
      <c r="L144" s="66">
        <f t="shared" si="26"/>
        <v>166.45574763893171</v>
      </c>
      <c r="M144" s="7">
        <f t="shared" si="27"/>
        <v>98.300504438931696</v>
      </c>
      <c r="N144" s="7">
        <f t="shared" si="28"/>
        <v>20.419027200000016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si="29"/>
        <v>131</v>
      </c>
      <c r="C145" s="7">
        <f t="shared" si="23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66" cm="1">
        <f t="array" ref="F145">estimatedTripDuration(C145,$C$7,$C$6)/60</f>
        <v>4.4933333339956079</v>
      </c>
      <c r="G145">
        <f t="shared" si="20"/>
        <v>131</v>
      </c>
      <c r="H145" s="53">
        <f t="shared" si="24"/>
        <v>131</v>
      </c>
      <c r="I145" s="7" cm="1">
        <f t="array" ref="I145">CurrentCapacity(K$9,K$5,K$6,H145)</f>
        <v>272.61042336000003</v>
      </c>
      <c r="J145" s="51">
        <f t="shared" si="25"/>
        <v>0.38963658458796019</v>
      </c>
      <c r="K145" s="5" cm="1">
        <f t="array" ref="K145">UseableCapacity(I145,$K$7,$K$8)</f>
        <v>204.45781752000002</v>
      </c>
      <c r="L145" s="66">
        <f t="shared" si="26"/>
        <v>166.39142907893174</v>
      </c>
      <c r="M145" s="7">
        <f t="shared" si="27"/>
        <v>98.23882323893173</v>
      </c>
      <c r="N145" s="7">
        <f t="shared" si="28"/>
        <v>20.429576639999993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132</v>
      </c>
      <c r="C146" s="7">
        <f t="shared" si="23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66" cm="1">
        <f t="array" ref="F146">estimatedTripDuration(C146,$C$7,$C$6)/60</f>
        <v>4.5266666673289411</v>
      </c>
      <c r="G146">
        <f t="shared" si="20"/>
        <v>132</v>
      </c>
      <c r="H146" s="53">
        <f t="shared" si="24"/>
        <v>132</v>
      </c>
      <c r="I146" s="7" cm="1">
        <f t="array" ref="I146">CurrentCapacity(K$9,K$5,K$6,H146)</f>
        <v>272.59987392000005</v>
      </c>
      <c r="J146" s="51">
        <f t="shared" si="25"/>
        <v>0.38984890885259976</v>
      </c>
      <c r="K146" s="5" cm="1">
        <f t="array" ref="K146">UseableCapacity(I146,$K$7,$K$8)</f>
        <v>204.44990544000004</v>
      </c>
      <c r="L146" s="66">
        <f t="shared" si="26"/>
        <v>166.32711051893176</v>
      </c>
      <c r="M146" s="7">
        <f t="shared" si="27"/>
        <v>98.177142038931748</v>
      </c>
      <c r="N146" s="7">
        <f t="shared" si="28"/>
        <v>20.44012607999997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133</v>
      </c>
      <c r="C147" s="7">
        <f t="shared" si="23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66" cm="1">
        <f t="array" ref="F147">estimatedTripDuration(C147,$C$7,$C$6)/60</f>
        <v>4.5600000006622743</v>
      </c>
      <c r="G147">
        <f t="shared" si="20"/>
        <v>133</v>
      </c>
      <c r="H147" s="53">
        <f t="shared" si="24"/>
        <v>133</v>
      </c>
      <c r="I147" s="7" cm="1">
        <f t="array" ref="I147">CurrentCapacity(K$9,K$5,K$6,H147)</f>
        <v>272.58932448000002</v>
      </c>
      <c r="J147" s="51">
        <f t="shared" si="25"/>
        <v>0.39006124955150073</v>
      </c>
      <c r="K147" s="5" cm="1">
        <f t="array" ref="K147">UseableCapacity(I147,$K$7,$K$8)</f>
        <v>204.44199336000003</v>
      </c>
      <c r="L147" s="66">
        <f t="shared" si="26"/>
        <v>166.26279195893173</v>
      </c>
      <c r="M147" s="7">
        <f t="shared" si="27"/>
        <v>98.115460838931739</v>
      </c>
      <c r="N147" s="7">
        <f t="shared" si="28"/>
        <v>20.450675520000004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134</v>
      </c>
      <c r="C148" s="7">
        <f t="shared" si="23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66" cm="1">
        <f t="array" ref="F148">estimatedTripDuration(C148,$C$7,$C$6)/60</f>
        <v>4.5933333339956075</v>
      </c>
      <c r="G148">
        <f t="shared" si="20"/>
        <v>134</v>
      </c>
      <c r="H148" s="53">
        <f t="shared" si="24"/>
        <v>134</v>
      </c>
      <c r="I148" s="7" cm="1">
        <f t="array" ref="I148">CurrentCapacity(K$9,K$5,K$6,H148)</f>
        <v>272.57877504000004</v>
      </c>
      <c r="J148" s="51">
        <f t="shared" si="25"/>
        <v>0.39027360668657096</v>
      </c>
      <c r="K148" s="5" cm="1">
        <f t="array" ref="K148">UseableCapacity(I148,$K$7,$K$8)</f>
        <v>204.43408128000004</v>
      </c>
      <c r="L148" s="66">
        <f t="shared" si="26"/>
        <v>166.19847339893175</v>
      </c>
      <c r="M148" s="7">
        <f t="shared" si="27"/>
        <v>98.053779638931758</v>
      </c>
      <c r="N148" s="7">
        <f t="shared" si="28"/>
        <v>20.461224959999981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135</v>
      </c>
      <c r="C149" s="7">
        <f t="shared" si="23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66" cm="1">
        <f t="array" ref="F149">estimatedTripDuration(C149,$C$7,$C$6)/60</f>
        <v>4.6266666673289416</v>
      </c>
      <c r="G149">
        <f t="shared" si="20"/>
        <v>135</v>
      </c>
      <c r="H149" s="53">
        <f t="shared" si="24"/>
        <v>135</v>
      </c>
      <c r="I149" s="7" cm="1">
        <f t="array" ref="I149">CurrentCapacity(K$9,K$5,K$6,H149)</f>
        <v>272.56822560000006</v>
      </c>
      <c r="J149" s="51">
        <f t="shared" si="25"/>
        <v>0.39048598025971909</v>
      </c>
      <c r="K149" s="5" cm="1">
        <f t="array" ref="K149">UseableCapacity(I149,$K$7,$K$8)</f>
        <v>204.42616920000006</v>
      </c>
      <c r="L149" s="66">
        <f t="shared" si="26"/>
        <v>166.13415483893178</v>
      </c>
      <c r="M149" s="7">
        <f t="shared" si="27"/>
        <v>97.992098438931777</v>
      </c>
      <c r="N149" s="7">
        <f t="shared" si="28"/>
        <v>20.471774399999958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136</v>
      </c>
      <c r="C150" s="7">
        <f t="shared" si="23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66" cm="1">
        <f t="array" ref="F150">estimatedTripDuration(C150,$C$7,$C$6)/60</f>
        <v>4.6600000006622748</v>
      </c>
      <c r="G150">
        <f t="shared" si="20"/>
        <v>136</v>
      </c>
      <c r="H150" s="53">
        <f t="shared" si="24"/>
        <v>136</v>
      </c>
      <c r="I150" s="7" cm="1">
        <f t="array" ref="I150">CurrentCapacity(K$9,K$5,K$6,H150)</f>
        <v>272.55767616000003</v>
      </c>
      <c r="J150" s="51">
        <f t="shared" si="25"/>
        <v>0.39069837027285387</v>
      </c>
      <c r="K150" s="5" cm="1">
        <f t="array" ref="K150">UseableCapacity(I150,$K$7,$K$8)</f>
        <v>204.41825712000002</v>
      </c>
      <c r="L150" s="66">
        <f t="shared" si="26"/>
        <v>166.06983627893175</v>
      </c>
      <c r="M150" s="7">
        <f t="shared" si="27"/>
        <v>97.930417238931739</v>
      </c>
      <c r="N150" s="7">
        <f t="shared" si="28"/>
        <v>20.482323839999992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137</v>
      </c>
      <c r="C151" s="7">
        <f t="shared" si="23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66" cm="1">
        <f t="array" ref="F151">estimatedTripDuration(C151,$C$7,$C$6)/60</f>
        <v>4.693333333995608</v>
      </c>
      <c r="G151">
        <f t="shared" si="20"/>
        <v>137</v>
      </c>
      <c r="H151" s="53">
        <f t="shared" si="24"/>
        <v>137</v>
      </c>
      <c r="I151" s="7" cm="1">
        <f t="array" ref="I151">CurrentCapacity(K$9,K$5,K$6,H151)</f>
        <v>272.54712671999999</v>
      </c>
      <c r="J151" s="51">
        <f t="shared" si="25"/>
        <v>0.39091077672788427</v>
      </c>
      <c r="K151" s="5" cm="1">
        <f t="array" ref="K151">UseableCapacity(I151,$K$7,$K$8)</f>
        <v>204.41034503999998</v>
      </c>
      <c r="L151" s="66">
        <f t="shared" si="26"/>
        <v>166.00551771893169</v>
      </c>
      <c r="M151" s="7">
        <f t="shared" si="27"/>
        <v>97.868736038931686</v>
      </c>
      <c r="N151" s="7">
        <f t="shared" si="28"/>
        <v>20.492873280000026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138</v>
      </c>
      <c r="C152" s="7">
        <f t="shared" si="23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66" cm="1">
        <f t="array" ref="F152">estimatedTripDuration(C152,$C$7,$C$6)/60</f>
        <v>4.7266666673289413</v>
      </c>
      <c r="G152">
        <f t="shared" si="20"/>
        <v>138</v>
      </c>
      <c r="H152" s="53">
        <f t="shared" si="24"/>
        <v>138</v>
      </c>
      <c r="I152" s="7" cm="1">
        <f t="array" ref="I152">CurrentCapacity(K$9,K$5,K$6,H152)</f>
        <v>272.53657728000002</v>
      </c>
      <c r="J152" s="51">
        <f t="shared" si="25"/>
        <v>0.39112319962671943</v>
      </c>
      <c r="K152" s="5" cm="1">
        <f t="array" ref="K152">UseableCapacity(I152,$K$7,$K$8)</f>
        <v>204.40243296</v>
      </c>
      <c r="L152" s="66">
        <f t="shared" si="26"/>
        <v>165.94119915893174</v>
      </c>
      <c r="M152" s="7">
        <f t="shared" si="27"/>
        <v>97.807054838931705</v>
      </c>
      <c r="N152" s="7">
        <f t="shared" si="28"/>
        <v>20.503422720000003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139</v>
      </c>
      <c r="C153" s="7">
        <f t="shared" si="23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66" cm="1">
        <f t="array" ref="F153">estimatedTripDuration(C153,$C$7,$C$6)/60</f>
        <v>4.7600000006622745</v>
      </c>
      <c r="G153">
        <f t="shared" si="20"/>
        <v>139</v>
      </c>
      <c r="H153" s="53">
        <f t="shared" si="24"/>
        <v>139</v>
      </c>
      <c r="I153" s="7" cm="1">
        <f t="array" ref="I153">CurrentCapacity(K$9,K$5,K$6,H153)</f>
        <v>272.52602784000004</v>
      </c>
      <c r="J153" s="51">
        <f t="shared" si="25"/>
        <v>0.39133563897126916</v>
      </c>
      <c r="K153" s="5" cm="1">
        <f t="array" ref="K153">UseableCapacity(I153,$K$7,$K$8)</f>
        <v>204.39452088000002</v>
      </c>
      <c r="L153" s="66">
        <f t="shared" si="26"/>
        <v>165.87688059893173</v>
      </c>
      <c r="M153" s="7">
        <f t="shared" si="27"/>
        <v>97.74537363893171</v>
      </c>
      <c r="N153" s="7">
        <f t="shared" si="28"/>
        <v>20.51397215999998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140</v>
      </c>
      <c r="C154" s="7">
        <f t="shared" si="23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66" cm="1">
        <f t="array" ref="F154">estimatedTripDuration(C154,$C$7,$C$6)/60</f>
        <v>4.7933333339956077</v>
      </c>
      <c r="G154">
        <f t="shared" si="20"/>
        <v>140</v>
      </c>
      <c r="H154" s="53">
        <f t="shared" si="24"/>
        <v>140</v>
      </c>
      <c r="I154" s="7" cm="1">
        <f t="array" ref="I154">CurrentCapacity(K$9,K$5,K$6,H154)</f>
        <v>272.51547840000001</v>
      </c>
      <c r="J154" s="51">
        <f t="shared" si="25"/>
        <v>0.39154809476344338</v>
      </c>
      <c r="K154" s="5" cm="1">
        <f t="array" ref="K154">UseableCapacity(I154,$K$7,$K$8)</f>
        <v>204.3866088</v>
      </c>
      <c r="L154" s="66">
        <f t="shared" si="26"/>
        <v>165.8125620389317</v>
      </c>
      <c r="M154" s="7">
        <f t="shared" si="27"/>
        <v>97.683692438931701</v>
      </c>
      <c r="N154" s="7">
        <f t="shared" si="28"/>
        <v>20.524521600000014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141</v>
      </c>
      <c r="C155" s="7">
        <f t="shared" si="23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66" cm="1">
        <f t="array" ref="F155">estimatedTripDuration(C155,$C$7,$C$6)/60</f>
        <v>4.8266666673289409</v>
      </c>
      <c r="G155">
        <f t="shared" si="20"/>
        <v>141</v>
      </c>
      <c r="H155" s="53">
        <f t="shared" si="24"/>
        <v>141</v>
      </c>
      <c r="I155" s="7" cm="1">
        <f t="array" ref="I155">CurrentCapacity(K$9,K$5,K$6,H155)</f>
        <v>272.50492896000003</v>
      </c>
      <c r="J155" s="51">
        <f t="shared" si="25"/>
        <v>0.39176056700515205</v>
      </c>
      <c r="K155" s="5" cm="1">
        <f t="array" ref="K155">UseableCapacity(I155,$K$7,$K$8)</f>
        <v>204.37869672000002</v>
      </c>
      <c r="L155" s="66">
        <f t="shared" si="26"/>
        <v>165.74824347893173</v>
      </c>
      <c r="M155" s="7">
        <f t="shared" si="27"/>
        <v>97.622011238931734</v>
      </c>
      <c r="N155" s="7">
        <f t="shared" si="28"/>
        <v>20.535071039999991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142</v>
      </c>
      <c r="C156" s="7">
        <f t="shared" si="23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66" cm="1">
        <f t="array" ref="F156">estimatedTripDuration(C156,$C$7,$C$6)/60</f>
        <v>4.8600000006622741</v>
      </c>
      <c r="G156">
        <f t="shared" si="20"/>
        <v>142</v>
      </c>
      <c r="H156" s="53">
        <f t="shared" si="24"/>
        <v>142</v>
      </c>
      <c r="I156" s="7" cm="1">
        <f t="array" ref="I156">CurrentCapacity(K$9,K$5,K$6,H156)</f>
        <v>272.49437952000005</v>
      </c>
      <c r="J156" s="51">
        <f t="shared" si="25"/>
        <v>0.39197305569830593</v>
      </c>
      <c r="K156" s="5" cm="1">
        <f t="array" ref="K156">UseableCapacity(I156,$K$7,$K$8)</f>
        <v>204.37078464000004</v>
      </c>
      <c r="L156" s="66">
        <f t="shared" si="26"/>
        <v>165.68392491893175</v>
      </c>
      <c r="M156" s="7">
        <f t="shared" si="27"/>
        <v>97.560330038931738</v>
      </c>
      <c r="N156" s="7">
        <f t="shared" si="28"/>
        <v>20.545620479999968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143</v>
      </c>
      <c r="C157" s="7">
        <f t="shared" si="23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66" cm="1">
        <f t="array" ref="F157">estimatedTripDuration(C157,$C$7,$C$6)/60</f>
        <v>4.8933333339956082</v>
      </c>
      <c r="G157">
        <f t="shared" si="20"/>
        <v>143</v>
      </c>
      <c r="H157" s="53">
        <f t="shared" si="24"/>
        <v>143</v>
      </c>
      <c r="I157" s="7" cm="1">
        <f t="array" ref="I157">CurrentCapacity(K$9,K$5,K$6,H157)</f>
        <v>272.48383008000002</v>
      </c>
      <c r="J157" s="51">
        <f t="shared" si="25"/>
        <v>0.39218556084481576</v>
      </c>
      <c r="K157" s="5" cm="1">
        <f t="array" ref="K157">UseableCapacity(I157,$K$7,$K$8)</f>
        <v>204.36287256000003</v>
      </c>
      <c r="L157" s="66">
        <f t="shared" si="26"/>
        <v>165.61960635893172</v>
      </c>
      <c r="M157" s="7">
        <f t="shared" si="27"/>
        <v>97.498648838931743</v>
      </c>
      <c r="N157" s="7">
        <f t="shared" si="28"/>
        <v>20.556169920000002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144</v>
      </c>
      <c r="C158" s="7">
        <f t="shared" si="23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66" cm="1">
        <f t="array" ref="F158">estimatedTripDuration(C158,$C$7,$C$6)/60</f>
        <v>4.9266666673289414</v>
      </c>
      <c r="G158">
        <f t="shared" si="20"/>
        <v>144</v>
      </c>
      <c r="H158" s="53">
        <f t="shared" si="24"/>
        <v>144</v>
      </c>
      <c r="I158" s="7" cm="1">
        <f t="array" ref="I158">CurrentCapacity(K$9,K$5,K$6,H158)</f>
        <v>272.47328064000004</v>
      </c>
      <c r="J158" s="51">
        <f t="shared" si="25"/>
        <v>0.39239808244659263</v>
      </c>
      <c r="K158" s="5" cm="1">
        <f t="array" ref="K158">UseableCapacity(I158,$K$7,$K$8)</f>
        <v>204.35496048000005</v>
      </c>
      <c r="L158" s="66">
        <f t="shared" si="26"/>
        <v>165.55528779893172</v>
      </c>
      <c r="M158" s="7">
        <f t="shared" si="27"/>
        <v>97.436967638931733</v>
      </c>
      <c r="N158" s="7">
        <f t="shared" si="28"/>
        <v>20.566719359999979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145</v>
      </c>
      <c r="C159" s="7">
        <f t="shared" si="23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66" cm="1">
        <f t="array" ref="F159">estimatedTripDuration(C159,$C$7,$C$6)/60</f>
        <v>4.9600000006622746</v>
      </c>
      <c r="G159">
        <f t="shared" si="20"/>
        <v>145</v>
      </c>
      <c r="H159" s="53">
        <f t="shared" si="24"/>
        <v>145</v>
      </c>
      <c r="I159" s="7" cm="1">
        <f t="array" ref="I159">CurrentCapacity(K$9,K$5,K$6,H159)</f>
        <v>272.46273120000001</v>
      </c>
      <c r="J159" s="51">
        <f t="shared" si="25"/>
        <v>0.39261062050554779</v>
      </c>
      <c r="K159" s="5" cm="1">
        <f t="array" ref="K159">UseableCapacity(I159,$K$7,$K$8)</f>
        <v>204.34704840000001</v>
      </c>
      <c r="L159" s="66">
        <f t="shared" si="26"/>
        <v>165.49096923893171</v>
      </c>
      <c r="M159" s="7">
        <f t="shared" si="27"/>
        <v>97.375286438931724</v>
      </c>
      <c r="N159" s="7">
        <f t="shared" si="28"/>
        <v>20.577268800000013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146</v>
      </c>
      <c r="C160" s="7">
        <f t="shared" si="23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66" cm="1">
        <f t="array" ref="F160">estimatedTripDuration(C160,$C$7,$C$6)/60</f>
        <v>4.9933333339956079</v>
      </c>
      <c r="G160">
        <f t="shared" si="20"/>
        <v>146</v>
      </c>
      <c r="H160" s="53">
        <f t="shared" si="24"/>
        <v>146</v>
      </c>
      <c r="I160" s="7" cm="1">
        <f t="array" ref="I160">CurrentCapacity(K$9,K$5,K$6,H160)</f>
        <v>272.45218176000003</v>
      </c>
      <c r="J160" s="51">
        <f t="shared" si="25"/>
        <v>0.39282317502359304</v>
      </c>
      <c r="K160" s="5" cm="1">
        <f t="array" ref="K160">UseableCapacity(I160,$K$7,$K$8)</f>
        <v>204.33913632000002</v>
      </c>
      <c r="L160" s="66">
        <f t="shared" si="26"/>
        <v>165.42665067893176</v>
      </c>
      <c r="M160" s="7">
        <f t="shared" si="27"/>
        <v>97.313605238931743</v>
      </c>
      <c r="N160" s="7">
        <f t="shared" si="28"/>
        <v>20.58781823999999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147</v>
      </c>
      <c r="C161" s="7">
        <f t="shared" si="23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66" cm="1">
        <f t="array" ref="F161">estimatedTripDuration(C161,$C$7,$C$6)/60</f>
        <v>5.0266666673289411</v>
      </c>
      <c r="G161">
        <f t="shared" si="20"/>
        <v>147</v>
      </c>
      <c r="H161" s="53">
        <f t="shared" si="24"/>
        <v>147</v>
      </c>
      <c r="I161" s="7" cm="1">
        <f t="array" ref="I161">CurrentCapacity(K$9,K$5,K$6,H161)</f>
        <v>272.44163232000005</v>
      </c>
      <c r="J161" s="51">
        <f t="shared" si="25"/>
        <v>0.39303574600264041</v>
      </c>
      <c r="K161" s="5" cm="1">
        <f t="array" ref="K161">UseableCapacity(I161,$K$7,$K$8)</f>
        <v>204.33122424000004</v>
      </c>
      <c r="L161" s="66">
        <f t="shared" si="26"/>
        <v>165.36233211893176</v>
      </c>
      <c r="M161" s="7">
        <f t="shared" si="27"/>
        <v>97.251924038931747</v>
      </c>
      <c r="N161" s="7">
        <f t="shared" si="28"/>
        <v>20.598367679999967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148</v>
      </c>
      <c r="C162" s="7">
        <f t="shared" si="23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66" cm="1">
        <f t="array" ref="F162">estimatedTripDuration(C162,$C$7,$C$6)/60</f>
        <v>5.0600000006622743</v>
      </c>
      <c r="G162">
        <f t="shared" si="20"/>
        <v>148</v>
      </c>
      <c r="H162" s="53">
        <f t="shared" si="24"/>
        <v>148</v>
      </c>
      <c r="I162" s="7" cm="1">
        <f t="array" ref="I162">CurrentCapacity(K$9,K$5,K$6,H162)</f>
        <v>272.43108288000002</v>
      </c>
      <c r="J162" s="51">
        <f t="shared" si="25"/>
        <v>0.39324833344460214</v>
      </c>
      <c r="K162" s="5" cm="1">
        <f t="array" ref="K162">UseableCapacity(I162,$K$7,$K$8)</f>
        <v>204.32331216</v>
      </c>
      <c r="L162" s="66">
        <f t="shared" si="26"/>
        <v>165.29801355893173</v>
      </c>
      <c r="M162" s="7">
        <f t="shared" si="27"/>
        <v>97.190242838931709</v>
      </c>
      <c r="N162" s="7">
        <f t="shared" si="28"/>
        <v>20.608917120000001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149</v>
      </c>
      <c r="C163" s="7">
        <f t="shared" si="23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66" cm="1">
        <f t="array" ref="F163">estimatedTripDuration(C163,$C$7,$C$6)/60</f>
        <v>5.0933333339956075</v>
      </c>
      <c r="G163">
        <f t="shared" si="20"/>
        <v>149</v>
      </c>
      <c r="H163" s="53">
        <f t="shared" si="24"/>
        <v>149</v>
      </c>
      <c r="I163" s="7" cm="1">
        <f t="array" ref="I163">CurrentCapacity(K$9,K$5,K$6,H163)</f>
        <v>272.42053344000004</v>
      </c>
      <c r="J163" s="51">
        <f t="shared" si="25"/>
        <v>0.39346093735139076</v>
      </c>
      <c r="K163" s="5" cm="1">
        <f t="array" ref="K163">UseableCapacity(I163,$K$7,$K$8)</f>
        <v>204.31540008000002</v>
      </c>
      <c r="L163" s="66">
        <f t="shared" si="26"/>
        <v>165.23369499893175</v>
      </c>
      <c r="M163" s="7">
        <f t="shared" si="27"/>
        <v>97.128561638931714</v>
      </c>
      <c r="N163" s="7">
        <f t="shared" si="28"/>
        <v>20.619466559999978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150</v>
      </c>
      <c r="C164" s="7">
        <f t="shared" si="23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66" cm="1">
        <f t="array" ref="F164">estimatedTripDuration(C164,$C$7,$C$6)/60</f>
        <v>5.1266666673289416</v>
      </c>
      <c r="G164">
        <f t="shared" si="20"/>
        <v>150</v>
      </c>
      <c r="H164" s="53">
        <f t="shared" si="24"/>
        <v>150</v>
      </c>
      <c r="I164" s="7" cm="1">
        <f t="array" ref="I164">CurrentCapacity(K$9,K$5,K$6,H164)</f>
        <v>272.40998400000007</v>
      </c>
      <c r="J164" s="51">
        <f t="shared" si="25"/>
        <v>0.39367355772491902</v>
      </c>
      <c r="K164" s="5" cm="1">
        <f t="array" ref="K164">UseableCapacity(I164,$K$7,$K$8)</f>
        <v>204.30748800000003</v>
      </c>
      <c r="L164" s="66">
        <f t="shared" si="26"/>
        <v>165.16937643893178</v>
      </c>
      <c r="M164" s="7">
        <f t="shared" si="27"/>
        <v>97.066880438931747</v>
      </c>
      <c r="N164" s="7">
        <f t="shared" si="28"/>
        <v>20.630015999999955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151</v>
      </c>
      <c r="C165" s="7">
        <f t="shared" si="23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66" cm="1">
        <f t="array" ref="F165">estimatedTripDuration(C165,$C$7,$C$6)/60</f>
        <v>5.1600000006622748</v>
      </c>
      <c r="G165">
        <f t="shared" si="20"/>
        <v>151</v>
      </c>
      <c r="H165" s="53">
        <f t="shared" si="24"/>
        <v>151</v>
      </c>
      <c r="I165" s="7" cm="1">
        <f t="array" ref="I165">CurrentCapacity(K$9,K$5,K$6,H165)</f>
        <v>272.39943456000003</v>
      </c>
      <c r="J165" s="51">
        <f t="shared" si="25"/>
        <v>0.39388619456710033</v>
      </c>
      <c r="K165" s="5" cm="1">
        <f t="array" ref="K165">UseableCapacity(I165,$K$7,$K$8)</f>
        <v>204.29957592000002</v>
      </c>
      <c r="L165" s="66">
        <f t="shared" si="26"/>
        <v>165.10505787893175</v>
      </c>
      <c r="M165" s="7">
        <f t="shared" si="27"/>
        <v>97.005199238931738</v>
      </c>
      <c r="N165" s="7">
        <f t="shared" si="28"/>
        <v>20.640565439999989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152</v>
      </c>
      <c r="C166" s="7">
        <f t="shared" si="23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66" cm="1">
        <f t="array" ref="F166">estimatedTripDuration(C166,$C$7,$C$6)/60</f>
        <v>5.193333333995608</v>
      </c>
      <c r="G166">
        <f t="shared" si="20"/>
        <v>152</v>
      </c>
      <c r="H166" s="53">
        <f t="shared" si="24"/>
        <v>152</v>
      </c>
      <c r="I166" s="7" cm="1">
        <f t="array" ref="I166">CurrentCapacity(K$9,K$5,K$6,H166)</f>
        <v>272.38888512</v>
      </c>
      <c r="J166" s="51">
        <f t="shared" si="25"/>
        <v>0.39409884787984811</v>
      </c>
      <c r="K166" s="5" cm="1">
        <f t="array" ref="K166">UseableCapacity(I166,$K$7,$K$8)</f>
        <v>204.29166384000001</v>
      </c>
      <c r="L166" s="66">
        <f t="shared" si="26"/>
        <v>165.04073931893168</v>
      </c>
      <c r="M166" s="7">
        <f t="shared" si="27"/>
        <v>96.943518038931714</v>
      </c>
      <c r="N166" s="7">
        <f t="shared" si="28"/>
        <v>20.651114880000023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153</v>
      </c>
      <c r="C167" s="7">
        <f t="shared" si="23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66" cm="1">
        <f t="array" ref="F167">estimatedTripDuration(C167,$C$7,$C$6)/60</f>
        <v>5.2266666673289413</v>
      </c>
      <c r="G167">
        <f t="shared" ref="G167:G187" si="30">B167</f>
        <v>153</v>
      </c>
      <c r="H167" s="53">
        <f t="shared" si="24"/>
        <v>153</v>
      </c>
      <c r="I167" s="7" cm="1">
        <f t="array" ref="I167">CurrentCapacity(K$9,K$5,K$6,H167)</f>
        <v>272.37833568000002</v>
      </c>
      <c r="J167" s="51">
        <f t="shared" si="25"/>
        <v>0.39431151766507583</v>
      </c>
      <c r="K167" s="5" cm="1">
        <f t="array" ref="K167">UseableCapacity(I167,$K$7,$K$8)</f>
        <v>204.28375176000003</v>
      </c>
      <c r="L167" s="66">
        <f t="shared" si="26"/>
        <v>164.97642075893174</v>
      </c>
      <c r="M167" s="7">
        <f t="shared" si="27"/>
        <v>96.881836838931747</v>
      </c>
      <c r="N167" s="7">
        <f t="shared" si="28"/>
        <v>20.66166432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35">
      <c r="B168">
        <f t="shared" si="29"/>
        <v>154</v>
      </c>
      <c r="C168" s="7">
        <f t="shared" si="23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66" cm="1">
        <f t="array" ref="F168">estimatedTripDuration(C168,$C$7,$C$6)/60</f>
        <v>5.2600000006622745</v>
      </c>
      <c r="G168">
        <f t="shared" si="30"/>
        <v>154</v>
      </c>
      <c r="H168" s="53">
        <f t="shared" si="24"/>
        <v>154</v>
      </c>
      <c r="I168" s="7" cm="1">
        <f t="array" ref="I168">CurrentCapacity(K$9,K$5,K$6,H168)</f>
        <v>272.36778624000004</v>
      </c>
      <c r="J168" s="51">
        <f t="shared" si="25"/>
        <v>0.39452420392469795</v>
      </c>
      <c r="K168" s="5" cm="1">
        <f t="array" ref="K168">UseableCapacity(I168,$K$7,$K$8)</f>
        <v>204.27583968000005</v>
      </c>
      <c r="L168" s="66">
        <f t="shared" si="26"/>
        <v>164.91210219893173</v>
      </c>
      <c r="M168" s="7">
        <f t="shared" si="27"/>
        <v>96.820155638931737</v>
      </c>
      <c r="N168" s="7">
        <f t="shared" si="28"/>
        <v>20.672213759999977</v>
      </c>
      <c r="O168" t="str">
        <f t="shared" si="31"/>
        <v>no</v>
      </c>
      <c r="P168" t="str">
        <f t="shared" si="32"/>
        <v>no</v>
      </c>
    </row>
    <row r="169" spans="2:16" x14ac:dyDescent="0.35">
      <c r="B169">
        <f t="shared" si="29"/>
        <v>155</v>
      </c>
      <c r="C169" s="7">
        <f t="shared" si="23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66" cm="1">
        <f t="array" ref="F169">estimatedTripDuration(C169,$C$7,$C$6)/60</f>
        <v>5.2933333339956077</v>
      </c>
      <c r="G169">
        <f t="shared" si="30"/>
        <v>155</v>
      </c>
      <c r="H169" s="53">
        <f t="shared" si="24"/>
        <v>155</v>
      </c>
      <c r="I169" s="7" cm="1">
        <f t="array" ref="I169">CurrentCapacity(K$9,K$5,K$6,H169)</f>
        <v>272.35723680000001</v>
      </c>
      <c r="J169" s="51">
        <f t="shared" si="25"/>
        <v>0.39473690666062855</v>
      </c>
      <c r="K169" s="5" cm="1">
        <f t="array" ref="K169">UseableCapacity(I169,$K$7,$K$8)</f>
        <v>204.26792760000001</v>
      </c>
      <c r="L169" s="66">
        <f t="shared" si="26"/>
        <v>164.8477836389317</v>
      </c>
      <c r="M169" s="7">
        <f t="shared" si="27"/>
        <v>96.7584744389317</v>
      </c>
      <c r="N169" s="7">
        <f t="shared" si="28"/>
        <v>20.682763200000011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156</v>
      </c>
      <c r="C170" s="7">
        <f t="shared" si="23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66" cm="1">
        <f t="array" ref="F170">estimatedTripDuration(C170,$C$7,$C$6)/60</f>
        <v>5.3266666673289409</v>
      </c>
      <c r="G170">
        <f t="shared" si="30"/>
        <v>156</v>
      </c>
      <c r="H170" s="53">
        <f t="shared" si="24"/>
        <v>156</v>
      </c>
      <c r="I170" s="7" cm="1">
        <f t="array" ref="I170">CurrentCapacity(K$9,K$5,K$6,H170)</f>
        <v>272.34668736000003</v>
      </c>
      <c r="J170" s="51">
        <f t="shared" si="25"/>
        <v>0.39494962587478222</v>
      </c>
      <c r="K170" s="5" cm="1">
        <f t="array" ref="K170">UseableCapacity(I170,$K$7,$K$8)</f>
        <v>204.26001552000002</v>
      </c>
      <c r="L170" s="66">
        <f t="shared" si="26"/>
        <v>164.78346507893173</v>
      </c>
      <c r="M170" s="7">
        <f t="shared" si="27"/>
        <v>96.696793238931733</v>
      </c>
      <c r="N170" s="7">
        <f t="shared" si="28"/>
        <v>20.693312639999988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157</v>
      </c>
      <c r="C171" s="7">
        <f t="shared" si="23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66" cm="1">
        <f t="array" ref="F171">estimatedTripDuration(C171,$C$7,$C$6)/60</f>
        <v>5.3600000006622741</v>
      </c>
      <c r="G171">
        <f t="shared" si="30"/>
        <v>157</v>
      </c>
      <c r="H171" s="53">
        <f t="shared" si="24"/>
        <v>157</v>
      </c>
      <c r="I171" s="7" cm="1">
        <f t="array" ref="I171">CurrentCapacity(K$9,K$5,K$6,H171)</f>
        <v>272.33613792000006</v>
      </c>
      <c r="J171" s="51">
        <f t="shared" si="25"/>
        <v>0.39516236156907414</v>
      </c>
      <c r="K171" s="5" cm="1">
        <f t="array" ref="K171">UseableCapacity(I171,$K$7,$K$8)</f>
        <v>204.25210344000004</v>
      </c>
      <c r="L171" s="66">
        <f t="shared" si="26"/>
        <v>164.71914651893175</v>
      </c>
      <c r="M171" s="7">
        <f t="shared" si="27"/>
        <v>96.635112038931737</v>
      </c>
      <c r="N171" s="7">
        <f t="shared" si="28"/>
        <v>20.703862079999965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158</v>
      </c>
      <c r="C172" s="7">
        <f t="shared" si="23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66" cm="1">
        <f t="array" ref="F172">estimatedTripDuration(C172,$C$7,$C$6)/60</f>
        <v>5.3933333339956082</v>
      </c>
      <c r="G172">
        <f t="shared" si="30"/>
        <v>158</v>
      </c>
      <c r="H172" s="53">
        <f t="shared" si="24"/>
        <v>158</v>
      </c>
      <c r="I172" s="7" cm="1">
        <f t="array" ref="I172">CurrentCapacity(K$9,K$5,K$6,H172)</f>
        <v>272.32558848000002</v>
      </c>
      <c r="J172" s="51">
        <f t="shared" si="25"/>
        <v>0.39537511374541945</v>
      </c>
      <c r="K172" s="5" cm="1">
        <f t="array" ref="K172">UseableCapacity(I172,$K$7,$K$8)</f>
        <v>204.24419136</v>
      </c>
      <c r="L172" s="66">
        <f t="shared" si="26"/>
        <v>164.65482795893172</v>
      </c>
      <c r="M172" s="7">
        <f t="shared" si="27"/>
        <v>96.573430838931699</v>
      </c>
      <c r="N172" s="7">
        <f t="shared" si="28"/>
        <v>20.714411519999999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159</v>
      </c>
      <c r="C173" s="7">
        <f t="shared" si="23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66" cm="1">
        <f t="array" ref="F173">estimatedTripDuration(C173,$C$7,$C$6)/60</f>
        <v>5.4266666673289414</v>
      </c>
      <c r="G173">
        <f t="shared" si="30"/>
        <v>159</v>
      </c>
      <c r="H173" s="53">
        <f t="shared" si="24"/>
        <v>159</v>
      </c>
      <c r="I173" s="7" cm="1">
        <f t="array" ref="I173">CurrentCapacity(K$9,K$5,K$6,H173)</f>
        <v>272.31503904000004</v>
      </c>
      <c r="J173" s="51">
        <f t="shared" si="25"/>
        <v>0.39558788240573356</v>
      </c>
      <c r="K173" s="5" cm="1">
        <f t="array" ref="K173">UseableCapacity(I173,$K$7,$K$8)</f>
        <v>204.23627928000002</v>
      </c>
      <c r="L173" s="66">
        <f t="shared" si="26"/>
        <v>164.59050939893177</v>
      </c>
      <c r="M173" s="7">
        <f t="shared" si="27"/>
        <v>96.511749638931732</v>
      </c>
      <c r="N173" s="7">
        <f t="shared" si="28"/>
        <v>20.724960959999976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160</v>
      </c>
      <c r="C174" s="7">
        <f t="shared" si="23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66" cm="1">
        <f t="array" ref="F174">estimatedTripDuration(C174,$C$7,$C$6)/60</f>
        <v>5.4600000006622746</v>
      </c>
      <c r="G174">
        <f t="shared" si="30"/>
        <v>160</v>
      </c>
      <c r="H174" s="53">
        <f t="shared" si="24"/>
        <v>160</v>
      </c>
      <c r="I174" s="7" cm="1">
        <f t="array" ref="I174">CurrentCapacity(K$9,K$5,K$6,H174)</f>
        <v>272.30448960000001</v>
      </c>
      <c r="J174" s="51">
        <f t="shared" si="25"/>
        <v>0.39580066755193255</v>
      </c>
      <c r="K174" s="5" cm="1">
        <f t="array" ref="K174">UseableCapacity(I174,$K$7,$K$8)</f>
        <v>204.22836720000001</v>
      </c>
      <c r="L174" s="66">
        <f t="shared" si="26"/>
        <v>164.52619083893171</v>
      </c>
      <c r="M174" s="7">
        <f t="shared" si="27"/>
        <v>96.450068438931723</v>
      </c>
      <c r="N174" s="7">
        <f t="shared" si="28"/>
        <v>20.73551040000001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161</v>
      </c>
      <c r="C175" s="7">
        <f t="shared" si="23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66" cm="1">
        <f t="array" ref="F175">estimatedTripDuration(C175,$C$7,$C$6)/60</f>
        <v>5.4933333339956079</v>
      </c>
      <c r="G175">
        <f t="shared" si="30"/>
        <v>161</v>
      </c>
      <c r="H175" s="53">
        <f t="shared" si="24"/>
        <v>161</v>
      </c>
      <c r="I175" s="7" cm="1">
        <f t="array" ref="I175">CurrentCapacity(K$9,K$5,K$6,H175)</f>
        <v>272.29394016000003</v>
      </c>
      <c r="J175" s="51">
        <f t="shared" si="25"/>
        <v>0.39601346918593239</v>
      </c>
      <c r="K175" s="5" cm="1">
        <f t="array" ref="K175">UseableCapacity(I175,$K$7,$K$8)</f>
        <v>204.22045512000003</v>
      </c>
      <c r="L175" s="66">
        <f t="shared" si="26"/>
        <v>164.46187227893176</v>
      </c>
      <c r="M175" s="7">
        <f t="shared" si="27"/>
        <v>96.388387238931742</v>
      </c>
      <c r="N175" s="7">
        <f t="shared" si="28"/>
        <v>20.746059839999987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162</v>
      </c>
      <c r="C176" s="7">
        <f t="shared" si="23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66" cm="1">
        <f t="array" ref="F176">estimatedTripDuration(C176,$C$7,$C$6)/60</f>
        <v>5.5266666673289411</v>
      </c>
      <c r="G176">
        <f t="shared" si="30"/>
        <v>162</v>
      </c>
      <c r="H176" s="53">
        <f t="shared" si="24"/>
        <v>162</v>
      </c>
      <c r="I176" s="7" cm="1">
        <f t="array" ref="I176">CurrentCapacity(K$9,K$5,K$6,H176)</f>
        <v>272.28339072000006</v>
      </c>
      <c r="J176" s="51">
        <f t="shared" si="25"/>
        <v>0.39622628730964948</v>
      </c>
      <c r="K176" s="5" cm="1">
        <f t="array" ref="K176">UseableCapacity(I176,$K$7,$K$8)</f>
        <v>204.21254304000004</v>
      </c>
      <c r="L176" s="66">
        <f t="shared" si="26"/>
        <v>164.39755371893176</v>
      </c>
      <c r="M176" s="7">
        <f t="shared" si="27"/>
        <v>96.326706038931746</v>
      </c>
      <c r="N176" s="7">
        <f t="shared" si="28"/>
        <v>20.756609279999964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163</v>
      </c>
      <c r="C177" s="7">
        <f t="shared" si="23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66" cm="1">
        <f t="array" ref="F177">estimatedTripDuration(C177,$C$7,$C$6)/60</f>
        <v>5.5600000006622743</v>
      </c>
      <c r="G177">
        <f t="shared" si="30"/>
        <v>163</v>
      </c>
      <c r="H177" s="53">
        <f t="shared" si="24"/>
        <v>163</v>
      </c>
      <c r="I177" s="7" cm="1">
        <f t="array" ref="I177">CurrentCapacity(K$9,K$5,K$6,H177)</f>
        <v>272.27284128000002</v>
      </c>
      <c r="J177" s="51">
        <f t="shared" si="25"/>
        <v>0.39643912192500069</v>
      </c>
      <c r="K177" s="5" cm="1">
        <f t="array" ref="K177">UseableCapacity(I177,$K$7,$K$8)</f>
        <v>204.20463096000003</v>
      </c>
      <c r="L177" s="66">
        <f t="shared" si="26"/>
        <v>164.33323515893173</v>
      </c>
      <c r="M177" s="7">
        <f t="shared" si="27"/>
        <v>96.265024838931737</v>
      </c>
      <c r="N177" s="7">
        <f t="shared" si="28"/>
        <v>20.767158719999998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164</v>
      </c>
      <c r="C178" s="7">
        <f t="shared" si="23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66" cm="1">
        <f t="array" ref="F178">estimatedTripDuration(C178,$C$7,$C$6)/60</f>
        <v>5.5933333339956075</v>
      </c>
      <c r="G178">
        <f t="shared" si="30"/>
        <v>164</v>
      </c>
      <c r="H178" s="53">
        <f t="shared" si="24"/>
        <v>164</v>
      </c>
      <c r="I178" s="7" cm="1">
        <f t="array" ref="I178">CurrentCapacity(K$9,K$5,K$6,H178)</f>
        <v>272.26229184000005</v>
      </c>
      <c r="J178" s="51">
        <f t="shared" si="25"/>
        <v>0.39665197303390293</v>
      </c>
      <c r="K178" s="5" cm="1">
        <f t="array" ref="K178">UseableCapacity(I178,$K$7,$K$8)</f>
        <v>204.19671888000005</v>
      </c>
      <c r="L178" s="66">
        <f t="shared" si="26"/>
        <v>164.26891659893175</v>
      </c>
      <c r="M178" s="7">
        <f t="shared" si="27"/>
        <v>96.203343638931742</v>
      </c>
      <c r="N178" s="7">
        <f t="shared" si="28"/>
        <v>20.777708159999975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165</v>
      </c>
      <c r="C179" s="7">
        <f t="shared" si="23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66" cm="1">
        <f t="array" ref="F179">estimatedTripDuration(C179,$C$7,$C$6)/60</f>
        <v>5.6266666673289416</v>
      </c>
      <c r="G179">
        <f t="shared" si="30"/>
        <v>165</v>
      </c>
      <c r="H179" s="53">
        <f t="shared" si="24"/>
        <v>165</v>
      </c>
      <c r="I179" s="7" cm="1">
        <f t="array" ref="I179">CurrentCapacity(K$9,K$5,K$6,H179)</f>
        <v>272.25174240000007</v>
      </c>
      <c r="J179" s="51">
        <f t="shared" si="25"/>
        <v>0.39686484063827343</v>
      </c>
      <c r="K179" s="5" cm="1">
        <f t="array" ref="K179">UseableCapacity(I179,$K$7,$K$8)</f>
        <v>204.18880680000007</v>
      </c>
      <c r="L179" s="66">
        <f t="shared" si="26"/>
        <v>164.20459803893178</v>
      </c>
      <c r="M179" s="7">
        <f t="shared" si="27"/>
        <v>96.141662438931775</v>
      </c>
      <c r="N179" s="7">
        <f t="shared" si="28"/>
        <v>20.788257599999952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166</v>
      </c>
      <c r="C180" s="7">
        <f t="shared" si="23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66" cm="1">
        <f t="array" ref="F180">estimatedTripDuration(C180,$C$7,$C$6)/60</f>
        <v>5.6600000006622748</v>
      </c>
      <c r="G180">
        <f t="shared" si="30"/>
        <v>166</v>
      </c>
      <c r="H180" s="53">
        <f t="shared" si="24"/>
        <v>166</v>
      </c>
      <c r="I180" s="7" cm="1">
        <f t="array" ref="I180">CurrentCapacity(K$9,K$5,K$6,H180)</f>
        <v>272.24119296000003</v>
      </c>
      <c r="J180" s="51">
        <f t="shared" si="25"/>
        <v>0.39707772474003</v>
      </c>
      <c r="K180" s="5" cm="1">
        <f t="array" ref="K180">UseableCapacity(I180,$K$7,$K$8)</f>
        <v>204.18089472000003</v>
      </c>
      <c r="L180" s="66">
        <f t="shared" si="26"/>
        <v>164.14027947893175</v>
      </c>
      <c r="M180" s="7">
        <f t="shared" si="27"/>
        <v>96.079981238931737</v>
      </c>
      <c r="N180" s="7">
        <f t="shared" si="28"/>
        <v>20.798807039999986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167</v>
      </c>
      <c r="C181" s="7">
        <f t="shared" si="23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66" cm="1">
        <f t="array" ref="F181">estimatedTripDuration(C181,$C$7,$C$6)/60</f>
        <v>5.693333333995608</v>
      </c>
      <c r="G181">
        <f t="shared" si="30"/>
        <v>167</v>
      </c>
      <c r="H181" s="53">
        <f t="shared" si="24"/>
        <v>167</v>
      </c>
      <c r="I181" s="7" cm="1">
        <f t="array" ref="I181">CurrentCapacity(K$9,K$5,K$6,H181)</f>
        <v>272.23064352000006</v>
      </c>
      <c r="J181" s="51">
        <f t="shared" si="25"/>
        <v>0.3972906253410905</v>
      </c>
      <c r="K181" s="5" cm="1">
        <f t="array" ref="K181">UseableCapacity(I181,$K$7,$K$8)</f>
        <v>204.17298264000004</v>
      </c>
      <c r="L181" s="66">
        <f t="shared" si="26"/>
        <v>164.07596091893174</v>
      </c>
      <c r="M181" s="7">
        <f t="shared" si="27"/>
        <v>96.018300038931741</v>
      </c>
      <c r="N181" s="7">
        <f t="shared" si="28"/>
        <v>20.809356479999963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168</v>
      </c>
      <c r="C182" s="7">
        <f t="shared" si="23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66" cm="1">
        <f t="array" ref="F182">estimatedTripDuration(C182,$C$7,$C$6)/60</f>
        <v>5.7266666673289413</v>
      </c>
      <c r="G182">
        <f t="shared" si="30"/>
        <v>168</v>
      </c>
      <c r="H182" s="53">
        <f t="shared" si="24"/>
        <v>168</v>
      </c>
      <c r="I182" s="7" cm="1">
        <f t="array" ref="I182">CurrentCapacity(K$9,K$5,K$6,H182)</f>
        <v>272.22009408000002</v>
      </c>
      <c r="J182" s="51">
        <f t="shared" si="25"/>
        <v>0.39750354244337299</v>
      </c>
      <c r="K182" s="5" cm="1">
        <f t="array" ref="K182">UseableCapacity(I182,$K$7,$K$8)</f>
        <v>204.16507056</v>
      </c>
      <c r="L182" s="66">
        <f t="shared" si="26"/>
        <v>164.01164235893174</v>
      </c>
      <c r="M182" s="7">
        <f t="shared" si="27"/>
        <v>95.956618838931718</v>
      </c>
      <c r="N182" s="7">
        <f t="shared" si="28"/>
        <v>20.819905919999997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169</v>
      </c>
      <c r="C183" s="7">
        <f t="shared" si="23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66" cm="1">
        <f t="array" ref="F183">estimatedTripDuration(C183,$C$7,$C$6)/60</f>
        <v>5.7600000006622745</v>
      </c>
      <c r="G183">
        <f t="shared" si="30"/>
        <v>169</v>
      </c>
      <c r="H183" s="53">
        <f t="shared" si="24"/>
        <v>169</v>
      </c>
      <c r="I183" s="7" cm="1">
        <f t="array" ref="I183">CurrentCapacity(K$9,K$5,K$6,H183)</f>
        <v>272.20954464000005</v>
      </c>
      <c r="J183" s="51">
        <f t="shared" si="25"/>
        <v>0.39771647604879623</v>
      </c>
      <c r="K183" s="5" cm="1">
        <f t="array" ref="K183">UseableCapacity(I183,$K$7,$K$8)</f>
        <v>204.15715848000002</v>
      </c>
      <c r="L183" s="66">
        <f t="shared" si="26"/>
        <v>163.94732379893173</v>
      </c>
      <c r="M183" s="7">
        <f t="shared" si="27"/>
        <v>95.894937638931708</v>
      </c>
      <c r="N183" s="7">
        <f t="shared" si="28"/>
        <v>20.830455359999974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170</v>
      </c>
      <c r="C184" s="7">
        <f t="shared" si="23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66" cm="1">
        <f t="array" ref="F184">estimatedTripDuration(C184,$C$7,$C$6)/60</f>
        <v>5.7933333339956077</v>
      </c>
      <c r="G184">
        <f t="shared" si="30"/>
        <v>170</v>
      </c>
      <c r="H184" s="53">
        <f t="shared" si="24"/>
        <v>170</v>
      </c>
      <c r="I184" s="7" cm="1">
        <f t="array" ref="I184">CurrentCapacity(K$9,K$5,K$6,H184)</f>
        <v>272.19899520000001</v>
      </c>
      <c r="J184" s="51">
        <f t="shared" si="25"/>
        <v>0.39792942615927884</v>
      </c>
      <c r="K184" s="5" cm="1">
        <f t="array" ref="K184">UseableCapacity(I184,$K$7,$K$8)</f>
        <v>204.14924640000001</v>
      </c>
      <c r="L184" s="66">
        <f t="shared" si="26"/>
        <v>163.88300523893173</v>
      </c>
      <c r="M184" s="7">
        <f t="shared" si="27"/>
        <v>95.833256438931713</v>
      </c>
      <c r="N184" s="7">
        <f t="shared" si="28"/>
        <v>20.841004800000007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171</v>
      </c>
      <c r="C185" s="7">
        <f t="shared" si="23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66" cm="1">
        <f t="array" ref="F185">estimatedTripDuration(C185,$C$7,$C$6)/60</f>
        <v>5.8266666673289409</v>
      </c>
      <c r="G185">
        <f t="shared" si="30"/>
        <v>171</v>
      </c>
      <c r="H185" s="53">
        <f t="shared" si="24"/>
        <v>171</v>
      </c>
      <c r="I185" s="7" cm="1">
        <f t="array" ref="I185">CurrentCapacity(K$9,K$5,K$6,H185)</f>
        <v>272.18844576000004</v>
      </c>
      <c r="J185" s="51">
        <f t="shared" si="25"/>
        <v>0.39814239277673991</v>
      </c>
      <c r="K185" s="5" cm="1">
        <f t="array" ref="K185">UseableCapacity(I185,$K$7,$K$8)</f>
        <v>204.14133432000003</v>
      </c>
      <c r="L185" s="66">
        <f t="shared" si="26"/>
        <v>163.81868667893173</v>
      </c>
      <c r="M185" s="7">
        <f t="shared" si="27"/>
        <v>95.771575238931732</v>
      </c>
      <c r="N185" s="7">
        <f t="shared" si="28"/>
        <v>20.851554239999984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172</v>
      </c>
      <c r="C186" s="7">
        <f t="shared" si="23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66" cm="1">
        <f t="array" ref="F186">estimatedTripDuration(C186,$C$7,$C$6)/60</f>
        <v>5.8600000006622741</v>
      </c>
      <c r="G186">
        <f t="shared" si="30"/>
        <v>172</v>
      </c>
      <c r="H186" s="53">
        <f t="shared" si="24"/>
        <v>172</v>
      </c>
      <c r="I186" s="7" cm="1">
        <f t="array" ref="I186">CurrentCapacity(K$9,K$5,K$6,H186)</f>
        <v>272.17789632000006</v>
      </c>
      <c r="J186" s="51">
        <f t="shared" si="25"/>
        <v>0.39835537590309889</v>
      </c>
      <c r="K186" s="5" cm="1">
        <f t="array" ref="K186">UseableCapacity(I186,$K$7,$K$8)</f>
        <v>204.13342224000004</v>
      </c>
      <c r="L186" s="66">
        <f t="shared" si="26"/>
        <v>163.75436811893178</v>
      </c>
      <c r="M186" s="7">
        <f t="shared" si="27"/>
        <v>95.709894038931751</v>
      </c>
      <c r="N186" s="7">
        <f t="shared" si="28"/>
        <v>20.862103679999962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173</v>
      </c>
      <c r="C187" s="7">
        <f t="shared" si="23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66" cm="1">
        <f t="array" ref="F187">estimatedTripDuration(C187,$C$7,$C$6)/60</f>
        <v>5.8933333339956082</v>
      </c>
      <c r="G187">
        <f t="shared" si="30"/>
        <v>173</v>
      </c>
      <c r="H187" s="53">
        <f t="shared" si="24"/>
        <v>173</v>
      </c>
      <c r="I187" s="7" cm="1">
        <f t="array" ref="I187">CurrentCapacity(K$9,K$5,K$6,H187)</f>
        <v>272.16734688000003</v>
      </c>
      <c r="J187" s="51">
        <f t="shared" si="25"/>
        <v>0.39856837554027552</v>
      </c>
      <c r="K187" s="5" cm="1">
        <f t="array" ref="K187">UseableCapacity(I187,$K$7,$K$8)</f>
        <v>204.12551016000003</v>
      </c>
      <c r="L187" s="66">
        <f t="shared" si="26"/>
        <v>163.69004955893172</v>
      </c>
      <c r="M187" s="7">
        <f t="shared" si="27"/>
        <v>95.648212838931741</v>
      </c>
      <c r="N187" s="7">
        <f t="shared" si="28"/>
        <v>20.872653119999995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174</v>
      </c>
      <c r="C188" s="7">
        <f t="shared" si="23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66" cm="1">
        <f t="array" ref="F188">estimatedTripDuration(C188,$C$7,$C$6)/60</f>
        <v>5.9266666673289414</v>
      </c>
      <c r="G188">
        <f t="shared" ref="G188:G200" si="33">B188</f>
        <v>174</v>
      </c>
      <c r="H188" s="53">
        <f t="shared" si="24"/>
        <v>174</v>
      </c>
      <c r="I188" s="7" cm="1">
        <f t="array" ref="I188">CurrentCapacity(K$9,K$5,K$6,H188)</f>
        <v>272.15679744000005</v>
      </c>
      <c r="J188" s="51">
        <f t="shared" si="25"/>
        <v>0.39878139169018972</v>
      </c>
      <c r="K188" s="5" cm="1">
        <f t="array" ref="K188">UseableCapacity(I188,$K$7,$K$8)</f>
        <v>204.11759808000005</v>
      </c>
      <c r="L188" s="66">
        <f t="shared" si="26"/>
        <v>163.62573099893177</v>
      </c>
      <c r="M188" s="7">
        <f t="shared" si="27"/>
        <v>95.58653163893176</v>
      </c>
      <c r="N188" s="7">
        <f t="shared" si="28"/>
        <v>20.883202559999972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35">
      <c r="B189">
        <f t="shared" si="29"/>
        <v>175</v>
      </c>
      <c r="C189" s="7">
        <f t="shared" si="23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66" cm="1">
        <f t="array" ref="F189">estimatedTripDuration(C189,$C$7,$C$6)/60</f>
        <v>5.9600000006622746</v>
      </c>
      <c r="G189">
        <f t="shared" si="33"/>
        <v>175</v>
      </c>
      <c r="H189" s="53">
        <f t="shared" si="24"/>
        <v>175</v>
      </c>
      <c r="I189" s="7" cm="1">
        <f t="array" ref="I189">CurrentCapacity(K$9,K$5,K$6,H189)</f>
        <v>272.14624800000007</v>
      </c>
      <c r="J189" s="51">
        <f t="shared" si="25"/>
        <v>0.39899442435476185</v>
      </c>
      <c r="K189" s="5" cm="1">
        <f t="array" ref="K189">UseableCapacity(I189,$K$7,$K$8)</f>
        <v>204.10968600000007</v>
      </c>
      <c r="L189" s="66">
        <f t="shared" si="26"/>
        <v>163.56141243893177</v>
      </c>
      <c r="M189" s="7">
        <f t="shared" si="27"/>
        <v>95.524850438931779</v>
      </c>
      <c r="N189" s="7">
        <f t="shared" si="28"/>
        <v>20.893751999999949</v>
      </c>
      <c r="O189" t="str">
        <f t="shared" si="34"/>
        <v>no</v>
      </c>
      <c r="P189" t="str">
        <f t="shared" si="35"/>
        <v>no</v>
      </c>
    </row>
    <row r="190" spans="2:16" x14ac:dyDescent="0.35">
      <c r="B190">
        <f t="shared" si="29"/>
        <v>176</v>
      </c>
      <c r="C190" s="7">
        <f t="shared" si="23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66" cm="1">
        <f t="array" ref="F190">estimatedTripDuration(C190,$C$7,$C$6)/60</f>
        <v>5.9933333339956079</v>
      </c>
      <c r="G190">
        <f t="shared" si="33"/>
        <v>176</v>
      </c>
      <c r="H190" s="53">
        <f t="shared" si="24"/>
        <v>176</v>
      </c>
      <c r="I190" s="7" cm="1">
        <f t="array" ref="I190">CurrentCapacity(K$9,K$5,K$6,H190)</f>
        <v>272.13569856000004</v>
      </c>
      <c r="J190" s="51">
        <f t="shared" si="25"/>
        <v>0.39920747353591252</v>
      </c>
      <c r="K190" s="5" cm="1">
        <f t="array" ref="K190">UseableCapacity(I190,$K$7,$K$8)</f>
        <v>204.10177392000003</v>
      </c>
      <c r="L190" s="66">
        <f t="shared" si="26"/>
        <v>163.49709387893176</v>
      </c>
      <c r="M190" s="7">
        <f t="shared" si="27"/>
        <v>95.463169238931741</v>
      </c>
      <c r="N190" s="7">
        <f t="shared" si="28"/>
        <v>20.904301439999983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177</v>
      </c>
      <c r="C191" s="7">
        <f t="shared" si="23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66" cm="1">
        <f t="array" ref="F191">estimatedTripDuration(C191,$C$7,$C$6)/60</f>
        <v>6.0266666673289411</v>
      </c>
      <c r="G191">
        <f t="shared" si="33"/>
        <v>177</v>
      </c>
      <c r="H191" s="53">
        <f t="shared" si="24"/>
        <v>177</v>
      </c>
      <c r="I191" s="7" cm="1">
        <f t="array" ref="I191">CurrentCapacity(K$9,K$5,K$6,H191)</f>
        <v>272.12514912</v>
      </c>
      <c r="J191" s="51">
        <f t="shared" si="25"/>
        <v>0.39942053923556259</v>
      </c>
      <c r="K191" s="5" cm="1">
        <f t="array" ref="K191">UseableCapacity(I191,$K$7,$K$8)</f>
        <v>204.09386183999999</v>
      </c>
      <c r="L191" s="66">
        <f t="shared" si="26"/>
        <v>163.4327753189317</v>
      </c>
      <c r="M191" s="7">
        <f t="shared" si="27"/>
        <v>95.401488038931703</v>
      </c>
      <c r="N191" s="7">
        <f t="shared" si="28"/>
        <v>20.914850880000017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178</v>
      </c>
      <c r="C192" s="7">
        <f t="shared" si="23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66" cm="1">
        <f t="array" ref="F192">estimatedTripDuration(C192,$C$7,$C$6)/60</f>
        <v>6.0600000006622743</v>
      </c>
      <c r="G192">
        <f t="shared" si="33"/>
        <v>178</v>
      </c>
      <c r="H192" s="53">
        <f t="shared" si="24"/>
        <v>178</v>
      </c>
      <c r="I192" s="7" cm="1">
        <f t="array" ref="I192">CurrentCapacity(K$9,K$5,K$6,H192)</f>
        <v>272.11459968000003</v>
      </c>
      <c r="J192" s="51">
        <f t="shared" si="25"/>
        <v>0.39963362145563314</v>
      </c>
      <c r="K192" s="5" cm="1">
        <f t="array" ref="K192">UseableCapacity(I192,$K$7,$K$8)</f>
        <v>204.08594976000001</v>
      </c>
      <c r="L192" s="66">
        <f t="shared" si="26"/>
        <v>163.36845675893176</v>
      </c>
      <c r="M192" s="7">
        <f t="shared" si="27"/>
        <v>95.339806838931722</v>
      </c>
      <c r="N192" s="7">
        <f t="shared" si="28"/>
        <v>20.925400319999994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179</v>
      </c>
      <c r="C193" s="7">
        <f t="shared" si="23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66" cm="1">
        <f t="array" ref="F193">estimatedTripDuration(C193,$C$7,$C$6)/60</f>
        <v>6.0933333339956075</v>
      </c>
      <c r="G193">
        <f t="shared" si="33"/>
        <v>179</v>
      </c>
      <c r="H193" s="53">
        <f t="shared" si="24"/>
        <v>179</v>
      </c>
      <c r="I193" s="7" cm="1">
        <f t="array" ref="I193">CurrentCapacity(K$9,K$5,K$6,H193)</f>
        <v>272.10405024000005</v>
      </c>
      <c r="J193" s="51">
        <f t="shared" si="25"/>
        <v>0.39984672019804585</v>
      </c>
      <c r="K193" s="5" cm="1">
        <f t="array" ref="K193">UseableCapacity(I193,$K$7,$K$8)</f>
        <v>204.07803768000002</v>
      </c>
      <c r="L193" s="66">
        <f t="shared" si="26"/>
        <v>163.30413819893175</v>
      </c>
      <c r="M193" s="7">
        <f t="shared" si="27"/>
        <v>95.278125638931712</v>
      </c>
      <c r="N193" s="7">
        <f t="shared" si="28"/>
        <v>20.935949759999971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180</v>
      </c>
      <c r="C194" s="7">
        <f t="shared" si="23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66" cm="1">
        <f t="array" ref="F194">estimatedTripDuration(C194,$C$7,$C$6)/60</f>
        <v>6.1266666673289416</v>
      </c>
      <c r="G194">
        <f t="shared" si="33"/>
        <v>180</v>
      </c>
      <c r="H194" s="53">
        <f t="shared" si="24"/>
        <v>180</v>
      </c>
      <c r="I194" s="7" cm="1">
        <f t="array" ref="I194">CurrentCapacity(K$9,K$5,K$6,H194)</f>
        <v>272.09350080000002</v>
      </c>
      <c r="J194" s="51">
        <f t="shared" si="25"/>
        <v>0.40005983546472229</v>
      </c>
      <c r="K194" s="5" cm="1">
        <f t="array" ref="K194">UseableCapacity(I194,$K$7,$K$8)</f>
        <v>204.07012560000001</v>
      </c>
      <c r="L194" s="66">
        <f t="shared" si="26"/>
        <v>163.23981963893172</v>
      </c>
      <c r="M194" s="7">
        <f t="shared" si="27"/>
        <v>95.216444438931717</v>
      </c>
      <c r="N194" s="7">
        <f t="shared" si="28"/>
        <v>20.946499200000005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181</v>
      </c>
      <c r="C195" s="7">
        <f t="shared" si="23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66" cm="1">
        <f t="array" ref="F195">estimatedTripDuration(C195,$C$7,$C$6)/60</f>
        <v>6.1600000006622748</v>
      </c>
      <c r="G195">
        <f t="shared" si="33"/>
        <v>181</v>
      </c>
      <c r="H195" s="53">
        <f t="shared" si="24"/>
        <v>181</v>
      </c>
      <c r="I195" s="7" cm="1">
        <f t="array" ref="I195">CurrentCapacity(K$9,K$5,K$6,H195)</f>
        <v>272.08295136000004</v>
      </c>
      <c r="J195" s="51">
        <f t="shared" si="25"/>
        <v>0.40027296725758466</v>
      </c>
      <c r="K195" s="5" cm="1">
        <f t="array" ref="K195">UseableCapacity(I195,$K$7,$K$8)</f>
        <v>204.06221352000003</v>
      </c>
      <c r="L195" s="66">
        <f t="shared" si="26"/>
        <v>163.17550107893175</v>
      </c>
      <c r="M195" s="7">
        <f t="shared" si="27"/>
        <v>95.154763238931736</v>
      </c>
      <c r="N195" s="7">
        <f t="shared" si="28"/>
        <v>20.957048639999982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182</v>
      </c>
      <c r="C196" s="7">
        <f t="shared" si="23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66" cm="1">
        <f t="array" ref="F196">estimatedTripDuration(C196,$C$7,$C$6)/60</f>
        <v>6.193333333995608</v>
      </c>
      <c r="G196">
        <f t="shared" si="33"/>
        <v>182</v>
      </c>
      <c r="H196" s="53">
        <f t="shared" si="24"/>
        <v>182</v>
      </c>
      <c r="I196" s="7" cm="1">
        <f t="array" ref="I196">CurrentCapacity(K$9,K$5,K$6,H196)</f>
        <v>272.07240192000006</v>
      </c>
      <c r="J196" s="51">
        <f t="shared" si="25"/>
        <v>0.40048611557855535</v>
      </c>
      <c r="K196" s="5" cm="1">
        <f t="array" ref="K196">UseableCapacity(I196,$K$7,$K$8)</f>
        <v>204.05430144000005</v>
      </c>
      <c r="L196" s="66">
        <f t="shared" si="26"/>
        <v>163.11118251893174</v>
      </c>
      <c r="M196" s="7">
        <f t="shared" si="27"/>
        <v>95.09308203893174</v>
      </c>
      <c r="N196" s="7">
        <f t="shared" si="28"/>
        <v>20.967598079999959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183</v>
      </c>
      <c r="C197" s="7">
        <f t="shared" si="23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66" cm="1">
        <f t="array" ref="F197">estimatedTripDuration(C197,$C$7,$C$6)/60</f>
        <v>6.2266666673289413</v>
      </c>
      <c r="G197">
        <f t="shared" si="33"/>
        <v>183</v>
      </c>
      <c r="H197" s="53">
        <f t="shared" si="24"/>
        <v>183</v>
      </c>
      <c r="I197" s="7" cm="1">
        <f t="array" ref="I197">CurrentCapacity(K$9,K$5,K$6,H197)</f>
        <v>272.06185248000003</v>
      </c>
      <c r="J197" s="51">
        <f t="shared" si="25"/>
        <v>0.40069928042955699</v>
      </c>
      <c r="K197" s="5" cm="1">
        <f t="array" ref="K197">UseableCapacity(I197,$K$7,$K$8)</f>
        <v>204.04638936000003</v>
      </c>
      <c r="L197" s="66">
        <f t="shared" si="26"/>
        <v>163.04686395893174</v>
      </c>
      <c r="M197" s="7">
        <f t="shared" si="27"/>
        <v>95.031400838931745</v>
      </c>
      <c r="N197" s="7">
        <f t="shared" si="28"/>
        <v>20.978147519999993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184</v>
      </c>
      <c r="C198" s="7">
        <f t="shared" si="23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66" cm="1">
        <f t="array" ref="F198">estimatedTripDuration(C198,$C$7,$C$6)/60</f>
        <v>6.2600000006622745</v>
      </c>
      <c r="G198">
        <f t="shared" si="33"/>
        <v>184</v>
      </c>
      <c r="H198" s="53">
        <f t="shared" si="24"/>
        <v>184</v>
      </c>
      <c r="I198" s="7" cm="1">
        <f t="array" ref="I198">CurrentCapacity(K$9,K$5,K$6,H198)</f>
        <v>272.05130304000005</v>
      </c>
      <c r="J198" s="51">
        <f t="shared" si="25"/>
        <v>0.40091246181251255</v>
      </c>
      <c r="K198" s="5" cm="1">
        <f t="array" ref="K198">UseableCapacity(I198,$K$7,$K$8)</f>
        <v>204.03847728000005</v>
      </c>
      <c r="L198" s="66">
        <f t="shared" si="26"/>
        <v>162.98254539893173</v>
      </c>
      <c r="M198" s="7">
        <f t="shared" si="27"/>
        <v>94.96971963893175</v>
      </c>
      <c r="N198" s="7">
        <f t="shared" si="28"/>
        <v>20.98869695999997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185</v>
      </c>
      <c r="C199" s="7">
        <f t="shared" si="23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66" cm="1">
        <f t="array" ref="F199">estimatedTripDuration(C199,$C$7,$C$6)/60</f>
        <v>6.2933333339956077</v>
      </c>
      <c r="G199">
        <f t="shared" si="33"/>
        <v>185</v>
      </c>
      <c r="H199" s="53">
        <f t="shared" si="24"/>
        <v>185</v>
      </c>
      <c r="I199" s="7" cm="1">
        <f t="array" ref="I199">CurrentCapacity(K$9,K$5,K$6,H199)</f>
        <v>272.04075360000002</v>
      </c>
      <c r="J199" s="51">
        <f t="shared" si="25"/>
        <v>0.40112565972934533</v>
      </c>
      <c r="K199" s="5" cm="1">
        <f t="array" ref="K199">UseableCapacity(I199,$K$7,$K$8)</f>
        <v>204.03056520000001</v>
      </c>
      <c r="L199" s="66">
        <f t="shared" si="26"/>
        <v>162.91822683893173</v>
      </c>
      <c r="M199" s="7">
        <f t="shared" si="27"/>
        <v>94.908038438931726</v>
      </c>
      <c r="N199" s="7">
        <f t="shared" si="28"/>
        <v>20.999246400000004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186</v>
      </c>
      <c r="C200" s="7">
        <f t="shared" si="23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66" cm="1">
        <f t="array" ref="F200">estimatedTripDuration(C200,$C$7,$C$6)/60</f>
        <v>6.3266666673289409</v>
      </c>
      <c r="G200">
        <f t="shared" si="33"/>
        <v>186</v>
      </c>
      <c r="H200" s="53">
        <f t="shared" si="24"/>
        <v>186</v>
      </c>
      <c r="I200" s="7" cm="1">
        <f t="array" ref="I200">CurrentCapacity(K$9,K$5,K$6,H200)</f>
        <v>272.03020416000004</v>
      </c>
      <c r="J200" s="51">
        <f t="shared" si="25"/>
        <v>0.40133887418197883</v>
      </c>
      <c r="K200" s="5" cm="1">
        <f t="array" ref="K200">UseableCapacity(I200,$K$7,$K$8)</f>
        <v>204.02265312000003</v>
      </c>
      <c r="L200" s="66">
        <f t="shared" si="26"/>
        <v>162.85390827893178</v>
      </c>
      <c r="M200" s="7">
        <f t="shared" si="27"/>
        <v>94.846357238931759</v>
      </c>
      <c r="N200" s="7">
        <f t="shared" si="28"/>
        <v>21.009795839999981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187</v>
      </c>
      <c r="C201" s="7">
        <f t="shared" si="23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66" cm="1">
        <f t="array" ref="F201">estimatedTripDuration(C201,$C$7,$C$6)/60</f>
        <v>6.3600000006622741</v>
      </c>
      <c r="G201">
        <f t="shared" ref="G201:G264" si="36">B201</f>
        <v>187</v>
      </c>
      <c r="H201" s="53">
        <f t="shared" si="24"/>
        <v>187</v>
      </c>
      <c r="I201" s="7" cm="1">
        <f t="array" ref="I201">CurrentCapacity(K$9,K$5,K$6,H201)</f>
        <v>272.01965472000006</v>
      </c>
      <c r="J201" s="51">
        <f t="shared" si="25"/>
        <v>0.40155210517233714</v>
      </c>
      <c r="K201" s="5" cm="1">
        <f t="array" ref="K201">UseableCapacity(I201,$K$7,$K$8)</f>
        <v>204.01474104000005</v>
      </c>
      <c r="L201" s="66">
        <f t="shared" si="26"/>
        <v>162.78958971893178</v>
      </c>
      <c r="M201" s="7">
        <f t="shared" si="27"/>
        <v>94.78467603893175</v>
      </c>
      <c r="N201" s="7">
        <f t="shared" si="28"/>
        <v>21.020345279999958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35">
      <c r="B202">
        <f t="shared" si="29"/>
        <v>188</v>
      </c>
      <c r="C202" s="7">
        <f t="shared" si="23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66" cm="1">
        <f t="array" ref="F202">estimatedTripDuration(C202,$C$7,$C$6)/60</f>
        <v>6.3933333339956082</v>
      </c>
      <c r="G202">
        <f t="shared" si="36"/>
        <v>188</v>
      </c>
      <c r="H202" s="53">
        <f t="shared" si="24"/>
        <v>188</v>
      </c>
      <c r="I202" s="7" cm="1">
        <f t="array" ref="I202">CurrentCapacity(K$9,K$5,K$6,H202)</f>
        <v>272.00910528000003</v>
      </c>
      <c r="J202" s="51">
        <f t="shared" si="25"/>
        <v>0.4017653527023442</v>
      </c>
      <c r="K202" s="5" cm="1">
        <f t="array" ref="K202">UseableCapacity(I202,$K$7,$K$8)</f>
        <v>204.00682896000001</v>
      </c>
      <c r="L202" s="66">
        <f t="shared" si="26"/>
        <v>162.72527115893172</v>
      </c>
      <c r="M202" s="7">
        <f t="shared" si="27"/>
        <v>94.722994838931712</v>
      </c>
      <c r="N202" s="7">
        <f t="shared" si="28"/>
        <v>21.030894719999992</v>
      </c>
      <c r="O202" t="str">
        <f t="shared" si="37"/>
        <v>no</v>
      </c>
      <c r="P202" t="str">
        <f t="shared" si="38"/>
        <v>no</v>
      </c>
    </row>
    <row r="203" spans="2:16" x14ac:dyDescent="0.35">
      <c r="B203">
        <f t="shared" si="29"/>
        <v>189</v>
      </c>
      <c r="C203" s="7">
        <f t="shared" si="23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66" cm="1">
        <f t="array" ref="F203">estimatedTripDuration(C203,$C$7,$C$6)/60</f>
        <v>6.4266666673289414</v>
      </c>
      <c r="G203">
        <f t="shared" si="36"/>
        <v>189</v>
      </c>
      <c r="H203" s="53">
        <f t="shared" si="24"/>
        <v>189</v>
      </c>
      <c r="I203" s="7" cm="1">
        <f t="array" ref="I203">CurrentCapacity(K$9,K$5,K$6,H203)</f>
        <v>271.99855584000005</v>
      </c>
      <c r="J203" s="51">
        <f t="shared" si="25"/>
        <v>0.40197861677392455</v>
      </c>
      <c r="K203" s="5" cm="1">
        <f t="array" ref="K203">UseableCapacity(I203,$K$7,$K$8)</f>
        <v>203.99891688000002</v>
      </c>
      <c r="L203" s="66">
        <f t="shared" si="26"/>
        <v>162.66095259893177</v>
      </c>
      <c r="M203" s="7">
        <f t="shared" si="27"/>
        <v>94.66131363893173</v>
      </c>
      <c r="N203" s="7">
        <f t="shared" si="28"/>
        <v>21.041444159999969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190</v>
      </c>
      <c r="C204" s="7">
        <f t="shared" si="23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66" cm="1">
        <f t="array" ref="F204">estimatedTripDuration(C204,$C$7,$C$6)/60</f>
        <v>6.4600000006622746</v>
      </c>
      <c r="G204">
        <f t="shared" si="36"/>
        <v>190</v>
      </c>
      <c r="H204" s="53">
        <f t="shared" si="24"/>
        <v>190</v>
      </c>
      <c r="I204" s="7" cm="1">
        <f t="array" ref="I204">CurrentCapacity(K$9,K$5,K$6,H204)</f>
        <v>271.98800640000007</v>
      </c>
      <c r="J204" s="51">
        <f t="shared" si="25"/>
        <v>0.40219189738900291</v>
      </c>
      <c r="K204" s="5" cm="1">
        <f t="array" ref="K204">UseableCapacity(I204,$K$7,$K$8)</f>
        <v>203.99100480000004</v>
      </c>
      <c r="L204" s="66">
        <f t="shared" si="26"/>
        <v>162.59663403893177</v>
      </c>
      <c r="M204" s="7">
        <f t="shared" si="27"/>
        <v>94.599632438931749</v>
      </c>
      <c r="N204" s="7">
        <f t="shared" si="28"/>
        <v>21.051993599999946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191</v>
      </c>
      <c r="C205" s="7">
        <f t="shared" si="23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66" cm="1">
        <f t="array" ref="F205">estimatedTripDuration(C205,$C$7,$C$6)/60</f>
        <v>6.4933333339956079</v>
      </c>
      <c r="G205">
        <f t="shared" si="36"/>
        <v>191</v>
      </c>
      <c r="H205" s="53">
        <f t="shared" si="24"/>
        <v>191</v>
      </c>
      <c r="I205" s="7" cm="1">
        <f t="array" ref="I205">CurrentCapacity(K$9,K$5,K$6,H205)</f>
        <v>271.97745696000004</v>
      </c>
      <c r="J205" s="51">
        <f t="shared" si="25"/>
        <v>0.40240519454950446</v>
      </c>
      <c r="K205" s="5" cm="1">
        <f t="array" ref="K205">UseableCapacity(I205,$K$7,$K$8)</f>
        <v>203.98309272000003</v>
      </c>
      <c r="L205" s="66">
        <f t="shared" si="26"/>
        <v>162.53231547893176</v>
      </c>
      <c r="M205" s="7">
        <f t="shared" si="27"/>
        <v>94.53795123893174</v>
      </c>
      <c r="N205" s="7">
        <f t="shared" si="28"/>
        <v>21.06254303999998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192</v>
      </c>
      <c r="C206" s="7">
        <f t="shared" si="23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66" cm="1">
        <f t="array" ref="F206">estimatedTripDuration(C206,$C$7,$C$6)/60</f>
        <v>6.5266666673289411</v>
      </c>
      <c r="G206">
        <f t="shared" si="36"/>
        <v>192</v>
      </c>
      <c r="H206" s="53">
        <f t="shared" si="24"/>
        <v>192</v>
      </c>
      <c r="I206" s="7" cm="1">
        <f t="array" ref="I206">CurrentCapacity(K$9,K$5,K$6,H206)</f>
        <v>271.96690752000001</v>
      </c>
      <c r="J206" s="51">
        <f t="shared" si="25"/>
        <v>0.40261850825735457</v>
      </c>
      <c r="K206" s="5" cm="1">
        <f t="array" ref="K206">UseableCapacity(I206,$K$7,$K$8)</f>
        <v>203.97518064000002</v>
      </c>
      <c r="L206" s="66">
        <f t="shared" si="26"/>
        <v>162.4679969189317</v>
      </c>
      <c r="M206" s="7">
        <f t="shared" si="27"/>
        <v>94.476270038931716</v>
      </c>
      <c r="N206" s="7">
        <f t="shared" si="28"/>
        <v>21.073092480000014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193</v>
      </c>
      <c r="C207" s="7">
        <f t="shared" ref="C207:C270" si="39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66" cm="1">
        <f t="array" ref="F207">estimatedTripDuration(C207,$C$7,$C$6)/60</f>
        <v>6.5600000006622743</v>
      </c>
      <c r="G207">
        <f t="shared" si="36"/>
        <v>193</v>
      </c>
      <c r="H207" s="53">
        <f t="shared" ref="H207:H270" si="40">G207/$G$3</f>
        <v>193</v>
      </c>
      <c r="I207" s="7" cm="1">
        <f t="array" ref="I207">CurrentCapacity(K$9,K$5,K$6,H207)</f>
        <v>271.95635808000003</v>
      </c>
      <c r="J207" s="51">
        <f t="shared" ref="J207:J270" si="41">E207/I207</f>
        <v>0.40283183851447857</v>
      </c>
      <c r="K207" s="5" cm="1">
        <f t="array" ref="K207">UseableCapacity(I207,$K$7,$K$8)</f>
        <v>203.96726856000004</v>
      </c>
      <c r="L207" s="66">
        <f t="shared" ref="L207:L270" si="42">(K$7*I207)-E207</f>
        <v>162.40367835893176</v>
      </c>
      <c r="M207" s="7">
        <f t="shared" ref="M207:M270" si="43">K207-E207</f>
        <v>94.414588838931749</v>
      </c>
      <c r="N207" s="7">
        <f t="shared" ref="N207:N270" si="44">$K$9-I207</f>
        <v>21.083641919999991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ref="B208:B271" si="45">B207+$G$11</f>
        <v>194</v>
      </c>
      <c r="C208" s="7">
        <f t="shared" si="39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66" cm="1">
        <f t="array" ref="F208">estimatedTripDuration(C208,$C$7,$C$6)/60</f>
        <v>6.5933333339956075</v>
      </c>
      <c r="G208">
        <f t="shared" si="36"/>
        <v>194</v>
      </c>
      <c r="H208" s="53">
        <f t="shared" si="40"/>
        <v>194</v>
      </c>
      <c r="I208" s="7" cm="1">
        <f t="array" ref="I208">CurrentCapacity(K$9,K$5,K$6,H208)</f>
        <v>271.94580864000005</v>
      </c>
      <c r="J208" s="51">
        <f t="shared" si="41"/>
        <v>0.40304518532280287</v>
      </c>
      <c r="K208" s="5" cm="1">
        <f t="array" ref="K208">UseableCapacity(I208,$K$7,$K$8)</f>
        <v>203.95935648000005</v>
      </c>
      <c r="L208" s="66">
        <f t="shared" si="42"/>
        <v>162.33935979893175</v>
      </c>
      <c r="M208" s="7">
        <f t="shared" si="43"/>
        <v>94.35290763893174</v>
      </c>
      <c r="N208" s="7">
        <f t="shared" si="44"/>
        <v>21.094191359999968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si="45"/>
        <v>195</v>
      </c>
      <c r="C209" s="7">
        <f t="shared" si="39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66" cm="1">
        <f t="array" ref="F209">estimatedTripDuration(C209,$C$7,$C$6)/60</f>
        <v>6.6266666673289416</v>
      </c>
      <c r="G209">
        <f t="shared" si="36"/>
        <v>195</v>
      </c>
      <c r="H209" s="53">
        <f t="shared" si="40"/>
        <v>195</v>
      </c>
      <c r="I209" s="7" cm="1">
        <f t="array" ref="I209">CurrentCapacity(K$9,K$5,K$6,H209)</f>
        <v>271.93525920000002</v>
      </c>
      <c r="J209" s="51">
        <f t="shared" si="41"/>
        <v>0.40325854868425343</v>
      </c>
      <c r="K209" s="5" cm="1">
        <f t="array" ref="K209">UseableCapacity(I209,$K$7,$K$8)</f>
        <v>203.95144440000001</v>
      </c>
      <c r="L209" s="66">
        <f t="shared" si="42"/>
        <v>162.27504123893175</v>
      </c>
      <c r="M209" s="7">
        <f t="shared" si="43"/>
        <v>94.29122643893173</v>
      </c>
      <c r="N209" s="7">
        <f t="shared" si="44"/>
        <v>21.104740800000002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196</v>
      </c>
      <c r="C210" s="7">
        <f t="shared" si="39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66" cm="1">
        <f t="array" ref="F210">estimatedTripDuration(C210,$C$7,$C$6)/60</f>
        <v>6.6600000006622748</v>
      </c>
      <c r="G210">
        <f t="shared" si="36"/>
        <v>196</v>
      </c>
      <c r="H210" s="53">
        <f t="shared" si="40"/>
        <v>196</v>
      </c>
      <c r="I210" s="7" cm="1">
        <f t="array" ref="I210">CurrentCapacity(K$9,K$5,K$6,H210)</f>
        <v>271.92470976000004</v>
      </c>
      <c r="J210" s="51">
        <f t="shared" si="41"/>
        <v>0.40347192860075698</v>
      </c>
      <c r="K210" s="5" cm="1">
        <f t="array" ref="K210">UseableCapacity(I210,$K$7,$K$8)</f>
        <v>203.94353232000003</v>
      </c>
      <c r="L210" s="66">
        <f t="shared" si="42"/>
        <v>162.21072267893175</v>
      </c>
      <c r="M210" s="7">
        <f t="shared" si="43"/>
        <v>94.229545238931735</v>
      </c>
      <c r="N210" s="7">
        <f t="shared" si="44"/>
        <v>21.115290239999979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197</v>
      </c>
      <c r="C211" s="7">
        <f t="shared" si="39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66" cm="1">
        <f t="array" ref="F211">estimatedTripDuration(C211,$C$7,$C$6)/60</f>
        <v>6.693333333995608</v>
      </c>
      <c r="G211">
        <f t="shared" si="36"/>
        <v>197</v>
      </c>
      <c r="H211" s="53">
        <f t="shared" si="40"/>
        <v>197</v>
      </c>
      <c r="I211" s="7" cm="1">
        <f t="array" ref="I211">CurrentCapacity(K$9,K$5,K$6,H211)</f>
        <v>271.91416032000006</v>
      </c>
      <c r="J211" s="51">
        <f t="shared" si="41"/>
        <v>0.40368532507424026</v>
      </c>
      <c r="K211" s="5" cm="1">
        <f t="array" ref="K211">UseableCapacity(I211,$K$7,$K$8)</f>
        <v>203.93562024000005</v>
      </c>
      <c r="L211" s="66">
        <f t="shared" si="42"/>
        <v>162.14640411893174</v>
      </c>
      <c r="M211" s="7">
        <f t="shared" si="43"/>
        <v>94.167864038931739</v>
      </c>
      <c r="N211" s="7">
        <f t="shared" si="44"/>
        <v>21.125839679999956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198</v>
      </c>
      <c r="C212" s="7">
        <f t="shared" si="39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66" cm="1">
        <f t="array" ref="F212">estimatedTripDuration(C212,$C$7,$C$6)/60</f>
        <v>6.7266666673289413</v>
      </c>
      <c r="G212">
        <f t="shared" si="36"/>
        <v>198</v>
      </c>
      <c r="H212" s="53">
        <f t="shared" si="40"/>
        <v>198</v>
      </c>
      <c r="I212" s="7" cm="1">
        <f t="array" ref="I212">CurrentCapacity(K$9,K$5,K$6,H212)</f>
        <v>271.90361088000003</v>
      </c>
      <c r="J212" s="51">
        <f t="shared" si="41"/>
        <v>0.40389873810663041</v>
      </c>
      <c r="K212" s="5" cm="1">
        <f t="array" ref="K212">UseableCapacity(I212,$K$7,$K$8)</f>
        <v>203.92770816000001</v>
      </c>
      <c r="L212" s="66">
        <f t="shared" si="42"/>
        <v>162.08208555893174</v>
      </c>
      <c r="M212" s="7">
        <f t="shared" si="43"/>
        <v>94.10618283893173</v>
      </c>
      <c r="N212" s="7">
        <f t="shared" si="44"/>
        <v>21.13638911999999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199</v>
      </c>
      <c r="C213" s="7">
        <f t="shared" si="39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66" cm="1">
        <f t="array" ref="F213">estimatedTripDuration(C213,$C$7,$C$6)/60</f>
        <v>6.7600000006622745</v>
      </c>
      <c r="G213">
        <f t="shared" si="36"/>
        <v>199</v>
      </c>
      <c r="H213" s="53">
        <f t="shared" si="40"/>
        <v>199</v>
      </c>
      <c r="I213" s="7" cm="1">
        <f t="array" ref="I213">CurrentCapacity(K$9,K$5,K$6,H213)</f>
        <v>271.89306144000005</v>
      </c>
      <c r="J213" s="51">
        <f t="shared" si="41"/>
        <v>0.40411216769985503</v>
      </c>
      <c r="K213" s="5" cm="1">
        <f t="array" ref="K213">UseableCapacity(I213,$K$7,$K$8)</f>
        <v>203.91979608000003</v>
      </c>
      <c r="L213" s="66">
        <f t="shared" si="42"/>
        <v>162.01776699893176</v>
      </c>
      <c r="M213" s="7">
        <f t="shared" si="43"/>
        <v>94.044501638931735</v>
      </c>
      <c r="N213" s="7">
        <f t="shared" si="44"/>
        <v>21.146938559999967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200</v>
      </c>
      <c r="C214" s="7">
        <f t="shared" si="39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66" cm="1">
        <f t="array" ref="F214">estimatedTripDuration(C214,$C$7,$C$6)/60</f>
        <v>6.7933333339956077</v>
      </c>
      <c r="G214">
        <f t="shared" si="36"/>
        <v>200</v>
      </c>
      <c r="H214" s="53">
        <f t="shared" si="40"/>
        <v>200</v>
      </c>
      <c r="I214" s="7" cm="1">
        <f t="array" ref="I214">CurrentCapacity(K$9,K$5,K$6,H214)</f>
        <v>271.88251200000002</v>
      </c>
      <c r="J214" s="51">
        <f t="shared" si="41"/>
        <v>0.40432561385584181</v>
      </c>
      <c r="K214" s="5" cm="1">
        <f t="array" ref="K214">UseableCapacity(I214,$K$7,$K$8)</f>
        <v>203.91188400000001</v>
      </c>
      <c r="L214" s="66">
        <f t="shared" si="42"/>
        <v>161.95344843893173</v>
      </c>
      <c r="M214" s="7">
        <f t="shared" si="43"/>
        <v>93.982820438931725</v>
      </c>
      <c r="N214" s="7">
        <f t="shared" si="44"/>
        <v>21.157488000000001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201</v>
      </c>
      <c r="C215" s="7">
        <f t="shared" si="39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66" cm="1">
        <f t="array" ref="F215">estimatedTripDuration(C215,$C$7,$C$6)/60</f>
        <v>6.8266666673289409</v>
      </c>
      <c r="G215">
        <f t="shared" si="36"/>
        <v>201</v>
      </c>
      <c r="H215" s="53">
        <f t="shared" si="40"/>
        <v>201</v>
      </c>
      <c r="I215" s="7" cm="1">
        <f t="array" ref="I215">CurrentCapacity(K$9,K$5,K$6,H215)</f>
        <v>271.87196256000004</v>
      </c>
      <c r="J215" s="51">
        <f t="shared" si="41"/>
        <v>0.40453907657651866</v>
      </c>
      <c r="K215" s="5" cm="1">
        <f t="array" ref="K215">UseableCapacity(I215,$K$7,$K$8)</f>
        <v>203.90397192000003</v>
      </c>
      <c r="L215" s="66">
        <f t="shared" si="42"/>
        <v>161.88912987893178</v>
      </c>
      <c r="M215" s="7">
        <f t="shared" si="43"/>
        <v>93.921139238931758</v>
      </c>
      <c r="N215" s="7">
        <f t="shared" si="44"/>
        <v>21.168037439999978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202</v>
      </c>
      <c r="C216" s="7">
        <f t="shared" si="39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66" cm="1">
        <f t="array" ref="F216">estimatedTripDuration(C216,$C$7,$C$6)/60</f>
        <v>6.8600000006622741</v>
      </c>
      <c r="G216">
        <f t="shared" si="36"/>
        <v>202</v>
      </c>
      <c r="H216" s="53">
        <f t="shared" si="40"/>
        <v>202</v>
      </c>
      <c r="I216" s="7" cm="1">
        <f t="array" ref="I216">CurrentCapacity(K$9,K$5,K$6,H216)</f>
        <v>271.86141312000007</v>
      </c>
      <c r="J216" s="51">
        <f t="shared" si="41"/>
        <v>0.40475255586381415</v>
      </c>
      <c r="K216" s="5" cm="1">
        <f t="array" ref="K216">UseableCapacity(I216,$K$7,$K$8)</f>
        <v>203.89605984000005</v>
      </c>
      <c r="L216" s="66">
        <f t="shared" si="42"/>
        <v>161.82481131893178</v>
      </c>
      <c r="M216" s="7">
        <f t="shared" si="43"/>
        <v>93.859458038931763</v>
      </c>
      <c r="N216" s="7">
        <f t="shared" si="44"/>
        <v>21.178586879999955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203</v>
      </c>
      <c r="C217" s="7">
        <f t="shared" si="39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66" cm="1">
        <f t="array" ref="F217">estimatedTripDuration(C217,$C$7,$C$6)/60</f>
        <v>6.8933333339956082</v>
      </c>
      <c r="G217">
        <f t="shared" si="36"/>
        <v>203</v>
      </c>
      <c r="H217" s="53">
        <f t="shared" si="40"/>
        <v>203</v>
      </c>
      <c r="I217" s="7" cm="1">
        <f t="array" ref="I217">CurrentCapacity(K$9,K$5,K$6,H217)</f>
        <v>271.85086368000003</v>
      </c>
      <c r="J217" s="51">
        <f t="shared" si="41"/>
        <v>0.40496605171965694</v>
      </c>
      <c r="K217" s="5" cm="1">
        <f t="array" ref="K217">UseableCapacity(I217,$K$7,$K$8)</f>
        <v>203.88814776000004</v>
      </c>
      <c r="L217" s="66">
        <f t="shared" si="42"/>
        <v>161.76049275893172</v>
      </c>
      <c r="M217" s="7">
        <f t="shared" si="43"/>
        <v>93.797776838931739</v>
      </c>
      <c r="N217" s="7">
        <f t="shared" si="44"/>
        <v>21.189136319999989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204</v>
      </c>
      <c r="C218" s="7">
        <f t="shared" si="39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66" cm="1">
        <f t="array" ref="F218">estimatedTripDuration(C218,$C$7,$C$6)/60</f>
        <v>6.9266666673289414</v>
      </c>
      <c r="G218">
        <f t="shared" si="36"/>
        <v>204</v>
      </c>
      <c r="H218" s="53">
        <f t="shared" si="40"/>
        <v>204</v>
      </c>
      <c r="I218" s="7" cm="1">
        <f t="array" ref="I218">CurrentCapacity(K$9,K$5,K$6,H218)</f>
        <v>271.84031424000005</v>
      </c>
      <c r="J218" s="51">
        <f t="shared" si="41"/>
        <v>0.40517956414597578</v>
      </c>
      <c r="K218" s="5" cm="1">
        <f t="array" ref="K218">UseableCapacity(I218,$K$7,$K$8)</f>
        <v>203.88023568000006</v>
      </c>
      <c r="L218" s="66">
        <f t="shared" si="42"/>
        <v>161.69617419893174</v>
      </c>
      <c r="M218" s="7">
        <f t="shared" si="43"/>
        <v>93.736095638931744</v>
      </c>
      <c r="N218" s="7">
        <f t="shared" si="44"/>
        <v>21.199685759999966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205</v>
      </c>
      <c r="C219" s="7">
        <f t="shared" si="39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66" cm="1">
        <f t="array" ref="F219">estimatedTripDuration(C219,$C$7,$C$6)/60</f>
        <v>6.9600000006622746</v>
      </c>
      <c r="G219">
        <f t="shared" si="36"/>
        <v>205</v>
      </c>
      <c r="H219" s="53">
        <f t="shared" si="40"/>
        <v>205</v>
      </c>
      <c r="I219" s="7" cm="1">
        <f t="array" ref="I219">CurrentCapacity(K$9,K$5,K$6,H219)</f>
        <v>271.82976480000002</v>
      </c>
      <c r="J219" s="51">
        <f t="shared" si="41"/>
        <v>0.40539309314469996</v>
      </c>
      <c r="K219" s="5" cm="1">
        <f t="array" ref="K219">UseableCapacity(I219,$K$7,$K$8)</f>
        <v>203.87232360000002</v>
      </c>
      <c r="L219" s="66">
        <f t="shared" si="42"/>
        <v>161.63185563893171</v>
      </c>
      <c r="M219" s="7">
        <f t="shared" si="43"/>
        <v>93.67441443893172</v>
      </c>
      <c r="N219" s="7">
        <f t="shared" si="44"/>
        <v>21.2102352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206</v>
      </c>
      <c r="C220" s="7">
        <f t="shared" si="39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66" cm="1">
        <f t="array" ref="F220">estimatedTripDuration(C220,$C$7,$C$6)/60</f>
        <v>6.9933333339956079</v>
      </c>
      <c r="G220">
        <f t="shared" si="36"/>
        <v>206</v>
      </c>
      <c r="H220" s="53">
        <f t="shared" si="40"/>
        <v>206</v>
      </c>
      <c r="I220" s="7" cm="1">
        <f t="array" ref="I220">CurrentCapacity(K$9,K$5,K$6,H220)</f>
        <v>271.81921536000004</v>
      </c>
      <c r="J220" s="51">
        <f t="shared" si="41"/>
        <v>0.40560663871775909</v>
      </c>
      <c r="K220" s="5" cm="1">
        <f t="array" ref="K220">UseableCapacity(I220,$K$7,$K$8)</f>
        <v>203.86441152000003</v>
      </c>
      <c r="L220" s="66">
        <f t="shared" si="42"/>
        <v>161.56753707893176</v>
      </c>
      <c r="M220" s="7">
        <f t="shared" si="43"/>
        <v>93.612733238931739</v>
      </c>
      <c r="N220" s="7">
        <f t="shared" si="44"/>
        <v>21.220784639999977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207</v>
      </c>
      <c r="C221" s="7">
        <f t="shared" si="39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66" cm="1">
        <f t="array" ref="F221">estimatedTripDuration(C221,$C$7,$C$6)/60</f>
        <v>7.0266666673289411</v>
      </c>
      <c r="G221">
        <f t="shared" si="36"/>
        <v>207</v>
      </c>
      <c r="H221" s="53">
        <f t="shared" si="40"/>
        <v>207</v>
      </c>
      <c r="I221" s="7" cm="1">
        <f t="array" ref="I221">CurrentCapacity(K$9,K$5,K$6,H221)</f>
        <v>271.80866592000001</v>
      </c>
      <c r="J221" s="51">
        <f t="shared" si="41"/>
        <v>0.40582020086708315</v>
      </c>
      <c r="K221" s="5" cm="1">
        <f t="array" ref="K221">UseableCapacity(I221,$K$7,$K$8)</f>
        <v>203.85649943999999</v>
      </c>
      <c r="L221" s="66">
        <f t="shared" si="42"/>
        <v>161.5032185189317</v>
      </c>
      <c r="M221" s="7">
        <f t="shared" si="43"/>
        <v>93.551052038931687</v>
      </c>
      <c r="N221" s="7">
        <f t="shared" si="44"/>
        <v>21.231334080000011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208</v>
      </c>
      <c r="C222" s="7">
        <f t="shared" si="39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66" cm="1">
        <f t="array" ref="F222">estimatedTripDuration(C222,$C$7,$C$6)/60</f>
        <v>7.0600000006622743</v>
      </c>
      <c r="G222">
        <f t="shared" si="36"/>
        <v>208</v>
      </c>
      <c r="H222" s="53">
        <f t="shared" si="40"/>
        <v>208</v>
      </c>
      <c r="I222" s="7" cm="1">
        <f t="array" ref="I222">CurrentCapacity(K$9,K$5,K$6,H222)</f>
        <v>271.79811648000003</v>
      </c>
      <c r="J222" s="51">
        <f t="shared" si="41"/>
        <v>0.40603377959460196</v>
      </c>
      <c r="K222" s="5" cm="1">
        <f t="array" ref="K222">UseableCapacity(I222,$K$7,$K$8)</f>
        <v>203.84858736000001</v>
      </c>
      <c r="L222" s="66">
        <f t="shared" si="42"/>
        <v>161.43889995893176</v>
      </c>
      <c r="M222" s="7">
        <f t="shared" si="43"/>
        <v>93.48937083893172</v>
      </c>
      <c r="N222" s="7">
        <f t="shared" si="44"/>
        <v>21.241883519999988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209</v>
      </c>
      <c r="C223" s="7">
        <f t="shared" si="39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66" cm="1">
        <f t="array" ref="F223">estimatedTripDuration(C223,$C$7,$C$6)/60</f>
        <v>7.0933333339956075</v>
      </c>
      <c r="G223">
        <f t="shared" si="36"/>
        <v>209</v>
      </c>
      <c r="H223" s="53">
        <f t="shared" si="40"/>
        <v>209</v>
      </c>
      <c r="I223" s="7" cm="1">
        <f t="array" ref="I223">CurrentCapacity(K$9,K$5,K$6,H223)</f>
        <v>271.78756704000006</v>
      </c>
      <c r="J223" s="51">
        <f t="shared" si="41"/>
        <v>0.40624737490224633</v>
      </c>
      <c r="K223" s="5" cm="1">
        <f t="array" ref="K223">UseableCapacity(I223,$K$7,$K$8)</f>
        <v>203.84067528000003</v>
      </c>
      <c r="L223" s="66">
        <f t="shared" si="42"/>
        <v>161.37458139893175</v>
      </c>
      <c r="M223" s="7">
        <f t="shared" si="43"/>
        <v>93.427689638931724</v>
      </c>
      <c r="N223" s="7">
        <f t="shared" si="44"/>
        <v>21.252432959999965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210</v>
      </c>
      <c r="C224" s="7">
        <f t="shared" si="39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66" cm="1">
        <f t="array" ref="F224">estimatedTripDuration(C224,$C$7,$C$6)/60</f>
        <v>7.1266666673289416</v>
      </c>
      <c r="G224">
        <f t="shared" si="36"/>
        <v>210</v>
      </c>
      <c r="H224" s="53">
        <f t="shared" si="40"/>
        <v>210</v>
      </c>
      <c r="I224" s="7" cm="1">
        <f t="array" ref="I224">CurrentCapacity(K$9,K$5,K$6,H224)</f>
        <v>271.77701760000002</v>
      </c>
      <c r="J224" s="51">
        <f t="shared" si="41"/>
        <v>0.40646098679194675</v>
      </c>
      <c r="K224" s="5" cm="1">
        <f t="array" ref="K224">UseableCapacity(I224,$K$7,$K$8)</f>
        <v>203.83276320000002</v>
      </c>
      <c r="L224" s="66">
        <f t="shared" si="42"/>
        <v>161.31026283893175</v>
      </c>
      <c r="M224" s="7">
        <f t="shared" si="43"/>
        <v>93.366008438931729</v>
      </c>
      <c r="N224" s="7">
        <f t="shared" si="44"/>
        <v>21.262982399999999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211</v>
      </c>
      <c r="C225" s="7">
        <f t="shared" si="39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66" cm="1">
        <f t="array" ref="F225">estimatedTripDuration(C225,$C$7,$C$6)/60</f>
        <v>7.1600000006622748</v>
      </c>
      <c r="G225">
        <f t="shared" si="36"/>
        <v>211</v>
      </c>
      <c r="H225" s="53">
        <f t="shared" si="40"/>
        <v>211</v>
      </c>
      <c r="I225" s="7" cm="1">
        <f t="array" ref="I225">CurrentCapacity(K$9,K$5,K$6,H225)</f>
        <v>271.76646816000004</v>
      </c>
      <c r="J225" s="51">
        <f t="shared" si="41"/>
        <v>0.40667461526563431</v>
      </c>
      <c r="K225" s="5" cm="1">
        <f t="array" ref="K225">UseableCapacity(I225,$K$7,$K$8)</f>
        <v>203.82485112000003</v>
      </c>
      <c r="L225" s="66">
        <f t="shared" si="42"/>
        <v>161.24594427893177</v>
      </c>
      <c r="M225" s="7">
        <f t="shared" si="43"/>
        <v>93.304327238931762</v>
      </c>
      <c r="N225" s="7">
        <f t="shared" si="44"/>
        <v>21.273531839999976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212</v>
      </c>
      <c r="C226" s="7">
        <f t="shared" si="39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66" cm="1">
        <f t="array" ref="F226">estimatedTripDuration(C226,$C$7,$C$6)/60</f>
        <v>7.193333333995608</v>
      </c>
      <c r="G226">
        <f t="shared" si="36"/>
        <v>212</v>
      </c>
      <c r="H226" s="53">
        <f t="shared" si="40"/>
        <v>212</v>
      </c>
      <c r="I226" s="7" cm="1">
        <f t="array" ref="I226">CurrentCapacity(K$9,K$5,K$6,H226)</f>
        <v>271.75591872000007</v>
      </c>
      <c r="J226" s="51">
        <f t="shared" si="41"/>
        <v>0.40688826032524056</v>
      </c>
      <c r="K226" s="5" cm="1">
        <f t="array" ref="K226">UseableCapacity(I226,$K$7,$K$8)</f>
        <v>203.81693904000005</v>
      </c>
      <c r="L226" s="66">
        <f t="shared" si="42"/>
        <v>161.18162571893177</v>
      </c>
      <c r="M226" s="7">
        <f t="shared" si="43"/>
        <v>93.242646038931753</v>
      </c>
      <c r="N226" s="7">
        <f t="shared" si="44"/>
        <v>21.284081279999953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213</v>
      </c>
      <c r="C227" s="7">
        <f t="shared" si="39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66" cm="1">
        <f t="array" ref="F227">estimatedTripDuration(C227,$C$7,$C$6)/60</f>
        <v>7.2266666673289413</v>
      </c>
      <c r="G227">
        <f t="shared" si="36"/>
        <v>213</v>
      </c>
      <c r="H227" s="53">
        <f t="shared" si="40"/>
        <v>213</v>
      </c>
      <c r="I227" s="7" cm="1">
        <f t="array" ref="I227">CurrentCapacity(K$9,K$5,K$6,H227)</f>
        <v>271.74536928000003</v>
      </c>
      <c r="J227" s="51">
        <f t="shared" si="41"/>
        <v>0.4071019219726969</v>
      </c>
      <c r="K227" s="5" cm="1">
        <f t="array" ref="K227">UseableCapacity(I227,$K$7,$K$8)</f>
        <v>203.80902696000004</v>
      </c>
      <c r="L227" s="66">
        <f t="shared" si="42"/>
        <v>161.11730715893174</v>
      </c>
      <c r="M227" s="7">
        <f t="shared" si="43"/>
        <v>93.180964838931757</v>
      </c>
      <c r="N227" s="7">
        <f t="shared" si="44"/>
        <v>21.294630719999986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214</v>
      </c>
      <c r="C228" s="7">
        <f t="shared" si="39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66" cm="1">
        <f t="array" ref="F228">estimatedTripDuration(C228,$C$7,$C$6)/60</f>
        <v>7.2600000006622754</v>
      </c>
      <c r="G228">
        <f t="shared" si="36"/>
        <v>214</v>
      </c>
      <c r="H228" s="53">
        <f t="shared" si="40"/>
        <v>214</v>
      </c>
      <c r="I228" s="7" cm="1">
        <f t="array" ref="I228">CurrentCapacity(K$9,K$5,K$6,H228)</f>
        <v>271.73481984</v>
      </c>
      <c r="J228" s="51">
        <f t="shared" si="41"/>
        <v>0.40731560020993551</v>
      </c>
      <c r="K228" s="5" cm="1">
        <f t="array" ref="K228">UseableCapacity(I228,$K$7,$K$8)</f>
        <v>203.80111488</v>
      </c>
      <c r="L228" s="66">
        <f t="shared" si="42"/>
        <v>161.05298859893171</v>
      </c>
      <c r="M228" s="7">
        <f t="shared" si="43"/>
        <v>93.119283638931705</v>
      </c>
      <c r="N228" s="7">
        <f t="shared" si="44"/>
        <v>21.30518016000002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215</v>
      </c>
      <c r="C229" s="7">
        <f t="shared" si="39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66" cm="1">
        <f t="array" ref="F229">estimatedTripDuration(C229,$C$7,$C$6)/60</f>
        <v>7.2933333339956077</v>
      </c>
      <c r="G229">
        <f t="shared" si="36"/>
        <v>215</v>
      </c>
      <c r="H229" s="53">
        <f t="shared" si="40"/>
        <v>215</v>
      </c>
      <c r="I229" s="7" cm="1">
        <f t="array" ref="I229">CurrentCapacity(K$9,K$5,K$6,H229)</f>
        <v>271.72427040000002</v>
      </c>
      <c r="J229" s="51">
        <f t="shared" si="41"/>
        <v>0.40752929503888835</v>
      </c>
      <c r="K229" s="5" cm="1">
        <f t="array" ref="K229">UseableCapacity(I229,$K$7,$K$8)</f>
        <v>203.79320280000002</v>
      </c>
      <c r="L229" s="66">
        <f t="shared" si="42"/>
        <v>160.98867003893173</v>
      </c>
      <c r="M229" s="7">
        <f t="shared" si="43"/>
        <v>93.057602438931724</v>
      </c>
      <c r="N229" s="7">
        <f t="shared" si="44"/>
        <v>21.315729599999997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216</v>
      </c>
      <c r="C230" s="7">
        <f t="shared" si="39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66" cm="1">
        <f t="array" ref="F230">estimatedTripDuration(C230,$C$7,$C$6)/60</f>
        <v>7.3266666673289409</v>
      </c>
      <c r="G230">
        <f t="shared" si="36"/>
        <v>216</v>
      </c>
      <c r="H230" s="53">
        <f t="shared" si="40"/>
        <v>216</v>
      </c>
      <c r="I230" s="7" cm="1">
        <f t="array" ref="I230">CurrentCapacity(K$9,K$5,K$6,H230)</f>
        <v>271.71372096000005</v>
      </c>
      <c r="J230" s="51">
        <f t="shared" si="41"/>
        <v>0.40774300646148814</v>
      </c>
      <c r="K230" s="5" cm="1">
        <f t="array" ref="K230">UseableCapacity(I230,$K$7,$K$8)</f>
        <v>203.78529072000003</v>
      </c>
      <c r="L230" s="66">
        <f t="shared" si="42"/>
        <v>160.92435147893175</v>
      </c>
      <c r="M230" s="7">
        <f t="shared" si="43"/>
        <v>92.995921238931743</v>
      </c>
      <c r="N230" s="7">
        <f t="shared" si="44"/>
        <v>21.326279039999974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217</v>
      </c>
      <c r="C231" s="7">
        <f t="shared" si="39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66" cm="1">
        <f t="array" ref="F231">estimatedTripDuration(C231,$C$7,$C$6)/60</f>
        <v>7.3600000006622741</v>
      </c>
      <c r="G231">
        <f t="shared" si="36"/>
        <v>217</v>
      </c>
      <c r="H231" s="53">
        <f t="shared" si="40"/>
        <v>217</v>
      </c>
      <c r="I231" s="7" cm="1">
        <f t="array" ref="I231">CurrentCapacity(K$9,K$5,K$6,H231)</f>
        <v>271.70317152000001</v>
      </c>
      <c r="J231" s="51">
        <f t="shared" si="41"/>
        <v>0.40795673447966785</v>
      </c>
      <c r="K231" s="5" cm="1">
        <f t="array" ref="K231">UseableCapacity(I231,$K$7,$K$8)</f>
        <v>203.77737863999999</v>
      </c>
      <c r="L231" s="66">
        <f t="shared" si="42"/>
        <v>160.86003291893172</v>
      </c>
      <c r="M231" s="7">
        <f t="shared" si="43"/>
        <v>92.934240038931705</v>
      </c>
      <c r="N231" s="7">
        <f t="shared" si="44"/>
        <v>21.336828480000008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218</v>
      </c>
      <c r="C232" s="7">
        <f t="shared" si="39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66" cm="1">
        <f t="array" ref="F232">estimatedTripDuration(C232,$C$7,$C$6)/60</f>
        <v>7.3933333339956073</v>
      </c>
      <c r="G232">
        <f t="shared" si="36"/>
        <v>218</v>
      </c>
      <c r="H232" s="53">
        <f t="shared" si="40"/>
        <v>218</v>
      </c>
      <c r="I232" s="7" cm="1">
        <f t="array" ref="I232">CurrentCapacity(K$9,K$5,K$6,H232)</f>
        <v>271.69262208000004</v>
      </c>
      <c r="J232" s="51">
        <f t="shared" si="41"/>
        <v>0.40817047909536031</v>
      </c>
      <c r="K232" s="5" cm="1">
        <f t="array" ref="K232">UseableCapacity(I232,$K$7,$K$8)</f>
        <v>203.76946656000001</v>
      </c>
      <c r="L232" s="66">
        <f t="shared" si="42"/>
        <v>160.79571435893175</v>
      </c>
      <c r="M232" s="7">
        <f t="shared" si="43"/>
        <v>92.872558838931724</v>
      </c>
      <c r="N232" s="7">
        <f t="shared" si="44"/>
        <v>21.347377919999985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219</v>
      </c>
      <c r="C233" s="7">
        <f t="shared" si="39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66" cm="1">
        <f t="array" ref="F233">estimatedTripDuration(C233,$C$7,$C$6)/60</f>
        <v>7.4266666673289423</v>
      </c>
      <c r="G233">
        <f t="shared" si="36"/>
        <v>219</v>
      </c>
      <c r="H233" s="53">
        <f t="shared" si="40"/>
        <v>219</v>
      </c>
      <c r="I233" s="7" cm="1">
        <f t="array" ref="I233">CurrentCapacity(K$9,K$5,K$6,H233)</f>
        <v>271.68207264000006</v>
      </c>
      <c r="J233" s="51">
        <f t="shared" si="41"/>
        <v>0.4083842403104993</v>
      </c>
      <c r="K233" s="5" cm="1">
        <f t="array" ref="K233">UseableCapacity(I233,$K$7,$K$8)</f>
        <v>203.76155448000003</v>
      </c>
      <c r="L233" s="66">
        <f t="shared" si="42"/>
        <v>160.73139579893174</v>
      </c>
      <c r="M233" s="7">
        <f t="shared" si="43"/>
        <v>92.810877638931714</v>
      </c>
      <c r="N233" s="7">
        <f t="shared" si="44"/>
        <v>21.357927359999962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220</v>
      </c>
      <c r="C234" s="7">
        <f t="shared" si="39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66" cm="1">
        <f t="array" ref="F234">estimatedTripDuration(C234,$C$7,$C$6)/60</f>
        <v>7.4600000006622746</v>
      </c>
      <c r="G234">
        <f t="shared" si="36"/>
        <v>220</v>
      </c>
      <c r="H234" s="53">
        <f t="shared" si="40"/>
        <v>220</v>
      </c>
      <c r="I234" s="7" cm="1">
        <f t="array" ref="I234">CurrentCapacity(K$9,K$5,K$6,H234)</f>
        <v>271.67152320000002</v>
      </c>
      <c r="J234" s="51">
        <f t="shared" si="41"/>
        <v>0.40859801812701829</v>
      </c>
      <c r="K234" s="5" cm="1">
        <f t="array" ref="K234">UseableCapacity(I234,$K$7,$K$8)</f>
        <v>203.75364240000002</v>
      </c>
      <c r="L234" s="66">
        <f t="shared" si="42"/>
        <v>160.66707723893174</v>
      </c>
      <c r="M234" s="7">
        <f t="shared" si="43"/>
        <v>92.749196438931733</v>
      </c>
      <c r="N234" s="7">
        <f t="shared" si="44"/>
        <v>21.368476799999996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221</v>
      </c>
      <c r="C235" s="7">
        <f t="shared" si="39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66" cm="1">
        <f t="array" ref="F235">estimatedTripDuration(C235,$C$7,$C$6)/60</f>
        <v>7.4933333339956079</v>
      </c>
      <c r="G235">
        <f t="shared" si="36"/>
        <v>221</v>
      </c>
      <c r="H235" s="53">
        <f t="shared" si="40"/>
        <v>221</v>
      </c>
      <c r="I235" s="7" cm="1">
        <f t="array" ref="I235">CurrentCapacity(K$9,K$5,K$6,H235)</f>
        <v>271.66097376000005</v>
      </c>
      <c r="J235" s="51">
        <f t="shared" si="41"/>
        <v>0.40881181254685156</v>
      </c>
      <c r="K235" s="5" cm="1">
        <f t="array" ref="K235">UseableCapacity(I235,$K$7,$K$8)</f>
        <v>203.74573032000004</v>
      </c>
      <c r="L235" s="66">
        <f t="shared" si="42"/>
        <v>160.60275867893176</v>
      </c>
      <c r="M235" s="7">
        <f t="shared" si="43"/>
        <v>92.687515238931738</v>
      </c>
      <c r="N235" s="7">
        <f t="shared" si="44"/>
        <v>21.379026239999973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222</v>
      </c>
      <c r="C236" s="7">
        <f t="shared" si="39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66" cm="1">
        <f t="array" ref="F236">estimatedTripDuration(C236,$C$7,$C$6)/60</f>
        <v>7.5266666673289411</v>
      </c>
      <c r="G236">
        <f t="shared" si="36"/>
        <v>222</v>
      </c>
      <c r="H236" s="53">
        <f t="shared" si="40"/>
        <v>222</v>
      </c>
      <c r="I236" s="7" cm="1">
        <f t="array" ref="I236">CurrentCapacity(K$9,K$5,K$6,H236)</f>
        <v>271.65042432000001</v>
      </c>
      <c r="J236" s="51">
        <f t="shared" si="41"/>
        <v>0.40902562357193339</v>
      </c>
      <c r="K236" s="5" cm="1">
        <f t="array" ref="K236">UseableCapacity(I236,$K$7,$K$8)</f>
        <v>203.73781824000002</v>
      </c>
      <c r="L236" s="66">
        <f t="shared" si="42"/>
        <v>160.5384401189317</v>
      </c>
      <c r="M236" s="7">
        <f t="shared" si="43"/>
        <v>92.625834038931714</v>
      </c>
      <c r="N236" s="7">
        <f t="shared" si="44"/>
        <v>21.389575680000007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223</v>
      </c>
      <c r="C237" s="7">
        <f t="shared" si="39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66" cm="1">
        <f t="array" ref="F237">estimatedTripDuration(C237,$C$7,$C$6)/60</f>
        <v>7.5600000006622734</v>
      </c>
      <c r="G237">
        <f t="shared" si="36"/>
        <v>223</v>
      </c>
      <c r="H237" s="53">
        <f t="shared" si="40"/>
        <v>223</v>
      </c>
      <c r="I237" s="7" cm="1">
        <f t="array" ref="I237">CurrentCapacity(K$9,K$5,K$6,H237)</f>
        <v>271.63987488000004</v>
      </c>
      <c r="J237" s="51">
        <f t="shared" si="41"/>
        <v>0.40923945120419825</v>
      </c>
      <c r="K237" s="5" cm="1">
        <f t="array" ref="K237">UseableCapacity(I237,$K$7,$K$8)</f>
        <v>203.72990616000004</v>
      </c>
      <c r="L237" s="66">
        <f t="shared" si="42"/>
        <v>160.47412155893176</v>
      </c>
      <c r="M237" s="7">
        <f t="shared" si="43"/>
        <v>92.564152838931747</v>
      </c>
      <c r="N237" s="7">
        <f t="shared" si="44"/>
        <v>21.400125119999984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224</v>
      </c>
      <c r="C238" s="7">
        <f t="shared" si="39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66" cm="1">
        <f t="array" ref="F238">estimatedTripDuration(C238,$C$7,$C$6)/60</f>
        <v>7.5933333339956084</v>
      </c>
      <c r="G238">
        <f t="shared" si="36"/>
        <v>224</v>
      </c>
      <c r="H238" s="53">
        <f t="shared" si="40"/>
        <v>224</v>
      </c>
      <c r="I238" s="7" cm="1">
        <f t="array" ref="I238">CurrentCapacity(K$9,K$5,K$6,H238)</f>
        <v>271.62932544000006</v>
      </c>
      <c r="J238" s="51">
        <f t="shared" si="41"/>
        <v>0.40945329544558134</v>
      </c>
      <c r="K238" s="5" cm="1">
        <f t="array" ref="K238">UseableCapacity(I238,$K$7,$K$8)</f>
        <v>203.72199408000006</v>
      </c>
      <c r="L238" s="66">
        <f t="shared" si="42"/>
        <v>160.40980299893175</v>
      </c>
      <c r="M238" s="7">
        <f t="shared" si="43"/>
        <v>92.502471638931752</v>
      </c>
      <c r="N238" s="7">
        <f t="shared" si="44"/>
        <v>21.410674559999961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225</v>
      </c>
      <c r="C239" s="7">
        <f t="shared" si="39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66" cm="1">
        <f t="array" ref="F239">estimatedTripDuration(C239,$C$7,$C$6)/60</f>
        <v>7.6266666673289416</v>
      </c>
      <c r="G239">
        <f t="shared" si="36"/>
        <v>225</v>
      </c>
      <c r="H239" s="53">
        <f t="shared" si="40"/>
        <v>225</v>
      </c>
      <c r="I239" s="7" cm="1">
        <f t="array" ref="I239">CurrentCapacity(K$9,K$5,K$6,H239)</f>
        <v>271.61877600000003</v>
      </c>
      <c r="J239" s="51">
        <f t="shared" si="41"/>
        <v>0.40966715629801775</v>
      </c>
      <c r="K239" s="5" cm="1">
        <f t="array" ref="K239">UseableCapacity(I239,$K$7,$K$8)</f>
        <v>203.71408200000002</v>
      </c>
      <c r="L239" s="66">
        <f t="shared" si="42"/>
        <v>160.34548443893175</v>
      </c>
      <c r="M239" s="7">
        <f t="shared" si="43"/>
        <v>92.440790438931728</v>
      </c>
      <c r="N239" s="7">
        <f t="shared" si="44"/>
        <v>21.421223999999995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226</v>
      </c>
      <c r="C240" s="7">
        <f t="shared" si="39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66" cm="1">
        <f t="array" ref="F240">estimatedTripDuration(C240,$C$7,$C$6)/60</f>
        <v>7.6600000006622748</v>
      </c>
      <c r="G240">
        <f t="shared" si="36"/>
        <v>226</v>
      </c>
      <c r="H240" s="53">
        <f t="shared" si="40"/>
        <v>226</v>
      </c>
      <c r="I240" s="7" cm="1">
        <f t="array" ref="I240">CurrentCapacity(K$9,K$5,K$6,H240)</f>
        <v>271.60822656000005</v>
      </c>
      <c r="J240" s="51">
        <f t="shared" si="41"/>
        <v>0.40988103376344309</v>
      </c>
      <c r="K240" s="5" cm="1">
        <f t="array" ref="K240">UseableCapacity(I240,$K$7,$K$8)</f>
        <v>203.70616992000004</v>
      </c>
      <c r="L240" s="66">
        <f t="shared" si="42"/>
        <v>160.28116587893177</v>
      </c>
      <c r="M240" s="7">
        <f t="shared" si="43"/>
        <v>92.379109238931761</v>
      </c>
      <c r="N240" s="7">
        <f t="shared" si="44"/>
        <v>21.431773439999972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227</v>
      </c>
      <c r="C241" s="7">
        <f t="shared" si="39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66" cm="1">
        <f t="array" ref="F241">estimatedTripDuration(C241,$C$7,$C$6)/60</f>
        <v>7.693333333995608</v>
      </c>
      <c r="G241">
        <f t="shared" si="36"/>
        <v>227</v>
      </c>
      <c r="H241" s="53">
        <f t="shared" si="40"/>
        <v>227</v>
      </c>
      <c r="I241" s="7" cm="1">
        <f t="array" ref="I241">CurrentCapacity(K$9,K$5,K$6,H241)</f>
        <v>271.59767712000007</v>
      </c>
      <c r="J241" s="51">
        <f t="shared" si="41"/>
        <v>0.41009492784379326</v>
      </c>
      <c r="K241" s="5" cm="1">
        <f t="array" ref="K241">UseableCapacity(I241,$K$7,$K$8)</f>
        <v>203.69825784000005</v>
      </c>
      <c r="L241" s="66">
        <f t="shared" si="42"/>
        <v>160.2168473189318</v>
      </c>
      <c r="M241" s="7">
        <f t="shared" si="43"/>
        <v>92.317428038931766</v>
      </c>
      <c r="N241" s="7">
        <f t="shared" si="44"/>
        <v>21.442322879999949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228</v>
      </c>
      <c r="C242" s="7">
        <f t="shared" si="39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66" cm="1">
        <f t="array" ref="F242">estimatedTripDuration(C242,$C$7,$C$6)/60</f>
        <v>7.7266666673289404</v>
      </c>
      <c r="G242">
        <f t="shared" si="36"/>
        <v>228</v>
      </c>
      <c r="H242" s="53">
        <f t="shared" si="40"/>
        <v>228</v>
      </c>
      <c r="I242" s="7" cm="1">
        <f t="array" ref="I242">CurrentCapacity(K$9,K$5,K$6,H242)</f>
        <v>271.58712768000004</v>
      </c>
      <c r="J242" s="51">
        <f t="shared" si="41"/>
        <v>0.41030883854100447</v>
      </c>
      <c r="K242" s="5" cm="1">
        <f t="array" ref="K242">UseableCapacity(I242,$K$7,$K$8)</f>
        <v>203.69034576000001</v>
      </c>
      <c r="L242" s="66">
        <f t="shared" si="42"/>
        <v>160.15252875893174</v>
      </c>
      <c r="M242" s="7">
        <f t="shared" si="43"/>
        <v>92.255746838931714</v>
      </c>
      <c r="N242" s="7">
        <f t="shared" si="44"/>
        <v>21.452872319999983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229</v>
      </c>
      <c r="C243" s="7">
        <f t="shared" si="39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66" cm="1">
        <f t="array" ref="F243">estimatedTripDuration(C243,$C$7,$C$6)/60</f>
        <v>7.7600000006622754</v>
      </c>
      <c r="G243">
        <f t="shared" si="36"/>
        <v>229</v>
      </c>
      <c r="H243" s="53">
        <f t="shared" si="40"/>
        <v>229</v>
      </c>
      <c r="I243" s="7" cm="1">
        <f t="array" ref="I243">CurrentCapacity(K$9,K$5,K$6,H243)</f>
        <v>271.57657824</v>
      </c>
      <c r="J243" s="51">
        <f t="shared" si="41"/>
        <v>0.41052276585701303</v>
      </c>
      <c r="K243" s="5" cm="1">
        <f t="array" ref="K243">UseableCapacity(I243,$K$7,$K$8)</f>
        <v>203.68243368</v>
      </c>
      <c r="L243" s="66">
        <f t="shared" si="42"/>
        <v>160.08821019893171</v>
      </c>
      <c r="M243" s="7">
        <f t="shared" si="43"/>
        <v>92.194065638931704</v>
      </c>
      <c r="N243" s="7">
        <f t="shared" si="44"/>
        <v>21.463421760000017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230</v>
      </c>
      <c r="C244" s="7">
        <f t="shared" si="39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66" cm="1">
        <f t="array" ref="F244">estimatedTripDuration(C244,$C$7,$C$6)/60</f>
        <v>7.7933333339956077</v>
      </c>
      <c r="G244">
        <f t="shared" si="36"/>
        <v>230</v>
      </c>
      <c r="H244" s="53">
        <f t="shared" si="40"/>
        <v>230</v>
      </c>
      <c r="I244" s="7" cm="1">
        <f t="array" ref="I244">CurrentCapacity(K$9,K$5,K$6,H244)</f>
        <v>271.56602880000003</v>
      </c>
      <c r="J244" s="51">
        <f t="shared" si="41"/>
        <v>0.41073670979375565</v>
      </c>
      <c r="K244" s="5" cm="1">
        <f t="array" ref="K244">UseableCapacity(I244,$K$7,$K$8)</f>
        <v>203.67452160000002</v>
      </c>
      <c r="L244" s="66">
        <f t="shared" si="42"/>
        <v>160.02389163893173</v>
      </c>
      <c r="M244" s="7">
        <f t="shared" si="43"/>
        <v>92.132384438931723</v>
      </c>
      <c r="N244" s="7">
        <f t="shared" si="44"/>
        <v>21.473971199999994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231</v>
      </c>
      <c r="C245" s="7">
        <f t="shared" si="39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66" cm="1">
        <f t="array" ref="F245">estimatedTripDuration(C245,$C$7,$C$6)/60</f>
        <v>7.8266666673289409</v>
      </c>
      <c r="G245">
        <f t="shared" si="36"/>
        <v>231</v>
      </c>
      <c r="H245" s="53">
        <f t="shared" si="40"/>
        <v>231</v>
      </c>
      <c r="I245" s="7" cm="1">
        <f t="array" ref="I245">CurrentCapacity(K$9,K$5,K$6,H245)</f>
        <v>271.55547936000005</v>
      </c>
      <c r="J245" s="51">
        <f t="shared" si="41"/>
        <v>0.41095067035316946</v>
      </c>
      <c r="K245" s="5" cm="1">
        <f t="array" ref="K245">UseableCapacity(I245,$K$7,$K$8)</f>
        <v>203.66660952000004</v>
      </c>
      <c r="L245" s="66">
        <f t="shared" si="42"/>
        <v>159.95957307893175</v>
      </c>
      <c r="M245" s="7">
        <f t="shared" si="43"/>
        <v>92.070703238931742</v>
      </c>
      <c r="N245" s="7">
        <f t="shared" si="44"/>
        <v>21.484520639999971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232</v>
      </c>
      <c r="C246" s="7">
        <f t="shared" si="39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66" cm="1">
        <f t="array" ref="F246">estimatedTripDuration(C246,$C$7,$C$6)/60</f>
        <v>7.8600000006622741</v>
      </c>
      <c r="G246">
        <f t="shared" si="36"/>
        <v>232</v>
      </c>
      <c r="H246" s="53">
        <f t="shared" si="40"/>
        <v>232</v>
      </c>
      <c r="I246" s="7" cm="1">
        <f t="array" ref="I246">CurrentCapacity(K$9,K$5,K$6,H246)</f>
        <v>271.54492992000002</v>
      </c>
      <c r="J246" s="51">
        <f t="shared" si="41"/>
        <v>0.41116464753719195</v>
      </c>
      <c r="K246" s="5" cm="1">
        <f t="array" ref="K246">UseableCapacity(I246,$K$7,$K$8)</f>
        <v>203.65869744000003</v>
      </c>
      <c r="L246" s="66">
        <f t="shared" si="42"/>
        <v>159.89525451893172</v>
      </c>
      <c r="M246" s="7">
        <f t="shared" si="43"/>
        <v>92.009022038931732</v>
      </c>
      <c r="N246" s="7">
        <f t="shared" si="44"/>
        <v>21.495070080000005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233</v>
      </c>
      <c r="C247" s="7">
        <f t="shared" si="39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66" cm="1">
        <f t="array" ref="F247">estimatedTripDuration(C247,$C$7,$C$6)/60</f>
        <v>7.8933333339956073</v>
      </c>
      <c r="G247">
        <f t="shared" si="36"/>
        <v>233</v>
      </c>
      <c r="H247" s="53">
        <f t="shared" si="40"/>
        <v>233</v>
      </c>
      <c r="I247" s="7" cm="1">
        <f t="array" ref="I247">CurrentCapacity(K$9,K$5,K$6,H247)</f>
        <v>271.53438048000004</v>
      </c>
      <c r="J247" s="51">
        <f t="shared" si="41"/>
        <v>0.41137864134776059</v>
      </c>
      <c r="K247" s="5" cm="1">
        <f t="array" ref="K247">UseableCapacity(I247,$K$7,$K$8)</f>
        <v>203.65078536000004</v>
      </c>
      <c r="L247" s="66">
        <f t="shared" si="42"/>
        <v>159.83093595893175</v>
      </c>
      <c r="M247" s="7">
        <f t="shared" si="43"/>
        <v>91.947340838931751</v>
      </c>
      <c r="N247" s="7">
        <f t="shared" si="44"/>
        <v>21.505619519999982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234</v>
      </c>
      <c r="C248" s="7">
        <f t="shared" si="39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66" cm="1">
        <f t="array" ref="F248">estimatedTripDuration(C248,$C$7,$C$6)/60</f>
        <v>7.9266666673289423</v>
      </c>
      <c r="G248">
        <f t="shared" si="36"/>
        <v>234</v>
      </c>
      <c r="H248" s="53">
        <f t="shared" si="40"/>
        <v>234</v>
      </c>
      <c r="I248" s="7" cm="1">
        <f t="array" ref="I248">CurrentCapacity(K$9,K$5,K$6,H248)</f>
        <v>271.52383104000006</v>
      </c>
      <c r="J248" s="51">
        <f t="shared" si="41"/>
        <v>0.41159265178681342</v>
      </c>
      <c r="K248" s="5" cm="1">
        <f t="array" ref="K248">UseableCapacity(I248,$K$7,$K$8)</f>
        <v>203.64287328000006</v>
      </c>
      <c r="L248" s="66">
        <f t="shared" si="42"/>
        <v>159.76661739893177</v>
      </c>
      <c r="M248" s="7">
        <f t="shared" si="43"/>
        <v>91.885659638931756</v>
      </c>
      <c r="N248" s="7">
        <f t="shared" si="44"/>
        <v>21.516168959999959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235</v>
      </c>
      <c r="C249" s="7">
        <f t="shared" si="39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66" cm="1">
        <f t="array" ref="F249">estimatedTripDuration(C249,$C$7,$C$6)/60</f>
        <v>7.9600000006622746</v>
      </c>
      <c r="G249">
        <f t="shared" si="36"/>
        <v>235</v>
      </c>
      <c r="H249" s="53">
        <f t="shared" si="40"/>
        <v>235</v>
      </c>
      <c r="I249" s="7" cm="1">
        <f t="array" ref="I249">CurrentCapacity(K$9,K$5,K$6,H249)</f>
        <v>271.51328160000003</v>
      </c>
      <c r="J249" s="51">
        <f t="shared" si="41"/>
        <v>0.41180667885628869</v>
      </c>
      <c r="K249" s="5" cm="1">
        <f t="array" ref="K249">UseableCapacity(I249,$K$7,$K$8)</f>
        <v>203.63496120000002</v>
      </c>
      <c r="L249" s="66">
        <f t="shared" si="42"/>
        <v>159.70229883893174</v>
      </c>
      <c r="M249" s="7">
        <f t="shared" si="43"/>
        <v>91.823978438931732</v>
      </c>
      <c r="N249" s="7">
        <f t="shared" si="44"/>
        <v>21.526718399999993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236</v>
      </c>
      <c r="C250" s="7">
        <f t="shared" si="39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66" cm="1">
        <f t="array" ref="F250">estimatedTripDuration(C250,$C$7,$C$6)/60</f>
        <v>7.9933333339956079</v>
      </c>
      <c r="G250">
        <f t="shared" si="36"/>
        <v>236</v>
      </c>
      <c r="H250" s="53">
        <f t="shared" si="40"/>
        <v>236</v>
      </c>
      <c r="I250" s="7" cm="1">
        <f t="array" ref="I250">CurrentCapacity(K$9,K$5,K$6,H250)</f>
        <v>271.50273216000005</v>
      </c>
      <c r="J250" s="51">
        <f t="shared" si="41"/>
        <v>0.41202072255812494</v>
      </c>
      <c r="K250" s="5" cm="1">
        <f t="array" ref="K250">UseableCapacity(I250,$K$7,$K$8)</f>
        <v>203.62704912000004</v>
      </c>
      <c r="L250" s="66">
        <f t="shared" si="42"/>
        <v>159.63798027893176</v>
      </c>
      <c r="M250" s="7">
        <f t="shared" si="43"/>
        <v>91.762297238931751</v>
      </c>
      <c r="N250" s="7">
        <f t="shared" si="44"/>
        <v>21.53726783999997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237</v>
      </c>
      <c r="C251" s="7">
        <f t="shared" si="39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66" cm="1">
        <f t="array" ref="F251">estimatedTripDuration(C251,$C$7,$C$6)/60</f>
        <v>8.0266666673289411</v>
      </c>
      <c r="G251">
        <f t="shared" si="36"/>
        <v>237</v>
      </c>
      <c r="H251" s="53">
        <f t="shared" si="40"/>
        <v>237</v>
      </c>
      <c r="I251" s="7" cm="1">
        <f t="array" ref="I251">CurrentCapacity(K$9,K$5,K$6,H251)</f>
        <v>271.49218272000002</v>
      </c>
      <c r="J251" s="51">
        <f t="shared" si="41"/>
        <v>0.41223478289426124</v>
      </c>
      <c r="K251" s="5" cm="1">
        <f t="array" ref="K251">UseableCapacity(I251,$K$7,$K$8)</f>
        <v>203.61913704</v>
      </c>
      <c r="L251" s="66">
        <f t="shared" si="42"/>
        <v>159.5736617189317</v>
      </c>
      <c r="M251" s="7">
        <f t="shared" si="43"/>
        <v>91.700616038931685</v>
      </c>
      <c r="N251" s="7">
        <f t="shared" si="44"/>
        <v>21.547817280000004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238</v>
      </c>
      <c r="C252" s="7">
        <f t="shared" si="39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66" cm="1">
        <f t="array" ref="F252">estimatedTripDuration(C252,$C$7,$C$6)/60</f>
        <v>8.0600000006622743</v>
      </c>
      <c r="G252">
        <f t="shared" si="36"/>
        <v>238</v>
      </c>
      <c r="H252" s="53">
        <f t="shared" si="40"/>
        <v>238</v>
      </c>
      <c r="I252" s="7" cm="1">
        <f t="array" ref="I252">CurrentCapacity(K$9,K$5,K$6,H252)</f>
        <v>271.48163328000004</v>
      </c>
      <c r="J252" s="51">
        <f t="shared" si="41"/>
        <v>0.41244885986663626</v>
      </c>
      <c r="K252" s="5" cm="1">
        <f t="array" ref="K252">UseableCapacity(I252,$K$7,$K$8)</f>
        <v>203.61122496000002</v>
      </c>
      <c r="L252" s="66">
        <f t="shared" si="42"/>
        <v>159.50934315893176</v>
      </c>
      <c r="M252" s="7">
        <f t="shared" si="43"/>
        <v>91.638934838931746</v>
      </c>
      <c r="N252" s="7">
        <f t="shared" si="44"/>
        <v>21.558366719999981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239</v>
      </c>
      <c r="C253" s="7">
        <f t="shared" si="39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66" cm="1">
        <f t="array" ref="F253">estimatedTripDuration(C253,$C$7,$C$6)/60</f>
        <v>8.0933333339956093</v>
      </c>
      <c r="G253">
        <f t="shared" si="36"/>
        <v>239</v>
      </c>
      <c r="H253" s="53">
        <f t="shared" si="40"/>
        <v>239</v>
      </c>
      <c r="I253" s="7" cm="1">
        <f t="array" ref="I253">CurrentCapacity(K$9,K$5,K$6,H253)</f>
        <v>271.47108384000001</v>
      </c>
      <c r="J253" s="51">
        <f t="shared" si="41"/>
        <v>0.41266295347719012</v>
      </c>
      <c r="K253" s="5" cm="1">
        <f t="array" ref="K253">UseableCapacity(I253,$K$7,$K$8)</f>
        <v>203.60331288</v>
      </c>
      <c r="L253" s="66">
        <f t="shared" si="42"/>
        <v>159.4450245989317</v>
      </c>
      <c r="M253" s="7">
        <f t="shared" si="43"/>
        <v>91.577253638931708</v>
      </c>
      <c r="N253" s="7">
        <f t="shared" si="44"/>
        <v>21.568916160000015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240</v>
      </c>
      <c r="C254" s="7">
        <f t="shared" si="39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66" cm="1">
        <f t="array" ref="F254">estimatedTripDuration(C254,$C$7,$C$6)/60</f>
        <v>8.1266666673289407</v>
      </c>
      <c r="G254">
        <f t="shared" si="36"/>
        <v>240</v>
      </c>
      <c r="H254" s="53">
        <f t="shared" si="40"/>
        <v>240</v>
      </c>
      <c r="I254" s="7" cm="1">
        <f t="array" ref="I254">CurrentCapacity(K$9,K$5,K$6,H254)</f>
        <v>271.46053440000003</v>
      </c>
      <c r="J254" s="51">
        <f t="shared" si="41"/>
        <v>0.41287706372786204</v>
      </c>
      <c r="K254" s="5" cm="1">
        <f t="array" ref="K254">UseableCapacity(I254,$K$7,$K$8)</f>
        <v>203.59540080000002</v>
      </c>
      <c r="L254" s="66">
        <f t="shared" si="42"/>
        <v>159.38070603893175</v>
      </c>
      <c r="M254" s="7">
        <f t="shared" si="43"/>
        <v>91.515572438931727</v>
      </c>
      <c r="N254" s="7">
        <f t="shared" si="44"/>
        <v>21.579465599999992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241</v>
      </c>
      <c r="C255" s="7">
        <f t="shared" si="39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66" cm="1">
        <f t="array" ref="F255">estimatedTripDuration(C255,$C$7,$C$6)/60</f>
        <v>8.1600000006622739</v>
      </c>
      <c r="G255">
        <f t="shared" si="36"/>
        <v>241</v>
      </c>
      <c r="H255" s="53">
        <f t="shared" si="40"/>
        <v>241</v>
      </c>
      <c r="I255" s="7" cm="1">
        <f t="array" ref="I255">CurrentCapacity(K$9,K$5,K$6,H255)</f>
        <v>271.44998496000005</v>
      </c>
      <c r="J255" s="51">
        <f t="shared" si="41"/>
        <v>0.41309119062059224</v>
      </c>
      <c r="K255" s="5" cm="1">
        <f t="array" ref="K255">UseableCapacity(I255,$K$7,$K$8)</f>
        <v>203.58748872000004</v>
      </c>
      <c r="L255" s="66">
        <f t="shared" si="42"/>
        <v>159.31638747893177</v>
      </c>
      <c r="M255" s="7">
        <f t="shared" si="43"/>
        <v>91.45389123893176</v>
      </c>
      <c r="N255" s="7">
        <f t="shared" si="44"/>
        <v>21.590015039999969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242</v>
      </c>
      <c r="C256" s="7">
        <f t="shared" si="39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66" cm="1">
        <f t="array" ref="F256">estimatedTripDuration(C256,$C$7,$C$6)/60</f>
        <v>8.1933333339956071</v>
      </c>
      <c r="G256">
        <f t="shared" si="36"/>
        <v>242</v>
      </c>
      <c r="H256" s="53">
        <f t="shared" si="40"/>
        <v>242</v>
      </c>
      <c r="I256" s="7" cm="1">
        <f t="array" ref="I256">CurrentCapacity(K$9,K$5,K$6,H256)</f>
        <v>271.43943552000002</v>
      </c>
      <c r="J256" s="51">
        <f t="shared" si="41"/>
        <v>0.41330533415732135</v>
      </c>
      <c r="K256" s="5" cm="1">
        <f t="array" ref="K256">UseableCapacity(I256,$K$7,$K$8)</f>
        <v>203.57957664000003</v>
      </c>
      <c r="L256" s="66">
        <f t="shared" si="42"/>
        <v>159.25206891893174</v>
      </c>
      <c r="M256" s="7">
        <f t="shared" si="43"/>
        <v>91.392210038931736</v>
      </c>
      <c r="N256" s="7">
        <f t="shared" si="44"/>
        <v>21.600564480000003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243</v>
      </c>
      <c r="C257" s="7">
        <f t="shared" si="39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66" cm="1">
        <f t="array" ref="F257">estimatedTripDuration(C257,$C$7,$C$6)/60</f>
        <v>8.2266666673289404</v>
      </c>
      <c r="G257">
        <f t="shared" si="36"/>
        <v>243</v>
      </c>
      <c r="H257" s="53">
        <f t="shared" si="40"/>
        <v>243</v>
      </c>
      <c r="I257" s="7" cm="1">
        <f t="array" ref="I257">CurrentCapacity(K$9,K$5,K$6,H257)</f>
        <v>271.42888608000004</v>
      </c>
      <c r="J257" s="51">
        <f t="shared" si="41"/>
        <v>0.41351949433998969</v>
      </c>
      <c r="K257" s="5" cm="1">
        <f t="array" ref="K257">UseableCapacity(I257,$K$7,$K$8)</f>
        <v>203.57166456000004</v>
      </c>
      <c r="L257" s="66">
        <f t="shared" si="42"/>
        <v>159.18775035893174</v>
      </c>
      <c r="M257" s="7">
        <f t="shared" si="43"/>
        <v>91.330528838931755</v>
      </c>
      <c r="N257" s="7">
        <f t="shared" si="44"/>
        <v>21.61111391999998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244</v>
      </c>
      <c r="C258" s="7">
        <f t="shared" si="39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66" cm="1">
        <f t="array" ref="F258">estimatedTripDuration(C258,$C$7,$C$6)/60</f>
        <v>8.2600000006622754</v>
      </c>
      <c r="G258">
        <f t="shared" si="36"/>
        <v>244</v>
      </c>
      <c r="H258" s="53">
        <f t="shared" si="40"/>
        <v>244</v>
      </c>
      <c r="I258" s="7" cm="1">
        <f t="array" ref="I258">CurrentCapacity(K$9,K$5,K$6,H258)</f>
        <v>271.41833664000001</v>
      </c>
      <c r="J258" s="51">
        <f t="shared" si="41"/>
        <v>0.41373367117053855</v>
      </c>
      <c r="K258" s="5" cm="1">
        <f t="array" ref="K258">UseableCapacity(I258,$K$7,$K$8)</f>
        <v>203.56375248000001</v>
      </c>
      <c r="L258" s="66">
        <f t="shared" si="42"/>
        <v>159.1234317989317</v>
      </c>
      <c r="M258" s="7">
        <f t="shared" si="43"/>
        <v>91.268847638931703</v>
      </c>
      <c r="N258" s="7">
        <f t="shared" si="44"/>
        <v>21.621663360000014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245</v>
      </c>
      <c r="C259" s="7">
        <f t="shared" si="39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66" cm="1">
        <f t="array" ref="F259">estimatedTripDuration(C259,$C$7,$C$6)/60</f>
        <v>8.2933333339956086</v>
      </c>
      <c r="G259">
        <f t="shared" si="36"/>
        <v>245</v>
      </c>
      <c r="H259" s="53">
        <f t="shared" si="40"/>
        <v>245</v>
      </c>
      <c r="I259" s="7" cm="1">
        <f t="array" ref="I259">CurrentCapacity(K$9,K$5,K$6,H259)</f>
        <v>271.40778720000003</v>
      </c>
      <c r="J259" s="51">
        <f t="shared" si="41"/>
        <v>0.41394786465090888</v>
      </c>
      <c r="K259" s="5" cm="1">
        <f t="array" ref="K259">UseableCapacity(I259,$K$7,$K$8)</f>
        <v>203.55584040000002</v>
      </c>
      <c r="L259" s="66">
        <f t="shared" si="42"/>
        <v>159.05911323893173</v>
      </c>
      <c r="M259" s="7">
        <f t="shared" si="43"/>
        <v>91.207166438931736</v>
      </c>
      <c r="N259" s="7">
        <f t="shared" si="44"/>
        <v>21.632212799999991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246</v>
      </c>
      <c r="C260" s="7">
        <f t="shared" si="39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66" cm="1">
        <f t="array" ref="F260">estimatedTripDuration(C260,$C$7,$C$6)/60</f>
        <v>8.3266666673289418</v>
      </c>
      <c r="G260">
        <f t="shared" si="36"/>
        <v>246</v>
      </c>
      <c r="H260" s="53">
        <f t="shared" si="40"/>
        <v>246</v>
      </c>
      <c r="I260" s="7" cm="1">
        <f t="array" ref="I260">CurrentCapacity(K$9,K$5,K$6,H260)</f>
        <v>271.39723776000005</v>
      </c>
      <c r="J260" s="51">
        <f t="shared" si="41"/>
        <v>0.41416207478304246</v>
      </c>
      <c r="K260" s="5" cm="1">
        <f t="array" ref="K260">UseableCapacity(I260,$K$7,$K$8)</f>
        <v>203.54792832000004</v>
      </c>
      <c r="L260" s="66">
        <f t="shared" si="42"/>
        <v>158.99479467893175</v>
      </c>
      <c r="M260" s="7">
        <f t="shared" si="43"/>
        <v>91.145485238931741</v>
      </c>
      <c r="N260" s="7">
        <f t="shared" si="44"/>
        <v>21.642762239999968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247</v>
      </c>
      <c r="C261" s="7">
        <f t="shared" si="39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66" cm="1">
        <f t="array" ref="F261">estimatedTripDuration(C261,$C$7,$C$6)/60</f>
        <v>8.360000000662275</v>
      </c>
      <c r="G261">
        <f t="shared" si="36"/>
        <v>247</v>
      </c>
      <c r="H261" s="53">
        <f t="shared" si="40"/>
        <v>247</v>
      </c>
      <c r="I261" s="7" cm="1">
        <f t="array" ref="I261">CurrentCapacity(K$9,K$5,K$6,H261)</f>
        <v>271.38668832000002</v>
      </c>
      <c r="J261" s="51">
        <f t="shared" si="41"/>
        <v>0.41437630156888128</v>
      </c>
      <c r="K261" s="5" cm="1">
        <f t="array" ref="K261">UseableCapacity(I261,$K$7,$K$8)</f>
        <v>203.54001624</v>
      </c>
      <c r="L261" s="66">
        <f t="shared" si="42"/>
        <v>158.93047611893172</v>
      </c>
      <c r="M261" s="7">
        <f t="shared" si="43"/>
        <v>91.083804038931689</v>
      </c>
      <c r="N261" s="7">
        <f t="shared" si="44"/>
        <v>21.653311680000002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248</v>
      </c>
      <c r="C262" s="7">
        <f t="shared" si="39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66" cm="1">
        <f t="array" ref="F262">estimatedTripDuration(C262,$C$7,$C$6)/60</f>
        <v>8.3933333339956064</v>
      </c>
      <c r="G262">
        <f t="shared" si="36"/>
        <v>248</v>
      </c>
      <c r="H262" s="53">
        <f t="shared" si="40"/>
        <v>248</v>
      </c>
      <c r="I262" s="7" cm="1">
        <f t="array" ref="I262">CurrentCapacity(K$9,K$5,K$6,H262)</f>
        <v>271.37613888000004</v>
      </c>
      <c r="J262" s="51">
        <f t="shared" si="41"/>
        <v>0.41459054501036713</v>
      </c>
      <c r="K262" s="5" cm="1">
        <f t="array" ref="K262">UseableCapacity(I262,$K$7,$K$8)</f>
        <v>203.53210416000002</v>
      </c>
      <c r="L262" s="66">
        <f t="shared" si="42"/>
        <v>158.86615755893175</v>
      </c>
      <c r="M262" s="7">
        <f t="shared" si="43"/>
        <v>91.022122838931722</v>
      </c>
      <c r="N262" s="7">
        <f t="shared" si="44"/>
        <v>21.663861119999979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249</v>
      </c>
      <c r="C263" s="7">
        <f t="shared" si="39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66" cm="1">
        <f t="array" ref="F263">estimatedTripDuration(C263,$C$7,$C$6)/60</f>
        <v>8.4266666673289414</v>
      </c>
      <c r="G263">
        <f t="shared" si="36"/>
        <v>249</v>
      </c>
      <c r="H263" s="53">
        <f t="shared" si="40"/>
        <v>249</v>
      </c>
      <c r="I263" s="7" cm="1">
        <f t="array" ref="I263">CurrentCapacity(K$9,K$5,K$6,H263)</f>
        <v>271.36558944000006</v>
      </c>
      <c r="J263" s="51">
        <f t="shared" si="41"/>
        <v>0.41480480510944284</v>
      </c>
      <c r="K263" s="5" cm="1">
        <f t="array" ref="K263">UseableCapacity(I263,$K$7,$K$8)</f>
        <v>203.52419208000003</v>
      </c>
      <c r="L263" s="66">
        <f t="shared" si="42"/>
        <v>158.80183899893177</v>
      </c>
      <c r="M263" s="7">
        <f t="shared" si="43"/>
        <v>90.960441638931727</v>
      </c>
      <c r="N263" s="7">
        <f t="shared" si="44"/>
        <v>21.674410559999956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250</v>
      </c>
      <c r="C264" s="7">
        <f t="shared" si="39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66" cm="1">
        <f t="array" ref="F264">estimatedTripDuration(C264,$C$7,$C$6)/60</f>
        <v>8.4600000006622746</v>
      </c>
      <c r="G264">
        <f t="shared" si="36"/>
        <v>250</v>
      </c>
      <c r="H264" s="53">
        <f t="shared" si="40"/>
        <v>250</v>
      </c>
      <c r="I264" s="7" cm="1">
        <f t="array" ref="I264">CurrentCapacity(K$9,K$5,K$6,H264)</f>
        <v>271.35504000000003</v>
      </c>
      <c r="J264" s="51">
        <f t="shared" si="41"/>
        <v>0.41501908186805109</v>
      </c>
      <c r="K264" s="5" cm="1">
        <f t="array" ref="K264">UseableCapacity(I264,$K$7,$K$8)</f>
        <v>203.51628000000002</v>
      </c>
      <c r="L264" s="66">
        <f t="shared" si="42"/>
        <v>158.73752043893174</v>
      </c>
      <c r="M264" s="7">
        <f t="shared" si="43"/>
        <v>90.898760438931731</v>
      </c>
      <c r="N264" s="7">
        <f t="shared" si="44"/>
        <v>21.68495999999999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251</v>
      </c>
      <c r="C265" s="7">
        <f t="shared" si="39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66" cm="1">
        <f t="array" ref="F265">estimatedTripDuration(C265,$C$7,$C$6)/60</f>
        <v>8.4933333339956079</v>
      </c>
      <c r="G265">
        <f t="shared" ref="G265:G328" si="46">B265</f>
        <v>251</v>
      </c>
      <c r="H265" s="53">
        <f t="shared" si="40"/>
        <v>251</v>
      </c>
      <c r="I265" s="7" cm="1">
        <f t="array" ref="I265">CurrentCapacity(K$9,K$5,K$6,H265)</f>
        <v>271.34449056</v>
      </c>
      <c r="J265" s="51">
        <f t="shared" si="41"/>
        <v>0.41523337528813498</v>
      </c>
      <c r="K265" s="5" cm="1">
        <f t="array" ref="K265">UseableCapacity(I265,$K$7,$K$8)</f>
        <v>203.50836792000001</v>
      </c>
      <c r="L265" s="66">
        <f t="shared" si="42"/>
        <v>158.67320187893171</v>
      </c>
      <c r="M265" s="7">
        <f t="shared" si="43"/>
        <v>90.837079238931736</v>
      </c>
      <c r="N265" s="7">
        <f t="shared" si="44"/>
        <v>21.695509440000023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35">
      <c r="B266">
        <f t="shared" si="45"/>
        <v>252</v>
      </c>
      <c r="C266" s="7">
        <f t="shared" si="39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66" cm="1">
        <f t="array" ref="F266">estimatedTripDuration(C266,$C$7,$C$6)/60</f>
        <v>8.5266666673289411</v>
      </c>
      <c r="G266">
        <f t="shared" si="46"/>
        <v>252</v>
      </c>
      <c r="H266" s="53">
        <f t="shared" si="40"/>
        <v>252</v>
      </c>
      <c r="I266" s="7" cm="1">
        <f t="array" ref="I266">CurrentCapacity(K$9,K$5,K$6,H266)</f>
        <v>271.33394112000002</v>
      </c>
      <c r="J266" s="51">
        <f t="shared" si="41"/>
        <v>0.4154476853716379</v>
      </c>
      <c r="K266" s="5" cm="1">
        <f t="array" ref="K266">UseableCapacity(I266,$K$7,$K$8)</f>
        <v>203.50045584000003</v>
      </c>
      <c r="L266" s="66">
        <f t="shared" si="42"/>
        <v>158.60888331893173</v>
      </c>
      <c r="M266" s="7">
        <f t="shared" si="43"/>
        <v>90.775398038931741</v>
      </c>
      <c r="N266" s="7">
        <f t="shared" si="44"/>
        <v>21.70605888</v>
      </c>
      <c r="O266" t="str">
        <f t="shared" si="47"/>
        <v>no</v>
      </c>
      <c r="P266" t="str">
        <f t="shared" si="48"/>
        <v>no</v>
      </c>
    </row>
    <row r="267" spans="2:16" x14ac:dyDescent="0.35">
      <c r="B267">
        <f t="shared" si="45"/>
        <v>253</v>
      </c>
      <c r="C267" s="7">
        <f t="shared" si="39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66" cm="1">
        <f t="array" ref="F267">estimatedTripDuration(C267,$C$7,$C$6)/60</f>
        <v>8.5600000006622743</v>
      </c>
      <c r="G267">
        <f t="shared" si="46"/>
        <v>253</v>
      </c>
      <c r="H267" s="53">
        <f t="shared" si="40"/>
        <v>253</v>
      </c>
      <c r="I267" s="7" cm="1">
        <f t="array" ref="I267">CurrentCapacity(K$9,K$5,K$6,H267)</f>
        <v>271.32339168000004</v>
      </c>
      <c r="J267" s="51">
        <f t="shared" si="41"/>
        <v>0.41566201212050347</v>
      </c>
      <c r="K267" s="5" cm="1">
        <f t="array" ref="K267">UseableCapacity(I267,$K$7,$K$8)</f>
        <v>203.49254376000005</v>
      </c>
      <c r="L267" s="66">
        <f t="shared" si="42"/>
        <v>158.54456475893176</v>
      </c>
      <c r="M267" s="7">
        <f t="shared" si="43"/>
        <v>90.713716838931759</v>
      </c>
      <c r="N267" s="7">
        <f t="shared" si="44"/>
        <v>21.716608319999978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254</v>
      </c>
      <c r="C268" s="7">
        <f t="shared" si="39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66" cm="1">
        <f t="array" ref="F268">estimatedTripDuration(C268,$C$7,$C$6)/60</f>
        <v>8.5933333339956093</v>
      </c>
      <c r="G268">
        <f t="shared" si="46"/>
        <v>254</v>
      </c>
      <c r="H268" s="53">
        <f t="shared" si="40"/>
        <v>254</v>
      </c>
      <c r="I268" s="7" cm="1">
        <f t="array" ref="I268">CurrentCapacity(K$9,K$5,K$6,H268)</f>
        <v>271.31284224000001</v>
      </c>
      <c r="J268" s="51">
        <f t="shared" si="41"/>
        <v>0.4158763555366759</v>
      </c>
      <c r="K268" s="5" cm="1">
        <f t="array" ref="K268">UseableCapacity(I268,$K$7,$K$8)</f>
        <v>203.48463168000001</v>
      </c>
      <c r="L268" s="66">
        <f t="shared" si="42"/>
        <v>158.4802461989317</v>
      </c>
      <c r="M268" s="7">
        <f t="shared" si="43"/>
        <v>90.652035638931707</v>
      </c>
      <c r="N268" s="7">
        <f t="shared" si="44"/>
        <v>21.727157760000011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255</v>
      </c>
      <c r="C269" s="7">
        <f t="shared" si="39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66" cm="1">
        <f t="array" ref="F269">estimatedTripDuration(C269,$C$7,$C$6)/60</f>
        <v>8.6266666673289407</v>
      </c>
      <c r="G269">
        <f t="shared" si="46"/>
        <v>255</v>
      </c>
      <c r="H269" s="53">
        <f t="shared" si="40"/>
        <v>255</v>
      </c>
      <c r="I269" s="7" cm="1">
        <f t="array" ref="I269">CurrentCapacity(K$9,K$5,K$6,H269)</f>
        <v>271.30229280000003</v>
      </c>
      <c r="J269" s="51">
        <f t="shared" si="41"/>
        <v>0.41609071562209915</v>
      </c>
      <c r="K269" s="5" cm="1">
        <f t="array" ref="K269">UseableCapacity(I269,$K$7,$K$8)</f>
        <v>203.47671960000002</v>
      </c>
      <c r="L269" s="66">
        <f t="shared" si="42"/>
        <v>158.41592763893175</v>
      </c>
      <c r="M269" s="7">
        <f t="shared" si="43"/>
        <v>90.590354438931726</v>
      </c>
      <c r="N269" s="7">
        <f t="shared" si="44"/>
        <v>21.737707199999988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256</v>
      </c>
      <c r="C270" s="7">
        <f t="shared" si="39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66" cm="1">
        <f t="array" ref="F270">estimatedTripDuration(C270,$C$7,$C$6)/60</f>
        <v>8.6600000006622739</v>
      </c>
      <c r="G270">
        <f t="shared" si="46"/>
        <v>256</v>
      </c>
      <c r="H270" s="53">
        <f t="shared" si="40"/>
        <v>256</v>
      </c>
      <c r="I270" s="7" cm="1">
        <f t="array" ref="I270">CurrentCapacity(K$9,K$5,K$6,H270)</f>
        <v>271.29174336000005</v>
      </c>
      <c r="J270" s="51">
        <f t="shared" si="41"/>
        <v>0.41630509237871799</v>
      </c>
      <c r="K270" s="5" cm="1">
        <f t="array" ref="K270">UseableCapacity(I270,$K$7,$K$8)</f>
        <v>203.46880752000004</v>
      </c>
      <c r="L270" s="66">
        <f t="shared" si="42"/>
        <v>158.35160907893177</v>
      </c>
      <c r="M270" s="7">
        <f t="shared" si="43"/>
        <v>90.528673238931759</v>
      </c>
      <c r="N270" s="7">
        <f t="shared" si="44"/>
        <v>21.748256639999966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257</v>
      </c>
      <c r="C271" s="7">
        <f t="shared" ref="C271:C334" si="49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66" cm="1">
        <f t="array" ref="F271">estimatedTripDuration(C271,$C$7,$C$6)/60</f>
        <v>8.6933333339956071</v>
      </c>
      <c r="G271">
        <f t="shared" si="46"/>
        <v>257</v>
      </c>
      <c r="H271" s="53">
        <f t="shared" ref="H271:H334" si="50">G271/$G$3</f>
        <v>257</v>
      </c>
      <c r="I271" s="7" cm="1">
        <f t="array" ref="I271">CurrentCapacity(K$9,K$5,K$6,H271)</f>
        <v>271.28119392000002</v>
      </c>
      <c r="J271" s="51">
        <f t="shared" ref="J271:J334" si="51">E271/I271</f>
        <v>0.41651948580847753</v>
      </c>
      <c r="K271" s="5" cm="1">
        <f t="array" ref="K271">UseableCapacity(I271,$K$7,$K$8)</f>
        <v>203.46089544</v>
      </c>
      <c r="L271" s="66">
        <f t="shared" ref="L271:L334" si="52">(K$7*I271)-E271</f>
        <v>158.28729051893174</v>
      </c>
      <c r="M271" s="7">
        <f t="shared" ref="M271:M334" si="53">K271-E271</f>
        <v>90.466992038931707</v>
      </c>
      <c r="N271" s="7">
        <f t="shared" ref="N271:N334" si="54">$K$9-I271</f>
        <v>21.758806079999999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ref="B272:B335" si="55">B271+$G$11</f>
        <v>258</v>
      </c>
      <c r="C272" s="7">
        <f t="shared" si="49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66" cm="1">
        <f t="array" ref="F272">estimatedTripDuration(C272,$C$7,$C$6)/60</f>
        <v>8.7266666673289404</v>
      </c>
      <c r="G272">
        <f t="shared" si="46"/>
        <v>258</v>
      </c>
      <c r="H272" s="53">
        <f t="shared" si="50"/>
        <v>258</v>
      </c>
      <c r="I272" s="7" cm="1">
        <f t="array" ref="I272">CurrentCapacity(K$9,K$5,K$6,H272)</f>
        <v>271.27064448000004</v>
      </c>
      <c r="J272" s="51">
        <f t="shared" si="51"/>
        <v>0.41673389591332266</v>
      </c>
      <c r="K272" s="5" cm="1">
        <f t="array" ref="K272">UseableCapacity(I272,$K$7,$K$8)</f>
        <v>203.45298336000002</v>
      </c>
      <c r="L272" s="66">
        <f t="shared" si="52"/>
        <v>158.22297195893174</v>
      </c>
      <c r="M272" s="7">
        <f t="shared" si="53"/>
        <v>90.405310838931726</v>
      </c>
      <c r="N272" s="7">
        <f t="shared" si="54"/>
        <v>21.769355519999976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si="55"/>
        <v>259</v>
      </c>
      <c r="C273" s="7">
        <f t="shared" si="49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66" cm="1">
        <f t="array" ref="F273">estimatedTripDuration(C273,$C$7,$C$6)/60</f>
        <v>8.7600000006622736</v>
      </c>
      <c r="G273">
        <f t="shared" si="46"/>
        <v>259</v>
      </c>
      <c r="H273" s="53">
        <f t="shared" si="50"/>
        <v>259</v>
      </c>
      <c r="I273" s="7" cm="1">
        <f t="array" ref="I273">CurrentCapacity(K$9,K$5,K$6,H273)</f>
        <v>271.26009504000001</v>
      </c>
      <c r="J273" s="51">
        <f t="shared" si="51"/>
        <v>0.4169483226951991</v>
      </c>
      <c r="K273" s="5" cm="1">
        <f t="array" ref="K273">UseableCapacity(I273,$K$7,$K$8)</f>
        <v>203.44507128000001</v>
      </c>
      <c r="L273" s="66">
        <f t="shared" si="52"/>
        <v>158.1586533989317</v>
      </c>
      <c r="M273" s="7">
        <f t="shared" si="53"/>
        <v>90.343629638931702</v>
      </c>
      <c r="N273" s="7">
        <f t="shared" si="54"/>
        <v>21.77990496000001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260</v>
      </c>
      <c r="C274" s="7">
        <f t="shared" si="49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66" cm="1">
        <f t="array" ref="F274">estimatedTripDuration(C274,$C$7,$C$6)/60</f>
        <v>8.7933333339956068</v>
      </c>
      <c r="G274">
        <f t="shared" si="46"/>
        <v>260</v>
      </c>
      <c r="H274" s="53">
        <f t="shared" si="50"/>
        <v>260</v>
      </c>
      <c r="I274" s="7" cm="1">
        <f t="array" ref="I274">CurrentCapacity(K$9,K$5,K$6,H274)</f>
        <v>271.24954560000003</v>
      </c>
      <c r="J274" s="51">
        <f t="shared" si="51"/>
        <v>0.41716276615605241</v>
      </c>
      <c r="K274" s="5" cm="1">
        <f t="array" ref="K274">UseableCapacity(I274,$K$7,$K$8)</f>
        <v>203.43715920000002</v>
      </c>
      <c r="L274" s="66">
        <f t="shared" si="52"/>
        <v>158.09433483893173</v>
      </c>
      <c r="M274" s="7">
        <f t="shared" si="53"/>
        <v>90.281948438931735</v>
      </c>
      <c r="N274" s="7">
        <f t="shared" si="54"/>
        <v>21.790454399999987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261</v>
      </c>
      <c r="C275" s="7">
        <f t="shared" si="49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66" cm="1">
        <f t="array" ref="F275">estimatedTripDuration(C275,$C$7,$C$6)/60</f>
        <v>8.82666666732894</v>
      </c>
      <c r="G275">
        <f t="shared" si="46"/>
        <v>261</v>
      </c>
      <c r="H275" s="53">
        <f t="shared" si="50"/>
        <v>261</v>
      </c>
      <c r="I275" s="7" cm="1">
        <f t="array" ref="I275">CurrentCapacity(K$9,K$5,K$6,H275)</f>
        <v>271.23899616000006</v>
      </c>
      <c r="J275" s="51">
        <f t="shared" si="51"/>
        <v>0.41737722629782892</v>
      </c>
      <c r="K275" s="5" cm="1">
        <f t="array" ref="K275">UseableCapacity(I275,$K$7,$K$8)</f>
        <v>203.42924712000004</v>
      </c>
      <c r="L275" s="66">
        <f t="shared" si="52"/>
        <v>158.03001627893178</v>
      </c>
      <c r="M275" s="7">
        <f t="shared" si="53"/>
        <v>90.220267238931754</v>
      </c>
      <c r="N275" s="7">
        <f t="shared" si="54"/>
        <v>21.801003839999964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262</v>
      </c>
      <c r="C276" s="7">
        <f t="shared" si="49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66" cm="1">
        <f t="array" ref="F276">estimatedTripDuration(C276,$C$7,$C$6)/60</f>
        <v>8.8600000006622732</v>
      </c>
      <c r="G276">
        <f t="shared" si="46"/>
        <v>262</v>
      </c>
      <c r="H276" s="53">
        <f t="shared" si="50"/>
        <v>262</v>
      </c>
      <c r="I276" s="7" cm="1">
        <f t="array" ref="I276">CurrentCapacity(K$9,K$5,K$6,H276)</f>
        <v>271.22844672000002</v>
      </c>
      <c r="J276" s="51">
        <f t="shared" si="51"/>
        <v>0.41759170312247512</v>
      </c>
      <c r="K276" s="5" cm="1">
        <f t="array" ref="K276">UseableCapacity(I276,$K$7,$K$8)</f>
        <v>203.42133504000003</v>
      </c>
      <c r="L276" s="66">
        <f t="shared" si="52"/>
        <v>157.96569771893172</v>
      </c>
      <c r="M276" s="7">
        <f t="shared" si="53"/>
        <v>90.158586038931716</v>
      </c>
      <c r="N276" s="7">
        <f t="shared" si="54"/>
        <v>21.811553279999998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263</v>
      </c>
      <c r="C277" s="7">
        <f t="shared" si="49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66" cm="1">
        <f t="array" ref="F277">estimatedTripDuration(C277,$C$7,$C$6)/60</f>
        <v>8.8933333339956064</v>
      </c>
      <c r="G277">
        <f t="shared" si="46"/>
        <v>263</v>
      </c>
      <c r="H277" s="53">
        <f t="shared" si="50"/>
        <v>263</v>
      </c>
      <c r="I277" s="7" cm="1">
        <f t="array" ref="I277">CurrentCapacity(K$9,K$5,K$6,H277)</f>
        <v>271.21789728000005</v>
      </c>
      <c r="J277" s="51">
        <f t="shared" si="51"/>
        <v>0.41780619663193735</v>
      </c>
      <c r="K277" s="5" cm="1">
        <f t="array" ref="K277">UseableCapacity(I277,$K$7,$K$8)</f>
        <v>203.41342296000005</v>
      </c>
      <c r="L277" s="66">
        <f t="shared" si="52"/>
        <v>157.90137915893177</v>
      </c>
      <c r="M277" s="7">
        <f t="shared" si="53"/>
        <v>90.096904838931763</v>
      </c>
      <c r="N277" s="7">
        <f t="shared" si="54"/>
        <v>21.822102719999975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264</v>
      </c>
      <c r="C278" s="7">
        <f t="shared" si="49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66" cm="1">
        <f t="array" ref="F278">estimatedTripDuration(C278,$C$7,$C$6)/60</f>
        <v>8.9266666673289397</v>
      </c>
      <c r="G278">
        <f t="shared" si="46"/>
        <v>264</v>
      </c>
      <c r="H278" s="53">
        <f t="shared" si="50"/>
        <v>264</v>
      </c>
      <c r="I278" s="7" cm="1">
        <f t="array" ref="I278">CurrentCapacity(K$9,K$5,K$6,H278)</f>
        <v>271.20734784000007</v>
      </c>
      <c r="J278" s="51">
        <f t="shared" si="51"/>
        <v>0.41802070682816306</v>
      </c>
      <c r="K278" s="5" cm="1">
        <f t="array" ref="K278">UseableCapacity(I278,$K$7,$K$8)</f>
        <v>203.40551088000007</v>
      </c>
      <c r="L278" s="66">
        <f t="shared" si="52"/>
        <v>157.83706059893177</v>
      </c>
      <c r="M278" s="7">
        <f t="shared" si="53"/>
        <v>90.035223638931754</v>
      </c>
      <c r="N278" s="7">
        <f t="shared" si="54"/>
        <v>21.832652159999952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265</v>
      </c>
      <c r="C279" s="7">
        <f t="shared" si="49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66" cm="1">
        <f t="array" ref="F279">estimatedTripDuration(C279,$C$7,$C$6)/60</f>
        <v>8.9600000006622729</v>
      </c>
      <c r="G279">
        <f t="shared" si="46"/>
        <v>265</v>
      </c>
      <c r="H279" s="53">
        <f t="shared" si="50"/>
        <v>265</v>
      </c>
      <c r="I279" s="7" cm="1">
        <f t="array" ref="I279">CurrentCapacity(K$9,K$5,K$6,H279)</f>
        <v>271.19679840000003</v>
      </c>
      <c r="J279" s="51">
        <f t="shared" si="51"/>
        <v>0.41823523371309929</v>
      </c>
      <c r="K279" s="5" cm="1">
        <f t="array" ref="K279">UseableCapacity(I279,$K$7,$K$8)</f>
        <v>203.39759880000003</v>
      </c>
      <c r="L279" s="66">
        <f t="shared" si="52"/>
        <v>157.77274203893177</v>
      </c>
      <c r="M279" s="7">
        <f t="shared" si="53"/>
        <v>89.973542438931744</v>
      </c>
      <c r="N279" s="7">
        <f t="shared" si="54"/>
        <v>21.843201599999986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266</v>
      </c>
      <c r="C280" s="7">
        <f t="shared" si="49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66" cm="1">
        <f t="array" ref="F280">estimatedTripDuration(C280,$C$7,$C$6)/60</f>
        <v>8.9933333339956061</v>
      </c>
      <c r="G280">
        <f t="shared" si="46"/>
        <v>266</v>
      </c>
      <c r="H280" s="53">
        <f t="shared" si="50"/>
        <v>266</v>
      </c>
      <c r="I280" s="7" cm="1">
        <f t="array" ref="I280">CurrentCapacity(K$9,K$5,K$6,H280)</f>
        <v>271.18624896</v>
      </c>
      <c r="J280" s="51">
        <f t="shared" si="51"/>
        <v>0.41844977728869381</v>
      </c>
      <c r="K280" s="5" cm="1">
        <f t="array" ref="K280">UseableCapacity(I280,$K$7,$K$8)</f>
        <v>203.38968671999999</v>
      </c>
      <c r="L280" s="66">
        <f t="shared" si="52"/>
        <v>157.70842347893171</v>
      </c>
      <c r="M280" s="7">
        <f t="shared" si="53"/>
        <v>89.911861238931706</v>
      </c>
      <c r="N280" s="7">
        <f t="shared" si="54"/>
        <v>21.85375104000002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267</v>
      </c>
      <c r="C281" s="7">
        <f t="shared" si="49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66" cm="1">
        <f t="array" ref="F281">estimatedTripDuration(C281,$C$7,$C$6)/60</f>
        <v>9.0266666673289411</v>
      </c>
      <c r="G281">
        <f t="shared" si="46"/>
        <v>267</v>
      </c>
      <c r="H281" s="53">
        <f t="shared" si="50"/>
        <v>267</v>
      </c>
      <c r="I281" s="7" cm="1">
        <f t="array" ref="I281">CurrentCapacity(K$9,K$5,K$6,H281)</f>
        <v>271.17569952000002</v>
      </c>
      <c r="J281" s="51">
        <f t="shared" si="51"/>
        <v>0.41866433755689453</v>
      </c>
      <c r="K281" s="5" cm="1">
        <f t="array" ref="K281">UseableCapacity(I281,$K$7,$K$8)</f>
        <v>203.38177464</v>
      </c>
      <c r="L281" s="66">
        <f t="shared" si="52"/>
        <v>157.64410491893173</v>
      </c>
      <c r="M281" s="7">
        <f t="shared" si="53"/>
        <v>89.850180038931711</v>
      </c>
      <c r="N281" s="7">
        <f t="shared" si="54"/>
        <v>21.864300479999997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268</v>
      </c>
      <c r="C282" s="7">
        <f t="shared" si="49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66" cm="1">
        <f t="array" ref="F282">estimatedTripDuration(C282,$C$7,$C$6)/60</f>
        <v>9.0600000006622743</v>
      </c>
      <c r="G282">
        <f t="shared" si="46"/>
        <v>268</v>
      </c>
      <c r="H282" s="53">
        <f t="shared" si="50"/>
        <v>268</v>
      </c>
      <c r="I282" s="7" cm="1">
        <f t="array" ref="I282">CurrentCapacity(K$9,K$5,K$6,H282)</f>
        <v>271.16515008000005</v>
      </c>
      <c r="J282" s="51">
        <f t="shared" si="51"/>
        <v>0.41887891451964959</v>
      </c>
      <c r="K282" s="5" cm="1">
        <f t="array" ref="K282">UseableCapacity(I282,$K$7,$K$8)</f>
        <v>203.37386256000002</v>
      </c>
      <c r="L282" s="66">
        <f t="shared" si="52"/>
        <v>157.57978635893176</v>
      </c>
      <c r="M282" s="7">
        <f t="shared" si="53"/>
        <v>89.78849883893173</v>
      </c>
      <c r="N282" s="7">
        <f t="shared" si="54"/>
        <v>21.874849919999974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269</v>
      </c>
      <c r="C283" s="7">
        <f t="shared" si="49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66" cm="1">
        <f t="array" ref="F283">estimatedTripDuration(C283,$C$7,$C$6)/60</f>
        <v>9.0933333339956075</v>
      </c>
      <c r="G283">
        <f t="shared" si="46"/>
        <v>269</v>
      </c>
      <c r="H283" s="53">
        <f t="shared" si="50"/>
        <v>269</v>
      </c>
      <c r="I283" s="7" cm="1">
        <f t="array" ref="I283">CurrentCapacity(K$9,K$5,K$6,H283)</f>
        <v>271.15460064000001</v>
      </c>
      <c r="J283" s="51">
        <f t="shared" si="51"/>
        <v>0.41909350817890773</v>
      </c>
      <c r="K283" s="5" cm="1">
        <f t="array" ref="K283">UseableCapacity(I283,$K$7,$K$8)</f>
        <v>203.36595048000001</v>
      </c>
      <c r="L283" s="66">
        <f t="shared" si="52"/>
        <v>157.5154677989317</v>
      </c>
      <c r="M283" s="7">
        <f t="shared" si="53"/>
        <v>89.726817638931706</v>
      </c>
      <c r="N283" s="7">
        <f t="shared" si="54"/>
        <v>21.885399360000008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270</v>
      </c>
      <c r="C284" s="7">
        <f t="shared" si="49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66" cm="1">
        <f t="array" ref="F284">estimatedTripDuration(C284,$C$7,$C$6)/60</f>
        <v>9.1266666673289407</v>
      </c>
      <c r="G284">
        <f t="shared" si="46"/>
        <v>270</v>
      </c>
      <c r="H284" s="53">
        <f t="shared" si="50"/>
        <v>270</v>
      </c>
      <c r="I284" s="7" cm="1">
        <f t="array" ref="I284">CurrentCapacity(K$9,K$5,K$6,H284)</f>
        <v>271.14405120000004</v>
      </c>
      <c r="J284" s="51">
        <f t="shared" si="51"/>
        <v>0.41930811853661748</v>
      </c>
      <c r="K284" s="5" cm="1">
        <f t="array" ref="K284">UseableCapacity(I284,$K$7,$K$8)</f>
        <v>203.35803840000003</v>
      </c>
      <c r="L284" s="66">
        <f t="shared" si="52"/>
        <v>157.45114923893175</v>
      </c>
      <c r="M284" s="7">
        <f t="shared" si="53"/>
        <v>89.665136438931739</v>
      </c>
      <c r="N284" s="7">
        <f t="shared" si="54"/>
        <v>21.895948799999985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271</v>
      </c>
      <c r="C285" s="7">
        <f t="shared" si="49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66" cm="1">
        <f t="array" ref="F285">estimatedTripDuration(C285,$C$7,$C$6)/60</f>
        <v>9.1600000006622739</v>
      </c>
      <c r="G285">
        <f t="shared" si="46"/>
        <v>271</v>
      </c>
      <c r="H285" s="53">
        <f t="shared" si="50"/>
        <v>271</v>
      </c>
      <c r="I285" s="7" cm="1">
        <f t="array" ref="I285">CurrentCapacity(K$9,K$5,K$6,H285)</f>
        <v>271.13350176000006</v>
      </c>
      <c r="J285" s="51">
        <f t="shared" si="51"/>
        <v>0.41952274559472824</v>
      </c>
      <c r="K285" s="5" cm="1">
        <f t="array" ref="K285">UseableCapacity(I285,$K$7,$K$8)</f>
        <v>203.35012632000004</v>
      </c>
      <c r="L285" s="66">
        <f t="shared" si="52"/>
        <v>157.38683067893174</v>
      </c>
      <c r="M285" s="7">
        <f t="shared" si="53"/>
        <v>89.603455238931744</v>
      </c>
      <c r="N285" s="7">
        <f t="shared" si="54"/>
        <v>21.906498239999962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272</v>
      </c>
      <c r="C286" s="7">
        <f t="shared" si="49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66" cm="1">
        <f t="array" ref="F286">estimatedTripDuration(C286,$C$7,$C$6)/60</f>
        <v>9.1933333339956071</v>
      </c>
      <c r="G286">
        <f t="shared" si="46"/>
        <v>272</v>
      </c>
      <c r="H286" s="53">
        <f t="shared" si="50"/>
        <v>272</v>
      </c>
      <c r="I286" s="7" cm="1">
        <f t="array" ref="I286">CurrentCapacity(K$9,K$5,K$6,H286)</f>
        <v>271.12295232000002</v>
      </c>
      <c r="J286" s="51">
        <f t="shared" si="51"/>
        <v>0.41973738935518939</v>
      </c>
      <c r="K286" s="5" cm="1">
        <f t="array" ref="K286">UseableCapacity(I286,$K$7,$K$8)</f>
        <v>203.34221424000003</v>
      </c>
      <c r="L286" s="66">
        <f t="shared" si="52"/>
        <v>157.32251211893174</v>
      </c>
      <c r="M286" s="7">
        <f t="shared" si="53"/>
        <v>89.541774038931734</v>
      </c>
      <c r="N286" s="7">
        <f t="shared" si="54"/>
        <v>21.917047679999996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273</v>
      </c>
      <c r="C287" s="7">
        <f t="shared" si="49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66" cm="1">
        <f t="array" ref="F287">estimatedTripDuration(C287,$C$7,$C$6)/60</f>
        <v>9.2266666673289404</v>
      </c>
      <c r="G287">
        <f t="shared" si="46"/>
        <v>273</v>
      </c>
      <c r="H287" s="53">
        <f t="shared" si="50"/>
        <v>273</v>
      </c>
      <c r="I287" s="7" cm="1">
        <f t="array" ref="I287">CurrentCapacity(K$9,K$5,K$6,H287)</f>
        <v>271.11240288000005</v>
      </c>
      <c r="J287" s="51">
        <f t="shared" si="51"/>
        <v>0.4199520498199506</v>
      </c>
      <c r="K287" s="5" cm="1">
        <f t="array" ref="K287">UseableCapacity(I287,$K$7,$K$8)</f>
        <v>203.33430216000005</v>
      </c>
      <c r="L287" s="66">
        <f t="shared" si="52"/>
        <v>157.25819355893174</v>
      </c>
      <c r="M287" s="7">
        <f t="shared" si="53"/>
        <v>89.480092838931753</v>
      </c>
      <c r="N287" s="7">
        <f t="shared" si="54"/>
        <v>21.927597119999973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274</v>
      </c>
      <c r="C288" s="7">
        <f t="shared" si="49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66" cm="1">
        <f t="array" ref="F288">estimatedTripDuration(C288,$C$7,$C$6)/60</f>
        <v>9.2600000006622736</v>
      </c>
      <c r="G288">
        <f t="shared" si="46"/>
        <v>274</v>
      </c>
      <c r="H288" s="53">
        <f t="shared" si="50"/>
        <v>274</v>
      </c>
      <c r="I288" s="7" cm="1">
        <f t="array" ref="I288">CurrentCapacity(K$9,K$5,K$6,H288)</f>
        <v>271.10185344000001</v>
      </c>
      <c r="J288" s="51">
        <f t="shared" si="51"/>
        <v>0.42016672699096214</v>
      </c>
      <c r="K288" s="5" cm="1">
        <f t="array" ref="K288">UseableCapacity(I288,$K$7,$K$8)</f>
        <v>203.32639008000001</v>
      </c>
      <c r="L288" s="66">
        <f t="shared" si="52"/>
        <v>157.1938749989317</v>
      </c>
      <c r="M288" s="7">
        <f t="shared" si="53"/>
        <v>89.418411638931701</v>
      </c>
      <c r="N288" s="7">
        <f t="shared" si="54"/>
        <v>21.938146560000007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275</v>
      </c>
      <c r="C289" s="7">
        <f t="shared" si="49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66" cm="1">
        <f t="array" ref="F289">estimatedTripDuration(C289,$C$7,$C$6)/60</f>
        <v>9.2933333339956068</v>
      </c>
      <c r="G289">
        <f t="shared" si="46"/>
        <v>275</v>
      </c>
      <c r="H289" s="53">
        <f t="shared" si="50"/>
        <v>275</v>
      </c>
      <c r="I289" s="7" cm="1">
        <f t="array" ref="I289">CurrentCapacity(K$9,K$5,K$6,H289)</f>
        <v>271.09130400000004</v>
      </c>
      <c r="J289" s="51">
        <f t="shared" si="51"/>
        <v>0.42038142087017399</v>
      </c>
      <c r="K289" s="5" cm="1">
        <f t="array" ref="K289">UseableCapacity(I289,$K$7,$K$8)</f>
        <v>203.31847800000003</v>
      </c>
      <c r="L289" s="66">
        <f t="shared" si="52"/>
        <v>157.12955643893173</v>
      </c>
      <c r="M289" s="7">
        <f t="shared" si="53"/>
        <v>89.356730438931734</v>
      </c>
      <c r="N289" s="7">
        <f t="shared" si="54"/>
        <v>21.948695999999984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276</v>
      </c>
      <c r="C290" s="7">
        <f t="shared" si="49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66" cm="1">
        <f t="array" ref="F290">estimatedTripDuration(C290,$C$7,$C$6)/60</f>
        <v>9.32666666732894</v>
      </c>
      <c r="G290">
        <f t="shared" si="46"/>
        <v>276</v>
      </c>
      <c r="H290" s="53">
        <f t="shared" si="50"/>
        <v>276</v>
      </c>
      <c r="I290" s="7" cm="1">
        <f t="array" ref="I290">CurrentCapacity(K$9,K$5,K$6,H290)</f>
        <v>271.08075456000006</v>
      </c>
      <c r="J290" s="51">
        <f t="shared" si="51"/>
        <v>0.42059613145953706</v>
      </c>
      <c r="K290" s="5" cm="1">
        <f t="array" ref="K290">UseableCapacity(I290,$K$7,$K$8)</f>
        <v>203.31056592000004</v>
      </c>
      <c r="L290" s="66">
        <f t="shared" si="52"/>
        <v>157.06523787893178</v>
      </c>
      <c r="M290" s="7">
        <f t="shared" si="53"/>
        <v>89.295049238931753</v>
      </c>
      <c r="N290" s="7">
        <f t="shared" si="54"/>
        <v>21.959245439999961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277</v>
      </c>
      <c r="C291" s="7">
        <f t="shared" si="49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66" cm="1">
        <f t="array" ref="F291">estimatedTripDuration(C291,$C$7,$C$6)/60</f>
        <v>9.3600000006622732</v>
      </c>
      <c r="G291">
        <f t="shared" si="46"/>
        <v>277</v>
      </c>
      <c r="H291" s="53">
        <f t="shared" si="50"/>
        <v>277</v>
      </c>
      <c r="I291" s="7" cm="1">
        <f t="array" ref="I291">CurrentCapacity(K$9,K$5,K$6,H291)</f>
        <v>271.07020512000003</v>
      </c>
      <c r="J291" s="51">
        <f t="shared" si="51"/>
        <v>0.42081085876100249</v>
      </c>
      <c r="K291" s="5" cm="1">
        <f t="array" ref="K291">UseableCapacity(I291,$K$7,$K$8)</f>
        <v>203.30265384</v>
      </c>
      <c r="L291" s="66">
        <f t="shared" si="52"/>
        <v>157.00091931893172</v>
      </c>
      <c r="M291" s="7">
        <f t="shared" si="53"/>
        <v>89.233368038931701</v>
      </c>
      <c r="N291" s="7">
        <f t="shared" si="54"/>
        <v>21.969794879999995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278</v>
      </c>
      <c r="C292" s="7">
        <f t="shared" si="49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66" cm="1">
        <f t="array" ref="F292">estimatedTripDuration(C292,$C$7,$C$6)/60</f>
        <v>9.3933333339956064</v>
      </c>
      <c r="G292">
        <f t="shared" si="46"/>
        <v>278</v>
      </c>
      <c r="H292" s="53">
        <f t="shared" si="50"/>
        <v>278</v>
      </c>
      <c r="I292" s="7" cm="1">
        <f t="array" ref="I292">CurrentCapacity(K$9,K$5,K$6,H292)</f>
        <v>271.05965568000005</v>
      </c>
      <c r="J292" s="51">
        <f t="shared" si="51"/>
        <v>0.42102560277652112</v>
      </c>
      <c r="K292" s="5" cm="1">
        <f t="array" ref="K292">UseableCapacity(I292,$K$7,$K$8)</f>
        <v>203.29474176000002</v>
      </c>
      <c r="L292" s="66">
        <f t="shared" si="52"/>
        <v>156.93660075893177</v>
      </c>
      <c r="M292" s="7">
        <f t="shared" si="53"/>
        <v>89.171686838931734</v>
      </c>
      <c r="N292" s="7">
        <f t="shared" si="54"/>
        <v>21.980344319999972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279</v>
      </c>
      <c r="C293" s="7">
        <f t="shared" si="49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66" cm="1">
        <f t="array" ref="F293">estimatedTripDuration(C293,$C$7,$C$6)/60</f>
        <v>9.4266666673289397</v>
      </c>
      <c r="G293">
        <f t="shared" si="46"/>
        <v>279</v>
      </c>
      <c r="H293" s="53">
        <f t="shared" si="50"/>
        <v>279</v>
      </c>
      <c r="I293" s="7" cm="1">
        <f t="array" ref="I293">CurrentCapacity(K$9,K$5,K$6,H293)</f>
        <v>271.04910624000001</v>
      </c>
      <c r="J293" s="51">
        <f t="shared" si="51"/>
        <v>0.42124036350804495</v>
      </c>
      <c r="K293" s="5" cm="1">
        <f t="array" ref="K293">UseableCapacity(I293,$K$7,$K$8)</f>
        <v>203.28682968000001</v>
      </c>
      <c r="L293" s="66">
        <f t="shared" si="52"/>
        <v>156.87228219893171</v>
      </c>
      <c r="M293" s="7">
        <f t="shared" si="53"/>
        <v>89.11000563893171</v>
      </c>
      <c r="N293" s="7">
        <f t="shared" si="54"/>
        <v>21.990893760000006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280</v>
      </c>
      <c r="C294" s="7">
        <f t="shared" si="49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66" cm="1">
        <f t="array" ref="F294">estimatedTripDuration(C294,$C$7,$C$6)/60</f>
        <v>9.4600000006622729</v>
      </c>
      <c r="G294">
        <f t="shared" si="46"/>
        <v>280</v>
      </c>
      <c r="H294" s="53">
        <f t="shared" si="50"/>
        <v>280</v>
      </c>
      <c r="I294" s="7" cm="1">
        <f t="array" ref="I294">CurrentCapacity(K$9,K$5,K$6,H294)</f>
        <v>271.03855680000004</v>
      </c>
      <c r="J294" s="51">
        <f t="shared" si="51"/>
        <v>0.42145514095752551</v>
      </c>
      <c r="K294" s="5" cm="1">
        <f t="array" ref="K294">UseableCapacity(I294,$K$7,$K$8)</f>
        <v>203.27891760000003</v>
      </c>
      <c r="L294" s="66">
        <f t="shared" si="52"/>
        <v>156.80796363893174</v>
      </c>
      <c r="M294" s="7">
        <f t="shared" si="53"/>
        <v>89.048324438931729</v>
      </c>
      <c r="N294" s="7">
        <f t="shared" si="54"/>
        <v>22.001443199999983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281</v>
      </c>
      <c r="C295" s="7">
        <f t="shared" si="49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66" cm="1">
        <f t="array" ref="F295">estimatedTripDuration(C295,$C$7,$C$6)/60</f>
        <v>9.4933333339956061</v>
      </c>
      <c r="G295">
        <f t="shared" si="46"/>
        <v>281</v>
      </c>
      <c r="H295" s="53">
        <f t="shared" si="50"/>
        <v>281</v>
      </c>
      <c r="I295" s="7" cm="1">
        <f t="array" ref="I295">CurrentCapacity(K$9,K$5,K$6,H295)</f>
        <v>271.02800736</v>
      </c>
      <c r="J295" s="51">
        <f t="shared" si="51"/>
        <v>0.42166993512691514</v>
      </c>
      <c r="K295" s="5" cm="1">
        <f t="array" ref="K295">UseableCapacity(I295,$K$7,$K$8)</f>
        <v>203.27100552000002</v>
      </c>
      <c r="L295" s="66">
        <f t="shared" si="52"/>
        <v>156.74364507893171</v>
      </c>
      <c r="M295" s="7">
        <f t="shared" si="53"/>
        <v>88.986643238931734</v>
      </c>
      <c r="N295" s="7">
        <f t="shared" si="54"/>
        <v>22.011992640000017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282</v>
      </c>
      <c r="C296" s="7">
        <f t="shared" si="49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66" cm="1">
        <f t="array" ref="F296">estimatedTripDuration(C296,$C$7,$C$6)/60</f>
        <v>9.5266666673289411</v>
      </c>
      <c r="G296">
        <f t="shared" si="46"/>
        <v>282</v>
      </c>
      <c r="H296" s="53">
        <f t="shared" si="50"/>
        <v>282</v>
      </c>
      <c r="I296" s="7" cm="1">
        <f t="array" ref="I296">CurrentCapacity(K$9,K$5,K$6,H296)</f>
        <v>271.01745792000003</v>
      </c>
      <c r="J296" s="51">
        <f t="shared" si="51"/>
        <v>0.42188474601816633</v>
      </c>
      <c r="K296" s="5" cm="1">
        <f t="array" ref="K296">UseableCapacity(I296,$K$7,$K$8)</f>
        <v>203.26309344000003</v>
      </c>
      <c r="L296" s="66">
        <f t="shared" si="52"/>
        <v>156.67932651893173</v>
      </c>
      <c r="M296" s="7">
        <f t="shared" si="53"/>
        <v>88.924962038931739</v>
      </c>
      <c r="N296" s="7">
        <f t="shared" si="54"/>
        <v>22.022542079999994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283</v>
      </c>
      <c r="C297" s="7">
        <f t="shared" si="49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66" cm="1">
        <f t="array" ref="F297">estimatedTripDuration(C297,$C$7,$C$6)/60</f>
        <v>9.5600000006622743</v>
      </c>
      <c r="G297">
        <f t="shared" si="46"/>
        <v>283</v>
      </c>
      <c r="H297" s="53">
        <f t="shared" si="50"/>
        <v>283</v>
      </c>
      <c r="I297" s="7" cm="1">
        <f t="array" ref="I297">CurrentCapacity(K$9,K$5,K$6,H297)</f>
        <v>271.00690848000005</v>
      </c>
      <c r="J297" s="51">
        <f t="shared" si="51"/>
        <v>0.42209957363323181</v>
      </c>
      <c r="K297" s="5" cm="1">
        <f t="array" ref="K297">UseableCapacity(I297,$K$7,$K$8)</f>
        <v>203.25518136000005</v>
      </c>
      <c r="L297" s="66">
        <f t="shared" si="52"/>
        <v>156.61500795893176</v>
      </c>
      <c r="M297" s="7">
        <f t="shared" si="53"/>
        <v>88.863280838931757</v>
      </c>
      <c r="N297" s="7">
        <f t="shared" si="54"/>
        <v>22.033091519999971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284</v>
      </c>
      <c r="C298" s="7">
        <f t="shared" si="49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66" cm="1">
        <f t="array" ref="F298">estimatedTripDuration(C298,$C$7,$C$6)/60</f>
        <v>9.5933333339956075</v>
      </c>
      <c r="G298">
        <f t="shared" si="46"/>
        <v>284</v>
      </c>
      <c r="H298" s="53">
        <f t="shared" si="50"/>
        <v>284</v>
      </c>
      <c r="I298" s="7" cm="1">
        <f t="array" ref="I298">CurrentCapacity(K$9,K$5,K$6,H298)</f>
        <v>270.99635904000002</v>
      </c>
      <c r="J298" s="51">
        <f t="shared" si="51"/>
        <v>0.42231441797406477</v>
      </c>
      <c r="K298" s="5" cm="1">
        <f t="array" ref="K298">UseableCapacity(I298,$K$7,$K$8)</f>
        <v>203.24726928000001</v>
      </c>
      <c r="L298" s="66">
        <f t="shared" si="52"/>
        <v>156.55068939893172</v>
      </c>
      <c r="M298" s="7">
        <f t="shared" si="53"/>
        <v>88.801599638931719</v>
      </c>
      <c r="N298" s="7">
        <f t="shared" si="54"/>
        <v>22.043640960000005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285</v>
      </c>
      <c r="C299" s="7">
        <f t="shared" si="49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66" cm="1">
        <f t="array" ref="F299">estimatedTripDuration(C299,$C$7,$C$6)/60</f>
        <v>9.6266666673289407</v>
      </c>
      <c r="G299">
        <f t="shared" si="46"/>
        <v>285</v>
      </c>
      <c r="H299" s="53">
        <f t="shared" si="50"/>
        <v>285</v>
      </c>
      <c r="I299" s="7" cm="1">
        <f t="array" ref="I299">CurrentCapacity(K$9,K$5,K$6,H299)</f>
        <v>270.98580960000004</v>
      </c>
      <c r="J299" s="51">
        <f t="shared" si="51"/>
        <v>0.42252927904261844</v>
      </c>
      <c r="K299" s="5" cm="1">
        <f t="array" ref="K299">UseableCapacity(I299,$K$7,$K$8)</f>
        <v>203.23935720000003</v>
      </c>
      <c r="L299" s="66">
        <f t="shared" si="52"/>
        <v>156.48637083893175</v>
      </c>
      <c r="M299" s="7">
        <f t="shared" si="53"/>
        <v>88.739918438931738</v>
      </c>
      <c r="N299" s="7">
        <f t="shared" si="54"/>
        <v>22.054190399999982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286</v>
      </c>
      <c r="C300" s="7">
        <f t="shared" si="49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66" cm="1">
        <f t="array" ref="F300">estimatedTripDuration(C300,$C$7,$C$6)/60</f>
        <v>9.6600000006622739</v>
      </c>
      <c r="G300">
        <f t="shared" si="46"/>
        <v>286</v>
      </c>
      <c r="H300" s="53">
        <f t="shared" si="50"/>
        <v>286</v>
      </c>
      <c r="I300" s="7" cm="1">
        <f t="array" ref="I300">CurrentCapacity(K$9,K$5,K$6,H300)</f>
        <v>270.97526016000006</v>
      </c>
      <c r="J300" s="51">
        <f t="shared" si="51"/>
        <v>0.4227441568408466</v>
      </c>
      <c r="K300" s="5" cm="1">
        <f t="array" ref="K300">UseableCapacity(I300,$K$7,$K$8)</f>
        <v>203.23144512000005</v>
      </c>
      <c r="L300" s="66">
        <f t="shared" si="52"/>
        <v>156.4220522789318</v>
      </c>
      <c r="M300" s="7">
        <f t="shared" si="53"/>
        <v>88.678237238931771</v>
      </c>
      <c r="N300" s="7">
        <f t="shared" si="54"/>
        <v>22.064739839999959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287</v>
      </c>
      <c r="C301" s="7">
        <f t="shared" si="49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66" cm="1">
        <f t="array" ref="F301">estimatedTripDuration(C301,$C$7,$C$6)/60</f>
        <v>9.6933333339956071</v>
      </c>
      <c r="G301">
        <f t="shared" si="46"/>
        <v>287</v>
      </c>
      <c r="H301" s="53">
        <f t="shared" si="50"/>
        <v>287</v>
      </c>
      <c r="I301" s="7" cm="1">
        <f t="array" ref="I301">CurrentCapacity(K$9,K$5,K$6,H301)</f>
        <v>270.96471072000003</v>
      </c>
      <c r="J301" s="51">
        <f t="shared" si="51"/>
        <v>0.4229590513707035</v>
      </c>
      <c r="K301" s="5" cm="1">
        <f t="array" ref="K301">UseableCapacity(I301,$K$7,$K$8)</f>
        <v>203.22353304000001</v>
      </c>
      <c r="L301" s="66">
        <f t="shared" si="52"/>
        <v>156.35773371893174</v>
      </c>
      <c r="M301" s="7">
        <f t="shared" si="53"/>
        <v>88.616556038931705</v>
      </c>
      <c r="N301" s="7">
        <f t="shared" si="54"/>
        <v>22.075289279999993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288</v>
      </c>
      <c r="C302" s="7">
        <f t="shared" si="49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66" cm="1">
        <f t="array" ref="F302">estimatedTripDuration(C302,$C$7,$C$6)/60</f>
        <v>9.7266666673289404</v>
      </c>
      <c r="G302">
        <f t="shared" si="46"/>
        <v>288</v>
      </c>
      <c r="H302" s="53">
        <f t="shared" si="50"/>
        <v>288</v>
      </c>
      <c r="I302" s="7" cm="1">
        <f t="array" ref="I302">CurrentCapacity(K$9,K$5,K$6,H302)</f>
        <v>270.95416127999999</v>
      </c>
      <c r="J302" s="51">
        <f t="shared" si="51"/>
        <v>0.42317396263414303</v>
      </c>
      <c r="K302" s="5" cm="1">
        <f t="array" ref="K302">UseableCapacity(I302,$K$7,$K$8)</f>
        <v>203.21562096</v>
      </c>
      <c r="L302" s="66">
        <f t="shared" si="52"/>
        <v>156.29341515893171</v>
      </c>
      <c r="M302" s="7">
        <f t="shared" si="53"/>
        <v>88.55487483893171</v>
      </c>
      <c r="N302" s="7">
        <f t="shared" si="54"/>
        <v>22.085838720000027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289</v>
      </c>
      <c r="C303" s="7">
        <f t="shared" si="49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66" cm="1">
        <f t="array" ref="F303">estimatedTripDuration(C303,$C$7,$C$6)/60</f>
        <v>9.7600000006622736</v>
      </c>
      <c r="G303">
        <f t="shared" si="46"/>
        <v>289</v>
      </c>
      <c r="H303" s="53">
        <f t="shared" si="50"/>
        <v>289</v>
      </c>
      <c r="I303" s="7" cm="1">
        <f t="array" ref="I303">CurrentCapacity(K$9,K$5,K$6,H303)</f>
        <v>270.94361184000002</v>
      </c>
      <c r="J303" s="51">
        <f t="shared" si="51"/>
        <v>0.42338889063312013</v>
      </c>
      <c r="K303" s="5" cm="1">
        <f t="array" ref="K303">UseableCapacity(I303,$K$7,$K$8)</f>
        <v>203.20770888000001</v>
      </c>
      <c r="L303" s="66">
        <f t="shared" si="52"/>
        <v>156.2290965989317</v>
      </c>
      <c r="M303" s="7">
        <f t="shared" si="53"/>
        <v>88.4931936389317</v>
      </c>
      <c r="N303" s="7">
        <f t="shared" si="54"/>
        <v>22.096388160000004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290</v>
      </c>
      <c r="C304" s="7">
        <f t="shared" si="49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66" cm="1">
        <f t="array" ref="F304">estimatedTripDuration(C304,$C$7,$C$6)/60</f>
        <v>9.7933333339956068</v>
      </c>
      <c r="G304">
        <f t="shared" si="46"/>
        <v>290</v>
      </c>
      <c r="H304" s="53">
        <f t="shared" si="50"/>
        <v>290</v>
      </c>
      <c r="I304" s="7" cm="1">
        <f t="array" ref="I304">CurrentCapacity(K$9,K$5,K$6,H304)</f>
        <v>270.93306240000004</v>
      </c>
      <c r="J304" s="51">
        <f t="shared" si="51"/>
        <v>0.42360383536958934</v>
      </c>
      <c r="K304" s="5" cm="1">
        <f t="array" ref="K304">UseableCapacity(I304,$K$7,$K$8)</f>
        <v>203.19979680000003</v>
      </c>
      <c r="L304" s="66">
        <f t="shared" si="52"/>
        <v>156.16477803893173</v>
      </c>
      <c r="M304" s="7">
        <f t="shared" si="53"/>
        <v>88.431512438931733</v>
      </c>
      <c r="N304" s="7">
        <f t="shared" si="54"/>
        <v>22.106937599999981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291</v>
      </c>
      <c r="C305" s="7">
        <f t="shared" si="49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66" cm="1">
        <f t="array" ref="F305">estimatedTripDuration(C305,$C$7,$C$6)/60</f>
        <v>9.82666666732894</v>
      </c>
      <c r="G305">
        <f t="shared" si="46"/>
        <v>291</v>
      </c>
      <c r="H305" s="53">
        <f t="shared" si="50"/>
        <v>291</v>
      </c>
      <c r="I305" s="7" cm="1">
        <f t="array" ref="I305">CurrentCapacity(K$9,K$5,K$6,H305)</f>
        <v>270.92251296000001</v>
      </c>
      <c r="J305" s="51">
        <f t="shared" si="51"/>
        <v>0.42381879684550627</v>
      </c>
      <c r="K305" s="5" cm="1">
        <f t="array" ref="K305">UseableCapacity(I305,$K$7,$K$8)</f>
        <v>203.19188472000002</v>
      </c>
      <c r="L305" s="66">
        <f t="shared" si="52"/>
        <v>156.10045947893173</v>
      </c>
      <c r="M305" s="7">
        <f t="shared" si="53"/>
        <v>88.369831238931738</v>
      </c>
      <c r="N305" s="7">
        <f t="shared" si="54"/>
        <v>22.117487040000015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292</v>
      </c>
      <c r="C306" s="7">
        <f t="shared" si="49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66" cm="1">
        <f t="array" ref="F306">estimatedTripDuration(C306,$C$7,$C$6)/60</f>
        <v>9.8600000006622732</v>
      </c>
      <c r="G306">
        <f t="shared" si="46"/>
        <v>292</v>
      </c>
      <c r="H306" s="53">
        <f t="shared" si="50"/>
        <v>292</v>
      </c>
      <c r="I306" s="7" cm="1">
        <f t="array" ref="I306">CurrentCapacity(K$9,K$5,K$6,H306)</f>
        <v>270.91196352000003</v>
      </c>
      <c r="J306" s="51">
        <f t="shared" si="51"/>
        <v>0.4240337750628263</v>
      </c>
      <c r="K306" s="5" cm="1">
        <f t="array" ref="K306">UseableCapacity(I306,$K$7,$K$8)</f>
        <v>203.18397264000004</v>
      </c>
      <c r="L306" s="66">
        <f t="shared" si="52"/>
        <v>156.03614091893172</v>
      </c>
      <c r="M306" s="7">
        <f t="shared" si="53"/>
        <v>88.308150038931743</v>
      </c>
      <c r="N306" s="7">
        <f t="shared" si="54"/>
        <v>22.128036479999992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293</v>
      </c>
      <c r="C307" s="7">
        <f t="shared" si="49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66" cm="1">
        <f t="array" ref="F307">estimatedTripDuration(C307,$C$7,$C$6)/60</f>
        <v>9.8933333339956064</v>
      </c>
      <c r="G307">
        <f t="shared" si="46"/>
        <v>293</v>
      </c>
      <c r="H307" s="53">
        <f t="shared" si="50"/>
        <v>293</v>
      </c>
      <c r="I307" s="7" cm="1">
        <f t="array" ref="I307">CurrentCapacity(K$9,K$5,K$6,H307)</f>
        <v>270.90141408000005</v>
      </c>
      <c r="J307" s="51">
        <f t="shared" si="51"/>
        <v>0.42424877002350514</v>
      </c>
      <c r="K307" s="5" cm="1">
        <f t="array" ref="K307">UseableCapacity(I307,$K$7,$K$8)</f>
        <v>203.17606056000005</v>
      </c>
      <c r="L307" s="66">
        <f t="shared" si="52"/>
        <v>155.97182235893177</v>
      </c>
      <c r="M307" s="7">
        <f t="shared" si="53"/>
        <v>88.246468838931776</v>
      </c>
      <c r="N307" s="7">
        <f t="shared" si="54"/>
        <v>22.138585919999969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294</v>
      </c>
      <c r="C308" s="7">
        <f t="shared" si="49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66" cm="1">
        <f t="array" ref="F308">estimatedTripDuration(C308,$C$7,$C$6)/60</f>
        <v>9.9266666673289397</v>
      </c>
      <c r="G308">
        <f t="shared" si="46"/>
        <v>294</v>
      </c>
      <c r="H308" s="53">
        <f t="shared" si="50"/>
        <v>294</v>
      </c>
      <c r="I308" s="7" cm="1">
        <f t="array" ref="I308">CurrentCapacity(K$9,K$5,K$6,H308)</f>
        <v>270.89086464000002</v>
      </c>
      <c r="J308" s="51">
        <f t="shared" si="51"/>
        <v>0.42446378172949928</v>
      </c>
      <c r="K308" s="5" cm="1">
        <f t="array" ref="K308">UseableCapacity(I308,$K$7,$K$8)</f>
        <v>203.16814848000001</v>
      </c>
      <c r="L308" s="66">
        <f t="shared" si="52"/>
        <v>155.90750379893171</v>
      </c>
      <c r="M308" s="7">
        <f t="shared" si="53"/>
        <v>88.184787638931709</v>
      </c>
      <c r="N308" s="7">
        <f t="shared" si="54"/>
        <v>22.149135360000002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295</v>
      </c>
      <c r="C309" s="7">
        <f t="shared" si="49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66" cm="1">
        <f t="array" ref="F309">estimatedTripDuration(C309,$C$7,$C$6)/60</f>
        <v>9.9600000006622729</v>
      </c>
      <c r="G309">
        <f t="shared" si="46"/>
        <v>295</v>
      </c>
      <c r="H309" s="53">
        <f t="shared" si="50"/>
        <v>295</v>
      </c>
      <c r="I309" s="7" cm="1">
        <f t="array" ref="I309">CurrentCapacity(K$9,K$5,K$6,H309)</f>
        <v>270.88031520000004</v>
      </c>
      <c r="J309" s="51">
        <f t="shared" si="51"/>
        <v>0.42467881018276471</v>
      </c>
      <c r="K309" s="5" cm="1">
        <f t="array" ref="K309">UseableCapacity(I309,$K$7,$K$8)</f>
        <v>203.16023640000003</v>
      </c>
      <c r="L309" s="66">
        <f t="shared" si="52"/>
        <v>155.84318523893177</v>
      </c>
      <c r="M309" s="7">
        <f t="shared" si="53"/>
        <v>88.123106438931742</v>
      </c>
      <c r="N309" s="7">
        <f t="shared" si="54"/>
        <v>22.15968479999998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296</v>
      </c>
      <c r="C310" s="7">
        <f t="shared" si="49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66" cm="1">
        <f t="array" ref="F310">estimatedTripDuration(C310,$C$7,$C$6)/60</f>
        <v>9.9933333339956061</v>
      </c>
      <c r="G310">
        <f t="shared" si="46"/>
        <v>296</v>
      </c>
      <c r="H310" s="53">
        <f t="shared" si="50"/>
        <v>296</v>
      </c>
      <c r="I310" s="7" cm="1">
        <f t="array" ref="I310">CurrentCapacity(K$9,K$5,K$6,H310)</f>
        <v>270.86976576000001</v>
      </c>
      <c r="J310" s="51">
        <f t="shared" si="51"/>
        <v>0.42489385538525848</v>
      </c>
      <c r="K310" s="5" cm="1">
        <f t="array" ref="K310">UseableCapacity(I310,$K$7,$K$8)</f>
        <v>203.15232431999999</v>
      </c>
      <c r="L310" s="66">
        <f t="shared" si="52"/>
        <v>155.77886667893171</v>
      </c>
      <c r="M310" s="7">
        <f t="shared" si="53"/>
        <v>88.061425238931704</v>
      </c>
      <c r="N310" s="7">
        <f t="shared" si="54"/>
        <v>22.170234240000013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297</v>
      </c>
      <c r="C311" s="7">
        <f t="shared" si="49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66" cm="1">
        <f t="array" ref="F311">estimatedTripDuration(C311,$C$7,$C$6)/60</f>
        <v>10.026666667328941</v>
      </c>
      <c r="G311">
        <f t="shared" si="46"/>
        <v>297</v>
      </c>
      <c r="H311" s="53">
        <f t="shared" si="50"/>
        <v>297</v>
      </c>
      <c r="I311" s="7" cm="1">
        <f t="array" ref="I311">CurrentCapacity(K$9,K$5,K$6,H311)</f>
        <v>270.85921632000003</v>
      </c>
      <c r="J311" s="51">
        <f t="shared" si="51"/>
        <v>0.42510891733893758</v>
      </c>
      <c r="K311" s="5" cm="1">
        <f t="array" ref="K311">UseableCapacity(I311,$K$7,$K$8)</f>
        <v>203.14441224000001</v>
      </c>
      <c r="L311" s="66">
        <f t="shared" si="52"/>
        <v>155.71454811893173</v>
      </c>
      <c r="M311" s="7">
        <f t="shared" si="53"/>
        <v>87.999744038931709</v>
      </c>
      <c r="N311" s="7">
        <f t="shared" si="54"/>
        <v>22.18078367999999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298</v>
      </c>
      <c r="C312" s="7">
        <f t="shared" si="49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66" cm="1">
        <f t="array" ref="F312">estimatedTripDuration(C312,$C$7,$C$6)/60</f>
        <v>10.060000000662274</v>
      </c>
      <c r="G312">
        <f t="shared" si="46"/>
        <v>298</v>
      </c>
      <c r="H312" s="53">
        <f t="shared" si="50"/>
        <v>298</v>
      </c>
      <c r="I312" s="7" cm="1">
        <f t="array" ref="I312">CurrentCapacity(K$9,K$5,K$6,H312)</f>
        <v>270.84866688000005</v>
      </c>
      <c r="J312" s="51">
        <f t="shared" si="51"/>
        <v>0.42532399604575921</v>
      </c>
      <c r="K312" s="5" cm="1">
        <f t="array" ref="K312">UseableCapacity(I312,$K$7,$K$8)</f>
        <v>203.13650016000003</v>
      </c>
      <c r="L312" s="66">
        <f t="shared" si="52"/>
        <v>155.65022955893176</v>
      </c>
      <c r="M312" s="7">
        <f t="shared" si="53"/>
        <v>87.938062838931728</v>
      </c>
      <c r="N312" s="7">
        <f t="shared" si="54"/>
        <v>22.191333119999967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299</v>
      </c>
      <c r="C313" s="7">
        <f t="shared" si="49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66" cm="1">
        <f t="array" ref="F313">estimatedTripDuration(C313,$C$7,$C$6)/60</f>
        <v>10.093333333995608</v>
      </c>
      <c r="G313">
        <f t="shared" si="46"/>
        <v>299</v>
      </c>
      <c r="H313" s="53">
        <f t="shared" si="50"/>
        <v>299</v>
      </c>
      <c r="I313" s="7" cm="1">
        <f t="array" ref="I313">CurrentCapacity(K$9,K$5,K$6,H313)</f>
        <v>270.83811744000002</v>
      </c>
      <c r="J313" s="51">
        <f t="shared" si="51"/>
        <v>0.42553909150768132</v>
      </c>
      <c r="K313" s="5" cm="1">
        <f t="array" ref="K313">UseableCapacity(I313,$K$7,$K$8)</f>
        <v>203.12858808000001</v>
      </c>
      <c r="L313" s="66">
        <f t="shared" si="52"/>
        <v>155.58591099893169</v>
      </c>
      <c r="M313" s="7">
        <f t="shared" si="53"/>
        <v>87.876381638931704</v>
      </c>
      <c r="N313" s="7">
        <f t="shared" si="54"/>
        <v>22.201882560000001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300</v>
      </c>
      <c r="C314" s="7">
        <f t="shared" si="49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66" cm="1">
        <f t="array" ref="F314">estimatedTripDuration(C314,$C$7,$C$6)/60</f>
        <v>10.126666667328941</v>
      </c>
      <c r="G314">
        <f t="shared" si="46"/>
        <v>300</v>
      </c>
      <c r="H314" s="53">
        <f t="shared" si="50"/>
        <v>300</v>
      </c>
      <c r="I314" s="7" cm="1">
        <f t="array" ref="I314">CurrentCapacity(K$9,K$5,K$6,H314)</f>
        <v>270.82756800000004</v>
      </c>
      <c r="J314" s="51">
        <f t="shared" si="51"/>
        <v>0.42575420372666151</v>
      </c>
      <c r="K314" s="5" cm="1">
        <f t="array" ref="K314">UseableCapacity(I314,$K$7,$K$8)</f>
        <v>203.12067600000003</v>
      </c>
      <c r="L314" s="66">
        <f t="shared" si="52"/>
        <v>155.52159243893175</v>
      </c>
      <c r="M314" s="7">
        <f t="shared" si="53"/>
        <v>87.814700438931737</v>
      </c>
      <c r="N314" s="7">
        <f t="shared" si="54"/>
        <v>22.212431999999978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301</v>
      </c>
      <c r="C315" s="7">
        <f t="shared" si="49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66" cm="1">
        <f t="array" ref="F315">estimatedTripDuration(C315,$C$7,$C$6)/60</f>
        <v>10.160000000662274</v>
      </c>
      <c r="G315">
        <f t="shared" si="46"/>
        <v>301</v>
      </c>
      <c r="H315" s="53">
        <f t="shared" si="50"/>
        <v>301</v>
      </c>
      <c r="I315" s="7" cm="1">
        <f t="array" ref="I315">CurrentCapacity(K$9,K$5,K$6,H315)</f>
        <v>270.81701856000007</v>
      </c>
      <c r="J315" s="51">
        <f t="shared" si="51"/>
        <v>0.42596933270465831</v>
      </c>
      <c r="K315" s="5" cm="1">
        <f t="array" ref="K315">UseableCapacity(I315,$K$7,$K$8)</f>
        <v>203.11276392000005</v>
      </c>
      <c r="L315" s="66">
        <f t="shared" si="52"/>
        <v>155.45727387893177</v>
      </c>
      <c r="M315" s="7">
        <f t="shared" si="53"/>
        <v>87.753019238931756</v>
      </c>
      <c r="N315" s="7">
        <f t="shared" si="54"/>
        <v>22.222981439999955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302</v>
      </c>
      <c r="C316" s="7">
        <f t="shared" si="49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66" cm="1">
        <f t="array" ref="F316">estimatedTripDuration(C316,$C$7,$C$6)/60</f>
        <v>10.193333333995607</v>
      </c>
      <c r="G316">
        <f t="shared" si="46"/>
        <v>302</v>
      </c>
      <c r="H316" s="53">
        <f t="shared" si="50"/>
        <v>302</v>
      </c>
      <c r="I316" s="7" cm="1">
        <f t="array" ref="I316">CurrentCapacity(K$9,K$5,K$6,H316)</f>
        <v>270.80646912000003</v>
      </c>
      <c r="J316" s="51">
        <f t="shared" si="51"/>
        <v>0.42618447844363033</v>
      </c>
      <c r="K316" s="5" cm="1">
        <f t="array" ref="K316">UseableCapacity(I316,$K$7,$K$8)</f>
        <v>203.10485184000004</v>
      </c>
      <c r="L316" s="66">
        <f t="shared" si="52"/>
        <v>155.39295531893174</v>
      </c>
      <c r="M316" s="7">
        <f t="shared" si="53"/>
        <v>87.691338038931747</v>
      </c>
      <c r="N316" s="7">
        <f t="shared" si="54"/>
        <v>22.233530879999989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303</v>
      </c>
      <c r="C317" s="7">
        <f t="shared" si="49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66" cm="1">
        <f t="array" ref="F317">estimatedTripDuration(C317,$C$7,$C$6)/60</f>
        <v>10.22666666732894</v>
      </c>
      <c r="G317">
        <f t="shared" si="46"/>
        <v>303</v>
      </c>
      <c r="H317" s="53">
        <f t="shared" si="50"/>
        <v>303</v>
      </c>
      <c r="I317" s="7" cm="1">
        <f t="array" ref="I317">CurrentCapacity(K$9,K$5,K$6,H317)</f>
        <v>270.79591968000005</v>
      </c>
      <c r="J317" s="51">
        <f t="shared" si="51"/>
        <v>0.42639964094553628</v>
      </c>
      <c r="K317" s="5" cm="1">
        <f t="array" ref="K317">UseableCapacity(I317,$K$7,$K$8)</f>
        <v>203.09693976000005</v>
      </c>
      <c r="L317" s="66">
        <f t="shared" si="52"/>
        <v>155.32863675893174</v>
      </c>
      <c r="M317" s="7">
        <f t="shared" si="53"/>
        <v>87.629656838931751</v>
      </c>
      <c r="N317" s="7">
        <f t="shared" si="54"/>
        <v>22.244080319999966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304</v>
      </c>
      <c r="C318" s="7">
        <f t="shared" si="49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66" cm="1">
        <f t="array" ref="F318">estimatedTripDuration(C318,$C$7,$C$6)/60</f>
        <v>10.260000000662274</v>
      </c>
      <c r="G318">
        <f t="shared" si="46"/>
        <v>304</v>
      </c>
      <c r="H318" s="53">
        <f t="shared" si="50"/>
        <v>304</v>
      </c>
      <c r="I318" s="7" cm="1">
        <f t="array" ref="I318">CurrentCapacity(K$9,K$5,K$6,H318)</f>
        <v>270.78537024000002</v>
      </c>
      <c r="J318" s="51">
        <f t="shared" si="51"/>
        <v>0.42661482021233549</v>
      </c>
      <c r="K318" s="5" cm="1">
        <f t="array" ref="K318">UseableCapacity(I318,$K$7,$K$8)</f>
        <v>203.08902768000002</v>
      </c>
      <c r="L318" s="66">
        <f t="shared" si="52"/>
        <v>155.2643181989317</v>
      </c>
      <c r="M318" s="7">
        <f t="shared" si="53"/>
        <v>87.567975638931699</v>
      </c>
      <c r="N318" s="7">
        <f t="shared" si="54"/>
        <v>22.25462976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305</v>
      </c>
      <c r="C319" s="7">
        <f t="shared" si="49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66" cm="1">
        <f t="array" ref="F319">estimatedTripDuration(C319,$C$7,$C$6)/60</f>
        <v>10.293333333995607</v>
      </c>
      <c r="G319">
        <f t="shared" si="46"/>
        <v>305</v>
      </c>
      <c r="H319" s="53">
        <f t="shared" si="50"/>
        <v>305</v>
      </c>
      <c r="I319" s="7" cm="1">
        <f t="array" ref="I319">CurrentCapacity(K$9,K$5,K$6,H319)</f>
        <v>270.77482080000004</v>
      </c>
      <c r="J319" s="51">
        <f t="shared" si="51"/>
        <v>0.42683001624598715</v>
      </c>
      <c r="K319" s="5" cm="1">
        <f t="array" ref="K319">UseableCapacity(I319,$K$7,$K$8)</f>
        <v>203.08111560000003</v>
      </c>
      <c r="L319" s="66">
        <f t="shared" si="52"/>
        <v>155.19999963893176</v>
      </c>
      <c r="M319" s="7">
        <f t="shared" si="53"/>
        <v>87.506294438931747</v>
      </c>
      <c r="N319" s="7">
        <f t="shared" si="54"/>
        <v>22.265179199999977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306</v>
      </c>
      <c r="C320" s="7">
        <f t="shared" si="49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66" cm="1">
        <f t="array" ref="F320">estimatedTripDuration(C320,$C$7,$C$6)/60</f>
        <v>10.32666666732894</v>
      </c>
      <c r="G320">
        <f t="shared" si="46"/>
        <v>306</v>
      </c>
      <c r="H320" s="53">
        <f t="shared" si="50"/>
        <v>306</v>
      </c>
      <c r="I320" s="7" cm="1">
        <f t="array" ref="I320">CurrentCapacity(K$9,K$5,K$6,H320)</f>
        <v>270.76427136000001</v>
      </c>
      <c r="J320" s="51">
        <f t="shared" si="51"/>
        <v>0.42704522904845149</v>
      </c>
      <c r="K320" s="5" cm="1">
        <f t="array" ref="K320">UseableCapacity(I320,$K$7,$K$8)</f>
        <v>203.07320351999999</v>
      </c>
      <c r="L320" s="66">
        <f t="shared" si="52"/>
        <v>155.13568107893173</v>
      </c>
      <c r="M320" s="7">
        <f t="shared" si="53"/>
        <v>87.444613238931709</v>
      </c>
      <c r="N320" s="7">
        <f t="shared" si="54"/>
        <v>22.275728640000011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307</v>
      </c>
      <c r="C321" s="7">
        <f t="shared" si="49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66" cm="1">
        <f t="array" ref="F321">estimatedTripDuration(C321,$C$7,$C$6)/60</f>
        <v>10.360000000662273</v>
      </c>
      <c r="G321">
        <f t="shared" si="46"/>
        <v>307</v>
      </c>
      <c r="H321" s="53">
        <f t="shared" si="50"/>
        <v>307</v>
      </c>
      <c r="I321" s="7" cm="1">
        <f t="array" ref="I321">CurrentCapacity(K$9,K$5,K$6,H321)</f>
        <v>270.75372192000003</v>
      </c>
      <c r="J321" s="51">
        <f t="shared" si="51"/>
        <v>0.42726045862168838</v>
      </c>
      <c r="K321" s="5" cm="1">
        <f t="array" ref="K321">UseableCapacity(I321,$K$7,$K$8)</f>
        <v>203.06529144000001</v>
      </c>
      <c r="L321" s="66">
        <f t="shared" si="52"/>
        <v>155.07136251893172</v>
      </c>
      <c r="M321" s="7">
        <f t="shared" si="53"/>
        <v>87.382932038931713</v>
      </c>
      <c r="N321" s="7">
        <f t="shared" si="54"/>
        <v>22.286278079999988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308</v>
      </c>
      <c r="C322" s="7">
        <f t="shared" si="49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66" cm="1">
        <f t="array" ref="F322">estimatedTripDuration(C322,$C$7,$C$6)/60</f>
        <v>10.393333333995606</v>
      </c>
      <c r="G322">
        <f t="shared" si="46"/>
        <v>308</v>
      </c>
      <c r="H322" s="53">
        <f t="shared" si="50"/>
        <v>308</v>
      </c>
      <c r="I322" s="7" cm="1">
        <f t="array" ref="I322">CurrentCapacity(K$9,K$5,K$6,H322)</f>
        <v>270.74317248000006</v>
      </c>
      <c r="J322" s="51">
        <f t="shared" si="51"/>
        <v>0.42747570496765813</v>
      </c>
      <c r="K322" s="5" cm="1">
        <f t="array" ref="K322">UseableCapacity(I322,$K$7,$K$8)</f>
        <v>203.05737936000003</v>
      </c>
      <c r="L322" s="66">
        <f t="shared" si="52"/>
        <v>155.00704395893177</v>
      </c>
      <c r="M322" s="7">
        <f t="shared" si="53"/>
        <v>87.321250838931746</v>
      </c>
      <c r="N322" s="7">
        <f t="shared" si="54"/>
        <v>22.296827519999965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309</v>
      </c>
      <c r="C323" s="7">
        <f t="shared" si="49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66" cm="1">
        <f t="array" ref="F323">estimatedTripDuration(C323,$C$7,$C$6)/60</f>
        <v>10.42666666732894</v>
      </c>
      <c r="G323">
        <f t="shared" si="46"/>
        <v>309</v>
      </c>
      <c r="H323" s="53">
        <f t="shared" si="50"/>
        <v>309</v>
      </c>
      <c r="I323" s="7" cm="1">
        <f t="array" ref="I323">CurrentCapacity(K$9,K$5,K$6,H323)</f>
        <v>270.73262304000002</v>
      </c>
      <c r="J323" s="51">
        <f t="shared" si="51"/>
        <v>0.42769096808832174</v>
      </c>
      <c r="K323" s="5" cm="1">
        <f t="array" ref="K323">UseableCapacity(I323,$K$7,$K$8)</f>
        <v>203.04946728000002</v>
      </c>
      <c r="L323" s="66">
        <f t="shared" si="52"/>
        <v>154.94272539893171</v>
      </c>
      <c r="M323" s="7">
        <f t="shared" si="53"/>
        <v>87.259569638931723</v>
      </c>
      <c r="N323" s="7">
        <f t="shared" si="54"/>
        <v>22.307376959999999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310</v>
      </c>
      <c r="C324" s="7">
        <f t="shared" si="49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66" cm="1">
        <f t="array" ref="F324">estimatedTripDuration(C324,$C$7,$C$6)/60</f>
        <v>10.460000000662273</v>
      </c>
      <c r="G324">
        <f t="shared" si="46"/>
        <v>310</v>
      </c>
      <c r="H324" s="53">
        <f t="shared" si="50"/>
        <v>310</v>
      </c>
      <c r="I324" s="7" cm="1">
        <f t="array" ref="I324">CurrentCapacity(K$9,K$5,K$6,H324)</f>
        <v>270.72207360000004</v>
      </c>
      <c r="J324" s="51">
        <f t="shared" si="51"/>
        <v>0.42790624798563998</v>
      </c>
      <c r="K324" s="5" cm="1">
        <f t="array" ref="K324">UseableCapacity(I324,$K$7,$K$8)</f>
        <v>203.04155520000003</v>
      </c>
      <c r="L324" s="66">
        <f t="shared" si="52"/>
        <v>154.87840683893177</v>
      </c>
      <c r="M324" s="7">
        <f t="shared" si="53"/>
        <v>87.197888438931741</v>
      </c>
      <c r="N324" s="7">
        <f t="shared" si="54"/>
        <v>22.317926399999976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311</v>
      </c>
      <c r="C325" s="7">
        <f t="shared" si="49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66" cm="1">
        <f t="array" ref="F325">estimatedTripDuration(C325,$C$7,$C$6)/60</f>
        <v>10.493333333995606</v>
      </c>
      <c r="G325">
        <f t="shared" si="46"/>
        <v>311</v>
      </c>
      <c r="H325" s="53">
        <f t="shared" si="50"/>
        <v>311</v>
      </c>
      <c r="I325" s="7" cm="1">
        <f t="array" ref="I325">CurrentCapacity(K$9,K$5,K$6,H325)</f>
        <v>270.71152416000007</v>
      </c>
      <c r="J325" s="51">
        <f t="shared" si="51"/>
        <v>0.42812154466157415</v>
      </c>
      <c r="K325" s="5" cm="1">
        <f t="array" ref="K325">UseableCapacity(I325,$K$7,$K$8)</f>
        <v>203.03364312000005</v>
      </c>
      <c r="L325" s="66">
        <f t="shared" si="52"/>
        <v>154.81408827893179</v>
      </c>
      <c r="M325" s="7">
        <f t="shared" si="53"/>
        <v>87.136207238931775</v>
      </c>
      <c r="N325" s="7">
        <f t="shared" si="54"/>
        <v>22.328475839999953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312</v>
      </c>
      <c r="C326" s="7">
        <f t="shared" si="49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66" cm="1">
        <f t="array" ref="F326">estimatedTripDuration(C326,$C$7,$C$6)/60</f>
        <v>10.526666667328941</v>
      </c>
      <c r="G326">
        <f t="shared" si="46"/>
        <v>312</v>
      </c>
      <c r="H326" s="53">
        <f t="shared" si="50"/>
        <v>312</v>
      </c>
      <c r="I326" s="7" cm="1">
        <f t="array" ref="I326">CurrentCapacity(K$9,K$5,K$6,H326)</f>
        <v>270.70097472000003</v>
      </c>
      <c r="J326" s="51">
        <f t="shared" si="51"/>
        <v>0.42833685811808625</v>
      </c>
      <c r="K326" s="5" cm="1">
        <f t="array" ref="K326">UseableCapacity(I326,$K$7,$K$8)</f>
        <v>203.02573104000004</v>
      </c>
      <c r="L326" s="66">
        <f t="shared" si="52"/>
        <v>154.74976971893173</v>
      </c>
      <c r="M326" s="7">
        <f t="shared" si="53"/>
        <v>87.074526038931737</v>
      </c>
      <c r="N326" s="7">
        <f t="shared" si="54"/>
        <v>22.339025279999987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313</v>
      </c>
      <c r="C327" s="7">
        <f t="shared" si="49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66" cm="1">
        <f t="array" ref="F327">estimatedTripDuration(C327,$C$7,$C$6)/60</f>
        <v>10.560000000662274</v>
      </c>
      <c r="G327">
        <f t="shared" si="46"/>
        <v>313</v>
      </c>
      <c r="H327" s="53">
        <f t="shared" si="50"/>
        <v>313</v>
      </c>
      <c r="I327" s="7" cm="1">
        <f t="array" ref="I327">CurrentCapacity(K$9,K$5,K$6,H327)</f>
        <v>270.69042528</v>
      </c>
      <c r="J327" s="51">
        <f t="shared" si="51"/>
        <v>0.42855218835713776</v>
      </c>
      <c r="K327" s="5" cm="1">
        <f t="array" ref="K327">UseableCapacity(I327,$K$7,$K$8)</f>
        <v>203.01781896</v>
      </c>
      <c r="L327" s="66">
        <f t="shared" si="52"/>
        <v>154.6854511589317</v>
      </c>
      <c r="M327" s="7">
        <f t="shared" si="53"/>
        <v>87.012844838931713</v>
      </c>
      <c r="N327" s="7">
        <f t="shared" si="54"/>
        <v>22.349574720000021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314</v>
      </c>
      <c r="C328" s="7">
        <f t="shared" si="49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66" cm="1">
        <f t="array" ref="F328">estimatedTripDuration(C328,$C$7,$C$6)/60</f>
        <v>10.593333333995608</v>
      </c>
      <c r="G328">
        <f t="shared" si="46"/>
        <v>314</v>
      </c>
      <c r="H328" s="53">
        <f t="shared" si="50"/>
        <v>314</v>
      </c>
      <c r="I328" s="7" cm="1">
        <f t="array" ref="I328">CurrentCapacity(K$9,K$5,K$6,H328)</f>
        <v>270.67987584000002</v>
      </c>
      <c r="J328" s="51">
        <f t="shared" si="51"/>
        <v>0.42876753538069123</v>
      </c>
      <c r="K328" s="5" cm="1">
        <f t="array" ref="K328">UseableCapacity(I328,$K$7,$K$8)</f>
        <v>203.00990688000002</v>
      </c>
      <c r="L328" s="66">
        <f t="shared" si="52"/>
        <v>154.62113259893169</v>
      </c>
      <c r="M328" s="7">
        <f t="shared" si="53"/>
        <v>86.951163638931703</v>
      </c>
      <c r="N328" s="7">
        <f t="shared" si="54"/>
        <v>22.360124159999998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315</v>
      </c>
      <c r="C329" s="7">
        <f t="shared" si="49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66" cm="1">
        <f t="array" ref="F329">estimatedTripDuration(C329,$C$7,$C$6)/60</f>
        <v>10.626666667328941</v>
      </c>
      <c r="G329">
        <f t="shared" ref="G329:G350" si="56">B329</f>
        <v>315</v>
      </c>
      <c r="H329" s="53">
        <f t="shared" si="50"/>
        <v>315</v>
      </c>
      <c r="I329" s="7" cm="1">
        <f t="array" ref="I329">CurrentCapacity(K$9,K$5,K$6,H329)</f>
        <v>270.66932640000005</v>
      </c>
      <c r="J329" s="51">
        <f t="shared" si="51"/>
        <v>0.42898289919070887</v>
      </c>
      <c r="K329" s="5" cm="1">
        <f t="array" ref="K329">UseableCapacity(I329,$K$7,$K$8)</f>
        <v>203.00199480000003</v>
      </c>
      <c r="L329" s="66">
        <f t="shared" si="52"/>
        <v>154.55681403893175</v>
      </c>
      <c r="M329" s="7">
        <f t="shared" si="53"/>
        <v>86.889482438931736</v>
      </c>
      <c r="N329" s="7">
        <f t="shared" si="54"/>
        <v>22.370673599999975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35">
      <c r="B330">
        <f t="shared" si="55"/>
        <v>316</v>
      </c>
      <c r="C330" s="7">
        <f t="shared" si="49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66" cm="1">
        <f t="array" ref="F330">estimatedTripDuration(C330,$C$7,$C$6)/60</f>
        <v>10.660000000662274</v>
      </c>
      <c r="G330">
        <f t="shared" si="56"/>
        <v>316</v>
      </c>
      <c r="H330" s="53">
        <f t="shared" si="50"/>
        <v>316</v>
      </c>
      <c r="I330" s="7" cm="1">
        <f t="array" ref="I330">CurrentCapacity(K$9,K$5,K$6,H330)</f>
        <v>270.65877696000001</v>
      </c>
      <c r="J330" s="51">
        <f t="shared" si="51"/>
        <v>0.42919827978915392</v>
      </c>
      <c r="K330" s="5" cm="1">
        <f t="array" ref="K330">UseableCapacity(I330,$K$7,$K$8)</f>
        <v>202.99408271999999</v>
      </c>
      <c r="L330" s="66">
        <f t="shared" si="52"/>
        <v>154.49249547893172</v>
      </c>
      <c r="M330" s="7">
        <f t="shared" si="53"/>
        <v>86.827801238931698</v>
      </c>
      <c r="N330" s="7">
        <f t="shared" si="54"/>
        <v>22.381223040000009</v>
      </c>
      <c r="O330" t="str">
        <f t="shared" si="57"/>
        <v>no</v>
      </c>
      <c r="P330" t="str">
        <f t="shared" si="58"/>
        <v>no</v>
      </c>
    </row>
    <row r="331" spans="2:16" x14ac:dyDescent="0.35">
      <c r="B331">
        <f t="shared" si="55"/>
        <v>317</v>
      </c>
      <c r="C331" s="7">
        <f t="shared" si="49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66" cm="1">
        <f t="array" ref="F331">estimatedTripDuration(C331,$C$7,$C$6)/60</f>
        <v>10.693333333995607</v>
      </c>
      <c r="G331">
        <f t="shared" si="56"/>
        <v>317</v>
      </c>
      <c r="H331" s="53">
        <f t="shared" si="50"/>
        <v>317</v>
      </c>
      <c r="I331" s="7" cm="1">
        <f t="array" ref="I331">CurrentCapacity(K$9,K$5,K$6,H331)</f>
        <v>270.64822752000003</v>
      </c>
      <c r="J331" s="51">
        <f t="shared" si="51"/>
        <v>0.42941367717798928</v>
      </c>
      <c r="K331" s="5" cm="1">
        <f t="array" ref="K331">UseableCapacity(I331,$K$7,$K$8)</f>
        <v>202.98617064000001</v>
      </c>
      <c r="L331" s="66">
        <f t="shared" si="52"/>
        <v>154.42817691893174</v>
      </c>
      <c r="M331" s="7">
        <f t="shared" si="53"/>
        <v>86.766120038931717</v>
      </c>
      <c r="N331" s="7">
        <f t="shared" si="54"/>
        <v>22.391772479999986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318</v>
      </c>
      <c r="C332" s="7">
        <f t="shared" si="49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66" cm="1">
        <f t="array" ref="F332">estimatedTripDuration(C332,$C$7,$C$6)/60</f>
        <v>10.72666666732894</v>
      </c>
      <c r="G332">
        <f t="shared" si="56"/>
        <v>318</v>
      </c>
      <c r="H332" s="53">
        <f t="shared" si="50"/>
        <v>318</v>
      </c>
      <c r="I332" s="7" cm="1">
        <f t="array" ref="I332">CurrentCapacity(K$9,K$5,K$6,H332)</f>
        <v>270.63767808000006</v>
      </c>
      <c r="J332" s="51">
        <f t="shared" si="51"/>
        <v>0.42962909135917848</v>
      </c>
      <c r="K332" s="5" cm="1">
        <f t="array" ref="K332">UseableCapacity(I332,$K$7,$K$8)</f>
        <v>202.97825856000003</v>
      </c>
      <c r="L332" s="66">
        <f t="shared" si="52"/>
        <v>154.36385835893179</v>
      </c>
      <c r="M332" s="7">
        <f t="shared" si="53"/>
        <v>86.70443883893175</v>
      </c>
      <c r="N332" s="7">
        <f t="shared" si="54"/>
        <v>22.402321919999963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319</v>
      </c>
      <c r="C333" s="7">
        <f t="shared" si="49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66" cm="1">
        <f t="array" ref="F333">estimatedTripDuration(C333,$C$7,$C$6)/60</f>
        <v>10.760000000662274</v>
      </c>
      <c r="G333">
        <f t="shared" si="56"/>
        <v>319</v>
      </c>
      <c r="H333" s="53">
        <f t="shared" si="50"/>
        <v>319</v>
      </c>
      <c r="I333" s="7" cm="1">
        <f t="array" ref="I333">CurrentCapacity(K$9,K$5,K$6,H333)</f>
        <v>270.62712864000002</v>
      </c>
      <c r="J333" s="51">
        <f t="shared" si="51"/>
        <v>0.42984452233468551</v>
      </c>
      <c r="K333" s="5" cm="1">
        <f t="array" ref="K333">UseableCapacity(I333,$K$7,$K$8)</f>
        <v>202.97034648000002</v>
      </c>
      <c r="L333" s="66">
        <f t="shared" si="52"/>
        <v>154.29953979893173</v>
      </c>
      <c r="M333" s="7">
        <f t="shared" si="53"/>
        <v>86.642757638931712</v>
      </c>
      <c r="N333" s="7">
        <f t="shared" si="54"/>
        <v>22.412871359999997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320</v>
      </c>
      <c r="C334" s="7">
        <f t="shared" si="49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66" cm="1">
        <f t="array" ref="F334">estimatedTripDuration(C334,$C$7,$C$6)/60</f>
        <v>10.793333333995607</v>
      </c>
      <c r="G334">
        <f t="shared" si="56"/>
        <v>320</v>
      </c>
      <c r="H334" s="53">
        <f t="shared" si="50"/>
        <v>320</v>
      </c>
      <c r="I334" s="7" cm="1">
        <f t="array" ref="I334">CurrentCapacity(K$9,K$5,K$6,H334)</f>
        <v>270.61657920000005</v>
      </c>
      <c r="J334" s="51">
        <f t="shared" si="51"/>
        <v>0.43005997010647407</v>
      </c>
      <c r="K334" s="5" cm="1">
        <f t="array" ref="K334">UseableCapacity(I334,$K$7,$K$8)</f>
        <v>202.96243440000003</v>
      </c>
      <c r="L334" s="66">
        <f t="shared" si="52"/>
        <v>154.23522123893176</v>
      </c>
      <c r="M334" s="7">
        <f t="shared" si="53"/>
        <v>86.581076438931746</v>
      </c>
      <c r="N334" s="7">
        <f t="shared" si="54"/>
        <v>22.423420799999974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321</v>
      </c>
      <c r="C335" s="7">
        <f t="shared" ref="C335:C398" si="59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66" cm="1">
        <f t="array" ref="F335">estimatedTripDuration(C335,$C$7,$C$6)/60</f>
        <v>10.82666666732894</v>
      </c>
      <c r="G335">
        <f t="shared" si="56"/>
        <v>321</v>
      </c>
      <c r="H335" s="53">
        <f t="shared" ref="H335:H398" si="60">G335/$G$3</f>
        <v>321</v>
      </c>
      <c r="I335" s="7" cm="1">
        <f t="array" ref="I335">CurrentCapacity(K$9,K$5,K$6,H335)</f>
        <v>270.60602976000001</v>
      </c>
      <c r="J335" s="51">
        <f t="shared" ref="J335:J398" si="61">E335/I335</f>
        <v>0.43027543467650881</v>
      </c>
      <c r="K335" s="5" cm="1">
        <f t="array" ref="K335">UseableCapacity(I335,$K$7,$K$8)</f>
        <v>202.95452232000002</v>
      </c>
      <c r="L335" s="66">
        <f t="shared" ref="L335:L398" si="62">(K$7*I335)-E335</f>
        <v>154.17090267893172</v>
      </c>
      <c r="M335" s="7">
        <f t="shared" ref="M335:M398" si="63">K335-E335</f>
        <v>86.519395238931736</v>
      </c>
      <c r="N335" s="7">
        <f t="shared" ref="N335:N398" si="64">$K$9-I335</f>
        <v>22.433970240000008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ref="B336:B399" si="65">B335+$G$11</f>
        <v>322</v>
      </c>
      <c r="C336" s="7">
        <f t="shared" si="59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66" cm="1">
        <f t="array" ref="F336">estimatedTripDuration(C336,$C$7,$C$6)/60</f>
        <v>10.860000000662273</v>
      </c>
      <c r="G336">
        <f t="shared" si="56"/>
        <v>322</v>
      </c>
      <c r="H336" s="53">
        <f t="shared" si="60"/>
        <v>322</v>
      </c>
      <c r="I336" s="7" cm="1">
        <f t="array" ref="I336">CurrentCapacity(K$9,K$5,K$6,H336)</f>
        <v>270.59548032000004</v>
      </c>
      <c r="J336" s="51">
        <f t="shared" si="61"/>
        <v>0.43049091604675432</v>
      </c>
      <c r="K336" s="5" cm="1">
        <f t="array" ref="K336">UseableCapacity(I336,$K$7,$K$8)</f>
        <v>202.94661024000004</v>
      </c>
      <c r="L336" s="66">
        <f t="shared" si="62"/>
        <v>154.10658411893172</v>
      </c>
      <c r="M336" s="7">
        <f t="shared" si="63"/>
        <v>86.457714038931741</v>
      </c>
      <c r="N336" s="7">
        <f t="shared" si="64"/>
        <v>22.444519679999985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si="65"/>
        <v>323</v>
      </c>
      <c r="C337" s="7">
        <f t="shared" si="59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66" cm="1">
        <f t="array" ref="F337">estimatedTripDuration(C337,$C$7,$C$6)/60</f>
        <v>10.893333333995606</v>
      </c>
      <c r="G337">
        <f t="shared" si="56"/>
        <v>323</v>
      </c>
      <c r="H337" s="53">
        <f t="shared" si="60"/>
        <v>323</v>
      </c>
      <c r="I337" s="7" cm="1">
        <f t="array" ref="I337">CurrentCapacity(K$9,K$5,K$6,H337)</f>
        <v>270.58493088000006</v>
      </c>
      <c r="J337" s="51">
        <f t="shared" si="61"/>
        <v>0.4307064142191756</v>
      </c>
      <c r="K337" s="5" cm="1">
        <f t="array" ref="K337">UseableCapacity(I337,$K$7,$K$8)</f>
        <v>202.93869816000006</v>
      </c>
      <c r="L337" s="66">
        <f t="shared" si="62"/>
        <v>154.04226555893177</v>
      </c>
      <c r="M337" s="7">
        <f t="shared" si="63"/>
        <v>86.39603283893176</v>
      </c>
      <c r="N337" s="7">
        <f t="shared" si="64"/>
        <v>22.455069119999962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324</v>
      </c>
      <c r="C338" s="7">
        <f t="shared" si="59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66" cm="1">
        <f t="array" ref="F338">estimatedTripDuration(C338,$C$7,$C$6)/60</f>
        <v>10.92666666732894</v>
      </c>
      <c r="G338">
        <f t="shared" si="56"/>
        <v>324</v>
      </c>
      <c r="H338" s="53">
        <f t="shared" si="60"/>
        <v>324</v>
      </c>
      <c r="I338" s="7" cm="1">
        <f t="array" ref="I338">CurrentCapacity(K$9,K$5,K$6,H338)</f>
        <v>270.57438144000002</v>
      </c>
      <c r="J338" s="51">
        <f t="shared" si="61"/>
        <v>0.43092192919573802</v>
      </c>
      <c r="K338" s="5" cm="1">
        <f t="array" ref="K338">UseableCapacity(I338,$K$7,$K$8)</f>
        <v>202.93078608000002</v>
      </c>
      <c r="L338" s="66">
        <f t="shared" si="62"/>
        <v>153.97794699893171</v>
      </c>
      <c r="M338" s="7">
        <f t="shared" si="63"/>
        <v>86.334351638931722</v>
      </c>
      <c r="N338" s="7">
        <f t="shared" si="64"/>
        <v>22.465618559999996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325</v>
      </c>
      <c r="C339" s="7">
        <f t="shared" si="59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66" cm="1">
        <f t="array" ref="F339">estimatedTripDuration(C339,$C$7,$C$6)/60</f>
        <v>10.960000000662273</v>
      </c>
      <c r="G339">
        <f t="shared" si="56"/>
        <v>325</v>
      </c>
      <c r="H339" s="53">
        <f t="shared" si="60"/>
        <v>325</v>
      </c>
      <c r="I339" s="7" cm="1">
        <f t="array" ref="I339">CurrentCapacity(K$9,K$5,K$6,H339)</f>
        <v>270.56383200000005</v>
      </c>
      <c r="J339" s="51">
        <f t="shared" si="61"/>
        <v>0.43113746097840705</v>
      </c>
      <c r="K339" s="5" cm="1">
        <f t="array" ref="K339">UseableCapacity(I339,$K$7,$K$8)</f>
        <v>202.92287400000004</v>
      </c>
      <c r="L339" s="66">
        <f t="shared" si="62"/>
        <v>153.91362843893177</v>
      </c>
      <c r="M339" s="7">
        <f t="shared" si="63"/>
        <v>86.27267043893174</v>
      </c>
      <c r="N339" s="7">
        <f t="shared" si="64"/>
        <v>22.476167999999973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326</v>
      </c>
      <c r="C340" s="7">
        <f t="shared" si="59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66" cm="1">
        <f t="array" ref="F340">estimatedTripDuration(C340,$C$7,$C$6)/60</f>
        <v>10.993333333995606</v>
      </c>
      <c r="G340">
        <f t="shared" si="56"/>
        <v>326</v>
      </c>
      <c r="H340" s="53">
        <f t="shared" si="60"/>
        <v>326</v>
      </c>
      <c r="I340" s="7" cm="1">
        <f t="array" ref="I340">CurrentCapacity(K$9,K$5,K$6,H340)</f>
        <v>270.55328256000007</v>
      </c>
      <c r="J340" s="51">
        <f t="shared" si="61"/>
        <v>0.43135300956914863</v>
      </c>
      <c r="K340" s="5" cm="1">
        <f t="array" ref="K340">UseableCapacity(I340,$K$7,$K$8)</f>
        <v>202.91496192000005</v>
      </c>
      <c r="L340" s="66">
        <f t="shared" si="62"/>
        <v>153.84930987893179</v>
      </c>
      <c r="M340" s="7">
        <f t="shared" si="63"/>
        <v>86.210989238931774</v>
      </c>
      <c r="N340" s="7">
        <f t="shared" si="64"/>
        <v>22.48671743999995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327</v>
      </c>
      <c r="C341" s="7">
        <f t="shared" si="59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66" cm="1">
        <f t="array" ref="F341">estimatedTripDuration(C341,$C$7,$C$6)/60</f>
        <v>11.026666667328941</v>
      </c>
      <c r="G341">
        <f t="shared" si="56"/>
        <v>327</v>
      </c>
      <c r="H341" s="53">
        <f t="shared" si="60"/>
        <v>327</v>
      </c>
      <c r="I341" s="7" cm="1">
        <f t="array" ref="I341">CurrentCapacity(K$9,K$5,K$6,H341)</f>
        <v>270.54273312000004</v>
      </c>
      <c r="J341" s="51">
        <f t="shared" si="61"/>
        <v>0.43156857496992923</v>
      </c>
      <c r="K341" s="5" cm="1">
        <f t="array" ref="K341">UseableCapacity(I341,$K$7,$K$8)</f>
        <v>202.90704984000001</v>
      </c>
      <c r="L341" s="66">
        <f t="shared" si="62"/>
        <v>153.78499131893176</v>
      </c>
      <c r="M341" s="7">
        <f t="shared" si="63"/>
        <v>86.149308038931721</v>
      </c>
      <c r="N341" s="7">
        <f t="shared" si="64"/>
        <v>22.497266879999984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328</v>
      </c>
      <c r="C342" s="7">
        <f t="shared" si="59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66" cm="1">
        <f t="array" ref="F342">estimatedTripDuration(C342,$C$7,$C$6)/60</f>
        <v>11.060000000662274</v>
      </c>
      <c r="G342">
        <f t="shared" si="56"/>
        <v>328</v>
      </c>
      <c r="H342" s="53">
        <f t="shared" si="60"/>
        <v>328</v>
      </c>
      <c r="I342" s="7" cm="1">
        <f t="array" ref="I342">CurrentCapacity(K$9,K$5,K$6,H342)</f>
        <v>270.53218368</v>
      </c>
      <c r="J342" s="51">
        <f t="shared" si="61"/>
        <v>0.43178415718271523</v>
      </c>
      <c r="K342" s="5" cm="1">
        <f t="array" ref="K342">UseableCapacity(I342,$K$7,$K$8)</f>
        <v>202.89913776</v>
      </c>
      <c r="L342" s="66">
        <f t="shared" si="62"/>
        <v>153.7206727589317</v>
      </c>
      <c r="M342" s="7">
        <f t="shared" si="63"/>
        <v>86.087626838931698</v>
      </c>
      <c r="N342" s="7">
        <f t="shared" si="64"/>
        <v>22.507816320000018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329</v>
      </c>
      <c r="C343" s="7">
        <f t="shared" si="59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66" cm="1">
        <f t="array" ref="F343">estimatedTripDuration(C343,$C$7,$C$6)/60</f>
        <v>11.093333333995608</v>
      </c>
      <c r="G343">
        <f t="shared" si="56"/>
        <v>329</v>
      </c>
      <c r="H343" s="53">
        <f t="shared" si="60"/>
        <v>329</v>
      </c>
      <c r="I343" s="7" cm="1">
        <f t="array" ref="I343">CurrentCapacity(K$9,K$5,K$6,H343)</f>
        <v>270.52163424000003</v>
      </c>
      <c r="J343" s="51">
        <f t="shared" si="61"/>
        <v>0.43199975620947328</v>
      </c>
      <c r="K343" s="5" cm="1">
        <f t="array" ref="K343">UseableCapacity(I343,$K$7,$K$8)</f>
        <v>202.89122568000002</v>
      </c>
      <c r="L343" s="66">
        <f t="shared" si="62"/>
        <v>153.65635419893169</v>
      </c>
      <c r="M343" s="7">
        <f t="shared" si="63"/>
        <v>86.025945638931702</v>
      </c>
      <c r="N343" s="7">
        <f t="shared" si="64"/>
        <v>22.518365759999995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330</v>
      </c>
      <c r="C344" s="7">
        <f t="shared" si="59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66" cm="1">
        <f t="array" ref="F344">estimatedTripDuration(C344,$C$7,$C$6)/60</f>
        <v>11.126666667328941</v>
      </c>
      <c r="G344">
        <f t="shared" si="56"/>
        <v>330</v>
      </c>
      <c r="H344" s="53">
        <f t="shared" si="60"/>
        <v>330</v>
      </c>
      <c r="I344" s="7" cm="1">
        <f t="array" ref="I344">CurrentCapacity(K$9,K$5,K$6,H344)</f>
        <v>270.51108480000005</v>
      </c>
      <c r="J344" s="51">
        <f t="shared" si="61"/>
        <v>0.43221537205217064</v>
      </c>
      <c r="K344" s="5" cm="1">
        <f t="array" ref="K344">UseableCapacity(I344,$K$7,$K$8)</f>
        <v>202.88331360000004</v>
      </c>
      <c r="L344" s="66">
        <f t="shared" si="62"/>
        <v>153.59203563893175</v>
      </c>
      <c r="M344" s="7">
        <f t="shared" si="63"/>
        <v>85.964264438931735</v>
      </c>
      <c r="N344" s="7">
        <f t="shared" si="64"/>
        <v>22.528915199999972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331</v>
      </c>
      <c r="C345" s="7">
        <f t="shared" si="59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66" cm="1">
        <f t="array" ref="F345">estimatedTripDuration(C345,$C$7,$C$6)/60</f>
        <v>11.160000000662274</v>
      </c>
      <c r="G345">
        <f t="shared" si="56"/>
        <v>331</v>
      </c>
      <c r="H345" s="53">
        <f t="shared" si="60"/>
        <v>331</v>
      </c>
      <c r="I345" s="7" cm="1">
        <f t="array" ref="I345">CurrentCapacity(K$9,K$5,K$6,H345)</f>
        <v>270.50053536000001</v>
      </c>
      <c r="J345" s="51">
        <f t="shared" si="61"/>
        <v>0.43243100471277485</v>
      </c>
      <c r="K345" s="5" cm="1">
        <f t="array" ref="K345">UseableCapacity(I345,$K$7,$K$8)</f>
        <v>202.87540152000003</v>
      </c>
      <c r="L345" s="66">
        <f t="shared" si="62"/>
        <v>153.52771707893174</v>
      </c>
      <c r="M345" s="7">
        <f t="shared" si="63"/>
        <v>85.90258323893174</v>
      </c>
      <c r="N345" s="7">
        <f t="shared" si="64"/>
        <v>22.539464640000006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332</v>
      </c>
      <c r="C346" s="7">
        <f t="shared" si="59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66" cm="1">
        <f t="array" ref="F346">estimatedTripDuration(C346,$C$7,$C$6)/60</f>
        <v>11.193333333995607</v>
      </c>
      <c r="G346">
        <f t="shared" si="56"/>
        <v>332</v>
      </c>
      <c r="H346" s="53">
        <f t="shared" si="60"/>
        <v>332</v>
      </c>
      <c r="I346" s="7" cm="1">
        <f t="array" ref="I346">CurrentCapacity(K$9,K$5,K$6,H346)</f>
        <v>270.48998592000004</v>
      </c>
      <c r="J346" s="51">
        <f t="shared" si="61"/>
        <v>0.4326466541932536</v>
      </c>
      <c r="K346" s="5" cm="1">
        <f t="array" ref="K346">UseableCapacity(I346,$K$7,$K$8)</f>
        <v>202.86748944000004</v>
      </c>
      <c r="L346" s="66">
        <f t="shared" si="62"/>
        <v>153.46339851893174</v>
      </c>
      <c r="M346" s="7">
        <f t="shared" si="63"/>
        <v>85.840902038931745</v>
      </c>
      <c r="N346" s="7">
        <f t="shared" si="64"/>
        <v>22.550014079999983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333</v>
      </c>
      <c r="C347" s="7">
        <f t="shared" si="59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66" cm="1">
        <f t="array" ref="F347">estimatedTripDuration(C347,$C$7,$C$6)/60</f>
        <v>11.22666666732894</v>
      </c>
      <c r="G347">
        <f t="shared" si="56"/>
        <v>333</v>
      </c>
      <c r="H347" s="53">
        <f t="shared" si="60"/>
        <v>333</v>
      </c>
      <c r="I347" s="7" cm="1">
        <f t="array" ref="I347">CurrentCapacity(K$9,K$5,K$6,H347)</f>
        <v>270.47943648000006</v>
      </c>
      <c r="J347" s="51">
        <f t="shared" si="61"/>
        <v>0.43286232049557488</v>
      </c>
      <c r="K347" s="5" cm="1">
        <f t="array" ref="K347">UseableCapacity(I347,$K$7,$K$8)</f>
        <v>202.85957736000006</v>
      </c>
      <c r="L347" s="66">
        <f t="shared" si="62"/>
        <v>153.39907995893179</v>
      </c>
      <c r="M347" s="7">
        <f t="shared" si="63"/>
        <v>85.779220838931778</v>
      </c>
      <c r="N347" s="7">
        <f t="shared" si="64"/>
        <v>22.56056351999996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334</v>
      </c>
      <c r="C348" s="7">
        <f t="shared" si="59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66" cm="1">
        <f t="array" ref="F348">estimatedTripDuration(C348,$C$7,$C$6)/60</f>
        <v>11.260000000662274</v>
      </c>
      <c r="G348">
        <f t="shared" si="56"/>
        <v>334</v>
      </c>
      <c r="H348" s="53">
        <f t="shared" si="60"/>
        <v>334</v>
      </c>
      <c r="I348" s="7" cm="1">
        <f t="array" ref="I348">CurrentCapacity(K$9,K$5,K$6,H348)</f>
        <v>270.46888704000003</v>
      </c>
      <c r="J348" s="51">
        <f t="shared" si="61"/>
        <v>0.4330780036217074</v>
      </c>
      <c r="K348" s="5" cm="1">
        <f t="array" ref="K348">UseableCapacity(I348,$K$7,$K$8)</f>
        <v>202.85166528000002</v>
      </c>
      <c r="L348" s="66">
        <f t="shared" si="62"/>
        <v>153.33476139893173</v>
      </c>
      <c r="M348" s="7">
        <f t="shared" si="63"/>
        <v>85.717539638931726</v>
      </c>
      <c r="N348" s="7">
        <f t="shared" si="64"/>
        <v>22.571112959999994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335</v>
      </c>
      <c r="C349" s="7">
        <f t="shared" si="59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66" cm="1">
        <f t="array" ref="F349">estimatedTripDuration(C349,$C$7,$C$6)/60</f>
        <v>11.293333333995607</v>
      </c>
      <c r="G349">
        <f t="shared" si="56"/>
        <v>335</v>
      </c>
      <c r="H349" s="53">
        <f t="shared" si="60"/>
        <v>335</v>
      </c>
      <c r="I349" s="7" cm="1">
        <f t="array" ref="I349">CurrentCapacity(K$9,K$5,K$6,H349)</f>
        <v>270.45833760000005</v>
      </c>
      <c r="J349" s="51">
        <f t="shared" si="61"/>
        <v>0.43329370357361935</v>
      </c>
      <c r="K349" s="5" cm="1">
        <f t="array" ref="K349">UseableCapacity(I349,$K$7,$K$8)</f>
        <v>202.84375320000004</v>
      </c>
      <c r="L349" s="66">
        <f t="shared" si="62"/>
        <v>153.27044283893176</v>
      </c>
      <c r="M349" s="7">
        <f t="shared" si="63"/>
        <v>85.655858438931745</v>
      </c>
      <c r="N349" s="7">
        <f t="shared" si="64"/>
        <v>22.581662399999971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336</v>
      </c>
      <c r="C350" s="7">
        <f t="shared" si="59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66" cm="1">
        <f t="array" ref="F350">estimatedTripDuration(C350,$C$7,$C$6)/60</f>
        <v>11.32666666732894</v>
      </c>
      <c r="G350">
        <f t="shared" si="56"/>
        <v>336</v>
      </c>
      <c r="H350" s="53">
        <f t="shared" si="60"/>
        <v>336</v>
      </c>
      <c r="I350" s="7" cm="1">
        <f t="array" ref="I350">CurrentCapacity(K$9,K$5,K$6,H350)</f>
        <v>270.44778816000002</v>
      </c>
      <c r="J350" s="51">
        <f t="shared" si="61"/>
        <v>0.43350942035328005</v>
      </c>
      <c r="K350" s="5" cm="1">
        <f t="array" ref="K350">UseableCapacity(I350,$K$7,$K$8)</f>
        <v>202.83584112</v>
      </c>
      <c r="L350" s="66">
        <f t="shared" si="62"/>
        <v>153.20612427893172</v>
      </c>
      <c r="M350" s="7">
        <f t="shared" si="63"/>
        <v>85.594177238931721</v>
      </c>
      <c r="N350" s="7">
        <f t="shared" si="64"/>
        <v>22.592211840000004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337</v>
      </c>
      <c r="C351" s="7">
        <f t="shared" si="59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66" cm="1">
        <f t="array" ref="F351">estimatedTripDuration(C351,$C$7,$C$6)/60</f>
        <v>11.360000000662273</v>
      </c>
      <c r="G351">
        <f t="shared" ref="G351:G414" si="66">B351</f>
        <v>337</v>
      </c>
      <c r="H351" s="53">
        <f t="shared" si="60"/>
        <v>337</v>
      </c>
      <c r="I351" s="7" cm="1">
        <f t="array" ref="I351">CurrentCapacity(K$9,K$5,K$6,H351)</f>
        <v>270.43723872000004</v>
      </c>
      <c r="J351" s="51">
        <f t="shared" si="61"/>
        <v>0.4337251539626587</v>
      </c>
      <c r="K351" s="5" cm="1">
        <f t="array" ref="K351">UseableCapacity(I351,$K$7,$K$8)</f>
        <v>202.82792904000001</v>
      </c>
      <c r="L351" s="66">
        <f t="shared" si="62"/>
        <v>153.14180571893172</v>
      </c>
      <c r="M351" s="7">
        <f t="shared" si="63"/>
        <v>85.532496038931711</v>
      </c>
      <c r="N351" s="7">
        <f t="shared" si="64"/>
        <v>22.602761279999982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35">
      <c r="B352">
        <f t="shared" si="65"/>
        <v>338</v>
      </c>
      <c r="C352" s="7">
        <f t="shared" si="59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66" cm="1">
        <f t="array" ref="F352">estimatedTripDuration(C352,$C$7,$C$6)/60</f>
        <v>11.393333333995606</v>
      </c>
      <c r="G352">
        <f t="shared" si="66"/>
        <v>338</v>
      </c>
      <c r="H352" s="53">
        <f t="shared" si="60"/>
        <v>338</v>
      </c>
      <c r="I352" s="7" cm="1">
        <f t="array" ref="I352">CurrentCapacity(K$9,K$5,K$6,H352)</f>
        <v>270.42668928000006</v>
      </c>
      <c r="J352" s="51">
        <f t="shared" si="61"/>
        <v>0.43394090440372474</v>
      </c>
      <c r="K352" s="5" cm="1">
        <f t="array" ref="K352">UseableCapacity(I352,$K$7,$K$8)</f>
        <v>202.82001696000003</v>
      </c>
      <c r="L352" s="66">
        <f t="shared" si="62"/>
        <v>153.07748715893177</v>
      </c>
      <c r="M352" s="7">
        <f t="shared" si="63"/>
        <v>85.470814838931759</v>
      </c>
      <c r="N352" s="7">
        <f t="shared" si="64"/>
        <v>22.613310719999959</v>
      </c>
      <c r="O352" t="str">
        <f t="shared" si="67"/>
        <v>no</v>
      </c>
      <c r="P352" t="str">
        <f t="shared" si="68"/>
        <v>no</v>
      </c>
    </row>
    <row r="353" spans="2:16" x14ac:dyDescent="0.35">
      <c r="B353">
        <f t="shared" si="65"/>
        <v>339</v>
      </c>
      <c r="C353" s="7">
        <f t="shared" si="59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66" cm="1">
        <f t="array" ref="F353">estimatedTripDuration(C353,$C$7,$C$6)/60</f>
        <v>11.42666666732894</v>
      </c>
      <c r="G353">
        <f t="shared" si="66"/>
        <v>339</v>
      </c>
      <c r="H353" s="53">
        <f t="shared" si="60"/>
        <v>339</v>
      </c>
      <c r="I353" s="7" cm="1">
        <f t="array" ref="I353">CurrentCapacity(K$9,K$5,K$6,H353)</f>
        <v>270.41613984000003</v>
      </c>
      <c r="J353" s="51">
        <f t="shared" si="61"/>
        <v>0.43415667167844846</v>
      </c>
      <c r="K353" s="5" cm="1">
        <f t="array" ref="K353">UseableCapacity(I353,$K$7,$K$8)</f>
        <v>202.81210488000002</v>
      </c>
      <c r="L353" s="66">
        <f t="shared" si="62"/>
        <v>153.01316859893171</v>
      </c>
      <c r="M353" s="7">
        <f t="shared" si="63"/>
        <v>85.409133638931721</v>
      </c>
      <c r="N353" s="7">
        <f t="shared" si="64"/>
        <v>22.623860159999992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340</v>
      </c>
      <c r="C354" s="7">
        <f t="shared" si="59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66" cm="1">
        <f t="array" ref="F354">estimatedTripDuration(C354,$C$7,$C$6)/60</f>
        <v>11.460000000662273</v>
      </c>
      <c r="G354">
        <f t="shared" si="66"/>
        <v>340</v>
      </c>
      <c r="H354" s="53">
        <f t="shared" si="60"/>
        <v>340</v>
      </c>
      <c r="I354" s="7" cm="1">
        <f t="array" ref="I354">CurrentCapacity(K$9,K$5,K$6,H354)</f>
        <v>270.40559040000005</v>
      </c>
      <c r="J354" s="51">
        <f t="shared" si="61"/>
        <v>0.43437245578879968</v>
      </c>
      <c r="K354" s="5" cm="1">
        <f t="array" ref="K354">UseableCapacity(I354,$K$7,$K$8)</f>
        <v>202.80419280000004</v>
      </c>
      <c r="L354" s="66">
        <f t="shared" si="62"/>
        <v>152.94885003893177</v>
      </c>
      <c r="M354" s="7">
        <f t="shared" si="63"/>
        <v>85.347452438931739</v>
      </c>
      <c r="N354" s="7">
        <f t="shared" si="64"/>
        <v>22.634409599999969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341</v>
      </c>
      <c r="C355" s="7">
        <f t="shared" si="59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66" cm="1">
        <f t="array" ref="F355">estimatedTripDuration(C355,$C$7,$C$6)/60</f>
        <v>11.493333333995606</v>
      </c>
      <c r="G355">
        <f t="shared" si="66"/>
        <v>341</v>
      </c>
      <c r="H355" s="53">
        <f t="shared" si="60"/>
        <v>341</v>
      </c>
      <c r="I355" s="7" cm="1">
        <f t="array" ref="I355">CurrentCapacity(K$9,K$5,K$6,H355)</f>
        <v>270.39504096000007</v>
      </c>
      <c r="J355" s="51">
        <f t="shared" si="61"/>
        <v>0.43458825673674906</v>
      </c>
      <c r="K355" s="5" cm="1">
        <f t="array" ref="K355">UseableCapacity(I355,$K$7,$K$8)</f>
        <v>202.79628072000006</v>
      </c>
      <c r="L355" s="66">
        <f t="shared" si="62"/>
        <v>152.88453147893179</v>
      </c>
      <c r="M355" s="7">
        <f t="shared" si="63"/>
        <v>85.285771238931773</v>
      </c>
      <c r="N355" s="7">
        <f t="shared" si="64"/>
        <v>22.644959039999947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342</v>
      </c>
      <c r="C356" s="7">
        <f t="shared" si="59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66" cm="1">
        <f t="array" ref="F356">estimatedTripDuration(C356,$C$7,$C$6)/60</f>
        <v>11.526666667328941</v>
      </c>
      <c r="G356">
        <f t="shared" si="66"/>
        <v>342</v>
      </c>
      <c r="H356" s="53">
        <f t="shared" si="60"/>
        <v>342</v>
      </c>
      <c r="I356" s="7" cm="1">
        <f t="array" ref="I356">CurrentCapacity(K$9,K$5,K$6,H356)</f>
        <v>270.38449152000004</v>
      </c>
      <c r="J356" s="51">
        <f t="shared" si="61"/>
        <v>0.43480407452426761</v>
      </c>
      <c r="K356" s="5" cm="1">
        <f t="array" ref="K356">UseableCapacity(I356,$K$7,$K$8)</f>
        <v>202.78836864000004</v>
      </c>
      <c r="L356" s="66">
        <f t="shared" si="62"/>
        <v>152.82021291893176</v>
      </c>
      <c r="M356" s="7">
        <f t="shared" si="63"/>
        <v>85.224090038931749</v>
      </c>
      <c r="N356" s="7">
        <f t="shared" si="64"/>
        <v>22.65550847999998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343</v>
      </c>
      <c r="C357" s="7">
        <f t="shared" si="59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66" cm="1">
        <f t="array" ref="F357">estimatedTripDuration(C357,$C$7,$C$6)/60</f>
        <v>11.560000000662274</v>
      </c>
      <c r="G357">
        <f t="shared" si="66"/>
        <v>343</v>
      </c>
      <c r="H357" s="53">
        <f t="shared" si="60"/>
        <v>343</v>
      </c>
      <c r="I357" s="7" cm="1">
        <f t="array" ref="I357">CurrentCapacity(K$9,K$5,K$6,H357)</f>
        <v>270.37394208000001</v>
      </c>
      <c r="J357" s="51">
        <f t="shared" si="61"/>
        <v>0.43501990915332622</v>
      </c>
      <c r="K357" s="5" cm="1">
        <f t="array" ref="K357">UseableCapacity(I357,$K$7,$K$8)</f>
        <v>202.78045656</v>
      </c>
      <c r="L357" s="66">
        <f t="shared" si="62"/>
        <v>152.7558943589317</v>
      </c>
      <c r="M357" s="7">
        <f t="shared" si="63"/>
        <v>85.162408838931711</v>
      </c>
      <c r="N357" s="7">
        <f t="shared" si="64"/>
        <v>22.666057920000014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344</v>
      </c>
      <c r="C358" s="7">
        <f t="shared" si="59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66" cm="1">
        <f t="array" ref="F358">estimatedTripDuration(C358,$C$7,$C$6)/60</f>
        <v>11.593333333995608</v>
      </c>
      <c r="G358">
        <f t="shared" si="66"/>
        <v>344</v>
      </c>
      <c r="H358" s="53">
        <f t="shared" si="60"/>
        <v>344</v>
      </c>
      <c r="I358" s="7" cm="1">
        <f t="array" ref="I358">CurrentCapacity(K$9,K$5,K$6,H358)</f>
        <v>270.36339264000003</v>
      </c>
      <c r="J358" s="51">
        <f t="shared" si="61"/>
        <v>0.43523576062589653</v>
      </c>
      <c r="K358" s="5" cm="1">
        <f t="array" ref="K358">UseableCapacity(I358,$K$7,$K$8)</f>
        <v>202.77254448000002</v>
      </c>
      <c r="L358" s="66">
        <f t="shared" si="62"/>
        <v>152.69157579893169</v>
      </c>
      <c r="M358" s="7">
        <f t="shared" si="63"/>
        <v>85.100727638931701</v>
      </c>
      <c r="N358" s="7">
        <f t="shared" si="64"/>
        <v>22.676607359999991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345</v>
      </c>
      <c r="C359" s="7">
        <f t="shared" si="59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66" cm="1">
        <f t="array" ref="F359">estimatedTripDuration(C359,$C$7,$C$6)/60</f>
        <v>11.626666667328941</v>
      </c>
      <c r="G359">
        <f t="shared" si="66"/>
        <v>345</v>
      </c>
      <c r="H359" s="53">
        <f t="shared" si="60"/>
        <v>345</v>
      </c>
      <c r="I359" s="7" cm="1">
        <f t="array" ref="I359">CurrentCapacity(K$9,K$5,K$6,H359)</f>
        <v>270.35284320000005</v>
      </c>
      <c r="J359" s="51">
        <f t="shared" si="61"/>
        <v>0.43545162894394984</v>
      </c>
      <c r="K359" s="5" cm="1">
        <f t="array" ref="K359">UseableCapacity(I359,$K$7,$K$8)</f>
        <v>202.76463240000004</v>
      </c>
      <c r="L359" s="66">
        <f t="shared" si="62"/>
        <v>152.62725723893178</v>
      </c>
      <c r="M359" s="7">
        <f t="shared" si="63"/>
        <v>85.039046438931763</v>
      </c>
      <c r="N359" s="7">
        <f t="shared" si="64"/>
        <v>22.687156799999968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346</v>
      </c>
      <c r="C360" s="7">
        <f t="shared" si="59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66" cm="1">
        <f t="array" ref="F360">estimatedTripDuration(C360,$C$7,$C$6)/60</f>
        <v>11.660000000662274</v>
      </c>
      <c r="G360">
        <f t="shared" si="66"/>
        <v>346</v>
      </c>
      <c r="H360" s="53">
        <f t="shared" si="60"/>
        <v>346</v>
      </c>
      <c r="I360" s="7" cm="1">
        <f t="array" ref="I360">CurrentCapacity(K$9,K$5,K$6,H360)</f>
        <v>270.34229376000002</v>
      </c>
      <c r="J360" s="51">
        <f t="shared" si="61"/>
        <v>0.43566751410945892</v>
      </c>
      <c r="K360" s="5" cm="1">
        <f t="array" ref="K360">UseableCapacity(I360,$K$7,$K$8)</f>
        <v>202.75672032</v>
      </c>
      <c r="L360" s="66">
        <f t="shared" si="62"/>
        <v>152.56293867893174</v>
      </c>
      <c r="M360" s="7">
        <f t="shared" si="63"/>
        <v>84.977365238931711</v>
      </c>
      <c r="N360" s="7">
        <f t="shared" si="64"/>
        <v>22.697706240000002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347</v>
      </c>
      <c r="C361" s="7">
        <f t="shared" si="59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66" cm="1">
        <f t="array" ref="F361">estimatedTripDuration(C361,$C$7,$C$6)/60</f>
        <v>11.693333333995607</v>
      </c>
      <c r="G361">
        <f t="shared" si="66"/>
        <v>347</v>
      </c>
      <c r="H361" s="53">
        <f t="shared" si="60"/>
        <v>347</v>
      </c>
      <c r="I361" s="7" cm="1">
        <f t="array" ref="I361">CurrentCapacity(K$9,K$5,K$6,H361)</f>
        <v>270.33174432000004</v>
      </c>
      <c r="J361" s="51">
        <f t="shared" si="61"/>
        <v>0.43588341612439563</v>
      </c>
      <c r="K361" s="5" cm="1">
        <f t="array" ref="K361">UseableCapacity(I361,$K$7,$K$8)</f>
        <v>202.74880824000002</v>
      </c>
      <c r="L361" s="66">
        <f t="shared" si="62"/>
        <v>152.49862011893174</v>
      </c>
      <c r="M361" s="7">
        <f t="shared" si="63"/>
        <v>84.915684038931715</v>
      </c>
      <c r="N361" s="7">
        <f t="shared" si="64"/>
        <v>22.708255679999979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348</v>
      </c>
      <c r="C362" s="7">
        <f t="shared" si="59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66" cm="1">
        <f t="array" ref="F362">estimatedTripDuration(C362,$C$7,$C$6)/60</f>
        <v>11.72666666732894</v>
      </c>
      <c r="G362">
        <f t="shared" si="66"/>
        <v>348</v>
      </c>
      <c r="H362" s="53">
        <f t="shared" si="60"/>
        <v>348</v>
      </c>
      <c r="I362" s="7" cm="1">
        <f t="array" ref="I362">CurrentCapacity(K$9,K$5,K$6,H362)</f>
        <v>270.32119488000006</v>
      </c>
      <c r="J362" s="51">
        <f t="shared" si="61"/>
        <v>0.43609933499073272</v>
      </c>
      <c r="K362" s="5" cm="1">
        <f t="array" ref="K362">UseableCapacity(I362,$K$7,$K$8)</f>
        <v>202.74089616000003</v>
      </c>
      <c r="L362" s="66">
        <f t="shared" si="62"/>
        <v>152.43430155893179</v>
      </c>
      <c r="M362" s="7">
        <f t="shared" si="63"/>
        <v>84.854002838931748</v>
      </c>
      <c r="N362" s="7">
        <f t="shared" si="64"/>
        <v>22.718805119999956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349</v>
      </c>
      <c r="C363" s="7">
        <f t="shared" si="59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66" cm="1">
        <f t="array" ref="F363">estimatedTripDuration(C363,$C$7,$C$6)/60</f>
        <v>11.760000000662274</v>
      </c>
      <c r="G363">
        <f t="shared" si="66"/>
        <v>349</v>
      </c>
      <c r="H363" s="53">
        <f t="shared" si="60"/>
        <v>349</v>
      </c>
      <c r="I363" s="7" cm="1">
        <f t="array" ref="I363">CurrentCapacity(K$9,K$5,K$6,H363)</f>
        <v>270.31064544000003</v>
      </c>
      <c r="J363" s="51">
        <f t="shared" si="61"/>
        <v>0.4363152707104434</v>
      </c>
      <c r="K363" s="5" cm="1">
        <f t="array" ref="K363">UseableCapacity(I363,$K$7,$K$8)</f>
        <v>202.73298408000002</v>
      </c>
      <c r="L363" s="66">
        <f t="shared" si="62"/>
        <v>152.36998299893173</v>
      </c>
      <c r="M363" s="7">
        <f t="shared" si="63"/>
        <v>84.792321638931725</v>
      </c>
      <c r="N363" s="7">
        <f t="shared" si="64"/>
        <v>22.72935455999999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350</v>
      </c>
      <c r="C364" s="7">
        <f t="shared" si="59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66" cm="1">
        <f t="array" ref="F364">estimatedTripDuration(C364,$C$7,$C$6)/60</f>
        <v>11.793333333995607</v>
      </c>
      <c r="G364">
        <f t="shared" si="66"/>
        <v>350</v>
      </c>
      <c r="H364" s="53">
        <f t="shared" si="60"/>
        <v>350</v>
      </c>
      <c r="I364" s="7" cm="1">
        <f t="array" ref="I364">CurrentCapacity(K$9,K$5,K$6,H364)</f>
        <v>270.30009600000005</v>
      </c>
      <c r="J364" s="51">
        <f t="shared" si="61"/>
        <v>0.4365312232855007</v>
      </c>
      <c r="K364" s="5" cm="1">
        <f t="array" ref="K364">UseableCapacity(I364,$K$7,$K$8)</f>
        <v>202.72507200000004</v>
      </c>
      <c r="L364" s="66">
        <f t="shared" si="62"/>
        <v>152.30566443893176</v>
      </c>
      <c r="M364" s="7">
        <f t="shared" si="63"/>
        <v>84.730640438931744</v>
      </c>
      <c r="N364" s="7">
        <f t="shared" si="64"/>
        <v>22.739903999999967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351</v>
      </c>
      <c r="C365" s="7">
        <f t="shared" si="59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66" cm="1">
        <f t="array" ref="F365">estimatedTripDuration(C365,$C$7,$C$6)/60</f>
        <v>11.82666666732894</v>
      </c>
      <c r="G365">
        <f t="shared" si="66"/>
        <v>351</v>
      </c>
      <c r="H365" s="53">
        <f t="shared" si="60"/>
        <v>351</v>
      </c>
      <c r="I365" s="7" cm="1">
        <f t="array" ref="I365">CurrentCapacity(K$9,K$5,K$6,H365)</f>
        <v>270.28954656000002</v>
      </c>
      <c r="J365" s="51">
        <f t="shared" si="61"/>
        <v>0.43674719271787832</v>
      </c>
      <c r="K365" s="5" cm="1">
        <f t="array" ref="K365">UseableCapacity(I365,$K$7,$K$8)</f>
        <v>202.71715992000003</v>
      </c>
      <c r="L365" s="66">
        <f t="shared" si="62"/>
        <v>152.24134587893172</v>
      </c>
      <c r="M365" s="7">
        <f t="shared" si="63"/>
        <v>84.668959238931748</v>
      </c>
      <c r="N365" s="7">
        <f t="shared" si="64"/>
        <v>22.750453440000001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352</v>
      </c>
      <c r="C366" s="7">
        <f t="shared" si="59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66" cm="1">
        <f t="array" ref="F366">estimatedTripDuration(C366,$C$7,$C$6)/60</f>
        <v>11.860000000662273</v>
      </c>
      <c r="G366">
        <f t="shared" si="66"/>
        <v>352</v>
      </c>
      <c r="H366" s="53">
        <f t="shared" si="60"/>
        <v>352</v>
      </c>
      <c r="I366" s="7" cm="1">
        <f t="array" ref="I366">CurrentCapacity(K$9,K$5,K$6,H366)</f>
        <v>270.27899712000004</v>
      </c>
      <c r="J366" s="51">
        <f t="shared" si="61"/>
        <v>0.43696317900955023</v>
      </c>
      <c r="K366" s="5" cm="1">
        <f t="array" ref="K366">UseableCapacity(I366,$K$7,$K$8)</f>
        <v>202.70924784000005</v>
      </c>
      <c r="L366" s="66">
        <f t="shared" si="62"/>
        <v>152.17702731893175</v>
      </c>
      <c r="M366" s="7">
        <f t="shared" si="63"/>
        <v>84.607278038931753</v>
      </c>
      <c r="N366" s="7">
        <f t="shared" si="64"/>
        <v>22.761002879999978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353</v>
      </c>
      <c r="C367" s="7">
        <f t="shared" si="59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66" cm="1">
        <f t="array" ref="F367">estimatedTripDuration(C367,$C$7,$C$6)/60</f>
        <v>11.893333333995606</v>
      </c>
      <c r="G367">
        <f t="shared" si="66"/>
        <v>353</v>
      </c>
      <c r="H367" s="53">
        <f t="shared" si="60"/>
        <v>353</v>
      </c>
      <c r="I367" s="7" cm="1">
        <f t="array" ref="I367">CurrentCapacity(K$9,K$5,K$6,H367)</f>
        <v>270.26844768000001</v>
      </c>
      <c r="J367" s="51">
        <f t="shared" si="61"/>
        <v>0.43717918216249069</v>
      </c>
      <c r="K367" s="5" cm="1">
        <f t="array" ref="K367">UseableCapacity(I367,$K$7,$K$8)</f>
        <v>202.70133576000001</v>
      </c>
      <c r="L367" s="66">
        <f t="shared" si="62"/>
        <v>152.11270875893172</v>
      </c>
      <c r="M367" s="7">
        <f t="shared" si="63"/>
        <v>84.545596838931701</v>
      </c>
      <c r="N367" s="7">
        <f t="shared" si="64"/>
        <v>22.771552320000012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354</v>
      </c>
      <c r="C368" s="7">
        <f t="shared" si="59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66" cm="1">
        <f t="array" ref="F368">estimatedTripDuration(C368,$C$7,$C$6)/60</f>
        <v>11.92666666732894</v>
      </c>
      <c r="G368">
        <f t="shared" si="66"/>
        <v>354</v>
      </c>
      <c r="H368" s="53">
        <f t="shared" si="60"/>
        <v>354</v>
      </c>
      <c r="I368" s="7" cm="1">
        <f t="array" ref="I368">CurrentCapacity(K$9,K$5,K$6,H368)</f>
        <v>270.25789824000003</v>
      </c>
      <c r="J368" s="51">
        <f t="shared" si="61"/>
        <v>0.43739520217867395</v>
      </c>
      <c r="K368" s="5" cm="1">
        <f t="array" ref="K368">UseableCapacity(I368,$K$7,$K$8)</f>
        <v>202.69342368000002</v>
      </c>
      <c r="L368" s="66">
        <f t="shared" si="62"/>
        <v>152.04839019893171</v>
      </c>
      <c r="M368" s="7">
        <f t="shared" si="63"/>
        <v>84.48391563893172</v>
      </c>
      <c r="N368" s="7">
        <f t="shared" si="64"/>
        <v>22.782101759999989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355</v>
      </c>
      <c r="C369" s="7">
        <f t="shared" si="59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66" cm="1">
        <f t="array" ref="F369">estimatedTripDuration(C369,$C$7,$C$6)/60</f>
        <v>11.960000000662273</v>
      </c>
      <c r="G369">
        <f t="shared" si="66"/>
        <v>355</v>
      </c>
      <c r="H369" s="53">
        <f t="shared" si="60"/>
        <v>355</v>
      </c>
      <c r="I369" s="7" cm="1">
        <f t="array" ref="I369">CurrentCapacity(K$9,K$5,K$6,H369)</f>
        <v>270.24734880000005</v>
      </c>
      <c r="J369" s="51">
        <f t="shared" si="61"/>
        <v>0.43761123906007504</v>
      </c>
      <c r="K369" s="5" cm="1">
        <f t="array" ref="K369">UseableCapacity(I369,$K$7,$K$8)</f>
        <v>202.68551160000004</v>
      </c>
      <c r="L369" s="66">
        <f t="shared" si="62"/>
        <v>151.98407163893177</v>
      </c>
      <c r="M369" s="7">
        <f t="shared" si="63"/>
        <v>84.422234438931739</v>
      </c>
      <c r="N369" s="7">
        <f t="shared" si="64"/>
        <v>22.792651199999966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356</v>
      </c>
      <c r="C370" s="7">
        <f t="shared" si="59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66" cm="1">
        <f t="array" ref="F370">estimatedTripDuration(C370,$C$7,$C$6)/60</f>
        <v>11.993333333995606</v>
      </c>
      <c r="G370">
        <f t="shared" si="66"/>
        <v>356</v>
      </c>
      <c r="H370" s="53">
        <f t="shared" si="60"/>
        <v>356</v>
      </c>
      <c r="I370" s="7" cm="1">
        <f t="array" ref="I370">CurrentCapacity(K$9,K$5,K$6,H370)</f>
        <v>270.23679936000002</v>
      </c>
      <c r="J370" s="51">
        <f t="shared" si="61"/>
        <v>0.43782729280866911</v>
      </c>
      <c r="K370" s="5" cm="1">
        <f t="array" ref="K370">UseableCapacity(I370,$K$7,$K$8)</f>
        <v>202.67759952</v>
      </c>
      <c r="L370" s="66">
        <f t="shared" si="62"/>
        <v>151.91975307893171</v>
      </c>
      <c r="M370" s="7">
        <f t="shared" si="63"/>
        <v>84.360553238931701</v>
      </c>
      <c r="N370" s="7">
        <f t="shared" si="64"/>
        <v>22.80320064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357</v>
      </c>
      <c r="C371" s="7">
        <f t="shared" si="59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66" cm="1">
        <f t="array" ref="F371">estimatedTripDuration(C371,$C$7,$C$6)/60</f>
        <v>12.026666667328941</v>
      </c>
      <c r="G371">
        <f t="shared" si="66"/>
        <v>357</v>
      </c>
      <c r="H371" s="53">
        <f t="shared" si="60"/>
        <v>357</v>
      </c>
      <c r="I371" s="7" cm="1">
        <f t="array" ref="I371">CurrentCapacity(K$9,K$5,K$6,H371)</f>
        <v>270.22624992000004</v>
      </c>
      <c r="J371" s="51">
        <f t="shared" si="61"/>
        <v>0.43804336342643158</v>
      </c>
      <c r="K371" s="5" cm="1">
        <f t="array" ref="K371">UseableCapacity(I371,$K$7,$K$8)</f>
        <v>202.66968744000002</v>
      </c>
      <c r="L371" s="66">
        <f t="shared" si="62"/>
        <v>151.85543451893176</v>
      </c>
      <c r="M371" s="7">
        <f t="shared" si="63"/>
        <v>84.298872038931719</v>
      </c>
      <c r="N371" s="7">
        <f t="shared" si="64"/>
        <v>22.813750079999977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358</v>
      </c>
      <c r="C372" s="7">
        <f t="shared" si="59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66" cm="1">
        <f t="array" ref="F372">estimatedTripDuration(C372,$C$7,$C$6)/60</f>
        <v>12.060000000662274</v>
      </c>
      <c r="G372">
        <f t="shared" si="66"/>
        <v>358</v>
      </c>
      <c r="H372" s="53">
        <f t="shared" si="60"/>
        <v>358</v>
      </c>
      <c r="I372" s="7" cm="1">
        <f t="array" ref="I372">CurrentCapacity(K$9,K$5,K$6,H372)</f>
        <v>270.21570048000001</v>
      </c>
      <c r="J372" s="51">
        <f t="shared" si="61"/>
        <v>0.43825945091533819</v>
      </c>
      <c r="K372" s="5" cm="1">
        <f t="array" ref="K372">UseableCapacity(I372,$K$7,$K$8)</f>
        <v>202.66177536000001</v>
      </c>
      <c r="L372" s="66">
        <f t="shared" si="62"/>
        <v>151.79111595893173</v>
      </c>
      <c r="M372" s="7">
        <f t="shared" si="63"/>
        <v>84.237190838931724</v>
      </c>
      <c r="N372" s="7">
        <f t="shared" si="64"/>
        <v>22.824299520000011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359</v>
      </c>
      <c r="C373" s="7">
        <f t="shared" si="59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66" cm="1">
        <f t="array" ref="F373">estimatedTripDuration(C373,$C$7,$C$6)/60</f>
        <v>12.093333333995608</v>
      </c>
      <c r="G373">
        <f t="shared" si="66"/>
        <v>359</v>
      </c>
      <c r="H373" s="53">
        <f t="shared" si="60"/>
        <v>359</v>
      </c>
      <c r="I373" s="7" cm="1">
        <f t="array" ref="I373">CurrentCapacity(K$9,K$5,K$6,H373)</f>
        <v>270.20515104000003</v>
      </c>
      <c r="J373" s="51">
        <f t="shared" si="61"/>
        <v>0.43847555527736504</v>
      </c>
      <c r="K373" s="5" cm="1">
        <f t="array" ref="K373">UseableCapacity(I373,$K$7,$K$8)</f>
        <v>202.65386328000002</v>
      </c>
      <c r="L373" s="66">
        <f t="shared" si="62"/>
        <v>151.72679739893175</v>
      </c>
      <c r="M373" s="7">
        <f t="shared" si="63"/>
        <v>84.175509638931729</v>
      </c>
      <c r="N373" s="7">
        <f t="shared" si="64"/>
        <v>22.834848959999988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360</v>
      </c>
      <c r="C374" s="7">
        <f t="shared" si="59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66" cm="1">
        <f t="array" ref="F374">estimatedTripDuration(C374,$C$7,$C$6)/60</f>
        <v>12.126666667328941</v>
      </c>
      <c r="G374">
        <f t="shared" si="66"/>
        <v>360</v>
      </c>
      <c r="H374" s="53">
        <f t="shared" si="60"/>
        <v>360</v>
      </c>
      <c r="I374" s="7" cm="1">
        <f t="array" ref="I374">CurrentCapacity(K$9,K$5,K$6,H374)</f>
        <v>270.19460160000006</v>
      </c>
      <c r="J374" s="51">
        <f t="shared" si="61"/>
        <v>0.43869167651448843</v>
      </c>
      <c r="K374" s="5" cm="1">
        <f t="array" ref="K374">UseableCapacity(I374,$K$7,$K$8)</f>
        <v>202.64595120000004</v>
      </c>
      <c r="L374" s="66">
        <f t="shared" si="62"/>
        <v>151.66247883893175</v>
      </c>
      <c r="M374" s="7">
        <f t="shared" si="63"/>
        <v>84.113828438931748</v>
      </c>
      <c r="N374" s="7">
        <f t="shared" si="64"/>
        <v>22.845398399999965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361</v>
      </c>
      <c r="C375" s="7">
        <f t="shared" si="59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66" cm="1">
        <f t="array" ref="F375">estimatedTripDuration(C375,$C$7,$C$6)/60</f>
        <v>12.160000000662274</v>
      </c>
      <c r="G375">
        <f t="shared" si="66"/>
        <v>361</v>
      </c>
      <c r="H375" s="53">
        <f t="shared" si="60"/>
        <v>361</v>
      </c>
      <c r="I375" s="7" cm="1">
        <f t="array" ref="I375">CurrentCapacity(K$9,K$5,K$6,H375)</f>
        <v>270.18405216000002</v>
      </c>
      <c r="J375" s="51">
        <f t="shared" si="61"/>
        <v>0.43890781462868511</v>
      </c>
      <c r="K375" s="5" cm="1">
        <f t="array" ref="K375">UseableCapacity(I375,$K$7,$K$8)</f>
        <v>202.63803912000003</v>
      </c>
      <c r="L375" s="66">
        <f t="shared" si="62"/>
        <v>151.59816027893174</v>
      </c>
      <c r="M375" s="7">
        <f t="shared" si="63"/>
        <v>84.052147238931752</v>
      </c>
      <c r="N375" s="7">
        <f t="shared" si="64"/>
        <v>22.855947839999999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362</v>
      </c>
      <c r="C376" s="7">
        <f t="shared" si="59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66" cm="1">
        <f t="array" ref="F376">estimatedTripDuration(C376,$C$7,$C$6)/60</f>
        <v>12.193333333995607</v>
      </c>
      <c r="G376">
        <f t="shared" si="66"/>
        <v>362</v>
      </c>
      <c r="H376" s="53">
        <f t="shared" si="60"/>
        <v>362</v>
      </c>
      <c r="I376" s="7" cm="1">
        <f t="array" ref="I376">CurrentCapacity(K$9,K$5,K$6,H376)</f>
        <v>270.17350272000004</v>
      </c>
      <c r="J376" s="51">
        <f t="shared" si="61"/>
        <v>0.43912396962193218</v>
      </c>
      <c r="K376" s="5" cm="1">
        <f t="array" ref="K376">UseableCapacity(I376,$K$7,$K$8)</f>
        <v>202.63012704000005</v>
      </c>
      <c r="L376" s="66">
        <f t="shared" si="62"/>
        <v>151.53384171893174</v>
      </c>
      <c r="M376" s="7">
        <f t="shared" si="63"/>
        <v>83.990466038931743</v>
      </c>
      <c r="N376" s="7">
        <f t="shared" si="64"/>
        <v>22.866497279999976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363</v>
      </c>
      <c r="C377" s="7">
        <f t="shared" si="59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66" cm="1">
        <f t="array" ref="F377">estimatedTripDuration(C377,$C$7,$C$6)/60</f>
        <v>12.22666666732894</v>
      </c>
      <c r="G377">
        <f t="shared" si="66"/>
        <v>363</v>
      </c>
      <c r="H377" s="53">
        <f t="shared" si="60"/>
        <v>363</v>
      </c>
      <c r="I377" s="7" cm="1">
        <f t="array" ref="I377">CurrentCapacity(K$9,K$5,K$6,H377)</f>
        <v>270.16295328000007</v>
      </c>
      <c r="J377" s="51">
        <f t="shared" si="61"/>
        <v>0.43934014149620659</v>
      </c>
      <c r="K377" s="5" cm="1">
        <f t="array" ref="K377">UseableCapacity(I377,$K$7,$K$8)</f>
        <v>202.62221496000006</v>
      </c>
      <c r="L377" s="66">
        <f t="shared" si="62"/>
        <v>151.46952315893179</v>
      </c>
      <c r="M377" s="7">
        <f t="shared" si="63"/>
        <v>83.92878483893179</v>
      </c>
      <c r="N377" s="7">
        <f t="shared" si="64"/>
        <v>22.877046719999953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364</v>
      </c>
      <c r="C378" s="7">
        <f t="shared" si="59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66" cm="1">
        <f t="array" ref="F378">estimatedTripDuration(C378,$C$7,$C$6)/60</f>
        <v>12.260000000662274</v>
      </c>
      <c r="G378">
        <f t="shared" si="66"/>
        <v>364</v>
      </c>
      <c r="H378" s="53">
        <f t="shared" si="60"/>
        <v>364</v>
      </c>
      <c r="I378" s="7" cm="1">
        <f t="array" ref="I378">CurrentCapacity(K$9,K$5,K$6,H378)</f>
        <v>270.15240384000003</v>
      </c>
      <c r="J378" s="51">
        <f t="shared" si="61"/>
        <v>0.43955633025348645</v>
      </c>
      <c r="K378" s="5" cm="1">
        <f t="array" ref="K378">UseableCapacity(I378,$K$7,$K$8)</f>
        <v>202.61430288000003</v>
      </c>
      <c r="L378" s="66">
        <f t="shared" si="62"/>
        <v>151.40520459893173</v>
      </c>
      <c r="M378" s="7">
        <f t="shared" si="63"/>
        <v>83.867103638931724</v>
      </c>
      <c r="N378" s="7">
        <f t="shared" si="64"/>
        <v>22.887596159999987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365</v>
      </c>
      <c r="C379" s="7">
        <f t="shared" si="59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66" cm="1">
        <f t="array" ref="F379">estimatedTripDuration(C379,$C$7,$C$6)/60</f>
        <v>12.293333333995607</v>
      </c>
      <c r="G379">
        <f t="shared" si="66"/>
        <v>365</v>
      </c>
      <c r="H379" s="53">
        <f t="shared" si="60"/>
        <v>365</v>
      </c>
      <c r="I379" s="7" cm="1">
        <f t="array" ref="I379">CurrentCapacity(K$9,K$5,K$6,H379)</f>
        <v>270.1418544</v>
      </c>
      <c r="J379" s="51">
        <f t="shared" si="61"/>
        <v>0.43977253589574938</v>
      </c>
      <c r="K379" s="5" cm="1">
        <f t="array" ref="K379">UseableCapacity(I379,$K$7,$K$8)</f>
        <v>202.60639079999999</v>
      </c>
      <c r="L379" s="66">
        <f t="shared" si="62"/>
        <v>151.3408860389317</v>
      </c>
      <c r="M379" s="7">
        <f t="shared" si="63"/>
        <v>83.805422438931686</v>
      </c>
      <c r="N379" s="7">
        <f t="shared" si="64"/>
        <v>22.898145600000021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366</v>
      </c>
      <c r="C380" s="7">
        <f t="shared" si="59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66" cm="1">
        <f t="array" ref="F380">estimatedTripDuration(C380,$C$7,$C$6)/60</f>
        <v>12.32666666732894</v>
      </c>
      <c r="G380">
        <f t="shared" si="66"/>
        <v>366</v>
      </c>
      <c r="H380" s="53">
        <f t="shared" si="60"/>
        <v>366</v>
      </c>
      <c r="I380" s="7" cm="1">
        <f t="array" ref="I380">CurrentCapacity(K$9,K$5,K$6,H380)</f>
        <v>270.13130496000002</v>
      </c>
      <c r="J380" s="51">
        <f t="shared" si="61"/>
        <v>0.43998875842497348</v>
      </c>
      <c r="K380" s="5" cm="1">
        <f t="array" ref="K380">UseableCapacity(I380,$K$7,$K$8)</f>
        <v>202.59847872</v>
      </c>
      <c r="L380" s="66">
        <f t="shared" si="62"/>
        <v>151.27656747893172</v>
      </c>
      <c r="M380" s="7">
        <f t="shared" si="63"/>
        <v>83.743741238931719</v>
      </c>
      <c r="N380" s="7">
        <f t="shared" si="64"/>
        <v>22.908695039999998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367</v>
      </c>
      <c r="C381" s="7">
        <f t="shared" si="59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66" cm="1">
        <f t="array" ref="F381">estimatedTripDuration(C381,$C$7,$C$6)/60</f>
        <v>12.360000000662273</v>
      </c>
      <c r="G381">
        <f t="shared" si="66"/>
        <v>367</v>
      </c>
      <c r="H381" s="53">
        <f t="shared" si="60"/>
        <v>367</v>
      </c>
      <c r="I381" s="7" cm="1">
        <f t="array" ref="I381">CurrentCapacity(K$9,K$5,K$6,H381)</f>
        <v>270.12075552000005</v>
      </c>
      <c r="J381" s="51">
        <f t="shared" si="61"/>
        <v>0.44020499784313749</v>
      </c>
      <c r="K381" s="5" cm="1">
        <f t="array" ref="K381">UseableCapacity(I381,$K$7,$K$8)</f>
        <v>202.59056664000002</v>
      </c>
      <c r="L381" s="66">
        <f t="shared" si="62"/>
        <v>151.21224891893175</v>
      </c>
      <c r="M381" s="7">
        <f t="shared" si="63"/>
        <v>83.682060038931724</v>
      </c>
      <c r="N381" s="7">
        <f t="shared" si="64"/>
        <v>22.919244479999975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368</v>
      </c>
      <c r="C382" s="7">
        <f t="shared" si="59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66" cm="1">
        <f t="array" ref="F382">estimatedTripDuration(C382,$C$7,$C$6)/60</f>
        <v>12.393333333995606</v>
      </c>
      <c r="G382">
        <f t="shared" si="66"/>
        <v>368</v>
      </c>
      <c r="H382" s="53">
        <f t="shared" si="60"/>
        <v>368</v>
      </c>
      <c r="I382" s="7" cm="1">
        <f t="array" ref="I382">CurrentCapacity(K$9,K$5,K$6,H382)</f>
        <v>270.11020608000001</v>
      </c>
      <c r="J382" s="51">
        <f t="shared" si="61"/>
        <v>0.44042125415222033</v>
      </c>
      <c r="K382" s="5" cm="1">
        <f t="array" ref="K382">UseableCapacity(I382,$K$7,$K$8)</f>
        <v>202.58265456000001</v>
      </c>
      <c r="L382" s="66">
        <f t="shared" si="62"/>
        <v>151.14793035893172</v>
      </c>
      <c r="M382" s="7">
        <f t="shared" si="63"/>
        <v>83.620378838931714</v>
      </c>
      <c r="N382" s="7">
        <f t="shared" si="64"/>
        <v>22.929793920000009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369</v>
      </c>
      <c r="C383" s="7">
        <f t="shared" si="59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66" cm="1">
        <f t="array" ref="F383">estimatedTripDuration(C383,$C$7,$C$6)/60</f>
        <v>12.42666666732894</v>
      </c>
      <c r="G383">
        <f t="shared" si="66"/>
        <v>369</v>
      </c>
      <c r="H383" s="53">
        <f t="shared" si="60"/>
        <v>369</v>
      </c>
      <c r="I383" s="7" cm="1">
        <f t="array" ref="I383">CurrentCapacity(K$9,K$5,K$6,H383)</f>
        <v>270.09965664000003</v>
      </c>
      <c r="J383" s="51">
        <f t="shared" si="61"/>
        <v>0.44063752735420103</v>
      </c>
      <c r="K383" s="5" cm="1">
        <f t="array" ref="K383">UseableCapacity(I383,$K$7,$K$8)</f>
        <v>202.57474248000003</v>
      </c>
      <c r="L383" s="66">
        <f t="shared" si="62"/>
        <v>151.08361179893171</v>
      </c>
      <c r="M383" s="7">
        <f t="shared" si="63"/>
        <v>83.558697638931704</v>
      </c>
      <c r="N383" s="7">
        <f t="shared" si="64"/>
        <v>22.940343359999986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370</v>
      </c>
      <c r="C384" s="7">
        <f t="shared" si="59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66" cm="1">
        <f t="array" ref="F384">estimatedTripDuration(C384,$C$7,$C$6)/60</f>
        <v>12.460000000662273</v>
      </c>
      <c r="G384">
        <f t="shared" si="66"/>
        <v>370</v>
      </c>
      <c r="H384" s="53">
        <f t="shared" si="60"/>
        <v>370</v>
      </c>
      <c r="I384" s="7" cm="1">
        <f t="array" ref="I384">CurrentCapacity(K$9,K$5,K$6,H384)</f>
        <v>270.08910720000006</v>
      </c>
      <c r="J384" s="51">
        <f t="shared" si="61"/>
        <v>0.44085381745105884</v>
      </c>
      <c r="K384" s="5" cm="1">
        <f t="array" ref="K384">UseableCapacity(I384,$K$7,$K$8)</f>
        <v>202.56683040000004</v>
      </c>
      <c r="L384" s="66">
        <f t="shared" si="62"/>
        <v>151.01929323893177</v>
      </c>
      <c r="M384" s="7">
        <f t="shared" si="63"/>
        <v>83.497016438931752</v>
      </c>
      <c r="N384" s="7">
        <f t="shared" si="64"/>
        <v>22.950892799999963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371</v>
      </c>
      <c r="C385" s="7">
        <f t="shared" si="59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66" cm="1">
        <f t="array" ref="F385">estimatedTripDuration(C385,$C$7,$C$6)/60</f>
        <v>12.493333333995606</v>
      </c>
      <c r="G385">
        <f t="shared" si="66"/>
        <v>371</v>
      </c>
      <c r="H385" s="53">
        <f t="shared" si="60"/>
        <v>371</v>
      </c>
      <c r="I385" s="7" cm="1">
        <f t="array" ref="I385">CurrentCapacity(K$9,K$5,K$6,H385)</f>
        <v>270.07855776000002</v>
      </c>
      <c r="J385" s="51">
        <f t="shared" si="61"/>
        <v>0.441070124444774</v>
      </c>
      <c r="K385" s="5" cm="1">
        <f t="array" ref="K385">UseableCapacity(I385,$K$7,$K$8)</f>
        <v>202.55891832000003</v>
      </c>
      <c r="L385" s="66">
        <f t="shared" si="62"/>
        <v>150.95497467893173</v>
      </c>
      <c r="M385" s="7">
        <f t="shared" si="63"/>
        <v>83.435335238931742</v>
      </c>
      <c r="N385" s="7">
        <f t="shared" si="64"/>
        <v>22.961442239999997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372</v>
      </c>
      <c r="C386" s="7">
        <f t="shared" si="59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66" cm="1">
        <f t="array" ref="F386">estimatedTripDuration(C386,$C$7,$C$6)/60</f>
        <v>12.526666667328941</v>
      </c>
      <c r="G386">
        <f t="shared" si="66"/>
        <v>372</v>
      </c>
      <c r="H386" s="53">
        <f t="shared" si="60"/>
        <v>372</v>
      </c>
      <c r="I386" s="7" cm="1">
        <f t="array" ref="I386">CurrentCapacity(K$9,K$5,K$6,H386)</f>
        <v>270.06800832000005</v>
      </c>
      <c r="J386" s="51">
        <f t="shared" si="61"/>
        <v>0.44128644833732622</v>
      </c>
      <c r="K386" s="5" cm="1">
        <f t="array" ref="K386">UseableCapacity(I386,$K$7,$K$8)</f>
        <v>202.55100624000005</v>
      </c>
      <c r="L386" s="66">
        <f t="shared" si="62"/>
        <v>150.89065611893176</v>
      </c>
      <c r="M386" s="7">
        <f t="shared" si="63"/>
        <v>83.373654038931761</v>
      </c>
      <c r="N386" s="7">
        <f t="shared" si="64"/>
        <v>22.971991679999974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373</v>
      </c>
      <c r="C387" s="7">
        <f t="shared" si="59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66" cm="1">
        <f t="array" ref="F387">estimatedTripDuration(C387,$C$7,$C$6)/60</f>
        <v>12.560000000662274</v>
      </c>
      <c r="G387">
        <f t="shared" si="66"/>
        <v>373</v>
      </c>
      <c r="H387" s="53">
        <f t="shared" si="60"/>
        <v>373</v>
      </c>
      <c r="I387" s="7" cm="1">
        <f t="array" ref="I387">CurrentCapacity(K$9,K$5,K$6,H387)</f>
        <v>270.05745888000001</v>
      </c>
      <c r="J387" s="51">
        <f t="shared" si="61"/>
        <v>0.44150278913069613</v>
      </c>
      <c r="K387" s="5" cm="1">
        <f t="array" ref="K387">UseableCapacity(I387,$K$7,$K$8)</f>
        <v>202.54309416000001</v>
      </c>
      <c r="L387" s="66">
        <f t="shared" si="62"/>
        <v>150.82633755893173</v>
      </c>
      <c r="M387" s="7">
        <f t="shared" si="63"/>
        <v>83.311972838931723</v>
      </c>
      <c r="N387" s="7">
        <f t="shared" si="64"/>
        <v>22.982541120000008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374</v>
      </c>
      <c r="C388" s="7">
        <f t="shared" si="59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66" cm="1">
        <f t="array" ref="F388">estimatedTripDuration(C388,$C$7,$C$6)/60</f>
        <v>12.593333333995608</v>
      </c>
      <c r="G388">
        <f t="shared" si="66"/>
        <v>374</v>
      </c>
      <c r="H388" s="53">
        <f t="shared" si="60"/>
        <v>374</v>
      </c>
      <c r="I388" s="7" cm="1">
        <f t="array" ref="I388">CurrentCapacity(K$9,K$5,K$6,H388)</f>
        <v>270.04690944000004</v>
      </c>
      <c r="J388" s="51">
        <f t="shared" si="61"/>
        <v>0.44171914682686431</v>
      </c>
      <c r="K388" s="5" cm="1">
        <f t="array" ref="K388">UseableCapacity(I388,$K$7,$K$8)</f>
        <v>202.53518208000003</v>
      </c>
      <c r="L388" s="66">
        <f t="shared" si="62"/>
        <v>150.76201899893175</v>
      </c>
      <c r="M388" s="7">
        <f t="shared" si="63"/>
        <v>83.250291638931728</v>
      </c>
      <c r="N388" s="7">
        <f t="shared" si="64"/>
        <v>22.993090559999985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375</v>
      </c>
      <c r="C389" s="7">
        <f t="shared" si="59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66" cm="1">
        <f t="array" ref="F389">estimatedTripDuration(C389,$C$7,$C$6)/60</f>
        <v>12.626666667328941</v>
      </c>
      <c r="G389">
        <f t="shared" si="66"/>
        <v>375</v>
      </c>
      <c r="H389" s="53">
        <f t="shared" si="60"/>
        <v>375</v>
      </c>
      <c r="I389" s="7" cm="1">
        <f t="array" ref="I389">CurrentCapacity(K$9,K$5,K$6,H389)</f>
        <v>270.03636000000006</v>
      </c>
      <c r="J389" s="51">
        <f t="shared" si="61"/>
        <v>0.44193552142781167</v>
      </c>
      <c r="K389" s="5" cm="1">
        <f t="array" ref="K389">UseableCapacity(I389,$K$7,$K$8)</f>
        <v>202.52727000000004</v>
      </c>
      <c r="L389" s="66">
        <f t="shared" si="62"/>
        <v>150.69770043893175</v>
      </c>
      <c r="M389" s="7">
        <f t="shared" si="63"/>
        <v>83.188610438931747</v>
      </c>
      <c r="N389" s="7">
        <f t="shared" si="64"/>
        <v>23.003639999999962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376</v>
      </c>
      <c r="C390" s="7">
        <f t="shared" si="59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66" cm="1">
        <f t="array" ref="F390">estimatedTripDuration(C390,$C$7,$C$6)/60</f>
        <v>12.660000000662274</v>
      </c>
      <c r="G390">
        <f t="shared" si="66"/>
        <v>376</v>
      </c>
      <c r="H390" s="53">
        <f t="shared" si="60"/>
        <v>376</v>
      </c>
      <c r="I390" s="7" cm="1">
        <f t="array" ref="I390">CurrentCapacity(K$9,K$5,K$6,H390)</f>
        <v>270.02581056000002</v>
      </c>
      <c r="J390" s="51">
        <f t="shared" si="61"/>
        <v>0.44215191293551975</v>
      </c>
      <c r="K390" s="5" cm="1">
        <f t="array" ref="K390">UseableCapacity(I390,$K$7,$K$8)</f>
        <v>202.51935792</v>
      </c>
      <c r="L390" s="66">
        <f t="shared" si="62"/>
        <v>150.63338187893174</v>
      </c>
      <c r="M390" s="7">
        <f t="shared" si="63"/>
        <v>83.126929238931723</v>
      </c>
      <c r="N390" s="7">
        <f t="shared" si="64"/>
        <v>23.014189439999996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377</v>
      </c>
      <c r="C391" s="7">
        <f t="shared" si="59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66" cm="1">
        <f t="array" ref="F391">estimatedTripDuration(C391,$C$7,$C$6)/60</f>
        <v>12.693333333995607</v>
      </c>
      <c r="G391">
        <f t="shared" si="66"/>
        <v>377</v>
      </c>
      <c r="H391" s="53">
        <f t="shared" si="60"/>
        <v>377</v>
      </c>
      <c r="I391" s="7" cm="1">
        <f t="array" ref="I391">CurrentCapacity(K$9,K$5,K$6,H391)</f>
        <v>270.01526112000005</v>
      </c>
      <c r="J391" s="51">
        <f t="shared" si="61"/>
        <v>0.44236832135197007</v>
      </c>
      <c r="K391" s="5" cm="1">
        <f t="array" ref="K391">UseableCapacity(I391,$K$7,$K$8)</f>
        <v>202.51144584000002</v>
      </c>
      <c r="L391" s="66">
        <f t="shared" si="62"/>
        <v>150.56906331893174</v>
      </c>
      <c r="M391" s="7">
        <f t="shared" si="63"/>
        <v>83.065248038931728</v>
      </c>
      <c r="N391" s="7">
        <f t="shared" si="64"/>
        <v>23.024738879999973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378</v>
      </c>
      <c r="C392" s="7">
        <f t="shared" si="59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66" cm="1">
        <f t="array" ref="F392">estimatedTripDuration(C392,$C$7,$C$6)/60</f>
        <v>12.72666666732894</v>
      </c>
      <c r="G392">
        <f t="shared" si="66"/>
        <v>378</v>
      </c>
      <c r="H392" s="53">
        <f t="shared" si="60"/>
        <v>378</v>
      </c>
      <c r="I392" s="7" cm="1">
        <f t="array" ref="I392">CurrentCapacity(K$9,K$5,K$6,H392)</f>
        <v>270.00471168000007</v>
      </c>
      <c r="J392" s="51">
        <f t="shared" si="61"/>
        <v>0.4425847466791446</v>
      </c>
      <c r="K392" s="5" cm="1">
        <f t="array" ref="K392">UseableCapacity(I392,$K$7,$K$8)</f>
        <v>202.50353376000004</v>
      </c>
      <c r="L392" s="66">
        <f t="shared" si="62"/>
        <v>150.50474475893176</v>
      </c>
      <c r="M392" s="7">
        <f t="shared" si="63"/>
        <v>83.003566838931732</v>
      </c>
      <c r="N392" s="7">
        <f t="shared" si="64"/>
        <v>23.03528831999995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379</v>
      </c>
      <c r="C393" s="7">
        <f t="shared" si="59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66" cm="1">
        <f t="array" ref="F393">estimatedTripDuration(C393,$C$7,$C$6)/60</f>
        <v>12.760000000662274</v>
      </c>
      <c r="G393">
        <f t="shared" si="66"/>
        <v>379</v>
      </c>
      <c r="H393" s="53">
        <f t="shared" si="60"/>
        <v>379</v>
      </c>
      <c r="I393" s="7" cm="1">
        <f t="array" ref="I393">CurrentCapacity(K$9,K$5,K$6,H393)</f>
        <v>269.99416224000004</v>
      </c>
      <c r="J393" s="51">
        <f t="shared" si="61"/>
        <v>0.44280118891902559</v>
      </c>
      <c r="K393" s="5" cm="1">
        <f t="array" ref="K393">UseableCapacity(I393,$K$7,$K$8)</f>
        <v>202.49562168000003</v>
      </c>
      <c r="L393" s="66">
        <f t="shared" si="62"/>
        <v>150.44042619893173</v>
      </c>
      <c r="M393" s="7">
        <f t="shared" si="63"/>
        <v>82.941885638931723</v>
      </c>
      <c r="N393" s="7">
        <f t="shared" si="64"/>
        <v>23.045837759999984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380</v>
      </c>
      <c r="C394" s="7">
        <f t="shared" si="59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66" cm="1">
        <f t="array" ref="F394">estimatedTripDuration(C394,$C$7,$C$6)/60</f>
        <v>12.793333333995607</v>
      </c>
      <c r="G394">
        <f t="shared" si="66"/>
        <v>380</v>
      </c>
      <c r="H394" s="53">
        <f t="shared" si="60"/>
        <v>380</v>
      </c>
      <c r="I394" s="7" cm="1">
        <f t="array" ref="I394">CurrentCapacity(K$9,K$5,K$6,H394)</f>
        <v>269.9836128</v>
      </c>
      <c r="J394" s="51">
        <f t="shared" si="61"/>
        <v>0.44301764807359562</v>
      </c>
      <c r="K394" s="5" cm="1">
        <f t="array" ref="K394">UseableCapacity(I394,$K$7,$K$8)</f>
        <v>202.48770960000002</v>
      </c>
      <c r="L394" s="66">
        <f t="shared" si="62"/>
        <v>150.3761076389317</v>
      </c>
      <c r="M394" s="7">
        <f t="shared" si="63"/>
        <v>82.880204438931713</v>
      </c>
      <c r="N394" s="7">
        <f t="shared" si="64"/>
        <v>23.056387200000017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381</v>
      </c>
      <c r="C395" s="7">
        <f t="shared" si="59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66" cm="1">
        <f t="array" ref="F395">estimatedTripDuration(C395,$C$7,$C$6)/60</f>
        <v>12.82666666732894</v>
      </c>
      <c r="G395">
        <f t="shared" si="66"/>
        <v>381</v>
      </c>
      <c r="H395" s="53">
        <f t="shared" si="60"/>
        <v>381</v>
      </c>
      <c r="I395" s="7" cm="1">
        <f t="array" ref="I395">CurrentCapacity(K$9,K$5,K$6,H395)</f>
        <v>269.97306336000003</v>
      </c>
      <c r="J395" s="51">
        <f t="shared" si="61"/>
        <v>0.44323412414483732</v>
      </c>
      <c r="K395" s="5" cm="1">
        <f t="array" ref="K395">UseableCapacity(I395,$K$7,$K$8)</f>
        <v>202.47979752000003</v>
      </c>
      <c r="L395" s="66">
        <f t="shared" si="62"/>
        <v>150.31178907893172</v>
      </c>
      <c r="M395" s="7">
        <f t="shared" si="63"/>
        <v>82.818523238931746</v>
      </c>
      <c r="N395" s="7">
        <f t="shared" si="64"/>
        <v>23.066936639999994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382</v>
      </c>
      <c r="C396" s="7">
        <f t="shared" si="59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66" cm="1">
        <f t="array" ref="F396">estimatedTripDuration(C396,$C$7,$C$6)/60</f>
        <v>12.860000000662273</v>
      </c>
      <c r="G396">
        <f t="shared" si="66"/>
        <v>382</v>
      </c>
      <c r="H396" s="53">
        <f t="shared" si="60"/>
        <v>382</v>
      </c>
      <c r="I396" s="7" cm="1">
        <f t="array" ref="I396">CurrentCapacity(K$9,K$5,K$6,H396)</f>
        <v>269.96251392000005</v>
      </c>
      <c r="J396" s="51">
        <f t="shared" si="61"/>
        <v>0.44345061713473422</v>
      </c>
      <c r="K396" s="5" cm="1">
        <f t="array" ref="K396">UseableCapacity(I396,$K$7,$K$8)</f>
        <v>202.47188544000005</v>
      </c>
      <c r="L396" s="66">
        <f t="shared" si="62"/>
        <v>150.24747051893175</v>
      </c>
      <c r="M396" s="7">
        <f t="shared" si="63"/>
        <v>82.756842038931751</v>
      </c>
      <c r="N396" s="7">
        <f t="shared" si="64"/>
        <v>23.077486079999971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383</v>
      </c>
      <c r="C397" s="7">
        <f t="shared" si="59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66" cm="1">
        <f t="array" ref="F397">estimatedTripDuration(C397,$C$7,$C$6)/60</f>
        <v>12.893333333995606</v>
      </c>
      <c r="G397">
        <f t="shared" si="66"/>
        <v>383</v>
      </c>
      <c r="H397" s="53">
        <f t="shared" si="60"/>
        <v>383</v>
      </c>
      <c r="I397" s="7" cm="1">
        <f t="array" ref="I397">CurrentCapacity(K$9,K$5,K$6,H397)</f>
        <v>269.95196448000002</v>
      </c>
      <c r="J397" s="51">
        <f t="shared" si="61"/>
        <v>0.44366712704526967</v>
      </c>
      <c r="K397" s="5" cm="1">
        <f t="array" ref="K397">UseableCapacity(I397,$K$7,$K$8)</f>
        <v>202.46397336000001</v>
      </c>
      <c r="L397" s="66">
        <f t="shared" si="62"/>
        <v>150.18315195893172</v>
      </c>
      <c r="M397" s="7">
        <f t="shared" si="63"/>
        <v>82.695160838931713</v>
      </c>
      <c r="N397" s="7">
        <f t="shared" si="64"/>
        <v>23.088035520000005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384</v>
      </c>
      <c r="C398" s="7">
        <f t="shared" si="59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66" cm="1">
        <f t="array" ref="F398">estimatedTripDuration(C398,$C$7,$C$6)/60</f>
        <v>12.92666666732894</v>
      </c>
      <c r="G398">
        <f t="shared" si="66"/>
        <v>384</v>
      </c>
      <c r="H398" s="53">
        <f t="shared" si="60"/>
        <v>384</v>
      </c>
      <c r="I398" s="7" cm="1">
        <f t="array" ref="I398">CurrentCapacity(K$9,K$5,K$6,H398)</f>
        <v>269.94141504000004</v>
      </c>
      <c r="J398" s="51">
        <f t="shared" si="61"/>
        <v>0.44388365387842738</v>
      </c>
      <c r="K398" s="5" cm="1">
        <f t="array" ref="K398">UseableCapacity(I398,$K$7,$K$8)</f>
        <v>202.45606128000003</v>
      </c>
      <c r="L398" s="66">
        <f t="shared" si="62"/>
        <v>150.11883339893177</v>
      </c>
      <c r="M398" s="7">
        <f t="shared" si="63"/>
        <v>82.633479638931746</v>
      </c>
      <c r="N398" s="7">
        <f t="shared" si="64"/>
        <v>23.098584959999982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385</v>
      </c>
      <c r="C399" s="7">
        <f t="shared" ref="C399:C462" si="69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66" cm="1">
        <f t="array" ref="F399">estimatedTripDuration(C399,$C$7,$C$6)/60</f>
        <v>12.960000000662273</v>
      </c>
      <c r="G399">
        <f t="shared" si="66"/>
        <v>385</v>
      </c>
      <c r="H399" s="53">
        <f t="shared" ref="H399:H462" si="70">G399/$G$3</f>
        <v>385</v>
      </c>
      <c r="I399" s="7" cm="1">
        <f t="array" ref="I399">CurrentCapacity(K$9,K$5,K$6,H399)</f>
        <v>269.93086560000006</v>
      </c>
      <c r="J399" s="51">
        <f t="shared" ref="J399:J462" si="71">E399/I399</f>
        <v>0.44410019763619152</v>
      </c>
      <c r="K399" s="5" cm="1">
        <f t="array" ref="K399">UseableCapacity(I399,$K$7,$K$8)</f>
        <v>202.44814920000005</v>
      </c>
      <c r="L399" s="66">
        <f t="shared" ref="L399:L462" si="72">(K$7*I399)-E399</f>
        <v>150.05451483893177</v>
      </c>
      <c r="M399" s="7">
        <f t="shared" ref="M399:M462" si="73">K399-E399</f>
        <v>82.571798438931765</v>
      </c>
      <c r="N399" s="7">
        <f t="shared" ref="N399:N462" si="74">$K$9-I399</f>
        <v>23.109134399999959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ref="B400:B463" si="75">B399+$G$11</f>
        <v>386</v>
      </c>
      <c r="C400" s="7">
        <f t="shared" si="69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66" cm="1">
        <f t="array" ref="F400">estimatedTripDuration(C400,$C$7,$C$6)/60</f>
        <v>12.993333333995606</v>
      </c>
      <c r="G400">
        <f t="shared" si="66"/>
        <v>386</v>
      </c>
      <c r="H400" s="53">
        <f t="shared" si="70"/>
        <v>386</v>
      </c>
      <c r="I400" s="7" cm="1">
        <f t="array" ref="I400">CurrentCapacity(K$9,K$5,K$6,H400)</f>
        <v>269.92031616000003</v>
      </c>
      <c r="J400" s="51">
        <f t="shared" si="71"/>
        <v>0.44431675832054668</v>
      </c>
      <c r="K400" s="5" cm="1">
        <f t="array" ref="K400">UseableCapacity(I400,$K$7,$K$8)</f>
        <v>202.44023712000001</v>
      </c>
      <c r="L400" s="66">
        <f t="shared" si="72"/>
        <v>149.99019627893176</v>
      </c>
      <c r="M400" s="7">
        <f t="shared" si="73"/>
        <v>82.510117238931727</v>
      </c>
      <c r="N400" s="7">
        <f t="shared" si="74"/>
        <v>23.119683839999993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si="75"/>
        <v>387</v>
      </c>
      <c r="C401" s="7">
        <f t="shared" si="69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66" cm="1">
        <f t="array" ref="F401">estimatedTripDuration(C401,$C$7,$C$6)/60</f>
        <v>13.026666667328941</v>
      </c>
      <c r="G401">
        <f t="shared" si="66"/>
        <v>387</v>
      </c>
      <c r="H401" s="53">
        <f t="shared" si="70"/>
        <v>387</v>
      </c>
      <c r="I401" s="7" cm="1">
        <f t="array" ref="I401">CurrentCapacity(K$9,K$5,K$6,H401)</f>
        <v>269.90976671999999</v>
      </c>
      <c r="J401" s="51">
        <f t="shared" si="71"/>
        <v>0.44453333593347744</v>
      </c>
      <c r="K401" s="5" cm="1">
        <f t="array" ref="K401">UseableCapacity(I401,$K$7,$K$8)</f>
        <v>202.43232503999999</v>
      </c>
      <c r="L401" s="66">
        <f t="shared" si="72"/>
        <v>149.9258777189317</v>
      </c>
      <c r="M401" s="7">
        <f t="shared" si="73"/>
        <v>82.448436038931703</v>
      </c>
      <c r="N401" s="7">
        <f t="shared" si="74"/>
        <v>23.130233280000027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388</v>
      </c>
      <c r="C402" s="7">
        <f t="shared" si="69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66" cm="1">
        <f t="array" ref="F402">estimatedTripDuration(C402,$C$7,$C$6)/60</f>
        <v>13.060000000662274</v>
      </c>
      <c r="G402">
        <f t="shared" si="66"/>
        <v>388</v>
      </c>
      <c r="H402" s="53">
        <f t="shared" si="70"/>
        <v>388</v>
      </c>
      <c r="I402" s="7" cm="1">
        <f t="array" ref="I402">CurrentCapacity(K$9,K$5,K$6,H402)</f>
        <v>269.89921728000002</v>
      </c>
      <c r="J402" s="51">
        <f t="shared" si="71"/>
        <v>0.4447499304769687</v>
      </c>
      <c r="K402" s="5" cm="1">
        <f t="array" ref="K402">UseableCapacity(I402,$K$7,$K$8)</f>
        <v>202.42441296000001</v>
      </c>
      <c r="L402" s="66">
        <f t="shared" si="72"/>
        <v>149.86155915893175</v>
      </c>
      <c r="M402" s="7">
        <f t="shared" si="73"/>
        <v>82.386754838931736</v>
      </c>
      <c r="N402" s="7">
        <f t="shared" si="74"/>
        <v>23.140782720000004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389</v>
      </c>
      <c r="C403" s="7">
        <f t="shared" si="69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66" cm="1">
        <f t="array" ref="F403">estimatedTripDuration(C403,$C$7,$C$6)/60</f>
        <v>13.093333333995608</v>
      </c>
      <c r="G403">
        <f t="shared" si="66"/>
        <v>389</v>
      </c>
      <c r="H403" s="53">
        <f t="shared" si="70"/>
        <v>389</v>
      </c>
      <c r="I403" s="7" cm="1">
        <f t="array" ref="I403">CurrentCapacity(K$9,K$5,K$6,H403)</f>
        <v>269.88866784000004</v>
      </c>
      <c r="J403" s="51">
        <f t="shared" si="71"/>
        <v>0.44496654195300611</v>
      </c>
      <c r="K403" s="5" cm="1">
        <f t="array" ref="K403">UseableCapacity(I403,$K$7,$K$8)</f>
        <v>202.41650088000003</v>
      </c>
      <c r="L403" s="66">
        <f t="shared" si="72"/>
        <v>149.79724059893175</v>
      </c>
      <c r="M403" s="7">
        <f t="shared" si="73"/>
        <v>82.325073638931727</v>
      </c>
      <c r="N403" s="7">
        <f t="shared" si="74"/>
        <v>23.151332159999981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390</v>
      </c>
      <c r="C404" s="7">
        <f t="shared" si="69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66" cm="1">
        <f t="array" ref="F404">estimatedTripDuration(C404,$C$7,$C$6)/60</f>
        <v>13.126666667328941</v>
      </c>
      <c r="G404">
        <f t="shared" si="66"/>
        <v>390</v>
      </c>
      <c r="H404" s="53">
        <f t="shared" si="70"/>
        <v>390</v>
      </c>
      <c r="I404" s="7" cm="1">
        <f t="array" ref="I404">CurrentCapacity(K$9,K$5,K$6,H404)</f>
        <v>269.87811840000001</v>
      </c>
      <c r="J404" s="51">
        <f t="shared" si="71"/>
        <v>0.44518317036357513</v>
      </c>
      <c r="K404" s="5" cm="1">
        <f t="array" ref="K404">UseableCapacity(I404,$K$7,$K$8)</f>
        <v>202.40858880000002</v>
      </c>
      <c r="L404" s="66">
        <f t="shared" si="72"/>
        <v>149.73292203893169</v>
      </c>
      <c r="M404" s="7">
        <f t="shared" si="73"/>
        <v>82.263392438931717</v>
      </c>
      <c r="N404" s="7">
        <f t="shared" si="74"/>
        <v>23.161881600000015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391</v>
      </c>
      <c r="C405" s="7">
        <f t="shared" si="69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66" cm="1">
        <f t="array" ref="F405">estimatedTripDuration(C405,$C$7,$C$6)/60</f>
        <v>13.160000000662274</v>
      </c>
      <c r="G405">
        <f t="shared" si="66"/>
        <v>391</v>
      </c>
      <c r="H405" s="53">
        <f t="shared" si="70"/>
        <v>391</v>
      </c>
      <c r="I405" s="7" cm="1">
        <f t="array" ref="I405">CurrentCapacity(K$9,K$5,K$6,H405)</f>
        <v>269.86756896000003</v>
      </c>
      <c r="J405" s="51">
        <f t="shared" si="71"/>
        <v>0.44539981571066162</v>
      </c>
      <c r="K405" s="5" cm="1">
        <f t="array" ref="K405">UseableCapacity(I405,$K$7,$K$8)</f>
        <v>202.40067672000004</v>
      </c>
      <c r="L405" s="66">
        <f t="shared" si="72"/>
        <v>149.66860347893174</v>
      </c>
      <c r="M405" s="7">
        <f t="shared" si="73"/>
        <v>82.20171123893175</v>
      </c>
      <c r="N405" s="7">
        <f t="shared" si="74"/>
        <v>23.172431039999992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392</v>
      </c>
      <c r="C406" s="7">
        <f t="shared" si="69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66" cm="1">
        <f t="array" ref="F406">estimatedTripDuration(C406,$C$7,$C$6)/60</f>
        <v>13.193333333995607</v>
      </c>
      <c r="G406">
        <f t="shared" si="66"/>
        <v>392</v>
      </c>
      <c r="H406" s="53">
        <f t="shared" si="70"/>
        <v>392</v>
      </c>
      <c r="I406" s="7" cm="1">
        <f t="array" ref="I406">CurrentCapacity(K$9,K$5,K$6,H406)</f>
        <v>269.85701952000005</v>
      </c>
      <c r="J406" s="51">
        <f t="shared" si="71"/>
        <v>0.4456164779962522</v>
      </c>
      <c r="K406" s="5" cm="1">
        <f t="array" ref="K406">UseableCapacity(I406,$K$7,$K$8)</f>
        <v>202.39276464000005</v>
      </c>
      <c r="L406" s="66">
        <f t="shared" si="72"/>
        <v>149.60428491893174</v>
      </c>
      <c r="M406" s="7">
        <f t="shared" si="73"/>
        <v>82.140030038931755</v>
      </c>
      <c r="N406" s="7">
        <f t="shared" si="74"/>
        <v>23.182980479999969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393</v>
      </c>
      <c r="C407" s="7">
        <f t="shared" si="69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66" cm="1">
        <f t="array" ref="F407">estimatedTripDuration(C407,$C$7,$C$6)/60</f>
        <v>13.22666666732894</v>
      </c>
      <c r="G407">
        <f t="shared" si="66"/>
        <v>393</v>
      </c>
      <c r="H407" s="53">
        <f t="shared" si="70"/>
        <v>393</v>
      </c>
      <c r="I407" s="7" cm="1">
        <f t="array" ref="I407">CurrentCapacity(K$9,K$5,K$6,H407)</f>
        <v>269.84647008000002</v>
      </c>
      <c r="J407" s="51">
        <f t="shared" si="71"/>
        <v>0.44583315722233319</v>
      </c>
      <c r="K407" s="5" cm="1">
        <f t="array" ref="K407">UseableCapacity(I407,$K$7,$K$8)</f>
        <v>202.38485256000001</v>
      </c>
      <c r="L407" s="66">
        <f t="shared" si="72"/>
        <v>149.53996635893174</v>
      </c>
      <c r="M407" s="7">
        <f t="shared" si="73"/>
        <v>82.078348838931731</v>
      </c>
      <c r="N407" s="7">
        <f t="shared" si="74"/>
        <v>23.193529920000003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394</v>
      </c>
      <c r="C408" s="7">
        <f t="shared" si="69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66" cm="1">
        <f t="array" ref="F408">estimatedTripDuration(C408,$C$7,$C$6)/60</f>
        <v>13.260000000662274</v>
      </c>
      <c r="G408">
        <f t="shared" si="66"/>
        <v>394</v>
      </c>
      <c r="H408" s="53">
        <f t="shared" si="70"/>
        <v>394</v>
      </c>
      <c r="I408" s="7" cm="1">
        <f t="array" ref="I408">CurrentCapacity(K$9,K$5,K$6,H408)</f>
        <v>269.83592064000004</v>
      </c>
      <c r="J408" s="51">
        <f t="shared" si="71"/>
        <v>0.4460498533908917</v>
      </c>
      <c r="K408" s="5" cm="1">
        <f t="array" ref="K408">UseableCapacity(I408,$K$7,$K$8)</f>
        <v>202.37694048000003</v>
      </c>
      <c r="L408" s="66">
        <f t="shared" si="72"/>
        <v>149.47564779893173</v>
      </c>
      <c r="M408" s="7">
        <f t="shared" si="73"/>
        <v>82.016667638931722</v>
      </c>
      <c r="N408" s="7">
        <f t="shared" si="74"/>
        <v>23.20407935999998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395</v>
      </c>
      <c r="C409" s="7">
        <f t="shared" si="69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66" cm="1">
        <f t="array" ref="F409">estimatedTripDuration(C409,$C$7,$C$6)/60</f>
        <v>13.293333333995607</v>
      </c>
      <c r="G409">
        <f t="shared" si="66"/>
        <v>395</v>
      </c>
      <c r="H409" s="53">
        <f t="shared" si="70"/>
        <v>395</v>
      </c>
      <c r="I409" s="7" cm="1">
        <f t="array" ref="I409">CurrentCapacity(K$9,K$5,K$6,H409)</f>
        <v>269.82537120000001</v>
      </c>
      <c r="J409" s="51">
        <f t="shared" si="71"/>
        <v>0.44626656650391477</v>
      </c>
      <c r="K409" s="5" cm="1">
        <f t="array" ref="K409">UseableCapacity(I409,$K$7,$K$8)</f>
        <v>202.36902839999999</v>
      </c>
      <c r="L409" s="66">
        <f t="shared" si="72"/>
        <v>149.41132923893173</v>
      </c>
      <c r="M409" s="7">
        <f t="shared" si="73"/>
        <v>81.954986438931698</v>
      </c>
      <c r="N409" s="7">
        <f t="shared" si="74"/>
        <v>23.214628800000014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396</v>
      </c>
      <c r="C410" s="7">
        <f t="shared" si="69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66" cm="1">
        <f t="array" ref="F410">estimatedTripDuration(C410,$C$7,$C$6)/60</f>
        <v>13.32666666732894</v>
      </c>
      <c r="G410">
        <f t="shared" si="66"/>
        <v>396</v>
      </c>
      <c r="H410" s="53">
        <f t="shared" si="70"/>
        <v>396</v>
      </c>
      <c r="I410" s="7" cm="1">
        <f t="array" ref="I410">CurrentCapacity(K$9,K$5,K$6,H410)</f>
        <v>269.81482176000003</v>
      </c>
      <c r="J410" s="51">
        <f t="shared" si="71"/>
        <v>0.44648329656338992</v>
      </c>
      <c r="K410" s="5" cm="1">
        <f t="array" ref="K410">UseableCapacity(I410,$K$7,$K$8)</f>
        <v>202.36111632000001</v>
      </c>
      <c r="L410" s="66">
        <f t="shared" si="72"/>
        <v>149.34701067893172</v>
      </c>
      <c r="M410" s="7">
        <f t="shared" si="73"/>
        <v>81.893305238931717</v>
      </c>
      <c r="N410" s="7">
        <f t="shared" si="74"/>
        <v>23.225178239999991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397</v>
      </c>
      <c r="C411" s="7">
        <f t="shared" si="69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66" cm="1">
        <f t="array" ref="F411">estimatedTripDuration(C411,$C$7,$C$6)/60</f>
        <v>13.360000000662273</v>
      </c>
      <c r="G411">
        <f t="shared" si="66"/>
        <v>397</v>
      </c>
      <c r="H411" s="53">
        <f t="shared" si="70"/>
        <v>397</v>
      </c>
      <c r="I411" s="7" cm="1">
        <f t="array" ref="I411">CurrentCapacity(K$9,K$5,K$6,H411)</f>
        <v>269.80427232000005</v>
      </c>
      <c r="J411" s="51">
        <f t="shared" si="71"/>
        <v>0.44670004357130516</v>
      </c>
      <c r="K411" s="5" cm="1">
        <f t="array" ref="K411">UseableCapacity(I411,$K$7,$K$8)</f>
        <v>202.35320424000003</v>
      </c>
      <c r="L411" s="66">
        <f t="shared" si="72"/>
        <v>149.28269211893175</v>
      </c>
      <c r="M411" s="7">
        <f t="shared" si="73"/>
        <v>81.831624038931722</v>
      </c>
      <c r="N411" s="7">
        <f t="shared" si="74"/>
        <v>23.235727679999968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398</v>
      </c>
      <c r="C412" s="7">
        <f t="shared" si="69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66" cm="1">
        <f t="array" ref="F412">estimatedTripDuration(C412,$C$7,$C$6)/60</f>
        <v>13.393333333995606</v>
      </c>
      <c r="G412">
        <f t="shared" si="66"/>
        <v>398</v>
      </c>
      <c r="H412" s="53">
        <f t="shared" si="70"/>
        <v>398</v>
      </c>
      <c r="I412" s="7" cm="1">
        <f t="array" ref="I412">CurrentCapacity(K$9,K$5,K$6,H412)</f>
        <v>269.79372288000002</v>
      </c>
      <c r="J412" s="51">
        <f t="shared" si="71"/>
        <v>0.44691680752964846</v>
      </c>
      <c r="K412" s="5" cm="1">
        <f t="array" ref="K412">UseableCapacity(I412,$K$7,$K$8)</f>
        <v>202.34529216000001</v>
      </c>
      <c r="L412" s="66">
        <f t="shared" si="72"/>
        <v>149.21837355893172</v>
      </c>
      <c r="M412" s="7">
        <f t="shared" si="73"/>
        <v>81.769942838931726</v>
      </c>
      <c r="N412" s="7">
        <f t="shared" si="74"/>
        <v>23.246277120000002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399</v>
      </c>
      <c r="C413" s="7">
        <f t="shared" si="69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66" cm="1">
        <f t="array" ref="F413">estimatedTripDuration(C413,$C$7,$C$6)/60</f>
        <v>13.42666666732894</v>
      </c>
      <c r="G413">
        <f t="shared" si="66"/>
        <v>399</v>
      </c>
      <c r="H413" s="53">
        <f t="shared" si="70"/>
        <v>399</v>
      </c>
      <c r="I413" s="7" cm="1">
        <f t="array" ref="I413">CurrentCapacity(K$9,K$5,K$6,H413)</f>
        <v>269.78317344000004</v>
      </c>
      <c r="J413" s="51">
        <f t="shared" si="71"/>
        <v>0.4471335884404084</v>
      </c>
      <c r="K413" s="5" cm="1">
        <f t="array" ref="K413">UseableCapacity(I413,$K$7,$K$8)</f>
        <v>202.33738008000003</v>
      </c>
      <c r="L413" s="66">
        <f t="shared" si="72"/>
        <v>149.15405499893174</v>
      </c>
      <c r="M413" s="7">
        <f t="shared" si="73"/>
        <v>81.708261638931731</v>
      </c>
      <c r="N413" s="7">
        <f t="shared" si="74"/>
        <v>23.256826559999979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400</v>
      </c>
      <c r="C414" s="7">
        <f t="shared" si="69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66" cm="1">
        <f t="array" ref="F414">estimatedTripDuration(C414,$C$7,$C$6)/60</f>
        <v>13.460000000662273</v>
      </c>
      <c r="G414">
        <f t="shared" si="66"/>
        <v>400</v>
      </c>
      <c r="H414" s="53">
        <f t="shared" si="70"/>
        <v>400</v>
      </c>
      <c r="I414" s="7" cm="1">
        <f t="array" ref="I414">CurrentCapacity(K$9,K$5,K$6,H414)</f>
        <v>269.77262400000006</v>
      </c>
      <c r="J414" s="51">
        <f t="shared" si="71"/>
        <v>0.44735038630557361</v>
      </c>
      <c r="K414" s="5" cm="1">
        <f t="array" ref="K414">UseableCapacity(I414,$K$7,$K$8)</f>
        <v>202.32946800000005</v>
      </c>
      <c r="L414" s="66">
        <f t="shared" si="72"/>
        <v>149.08973643893177</v>
      </c>
      <c r="M414" s="7">
        <f t="shared" si="73"/>
        <v>81.646580438931764</v>
      </c>
      <c r="N414" s="7">
        <f t="shared" si="74"/>
        <v>23.267375999999956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401</v>
      </c>
      <c r="C415" s="7">
        <f t="shared" si="69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66" cm="1">
        <f t="array" ref="F415">estimatedTripDuration(C415,$C$7,$C$6)/60</f>
        <v>13.493333333995606</v>
      </c>
      <c r="G415">
        <f t="shared" ref="G415:G478" si="76">B415</f>
        <v>401</v>
      </c>
      <c r="H415" s="53">
        <f t="shared" si="70"/>
        <v>401</v>
      </c>
      <c r="I415" s="7" cm="1">
        <f t="array" ref="I415">CurrentCapacity(K$9,K$5,K$6,H415)</f>
        <v>269.76207456000003</v>
      </c>
      <c r="J415" s="51">
        <f t="shared" si="71"/>
        <v>0.44756720112713338</v>
      </c>
      <c r="K415" s="5" cm="1">
        <f t="array" ref="K415">UseableCapacity(I415,$K$7,$K$8)</f>
        <v>202.32155592000004</v>
      </c>
      <c r="L415" s="66">
        <f t="shared" si="72"/>
        <v>149.02541787893176</v>
      </c>
      <c r="M415" s="7">
        <f t="shared" si="73"/>
        <v>81.584899238931754</v>
      </c>
      <c r="N415" s="7">
        <f t="shared" si="74"/>
        <v>23.27792543999999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35">
      <c r="B416">
        <f t="shared" si="75"/>
        <v>402</v>
      </c>
      <c r="C416" s="7">
        <f t="shared" si="69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66" cm="1">
        <f t="array" ref="F416">estimatedTripDuration(C416,$C$7,$C$6)/60</f>
        <v>13.526666667328941</v>
      </c>
      <c r="G416">
        <f t="shared" si="76"/>
        <v>402</v>
      </c>
      <c r="H416" s="53">
        <f t="shared" si="70"/>
        <v>402</v>
      </c>
      <c r="I416" s="7" cm="1">
        <f t="array" ref="I416">CurrentCapacity(K$9,K$5,K$6,H416)</f>
        <v>269.75152512</v>
      </c>
      <c r="J416" s="51">
        <f t="shared" si="71"/>
        <v>0.44778403290707702</v>
      </c>
      <c r="K416" s="5" cm="1">
        <f t="array" ref="K416">UseableCapacity(I416,$K$7,$K$8)</f>
        <v>202.31364384</v>
      </c>
      <c r="L416" s="66">
        <f t="shared" si="72"/>
        <v>148.9610993189317</v>
      </c>
      <c r="M416" s="7">
        <f t="shared" si="73"/>
        <v>81.523218038931702</v>
      </c>
      <c r="N416" s="7">
        <f t="shared" si="74"/>
        <v>23.288474880000024</v>
      </c>
      <c r="O416" t="str">
        <f t="shared" si="77"/>
        <v>no</v>
      </c>
      <c r="P416" t="str">
        <f t="shared" si="78"/>
        <v>no</v>
      </c>
    </row>
    <row r="417" spans="2:16" x14ac:dyDescent="0.35">
      <c r="B417">
        <f t="shared" si="75"/>
        <v>403</v>
      </c>
      <c r="C417" s="7">
        <f t="shared" si="69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66" cm="1">
        <f t="array" ref="F417">estimatedTripDuration(C417,$C$7,$C$6)/60</f>
        <v>13.560000000662274</v>
      </c>
      <c r="G417">
        <f t="shared" si="76"/>
        <v>403</v>
      </c>
      <c r="H417" s="53">
        <f t="shared" si="70"/>
        <v>403</v>
      </c>
      <c r="I417" s="7" cm="1">
        <f t="array" ref="I417">CurrentCapacity(K$9,K$5,K$6,H417)</f>
        <v>269.74097568000002</v>
      </c>
      <c r="J417" s="51">
        <f t="shared" si="71"/>
        <v>0.4480008816473941</v>
      </c>
      <c r="K417" s="5" cm="1">
        <f t="array" ref="K417">UseableCapacity(I417,$K$7,$K$8)</f>
        <v>202.30573176000001</v>
      </c>
      <c r="L417" s="66">
        <f t="shared" si="72"/>
        <v>148.89678075893173</v>
      </c>
      <c r="M417" s="7">
        <f t="shared" si="73"/>
        <v>81.461536838931721</v>
      </c>
      <c r="N417" s="7">
        <f t="shared" si="74"/>
        <v>23.299024320000001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404</v>
      </c>
      <c r="C418" s="7">
        <f t="shared" si="69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66" cm="1">
        <f t="array" ref="F418">estimatedTripDuration(C418,$C$7,$C$6)/60</f>
        <v>13.593333333995608</v>
      </c>
      <c r="G418">
        <f t="shared" si="76"/>
        <v>404</v>
      </c>
      <c r="H418" s="53">
        <f t="shared" si="70"/>
        <v>404</v>
      </c>
      <c r="I418" s="7" cm="1">
        <f t="array" ref="I418">CurrentCapacity(K$9,K$5,K$6,H418)</f>
        <v>269.73042624000004</v>
      </c>
      <c r="J418" s="51">
        <f t="shared" si="71"/>
        <v>0.44821774735007475</v>
      </c>
      <c r="K418" s="5" cm="1">
        <f t="array" ref="K418">UseableCapacity(I418,$K$7,$K$8)</f>
        <v>202.29781968000003</v>
      </c>
      <c r="L418" s="66">
        <f t="shared" si="72"/>
        <v>148.83246219893175</v>
      </c>
      <c r="M418" s="7">
        <f t="shared" si="73"/>
        <v>81.399855638931726</v>
      </c>
      <c r="N418" s="7">
        <f t="shared" si="74"/>
        <v>23.309573759999978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405</v>
      </c>
      <c r="C419" s="7">
        <f t="shared" si="69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66" cm="1">
        <f t="array" ref="F419">estimatedTripDuration(C419,$C$7,$C$6)/60</f>
        <v>13.626666667328941</v>
      </c>
      <c r="G419">
        <f t="shared" si="76"/>
        <v>405</v>
      </c>
      <c r="H419" s="53">
        <f t="shared" si="70"/>
        <v>405</v>
      </c>
      <c r="I419" s="7" cm="1">
        <f t="array" ref="I419">CurrentCapacity(K$9,K$5,K$6,H419)</f>
        <v>269.71987680000001</v>
      </c>
      <c r="J419" s="51">
        <f t="shared" si="71"/>
        <v>0.44843463001710931</v>
      </c>
      <c r="K419" s="5" cm="1">
        <f t="array" ref="K419">UseableCapacity(I419,$K$7,$K$8)</f>
        <v>202.28990759999999</v>
      </c>
      <c r="L419" s="66">
        <f t="shared" si="72"/>
        <v>148.76814363893169</v>
      </c>
      <c r="M419" s="7">
        <f t="shared" si="73"/>
        <v>81.338174438931688</v>
      </c>
      <c r="N419" s="7">
        <f t="shared" si="74"/>
        <v>23.320123200000012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406</v>
      </c>
      <c r="C420" s="7">
        <f t="shared" si="69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66" cm="1">
        <f t="array" ref="F420">estimatedTripDuration(C420,$C$7,$C$6)/60</f>
        <v>13.660000000662274</v>
      </c>
      <c r="G420">
        <f t="shared" si="76"/>
        <v>406</v>
      </c>
      <c r="H420" s="53">
        <f t="shared" si="70"/>
        <v>406</v>
      </c>
      <c r="I420" s="7" cm="1">
        <f t="array" ref="I420">CurrentCapacity(K$9,K$5,K$6,H420)</f>
        <v>269.70932736000003</v>
      </c>
      <c r="J420" s="51">
        <f t="shared" si="71"/>
        <v>0.44865152965048821</v>
      </c>
      <c r="K420" s="5" cm="1">
        <f t="array" ref="K420">UseableCapacity(I420,$K$7,$K$8)</f>
        <v>202.28199552000001</v>
      </c>
      <c r="L420" s="66">
        <f t="shared" si="72"/>
        <v>148.70382507893174</v>
      </c>
      <c r="M420" s="7">
        <f t="shared" si="73"/>
        <v>81.276493238931721</v>
      </c>
      <c r="N420" s="7">
        <f t="shared" si="74"/>
        <v>23.330672639999989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407</v>
      </c>
      <c r="C421" s="7">
        <f t="shared" si="69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66" cm="1">
        <f t="array" ref="F421">estimatedTripDuration(C421,$C$7,$C$6)/60</f>
        <v>13.693333333995607</v>
      </c>
      <c r="G421">
        <f t="shared" si="76"/>
        <v>407</v>
      </c>
      <c r="H421" s="53">
        <f t="shared" si="70"/>
        <v>407</v>
      </c>
      <c r="I421" s="7" cm="1">
        <f t="array" ref="I421">CurrentCapacity(K$9,K$5,K$6,H421)</f>
        <v>269.69877792000005</v>
      </c>
      <c r="J421" s="51">
        <f t="shared" si="71"/>
        <v>0.44886844625220274</v>
      </c>
      <c r="K421" s="5" cm="1">
        <f t="array" ref="K421">UseableCapacity(I421,$K$7,$K$8)</f>
        <v>202.27408344000003</v>
      </c>
      <c r="L421" s="66">
        <f t="shared" si="72"/>
        <v>148.63950651893174</v>
      </c>
      <c r="M421" s="7">
        <f t="shared" si="73"/>
        <v>81.214812038931726</v>
      </c>
      <c r="N421" s="7">
        <f t="shared" si="74"/>
        <v>23.341222079999966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408</v>
      </c>
      <c r="C422" s="7">
        <f t="shared" si="69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66" cm="1">
        <f t="array" ref="F422">estimatedTripDuration(C422,$C$7,$C$6)/60</f>
        <v>13.72666666732894</v>
      </c>
      <c r="G422">
        <f t="shared" si="76"/>
        <v>408</v>
      </c>
      <c r="H422" s="53">
        <f t="shared" si="70"/>
        <v>408</v>
      </c>
      <c r="I422" s="7" cm="1">
        <f t="array" ref="I422">CurrentCapacity(K$9,K$5,K$6,H422)</f>
        <v>269.68822848000002</v>
      </c>
      <c r="J422" s="51">
        <f t="shared" si="71"/>
        <v>0.4490853798242439</v>
      </c>
      <c r="K422" s="5" cm="1">
        <f t="array" ref="K422">UseableCapacity(I422,$K$7,$K$8)</f>
        <v>202.26617136000002</v>
      </c>
      <c r="L422" s="66">
        <f t="shared" si="72"/>
        <v>148.57518795893174</v>
      </c>
      <c r="M422" s="7">
        <f t="shared" si="73"/>
        <v>81.15313083893173</v>
      </c>
      <c r="N422" s="7">
        <f t="shared" si="74"/>
        <v>23.35177152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409</v>
      </c>
      <c r="C423" s="7">
        <f t="shared" si="69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66" cm="1">
        <f t="array" ref="F423">estimatedTripDuration(C423,$C$7,$C$6)/60</f>
        <v>13.760000000662274</v>
      </c>
      <c r="G423">
        <f t="shared" si="76"/>
        <v>409</v>
      </c>
      <c r="H423" s="53">
        <f t="shared" si="70"/>
        <v>409</v>
      </c>
      <c r="I423" s="7" cm="1">
        <f t="array" ref="I423">CurrentCapacity(K$9,K$5,K$6,H423)</f>
        <v>269.67767904000004</v>
      </c>
      <c r="J423" s="51">
        <f t="shared" si="71"/>
        <v>0.4493023303686034</v>
      </c>
      <c r="K423" s="5" cm="1">
        <f t="array" ref="K423">UseableCapacity(I423,$K$7,$K$8)</f>
        <v>202.25825928000003</v>
      </c>
      <c r="L423" s="66">
        <f t="shared" si="72"/>
        <v>148.51086939893173</v>
      </c>
      <c r="M423" s="7">
        <f t="shared" si="73"/>
        <v>81.091449638931735</v>
      </c>
      <c r="N423" s="7">
        <f t="shared" si="74"/>
        <v>23.362320959999977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410</v>
      </c>
      <c r="C424" s="7">
        <f t="shared" si="69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66" cm="1">
        <f t="array" ref="F424">estimatedTripDuration(C424,$C$7,$C$6)/60</f>
        <v>13.793333333995607</v>
      </c>
      <c r="G424">
        <f t="shared" si="76"/>
        <v>410</v>
      </c>
      <c r="H424" s="53">
        <f t="shared" si="70"/>
        <v>410</v>
      </c>
      <c r="I424" s="7" cm="1">
        <f t="array" ref="I424">CurrentCapacity(K$9,K$5,K$6,H424)</f>
        <v>269.66712960000001</v>
      </c>
      <c r="J424" s="51">
        <f t="shared" si="71"/>
        <v>0.44951929788727313</v>
      </c>
      <c r="K424" s="5" cm="1">
        <f t="array" ref="K424">UseableCapacity(I424,$K$7,$K$8)</f>
        <v>202.25034720000002</v>
      </c>
      <c r="L424" s="66">
        <f t="shared" si="72"/>
        <v>148.44655083893173</v>
      </c>
      <c r="M424" s="7">
        <f t="shared" si="73"/>
        <v>81.029768438931725</v>
      </c>
      <c r="N424" s="7">
        <f t="shared" si="74"/>
        <v>23.372870400000011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411</v>
      </c>
      <c r="C425" s="7">
        <f t="shared" si="69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66" cm="1">
        <f t="array" ref="F425">estimatedTripDuration(C425,$C$7,$C$6)/60</f>
        <v>13.82666666732894</v>
      </c>
      <c r="G425">
        <f t="shared" si="76"/>
        <v>411</v>
      </c>
      <c r="H425" s="53">
        <f t="shared" si="70"/>
        <v>411</v>
      </c>
      <c r="I425" s="7" cm="1">
        <f t="array" ref="I425">CurrentCapacity(K$9,K$5,K$6,H425)</f>
        <v>269.65658016000003</v>
      </c>
      <c r="J425" s="51">
        <f t="shared" si="71"/>
        <v>0.44973628238224506</v>
      </c>
      <c r="K425" s="5" cm="1">
        <f t="array" ref="K425">UseableCapacity(I425,$K$7,$K$8)</f>
        <v>202.24243512000004</v>
      </c>
      <c r="L425" s="66">
        <f t="shared" si="72"/>
        <v>148.38223227893175</v>
      </c>
      <c r="M425" s="7">
        <f t="shared" si="73"/>
        <v>80.968087238931759</v>
      </c>
      <c r="N425" s="7">
        <f t="shared" si="74"/>
        <v>23.383419839999988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412</v>
      </c>
      <c r="C426" s="7">
        <f t="shared" si="69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66" cm="1">
        <f t="array" ref="F426">estimatedTripDuration(C426,$C$7,$C$6)/60</f>
        <v>13.860000000662273</v>
      </c>
      <c r="G426">
        <f t="shared" si="76"/>
        <v>412</v>
      </c>
      <c r="H426" s="53">
        <f t="shared" si="70"/>
        <v>412</v>
      </c>
      <c r="I426" s="7" cm="1">
        <f t="array" ref="I426">CurrentCapacity(K$9,K$5,K$6,H426)</f>
        <v>269.64603072000006</v>
      </c>
      <c r="J426" s="51">
        <f t="shared" si="71"/>
        <v>0.44995328385551198</v>
      </c>
      <c r="K426" s="5" cm="1">
        <f t="array" ref="K426">UseableCapacity(I426,$K$7,$K$8)</f>
        <v>202.23452304000006</v>
      </c>
      <c r="L426" s="66">
        <f t="shared" si="72"/>
        <v>148.31791371893178</v>
      </c>
      <c r="M426" s="7">
        <f t="shared" si="73"/>
        <v>80.906406038931763</v>
      </c>
      <c r="N426" s="7">
        <f t="shared" si="74"/>
        <v>23.393969279999965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413</v>
      </c>
      <c r="C427" s="7">
        <f t="shared" si="69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66" cm="1">
        <f t="array" ref="F427">estimatedTripDuration(C427,$C$7,$C$6)/60</f>
        <v>13.893333333995606</v>
      </c>
      <c r="G427">
        <f t="shared" si="76"/>
        <v>413</v>
      </c>
      <c r="H427" s="53">
        <f t="shared" si="70"/>
        <v>413</v>
      </c>
      <c r="I427" s="7" cm="1">
        <f t="array" ref="I427">CurrentCapacity(K$9,K$5,K$6,H427)</f>
        <v>269.63548128000002</v>
      </c>
      <c r="J427" s="51">
        <f t="shared" si="71"/>
        <v>0.45017030230906657</v>
      </c>
      <c r="K427" s="5" cm="1">
        <f t="array" ref="K427">UseableCapacity(I427,$K$7,$K$8)</f>
        <v>202.22661096000002</v>
      </c>
      <c r="L427" s="66">
        <f t="shared" si="72"/>
        <v>148.25359515893174</v>
      </c>
      <c r="M427" s="7">
        <f t="shared" si="73"/>
        <v>80.844724838931739</v>
      </c>
      <c r="N427" s="7">
        <f t="shared" si="74"/>
        <v>23.404518719999999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414</v>
      </c>
      <c r="C428" s="7">
        <f t="shared" si="69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66" cm="1">
        <f t="array" ref="F428">estimatedTripDuration(C428,$C$7,$C$6)/60</f>
        <v>13.92666666732894</v>
      </c>
      <c r="G428">
        <f t="shared" si="76"/>
        <v>414</v>
      </c>
      <c r="H428" s="53">
        <f t="shared" si="70"/>
        <v>414</v>
      </c>
      <c r="I428" s="7" cm="1">
        <f t="array" ref="I428">CurrentCapacity(K$9,K$5,K$6,H428)</f>
        <v>269.62493184000004</v>
      </c>
      <c r="J428" s="51">
        <f t="shared" si="71"/>
        <v>0.45038733774490208</v>
      </c>
      <c r="K428" s="5" cm="1">
        <f t="array" ref="K428">UseableCapacity(I428,$K$7,$K$8)</f>
        <v>202.21869888000003</v>
      </c>
      <c r="L428" s="66">
        <f t="shared" si="72"/>
        <v>148.18927659893174</v>
      </c>
      <c r="M428" s="7">
        <f t="shared" si="73"/>
        <v>80.78304363893173</v>
      </c>
      <c r="N428" s="7">
        <f t="shared" si="74"/>
        <v>23.415068159999976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415</v>
      </c>
      <c r="C429" s="7">
        <f t="shared" si="69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66" cm="1">
        <f t="array" ref="F429">estimatedTripDuration(C429,$C$7,$C$6)/60</f>
        <v>13.960000000662273</v>
      </c>
      <c r="G429">
        <f t="shared" si="76"/>
        <v>415</v>
      </c>
      <c r="H429" s="53">
        <f t="shared" si="70"/>
        <v>415</v>
      </c>
      <c r="I429" s="7" cm="1">
        <f t="array" ref="I429">CurrentCapacity(K$9,K$5,K$6,H429)</f>
        <v>269.61438240000007</v>
      </c>
      <c r="J429" s="51">
        <f t="shared" si="71"/>
        <v>0.45060439016501169</v>
      </c>
      <c r="K429" s="5" cm="1">
        <f t="array" ref="K429">UseableCapacity(I429,$K$7,$K$8)</f>
        <v>202.21078680000005</v>
      </c>
      <c r="L429" s="66">
        <f t="shared" si="72"/>
        <v>148.12495803893177</v>
      </c>
      <c r="M429" s="7">
        <f t="shared" si="73"/>
        <v>80.721362438931763</v>
      </c>
      <c r="N429" s="7">
        <f t="shared" si="74"/>
        <v>23.425617599999953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416</v>
      </c>
      <c r="C430" s="7">
        <f t="shared" si="69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66" cm="1">
        <f t="array" ref="F430">estimatedTripDuration(C430,$C$7,$C$6)/60</f>
        <v>13.993333333995606</v>
      </c>
      <c r="G430">
        <f t="shared" si="76"/>
        <v>416</v>
      </c>
      <c r="H430" s="53">
        <f t="shared" si="70"/>
        <v>416</v>
      </c>
      <c r="I430" s="7" cm="1">
        <f t="array" ref="I430">CurrentCapacity(K$9,K$5,K$6,H430)</f>
        <v>269.60383296000003</v>
      </c>
      <c r="J430" s="51">
        <f t="shared" si="71"/>
        <v>0.45082145957138942</v>
      </c>
      <c r="K430" s="5" cm="1">
        <f t="array" ref="K430">UseableCapacity(I430,$K$7,$K$8)</f>
        <v>202.20287472000001</v>
      </c>
      <c r="L430" s="66">
        <f t="shared" si="72"/>
        <v>148.06063947893176</v>
      </c>
      <c r="M430" s="7">
        <f t="shared" si="73"/>
        <v>80.659681238931725</v>
      </c>
      <c r="N430" s="7">
        <f t="shared" si="74"/>
        <v>23.436167039999987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417</v>
      </c>
      <c r="C431" s="7">
        <f t="shared" si="69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66" cm="1">
        <f t="array" ref="F431">estimatedTripDuration(C431,$C$7,$C$6)/60</f>
        <v>14.026666667328941</v>
      </c>
      <c r="G431">
        <f t="shared" si="76"/>
        <v>417</v>
      </c>
      <c r="H431" s="53">
        <f t="shared" si="70"/>
        <v>417</v>
      </c>
      <c r="I431" s="7" cm="1">
        <f t="array" ref="I431">CurrentCapacity(K$9,K$5,K$6,H431)</f>
        <v>269.59328352</v>
      </c>
      <c r="J431" s="51">
        <f t="shared" si="71"/>
        <v>0.45103854596602933</v>
      </c>
      <c r="K431" s="5" cm="1">
        <f t="array" ref="K431">UseableCapacity(I431,$K$7,$K$8)</f>
        <v>202.19496264</v>
      </c>
      <c r="L431" s="66">
        <f t="shared" si="72"/>
        <v>147.9963209189317</v>
      </c>
      <c r="M431" s="7">
        <f t="shared" si="73"/>
        <v>80.598000038931701</v>
      </c>
      <c r="N431" s="7">
        <f t="shared" si="74"/>
        <v>23.446716480000021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418</v>
      </c>
      <c r="C432" s="7">
        <f t="shared" si="69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66" cm="1">
        <f t="array" ref="F432">estimatedTripDuration(C432,$C$7,$C$6)/60</f>
        <v>14.060000000662274</v>
      </c>
      <c r="G432">
        <f t="shared" si="76"/>
        <v>418</v>
      </c>
      <c r="H432" s="53">
        <f t="shared" si="70"/>
        <v>418</v>
      </c>
      <c r="I432" s="7" cm="1">
        <f t="array" ref="I432">CurrentCapacity(K$9,K$5,K$6,H432)</f>
        <v>269.58273408000002</v>
      </c>
      <c r="J432" s="51">
        <f t="shared" si="71"/>
        <v>0.45125564935092549</v>
      </c>
      <c r="K432" s="5" cm="1">
        <f t="array" ref="K432">UseableCapacity(I432,$K$7,$K$8)</f>
        <v>202.18705056000002</v>
      </c>
      <c r="L432" s="66">
        <f t="shared" si="72"/>
        <v>147.93200235893175</v>
      </c>
      <c r="M432" s="7">
        <f t="shared" si="73"/>
        <v>80.536318838931734</v>
      </c>
      <c r="N432" s="7">
        <f t="shared" si="74"/>
        <v>23.457265919999998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419</v>
      </c>
      <c r="C433" s="7">
        <f t="shared" si="69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66" cm="1">
        <f t="array" ref="F433">estimatedTripDuration(C433,$C$7,$C$6)/60</f>
        <v>14.093333333995608</v>
      </c>
      <c r="G433">
        <f t="shared" si="76"/>
        <v>419</v>
      </c>
      <c r="H433" s="53">
        <f t="shared" si="70"/>
        <v>419</v>
      </c>
      <c r="I433" s="7" cm="1">
        <f t="array" ref="I433">CurrentCapacity(K$9,K$5,K$6,H433)</f>
        <v>269.57218464000005</v>
      </c>
      <c r="J433" s="51">
        <f t="shared" si="71"/>
        <v>0.45147276972807299</v>
      </c>
      <c r="K433" s="5" cm="1">
        <f t="array" ref="K433">UseableCapacity(I433,$K$7,$K$8)</f>
        <v>202.17913848000003</v>
      </c>
      <c r="L433" s="66">
        <f t="shared" si="72"/>
        <v>147.86768379893175</v>
      </c>
      <c r="M433" s="7">
        <f t="shared" si="73"/>
        <v>80.474637638931725</v>
      </c>
      <c r="N433" s="7">
        <f t="shared" si="74"/>
        <v>23.467815359999975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420</v>
      </c>
      <c r="C434" s="7">
        <f t="shared" si="69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66" cm="1">
        <f t="array" ref="F434">estimatedTripDuration(C434,$C$7,$C$6)/60</f>
        <v>14.126666667328941</v>
      </c>
      <c r="G434">
        <f t="shared" si="76"/>
        <v>420</v>
      </c>
      <c r="H434" s="53">
        <f t="shared" si="70"/>
        <v>420</v>
      </c>
      <c r="I434" s="7" cm="1">
        <f t="array" ref="I434">CurrentCapacity(K$9,K$5,K$6,H434)</f>
        <v>269.56163520000001</v>
      </c>
      <c r="J434" s="51">
        <f t="shared" si="71"/>
        <v>0.45168990709946655</v>
      </c>
      <c r="K434" s="5" cm="1">
        <f t="array" ref="K434">UseableCapacity(I434,$K$7,$K$8)</f>
        <v>202.17122640000002</v>
      </c>
      <c r="L434" s="66">
        <f t="shared" si="72"/>
        <v>147.80336523893172</v>
      </c>
      <c r="M434" s="7">
        <f t="shared" si="73"/>
        <v>80.41295643893173</v>
      </c>
      <c r="N434" s="7">
        <f t="shared" si="74"/>
        <v>23.478364800000008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421</v>
      </c>
      <c r="C435" s="7">
        <f t="shared" si="69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66" cm="1">
        <f t="array" ref="F435">estimatedTripDuration(C435,$C$7,$C$6)/60</f>
        <v>14.160000000662274</v>
      </c>
      <c r="G435">
        <f t="shared" si="76"/>
        <v>421</v>
      </c>
      <c r="H435" s="53">
        <f t="shared" si="70"/>
        <v>421</v>
      </c>
      <c r="I435" s="7" cm="1">
        <f t="array" ref="I435">CurrentCapacity(K$9,K$5,K$6,H435)</f>
        <v>269.55108576000003</v>
      </c>
      <c r="J435" s="51">
        <f t="shared" si="71"/>
        <v>0.45190706146710152</v>
      </c>
      <c r="K435" s="5" cm="1">
        <f t="array" ref="K435">UseableCapacity(I435,$K$7,$K$8)</f>
        <v>202.16331432000004</v>
      </c>
      <c r="L435" s="66">
        <f t="shared" si="72"/>
        <v>147.73904667893174</v>
      </c>
      <c r="M435" s="7">
        <f t="shared" si="73"/>
        <v>80.351275238931748</v>
      </c>
      <c r="N435" s="7">
        <f t="shared" si="74"/>
        <v>23.488914239999986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422</v>
      </c>
      <c r="C436" s="7">
        <f t="shared" si="69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66" cm="1">
        <f t="array" ref="F436">estimatedTripDuration(C436,$C$7,$C$6)/60</f>
        <v>14.193333333995607</v>
      </c>
      <c r="G436">
        <f t="shared" si="76"/>
        <v>422</v>
      </c>
      <c r="H436" s="53">
        <f t="shared" si="70"/>
        <v>422</v>
      </c>
      <c r="I436" s="7" cm="1">
        <f t="array" ref="I436">CurrentCapacity(K$9,K$5,K$6,H436)</f>
        <v>269.54053632000006</v>
      </c>
      <c r="J436" s="51">
        <f t="shared" si="71"/>
        <v>0.4521242328329737</v>
      </c>
      <c r="K436" s="5" cm="1">
        <f t="array" ref="K436">UseableCapacity(I436,$K$7,$K$8)</f>
        <v>202.15540224000006</v>
      </c>
      <c r="L436" s="66">
        <f t="shared" si="72"/>
        <v>147.67472811893174</v>
      </c>
      <c r="M436" s="7">
        <f t="shared" si="73"/>
        <v>80.289594038931753</v>
      </c>
      <c r="N436" s="7">
        <f t="shared" si="74"/>
        <v>23.499463679999963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423</v>
      </c>
      <c r="C437" s="7">
        <f t="shared" si="69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66" cm="1">
        <f t="array" ref="F437">estimatedTripDuration(C437,$C$7,$C$6)/60</f>
        <v>14.22666666732894</v>
      </c>
      <c r="G437">
        <f t="shared" si="76"/>
        <v>423</v>
      </c>
      <c r="H437" s="53">
        <f t="shared" si="70"/>
        <v>423</v>
      </c>
      <c r="I437" s="7" cm="1">
        <f t="array" ref="I437">CurrentCapacity(K$9,K$5,K$6,H437)</f>
        <v>269.52998688000002</v>
      </c>
      <c r="J437" s="51">
        <f t="shared" si="71"/>
        <v>0.45234142119907889</v>
      </c>
      <c r="K437" s="5" cm="1">
        <f t="array" ref="K437">UseableCapacity(I437,$K$7,$K$8)</f>
        <v>202.14749016000002</v>
      </c>
      <c r="L437" s="66">
        <f t="shared" si="72"/>
        <v>147.61040955893174</v>
      </c>
      <c r="M437" s="7">
        <f t="shared" si="73"/>
        <v>80.227912838931715</v>
      </c>
      <c r="N437" s="7">
        <f t="shared" si="74"/>
        <v>23.510013119999996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424</v>
      </c>
      <c r="C438" s="7">
        <f t="shared" si="69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66" cm="1">
        <f t="array" ref="F438">estimatedTripDuration(C438,$C$7,$C$6)/60</f>
        <v>14.260000000662274</v>
      </c>
      <c r="G438">
        <f t="shared" si="76"/>
        <v>424</v>
      </c>
      <c r="H438" s="53">
        <f t="shared" si="70"/>
        <v>424</v>
      </c>
      <c r="I438" s="7" cm="1">
        <f t="array" ref="I438">CurrentCapacity(K$9,K$5,K$6,H438)</f>
        <v>269.51943744000005</v>
      </c>
      <c r="J438" s="51">
        <f t="shared" si="71"/>
        <v>0.4525586265674133</v>
      </c>
      <c r="K438" s="5" cm="1">
        <f t="array" ref="K438">UseableCapacity(I438,$K$7,$K$8)</f>
        <v>202.13957808000004</v>
      </c>
      <c r="L438" s="66">
        <f t="shared" si="72"/>
        <v>147.54609099893176</v>
      </c>
      <c r="M438" s="7">
        <f t="shared" si="73"/>
        <v>80.166231638931748</v>
      </c>
      <c r="N438" s="7">
        <f t="shared" si="74"/>
        <v>23.520562559999973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425</v>
      </c>
      <c r="C439" s="7">
        <f t="shared" si="69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66" cm="1">
        <f t="array" ref="F439">estimatedTripDuration(C439,$C$7,$C$6)/60</f>
        <v>14.293333333995607</v>
      </c>
      <c r="G439">
        <f t="shared" si="76"/>
        <v>425</v>
      </c>
      <c r="H439" s="53">
        <f t="shared" si="70"/>
        <v>425</v>
      </c>
      <c r="I439" s="7" cm="1">
        <f t="array" ref="I439">CurrentCapacity(K$9,K$5,K$6,H439)</f>
        <v>269.50888800000001</v>
      </c>
      <c r="J439" s="51">
        <f t="shared" si="71"/>
        <v>0.45277584893997364</v>
      </c>
      <c r="K439" s="5" cm="1">
        <f t="array" ref="K439">UseableCapacity(I439,$K$7,$K$8)</f>
        <v>202.131666</v>
      </c>
      <c r="L439" s="66">
        <f t="shared" si="72"/>
        <v>147.48177243893173</v>
      </c>
      <c r="M439" s="7">
        <f t="shared" si="73"/>
        <v>80.10455043893171</v>
      </c>
      <c r="N439" s="7">
        <f t="shared" si="74"/>
        <v>23.531112000000007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426</v>
      </c>
      <c r="C440" s="7">
        <f t="shared" si="69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66" cm="1">
        <f t="array" ref="F440">estimatedTripDuration(C440,$C$7,$C$6)/60</f>
        <v>14.32666666732894</v>
      </c>
      <c r="G440">
        <f t="shared" si="76"/>
        <v>426</v>
      </c>
      <c r="H440" s="53">
        <f t="shared" si="70"/>
        <v>426</v>
      </c>
      <c r="I440" s="7" cm="1">
        <f t="array" ref="I440">CurrentCapacity(K$9,K$5,K$6,H440)</f>
        <v>269.49833856000004</v>
      </c>
      <c r="J440" s="51">
        <f t="shared" si="71"/>
        <v>0.45299308831875668</v>
      </c>
      <c r="K440" s="5" cm="1">
        <f t="array" ref="K440">UseableCapacity(I440,$K$7,$K$8)</f>
        <v>202.12375392000001</v>
      </c>
      <c r="L440" s="66">
        <f t="shared" si="72"/>
        <v>147.41745387893175</v>
      </c>
      <c r="M440" s="7">
        <f t="shared" si="73"/>
        <v>80.042869238931729</v>
      </c>
      <c r="N440" s="7">
        <f t="shared" si="74"/>
        <v>23.541661439999984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427</v>
      </c>
      <c r="C441" s="7">
        <f t="shared" si="69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66" cm="1">
        <f t="array" ref="F441">estimatedTripDuration(C441,$C$7,$C$6)/60</f>
        <v>14.360000000662273</v>
      </c>
      <c r="G441">
        <f t="shared" si="76"/>
        <v>427</v>
      </c>
      <c r="H441" s="53">
        <f t="shared" si="70"/>
        <v>427</v>
      </c>
      <c r="I441" s="7" cm="1">
        <f t="array" ref="I441">CurrentCapacity(K$9,K$5,K$6,H441)</f>
        <v>269.48778912</v>
      </c>
      <c r="J441" s="51">
        <f t="shared" si="71"/>
        <v>0.45321034470575977</v>
      </c>
      <c r="K441" s="5" cm="1">
        <f t="array" ref="K441">UseableCapacity(I441,$K$7,$K$8)</f>
        <v>202.11584184</v>
      </c>
      <c r="L441" s="66">
        <f t="shared" si="72"/>
        <v>147.35313531893172</v>
      </c>
      <c r="M441" s="7">
        <f t="shared" si="73"/>
        <v>79.981188038931705</v>
      </c>
      <c r="N441" s="7">
        <f t="shared" si="74"/>
        <v>23.552210880000018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428</v>
      </c>
      <c r="C442" s="7">
        <f t="shared" si="69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66" cm="1">
        <f t="array" ref="F442">estimatedTripDuration(C442,$C$7,$C$6)/60</f>
        <v>14.393333333995608</v>
      </c>
      <c r="G442">
        <f t="shared" si="76"/>
        <v>428</v>
      </c>
      <c r="H442" s="53">
        <f t="shared" si="70"/>
        <v>428</v>
      </c>
      <c r="I442" s="7" cm="1">
        <f t="array" ref="I442">CurrentCapacity(K$9,K$5,K$6,H442)</f>
        <v>269.47723968000003</v>
      </c>
      <c r="J442" s="51">
        <f t="shared" si="71"/>
        <v>0.45342761810298016</v>
      </c>
      <c r="K442" s="5" cm="1">
        <f t="array" ref="K442">UseableCapacity(I442,$K$7,$K$8)</f>
        <v>202.10792976000002</v>
      </c>
      <c r="L442" s="66">
        <f t="shared" si="72"/>
        <v>147.28881675893172</v>
      </c>
      <c r="M442" s="7">
        <f t="shared" si="73"/>
        <v>79.919506838931724</v>
      </c>
      <c r="N442" s="7">
        <f t="shared" si="74"/>
        <v>23.562760319999995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429</v>
      </c>
      <c r="C443" s="7">
        <f t="shared" si="69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66" cm="1">
        <f t="array" ref="F443">estimatedTripDuration(C443,$C$7,$C$6)/60</f>
        <v>14.42666666732894</v>
      </c>
      <c r="G443">
        <f t="shared" si="76"/>
        <v>429</v>
      </c>
      <c r="H443" s="53">
        <f t="shared" si="70"/>
        <v>429</v>
      </c>
      <c r="I443" s="7" cm="1">
        <f t="array" ref="I443">CurrentCapacity(K$9,K$5,K$6,H443)</f>
        <v>269.46669024000005</v>
      </c>
      <c r="J443" s="51">
        <f t="shared" si="71"/>
        <v>0.45364490851241579</v>
      </c>
      <c r="K443" s="5" cm="1">
        <f t="array" ref="K443">UseableCapacity(I443,$K$7,$K$8)</f>
        <v>202.10001768000004</v>
      </c>
      <c r="L443" s="66">
        <f t="shared" si="72"/>
        <v>147.22449819893174</v>
      </c>
      <c r="M443" s="7">
        <f t="shared" si="73"/>
        <v>79.857825638931729</v>
      </c>
      <c r="N443" s="7">
        <f t="shared" si="74"/>
        <v>23.573309759999972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430</v>
      </c>
      <c r="C444" s="7">
        <f t="shared" si="69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66" cm="1">
        <f t="array" ref="F444">estimatedTripDuration(C444,$C$7,$C$6)/60</f>
        <v>14.460000000662273</v>
      </c>
      <c r="G444">
        <f t="shared" si="76"/>
        <v>430</v>
      </c>
      <c r="H444" s="53">
        <f t="shared" si="70"/>
        <v>430</v>
      </c>
      <c r="I444" s="7" cm="1">
        <f t="array" ref="I444">CurrentCapacity(K$9,K$5,K$6,H444)</f>
        <v>269.45614080000001</v>
      </c>
      <c r="J444" s="51">
        <f t="shared" si="71"/>
        <v>0.45386221593606485</v>
      </c>
      <c r="K444" s="5" cm="1">
        <f t="array" ref="K444">UseableCapacity(I444,$K$7,$K$8)</f>
        <v>202.09210560000002</v>
      </c>
      <c r="L444" s="66">
        <f t="shared" si="72"/>
        <v>147.16017963893171</v>
      </c>
      <c r="M444" s="7">
        <f t="shared" si="73"/>
        <v>79.796144438931719</v>
      </c>
      <c r="N444" s="7">
        <f t="shared" si="74"/>
        <v>23.583859200000006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431</v>
      </c>
      <c r="C445" s="7">
        <f t="shared" si="69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66" cm="1">
        <f t="array" ref="F445">estimatedTripDuration(C445,$C$7,$C$6)/60</f>
        <v>14.493333333995604</v>
      </c>
      <c r="G445">
        <f t="shared" si="76"/>
        <v>431</v>
      </c>
      <c r="H445" s="53">
        <f t="shared" si="70"/>
        <v>431</v>
      </c>
      <c r="I445" s="7" cm="1">
        <f t="array" ref="I445">CurrentCapacity(K$9,K$5,K$6,H445)</f>
        <v>269.44559136000004</v>
      </c>
      <c r="J445" s="51">
        <f t="shared" si="71"/>
        <v>0.45407954037592563</v>
      </c>
      <c r="K445" s="5" cm="1">
        <f t="array" ref="K445">UseableCapacity(I445,$K$7,$K$8)</f>
        <v>202.08419352000004</v>
      </c>
      <c r="L445" s="66">
        <f t="shared" si="72"/>
        <v>147.09586107893176</v>
      </c>
      <c r="M445" s="7">
        <f t="shared" si="73"/>
        <v>79.734463238931752</v>
      </c>
      <c r="N445" s="7">
        <f t="shared" si="74"/>
        <v>23.594408639999983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432</v>
      </c>
      <c r="C446" s="7">
        <f t="shared" si="69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66" cm="1">
        <f t="array" ref="F446">estimatedTripDuration(C446,$C$7,$C$6)/60</f>
        <v>14.526666667328941</v>
      </c>
      <c r="G446">
        <f t="shared" si="76"/>
        <v>432</v>
      </c>
      <c r="H446" s="53">
        <f t="shared" si="70"/>
        <v>432</v>
      </c>
      <c r="I446" s="7" cm="1">
        <f t="array" ref="I446">CurrentCapacity(K$9,K$5,K$6,H446)</f>
        <v>269.43504192</v>
      </c>
      <c r="J446" s="51">
        <f t="shared" si="71"/>
        <v>0.45429688183399713</v>
      </c>
      <c r="K446" s="5" cm="1">
        <f t="array" ref="K446">UseableCapacity(I446,$K$7,$K$8)</f>
        <v>202.07628144</v>
      </c>
      <c r="L446" s="66">
        <f t="shared" si="72"/>
        <v>147.0315425189317</v>
      </c>
      <c r="M446" s="7">
        <f t="shared" si="73"/>
        <v>79.6727820389317</v>
      </c>
      <c r="N446" s="7">
        <f t="shared" si="74"/>
        <v>23.604958080000017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433</v>
      </c>
      <c r="C447" s="7">
        <f t="shared" si="69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66" cm="1">
        <f t="array" ref="F447">estimatedTripDuration(C447,$C$7,$C$6)/60</f>
        <v>14.560000000662276</v>
      </c>
      <c r="G447">
        <f t="shared" si="76"/>
        <v>433</v>
      </c>
      <c r="H447" s="53">
        <f t="shared" si="70"/>
        <v>433</v>
      </c>
      <c r="I447" s="7" cm="1">
        <f t="array" ref="I447">CurrentCapacity(K$9,K$5,K$6,H447)</f>
        <v>269.42449248000003</v>
      </c>
      <c r="J447" s="51">
        <f t="shared" si="71"/>
        <v>0.45451424031227805</v>
      </c>
      <c r="K447" s="5" cm="1">
        <f t="array" ref="K447">UseableCapacity(I447,$K$7,$K$8)</f>
        <v>202.06836936000002</v>
      </c>
      <c r="L447" s="66">
        <f t="shared" si="72"/>
        <v>146.96722395893175</v>
      </c>
      <c r="M447" s="7">
        <f t="shared" si="73"/>
        <v>79.611100838931733</v>
      </c>
      <c r="N447" s="7">
        <f t="shared" si="74"/>
        <v>23.615507519999994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434</v>
      </c>
      <c r="C448" s="7">
        <f t="shared" si="69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66" cm="1">
        <f t="array" ref="F448">estimatedTripDuration(C448,$C$7,$C$6)/60</f>
        <v>14.593333333995608</v>
      </c>
      <c r="G448">
        <f t="shared" si="76"/>
        <v>434</v>
      </c>
      <c r="H448" s="53">
        <f t="shared" si="70"/>
        <v>434</v>
      </c>
      <c r="I448" s="7" cm="1">
        <f t="array" ref="I448">CurrentCapacity(K$9,K$5,K$6,H448)</f>
        <v>269.41394304000005</v>
      </c>
      <c r="J448" s="51">
        <f t="shared" si="71"/>
        <v>0.45473161581276811</v>
      </c>
      <c r="K448" s="5" cm="1">
        <f t="array" ref="K448">UseableCapacity(I448,$K$7,$K$8)</f>
        <v>202.06045728000004</v>
      </c>
      <c r="L448" s="66">
        <f t="shared" si="72"/>
        <v>146.90290539893175</v>
      </c>
      <c r="M448" s="7">
        <f t="shared" si="73"/>
        <v>79.549419638931738</v>
      </c>
      <c r="N448" s="7">
        <f t="shared" si="74"/>
        <v>23.626056959999971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435</v>
      </c>
      <c r="C449" s="7">
        <f t="shared" si="69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66" cm="1">
        <f t="array" ref="F449">estimatedTripDuration(C449,$C$7,$C$6)/60</f>
        <v>14.626666667328941</v>
      </c>
      <c r="G449">
        <f t="shared" si="76"/>
        <v>435</v>
      </c>
      <c r="H449" s="53">
        <f t="shared" si="70"/>
        <v>435</v>
      </c>
      <c r="I449" s="7" cm="1">
        <f t="array" ref="I449">CurrentCapacity(K$9,K$5,K$6,H449)</f>
        <v>269.40339360000002</v>
      </c>
      <c r="J449" s="51">
        <f t="shared" si="71"/>
        <v>0.45494900833746693</v>
      </c>
      <c r="K449" s="5" cm="1">
        <f t="array" ref="K449">UseableCapacity(I449,$K$7,$K$8)</f>
        <v>202.0525452</v>
      </c>
      <c r="L449" s="66">
        <f t="shared" si="72"/>
        <v>146.83858683893172</v>
      </c>
      <c r="M449" s="7">
        <f t="shared" si="73"/>
        <v>79.4877384389317</v>
      </c>
      <c r="N449" s="7">
        <f t="shared" si="74"/>
        <v>23.636606400000005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436</v>
      </c>
      <c r="C450" s="7">
        <f t="shared" si="69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66" cm="1">
        <f t="array" ref="F450">estimatedTripDuration(C450,$C$7,$C$6)/60</f>
        <v>14.660000000662272</v>
      </c>
      <c r="G450">
        <f t="shared" si="76"/>
        <v>436</v>
      </c>
      <c r="H450" s="53">
        <f t="shared" si="70"/>
        <v>436</v>
      </c>
      <c r="I450" s="7" cm="1">
        <f t="array" ref="I450">CurrentCapacity(K$9,K$5,K$6,H450)</f>
        <v>269.39284416000004</v>
      </c>
      <c r="J450" s="51">
        <f t="shared" si="71"/>
        <v>0.45516641788837436</v>
      </c>
      <c r="K450" s="5" cm="1">
        <f t="array" ref="K450">UseableCapacity(I450,$K$7,$K$8)</f>
        <v>202.04463312000001</v>
      </c>
      <c r="L450" s="66">
        <f t="shared" si="72"/>
        <v>146.77426827893174</v>
      </c>
      <c r="M450" s="7">
        <f t="shared" si="73"/>
        <v>79.426057238931719</v>
      </c>
      <c r="N450" s="7">
        <f t="shared" si="74"/>
        <v>23.647155839999982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437</v>
      </c>
      <c r="C451" s="7">
        <f t="shared" si="69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66" cm="1">
        <f t="array" ref="F451">estimatedTripDuration(C451,$C$7,$C$6)/60</f>
        <v>14.693333333995607</v>
      </c>
      <c r="G451">
        <f t="shared" si="76"/>
        <v>437</v>
      </c>
      <c r="H451" s="53">
        <f t="shared" si="70"/>
        <v>437</v>
      </c>
      <c r="I451" s="7" cm="1">
        <f t="array" ref="I451">CurrentCapacity(K$9,K$5,K$6,H451)</f>
        <v>269.38229472000006</v>
      </c>
      <c r="J451" s="51">
        <f t="shared" si="71"/>
        <v>0.45538384446749086</v>
      </c>
      <c r="K451" s="5" cm="1">
        <f t="array" ref="K451">UseableCapacity(I451,$K$7,$K$8)</f>
        <v>202.03672104000003</v>
      </c>
      <c r="L451" s="66">
        <f t="shared" si="72"/>
        <v>146.70994971893177</v>
      </c>
      <c r="M451" s="7">
        <f t="shared" si="73"/>
        <v>79.364376038931738</v>
      </c>
      <c r="N451" s="7">
        <f t="shared" si="74"/>
        <v>23.657705279999959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438</v>
      </c>
      <c r="C452" s="7">
        <f t="shared" si="69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66" cm="1">
        <f t="array" ref="F452">estimatedTripDuration(C452,$C$7,$C$6)/60</f>
        <v>14.726666667328942</v>
      </c>
      <c r="G452">
        <f t="shared" si="76"/>
        <v>438</v>
      </c>
      <c r="H452" s="53">
        <f t="shared" si="70"/>
        <v>438</v>
      </c>
      <c r="I452" s="7" cm="1">
        <f t="array" ref="I452">CurrentCapacity(K$9,K$5,K$6,H452)</f>
        <v>269.37174528000003</v>
      </c>
      <c r="J452" s="51">
        <f t="shared" si="71"/>
        <v>0.45560128807681705</v>
      </c>
      <c r="K452" s="5" cm="1">
        <f t="array" ref="K452">UseableCapacity(I452,$K$7,$K$8)</f>
        <v>202.02880896000002</v>
      </c>
      <c r="L452" s="66">
        <f t="shared" si="72"/>
        <v>146.64563115893174</v>
      </c>
      <c r="M452" s="7">
        <f t="shared" si="73"/>
        <v>79.302694838931743</v>
      </c>
      <c r="N452" s="7">
        <f t="shared" si="74"/>
        <v>23.668254719999993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439</v>
      </c>
      <c r="C453" s="7">
        <f t="shared" si="69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66" cm="1">
        <f t="array" ref="F453">estimatedTripDuration(C453,$C$7,$C$6)/60</f>
        <v>14.760000000662274</v>
      </c>
      <c r="G453">
        <f t="shared" si="76"/>
        <v>439</v>
      </c>
      <c r="H453" s="53">
        <f t="shared" si="70"/>
        <v>439</v>
      </c>
      <c r="I453" s="7" cm="1">
        <f t="array" ref="I453">CurrentCapacity(K$9,K$5,K$6,H453)</f>
        <v>269.36119584000005</v>
      </c>
      <c r="J453" s="51">
        <f t="shared" si="71"/>
        <v>0.45581874871835387</v>
      </c>
      <c r="K453" s="5" cm="1">
        <f t="array" ref="K453">UseableCapacity(I453,$K$7,$K$8)</f>
        <v>202.02089688000004</v>
      </c>
      <c r="L453" s="66">
        <f t="shared" si="72"/>
        <v>146.58131259893176</v>
      </c>
      <c r="M453" s="7">
        <f t="shared" si="73"/>
        <v>79.241013638931747</v>
      </c>
      <c r="N453" s="7">
        <f t="shared" si="74"/>
        <v>23.67880415999997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440</v>
      </c>
      <c r="C454" s="7">
        <f t="shared" si="69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66" cm="1">
        <f t="array" ref="F454">estimatedTripDuration(C454,$C$7,$C$6)/60</f>
        <v>14.793333333995607</v>
      </c>
      <c r="G454">
        <f t="shared" si="76"/>
        <v>440</v>
      </c>
      <c r="H454" s="53">
        <f t="shared" si="70"/>
        <v>440</v>
      </c>
      <c r="I454" s="7" cm="1">
        <f t="array" ref="I454">CurrentCapacity(K$9,K$5,K$6,H454)</f>
        <v>269.35064640000002</v>
      </c>
      <c r="J454" s="51">
        <f t="shared" si="71"/>
        <v>0.45603622639410263</v>
      </c>
      <c r="K454" s="5" cm="1">
        <f t="array" ref="K454">UseableCapacity(I454,$K$7,$K$8)</f>
        <v>202.01298480000003</v>
      </c>
      <c r="L454" s="66">
        <f t="shared" si="72"/>
        <v>146.51699403893173</v>
      </c>
      <c r="M454" s="7">
        <f t="shared" si="73"/>
        <v>79.179332438931738</v>
      </c>
      <c r="N454" s="7">
        <f t="shared" si="74"/>
        <v>23.689353600000004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441</v>
      </c>
      <c r="C455" s="7">
        <f t="shared" si="69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66" cm="1">
        <f t="array" ref="F455">estimatedTripDuration(C455,$C$7,$C$6)/60</f>
        <v>14.826666667328938</v>
      </c>
      <c r="G455">
        <f t="shared" si="76"/>
        <v>441</v>
      </c>
      <c r="H455" s="53">
        <f t="shared" si="70"/>
        <v>441</v>
      </c>
      <c r="I455" s="7" cm="1">
        <f t="array" ref="I455">CurrentCapacity(K$9,K$5,K$6,H455)</f>
        <v>269.34009696000004</v>
      </c>
      <c r="J455" s="51">
        <f t="shared" si="71"/>
        <v>0.45625372110606471</v>
      </c>
      <c r="K455" s="5" cm="1">
        <f t="array" ref="K455">UseableCapacity(I455,$K$7,$K$8)</f>
        <v>202.00507272000004</v>
      </c>
      <c r="L455" s="66">
        <f t="shared" si="72"/>
        <v>146.45267547893175</v>
      </c>
      <c r="M455" s="7">
        <f t="shared" si="73"/>
        <v>79.117651238931757</v>
      </c>
      <c r="N455" s="7">
        <f t="shared" si="74"/>
        <v>23.699903039999981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442</v>
      </c>
      <c r="C456" s="7">
        <f t="shared" si="69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66" cm="1">
        <f t="array" ref="F456">estimatedTripDuration(C456,$C$7,$C$6)/60</f>
        <v>14.860000000662273</v>
      </c>
      <c r="G456">
        <f t="shared" si="76"/>
        <v>442</v>
      </c>
      <c r="H456" s="53">
        <f t="shared" si="70"/>
        <v>442</v>
      </c>
      <c r="I456" s="7" cm="1">
        <f t="array" ref="I456">CurrentCapacity(K$9,K$5,K$6,H456)</f>
        <v>269.32954752000001</v>
      </c>
      <c r="J456" s="51">
        <f t="shared" si="71"/>
        <v>0.4564712328562423</v>
      </c>
      <c r="K456" s="5" cm="1">
        <f t="array" ref="K456">UseableCapacity(I456,$K$7,$K$8)</f>
        <v>201.99716064</v>
      </c>
      <c r="L456" s="66">
        <f t="shared" si="72"/>
        <v>146.38835691893172</v>
      </c>
      <c r="M456" s="7">
        <f t="shared" si="73"/>
        <v>79.055970038931704</v>
      </c>
      <c r="N456" s="7">
        <f t="shared" si="74"/>
        <v>23.710452480000015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443</v>
      </c>
      <c r="C457" s="7">
        <f t="shared" si="69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66" cm="1">
        <f t="array" ref="F457">estimatedTripDuration(C457,$C$7,$C$6)/60</f>
        <v>14.893333333995608</v>
      </c>
      <c r="G457">
        <f t="shared" si="76"/>
        <v>443</v>
      </c>
      <c r="H457" s="53">
        <f t="shared" si="70"/>
        <v>443</v>
      </c>
      <c r="I457" s="7" cm="1">
        <f t="array" ref="I457">CurrentCapacity(K$9,K$5,K$6,H457)</f>
        <v>269.31899808000003</v>
      </c>
      <c r="J457" s="51">
        <f t="shared" si="71"/>
        <v>0.45668876164663724</v>
      </c>
      <c r="K457" s="5" cm="1">
        <f t="array" ref="K457">UseableCapacity(I457,$K$7,$K$8)</f>
        <v>201.98924856000002</v>
      </c>
      <c r="L457" s="66">
        <f t="shared" si="72"/>
        <v>146.32403835893174</v>
      </c>
      <c r="M457" s="7">
        <f t="shared" si="73"/>
        <v>78.994288838931737</v>
      </c>
      <c r="N457" s="7">
        <f t="shared" si="74"/>
        <v>23.721001919999992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444</v>
      </c>
      <c r="C458" s="7">
        <f t="shared" si="69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66" cm="1">
        <f t="array" ref="F458">estimatedTripDuration(C458,$C$7,$C$6)/60</f>
        <v>14.92666666732894</v>
      </c>
      <c r="G458">
        <f t="shared" si="76"/>
        <v>444</v>
      </c>
      <c r="H458" s="53">
        <f t="shared" si="70"/>
        <v>444</v>
      </c>
      <c r="I458" s="7" cm="1">
        <f t="array" ref="I458">CurrentCapacity(K$9,K$5,K$6,H458)</f>
        <v>269.30844864000005</v>
      </c>
      <c r="J458" s="51">
        <f t="shared" si="71"/>
        <v>0.45690630747925237</v>
      </c>
      <c r="K458" s="5" cm="1">
        <f t="array" ref="K458">UseableCapacity(I458,$K$7,$K$8)</f>
        <v>201.98133648000004</v>
      </c>
      <c r="L458" s="66">
        <f t="shared" si="72"/>
        <v>146.25971979893174</v>
      </c>
      <c r="M458" s="7">
        <f t="shared" si="73"/>
        <v>78.932607638931728</v>
      </c>
      <c r="N458" s="7">
        <f t="shared" si="74"/>
        <v>23.731551359999969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445</v>
      </c>
      <c r="C459" s="7">
        <f t="shared" si="69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66" cm="1">
        <f t="array" ref="F459">estimatedTripDuration(C459,$C$7,$C$6)/60</f>
        <v>14.960000000662273</v>
      </c>
      <c r="G459">
        <f t="shared" si="76"/>
        <v>445</v>
      </c>
      <c r="H459" s="53">
        <f t="shared" si="70"/>
        <v>445</v>
      </c>
      <c r="I459" s="7" cm="1">
        <f t="array" ref="I459">CurrentCapacity(K$9,K$5,K$6,H459)</f>
        <v>269.29789920000002</v>
      </c>
      <c r="J459" s="51">
        <f t="shared" si="71"/>
        <v>0.45712387035609031</v>
      </c>
      <c r="K459" s="5" cm="1">
        <f t="array" ref="K459">UseableCapacity(I459,$K$7,$K$8)</f>
        <v>201.9734244</v>
      </c>
      <c r="L459" s="66">
        <f t="shared" si="72"/>
        <v>146.19540123893174</v>
      </c>
      <c r="M459" s="7">
        <f t="shared" si="73"/>
        <v>78.870926438931718</v>
      </c>
      <c r="N459" s="7">
        <f t="shared" si="74"/>
        <v>23.742100800000003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446</v>
      </c>
      <c r="C460" s="7">
        <f t="shared" si="69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66" cm="1">
        <f t="array" ref="F460">estimatedTripDuration(C460,$C$7,$C$6)/60</f>
        <v>14.993333333995604</v>
      </c>
      <c r="G460">
        <f t="shared" si="76"/>
        <v>446</v>
      </c>
      <c r="H460" s="53">
        <f t="shared" si="70"/>
        <v>446</v>
      </c>
      <c r="I460" s="7" cm="1">
        <f t="array" ref="I460">CurrentCapacity(K$9,K$5,K$6,H460)</f>
        <v>269.28734976000004</v>
      </c>
      <c r="J460" s="51">
        <f t="shared" si="71"/>
        <v>0.45734145027915429</v>
      </c>
      <c r="K460" s="5" cm="1">
        <f t="array" ref="K460">UseableCapacity(I460,$K$7,$K$8)</f>
        <v>201.96551232000002</v>
      </c>
      <c r="L460" s="66">
        <f t="shared" si="72"/>
        <v>146.13108267893176</v>
      </c>
      <c r="M460" s="7">
        <f t="shared" si="73"/>
        <v>78.809245238931723</v>
      </c>
      <c r="N460" s="7">
        <f t="shared" si="74"/>
        <v>23.75265023999998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447</v>
      </c>
      <c r="C461" s="7">
        <f t="shared" si="69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66" cm="1">
        <f t="array" ref="F461">estimatedTripDuration(C461,$C$7,$C$6)/60</f>
        <v>15.026666667328941</v>
      </c>
      <c r="G461">
        <f t="shared" si="76"/>
        <v>447</v>
      </c>
      <c r="H461" s="53">
        <f t="shared" si="70"/>
        <v>447</v>
      </c>
      <c r="I461" s="7" cm="1">
        <f t="array" ref="I461">CurrentCapacity(K$9,K$5,K$6,H461)</f>
        <v>269.27680032000006</v>
      </c>
      <c r="J461" s="51">
        <f t="shared" si="71"/>
        <v>0.45755904725044777</v>
      </c>
      <c r="K461" s="5" cm="1">
        <f t="array" ref="K461">UseableCapacity(I461,$K$7,$K$8)</f>
        <v>201.95760024000003</v>
      </c>
      <c r="L461" s="66">
        <f t="shared" si="72"/>
        <v>146.06676411893176</v>
      </c>
      <c r="M461" s="7">
        <f t="shared" si="73"/>
        <v>78.747564038931728</v>
      </c>
      <c r="N461" s="7">
        <f t="shared" si="74"/>
        <v>23.763199679999957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448</v>
      </c>
      <c r="C462" s="7">
        <f t="shared" si="69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66" cm="1">
        <f t="array" ref="F462">estimatedTripDuration(C462,$C$7,$C$6)/60</f>
        <v>15.060000000662276</v>
      </c>
      <c r="G462">
        <f t="shared" si="76"/>
        <v>448</v>
      </c>
      <c r="H462" s="53">
        <f t="shared" si="70"/>
        <v>448</v>
      </c>
      <c r="I462" s="7" cm="1">
        <f t="array" ref="I462">CurrentCapacity(K$9,K$5,K$6,H462)</f>
        <v>269.26625088000003</v>
      </c>
      <c r="J462" s="51">
        <f t="shared" si="71"/>
        <v>0.45777666127197453</v>
      </c>
      <c r="K462" s="5" cm="1">
        <f t="array" ref="K462">UseableCapacity(I462,$K$7,$K$8)</f>
        <v>201.94968816000002</v>
      </c>
      <c r="L462" s="66">
        <f t="shared" si="72"/>
        <v>146.00244555893175</v>
      </c>
      <c r="M462" s="7">
        <f t="shared" si="73"/>
        <v>78.685882838931732</v>
      </c>
      <c r="N462" s="7">
        <f t="shared" si="74"/>
        <v>23.773749119999991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449</v>
      </c>
      <c r="C463" s="7">
        <f t="shared" ref="C463:C526" si="79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66" cm="1">
        <f t="array" ref="F463">estimatedTripDuration(C463,$C$7,$C$6)/60</f>
        <v>15.093333333995608</v>
      </c>
      <c r="G463">
        <f t="shared" si="76"/>
        <v>449</v>
      </c>
      <c r="H463" s="53">
        <f t="shared" ref="H463:H526" si="80">G463/$G$3</f>
        <v>449</v>
      </c>
      <c r="I463" s="7" cm="1">
        <f t="array" ref="I463">CurrentCapacity(K$9,K$5,K$6,H463)</f>
        <v>269.25570144000005</v>
      </c>
      <c r="J463" s="51">
        <f t="shared" ref="J463:J526" si="81">E463/I463</f>
        <v>0.45799429234573863</v>
      </c>
      <c r="K463" s="5" cm="1">
        <f t="array" ref="K463">UseableCapacity(I463,$K$7,$K$8)</f>
        <v>201.94177608000004</v>
      </c>
      <c r="L463" s="66">
        <f t="shared" ref="L463:L526" si="82">(K$7*I463)-E463</f>
        <v>145.93812699893175</v>
      </c>
      <c r="M463" s="7">
        <f t="shared" ref="M463:M526" si="83">K463-E463</f>
        <v>78.624201638931737</v>
      </c>
      <c r="N463" s="7">
        <f t="shared" ref="N463:N526" si="84">$K$9-I463</f>
        <v>23.784298559999968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ref="B464:B527" si="85">B463+$G$11</f>
        <v>450</v>
      </c>
      <c r="C464" s="7">
        <f t="shared" si="79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66" cm="1">
        <f t="array" ref="F464">estimatedTripDuration(C464,$C$7,$C$6)/60</f>
        <v>15.126666667328941</v>
      </c>
      <c r="G464">
        <f t="shared" si="76"/>
        <v>450</v>
      </c>
      <c r="H464" s="53">
        <f t="shared" si="80"/>
        <v>450</v>
      </c>
      <c r="I464" s="7" cm="1">
        <f t="array" ref="I464">CurrentCapacity(K$9,K$5,K$6,H464)</f>
        <v>269.24515200000002</v>
      </c>
      <c r="J464" s="51">
        <f t="shared" si="81"/>
        <v>0.45821194047374453</v>
      </c>
      <c r="K464" s="5" cm="1">
        <f t="array" ref="K464">UseableCapacity(I464,$K$7,$K$8)</f>
        <v>201.93386400000003</v>
      </c>
      <c r="L464" s="66">
        <f t="shared" si="82"/>
        <v>145.87380843893172</v>
      </c>
      <c r="M464" s="7">
        <f t="shared" si="83"/>
        <v>78.562520438931728</v>
      </c>
      <c r="N464" s="7">
        <f t="shared" si="84"/>
        <v>23.794848000000002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si="85"/>
        <v>451</v>
      </c>
      <c r="C465" s="7">
        <f t="shared" si="79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66" cm="1">
        <f t="array" ref="F465">estimatedTripDuration(C465,$C$7,$C$6)/60</f>
        <v>15.160000000662272</v>
      </c>
      <c r="G465">
        <f t="shared" si="76"/>
        <v>451</v>
      </c>
      <c r="H465" s="53">
        <f t="shared" si="80"/>
        <v>451</v>
      </c>
      <c r="I465" s="7" cm="1">
        <f t="array" ref="I465">CurrentCapacity(K$9,K$5,K$6,H465)</f>
        <v>269.23460256000004</v>
      </c>
      <c r="J465" s="51">
        <f t="shared" si="81"/>
        <v>0.45842960565799667</v>
      </c>
      <c r="K465" s="5" cm="1">
        <f t="array" ref="K465">UseableCapacity(I465,$K$7,$K$8)</f>
        <v>201.92595192000005</v>
      </c>
      <c r="L465" s="66">
        <f t="shared" si="82"/>
        <v>145.80948987893174</v>
      </c>
      <c r="M465" s="7">
        <f t="shared" si="83"/>
        <v>78.500839238931761</v>
      </c>
      <c r="N465" s="7">
        <f t="shared" si="84"/>
        <v>23.805397439999979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452</v>
      </c>
      <c r="C466" s="7">
        <f t="shared" si="79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66" cm="1">
        <f t="array" ref="F466">estimatedTripDuration(C466,$C$7,$C$6)/60</f>
        <v>15.193333333995607</v>
      </c>
      <c r="G466">
        <f t="shared" si="76"/>
        <v>452</v>
      </c>
      <c r="H466" s="53">
        <f t="shared" si="80"/>
        <v>452</v>
      </c>
      <c r="I466" s="7" cm="1">
        <f t="array" ref="I466">CurrentCapacity(K$9,K$5,K$6,H466)</f>
        <v>269.22405312000006</v>
      </c>
      <c r="J466" s="51">
        <f t="shared" si="81"/>
        <v>0.45864728790050041</v>
      </c>
      <c r="K466" s="5" cm="1">
        <f t="array" ref="K466">UseableCapacity(I466,$K$7,$K$8)</f>
        <v>201.91803984000006</v>
      </c>
      <c r="L466" s="66">
        <f t="shared" si="82"/>
        <v>145.7451713189318</v>
      </c>
      <c r="M466" s="7">
        <f t="shared" si="83"/>
        <v>78.43915803893178</v>
      </c>
      <c r="N466" s="7">
        <f t="shared" si="84"/>
        <v>23.815946879999956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453</v>
      </c>
      <c r="C467" s="7">
        <f t="shared" si="79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66" cm="1">
        <f t="array" ref="F467">estimatedTripDuration(C467,$C$7,$C$6)/60</f>
        <v>15.226666667328942</v>
      </c>
      <c r="G467">
        <f t="shared" si="76"/>
        <v>453</v>
      </c>
      <c r="H467" s="53">
        <f t="shared" si="80"/>
        <v>453</v>
      </c>
      <c r="I467" s="7" cm="1">
        <f t="array" ref="I467">CurrentCapacity(K$9,K$5,K$6,H467)</f>
        <v>269.21350368000003</v>
      </c>
      <c r="J467" s="51">
        <f t="shared" si="81"/>
        <v>0.45886498720326108</v>
      </c>
      <c r="K467" s="5" cm="1">
        <f t="array" ref="K467">UseableCapacity(I467,$K$7,$K$8)</f>
        <v>201.91012776000002</v>
      </c>
      <c r="L467" s="66">
        <f t="shared" si="82"/>
        <v>145.68085275893174</v>
      </c>
      <c r="M467" s="7">
        <f t="shared" si="83"/>
        <v>78.377476838931727</v>
      </c>
      <c r="N467" s="7">
        <f t="shared" si="84"/>
        <v>23.82649631999999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454</v>
      </c>
      <c r="C468" s="7">
        <f t="shared" si="79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66" cm="1">
        <f t="array" ref="F468">estimatedTripDuration(C468,$C$7,$C$6)/60</f>
        <v>15.260000000662274</v>
      </c>
      <c r="G468">
        <f t="shared" si="76"/>
        <v>454</v>
      </c>
      <c r="H468" s="53">
        <f t="shared" si="80"/>
        <v>454</v>
      </c>
      <c r="I468" s="7" cm="1">
        <f t="array" ref="I468">CurrentCapacity(K$9,K$5,K$6,H468)</f>
        <v>269.20295424000005</v>
      </c>
      <c r="J468" s="51">
        <f t="shared" si="81"/>
        <v>0.45908270356828418</v>
      </c>
      <c r="K468" s="5" cm="1">
        <f t="array" ref="K468">UseableCapacity(I468,$K$7,$K$8)</f>
        <v>201.90221568000004</v>
      </c>
      <c r="L468" s="66">
        <f t="shared" si="82"/>
        <v>145.61653419893173</v>
      </c>
      <c r="M468" s="7">
        <f t="shared" si="83"/>
        <v>78.315795638931732</v>
      </c>
      <c r="N468" s="7">
        <f t="shared" si="84"/>
        <v>23.837045759999967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455</v>
      </c>
      <c r="C469" s="7">
        <f t="shared" si="79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66" cm="1">
        <f t="array" ref="F469">estimatedTripDuration(C469,$C$7,$C$6)/60</f>
        <v>15.293333333995607</v>
      </c>
      <c r="G469">
        <f t="shared" si="76"/>
        <v>455</v>
      </c>
      <c r="H469" s="53">
        <f t="shared" si="80"/>
        <v>455</v>
      </c>
      <c r="I469" s="7" cm="1">
        <f t="array" ref="I469">CurrentCapacity(K$9,K$5,K$6,H469)</f>
        <v>269.19240480000008</v>
      </c>
      <c r="J469" s="51">
        <f t="shared" si="81"/>
        <v>0.45930043699757556</v>
      </c>
      <c r="K469" s="5" cm="1">
        <f t="array" ref="K469">UseableCapacity(I469,$K$7,$K$8)</f>
        <v>201.89430360000006</v>
      </c>
      <c r="L469" s="66">
        <f t="shared" si="82"/>
        <v>145.55221563893178</v>
      </c>
      <c r="M469" s="7">
        <f t="shared" si="83"/>
        <v>78.254114438931765</v>
      </c>
      <c r="N469" s="7">
        <f t="shared" si="84"/>
        <v>23.847595199999944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456</v>
      </c>
      <c r="C470" s="7">
        <f t="shared" si="79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66" cm="1">
        <f t="array" ref="F470">estimatedTripDuration(C470,$C$7,$C$6)/60</f>
        <v>15.326666667328938</v>
      </c>
      <c r="G470">
        <f t="shared" si="76"/>
        <v>456</v>
      </c>
      <c r="H470" s="53">
        <f t="shared" si="80"/>
        <v>456</v>
      </c>
      <c r="I470" s="7" cm="1">
        <f t="array" ref="I470">CurrentCapacity(K$9,K$5,K$6,H470)</f>
        <v>269.18185536000004</v>
      </c>
      <c r="J470" s="51">
        <f t="shared" si="81"/>
        <v>0.45951818749314183</v>
      </c>
      <c r="K470" s="5" cm="1">
        <f t="array" ref="K470">UseableCapacity(I470,$K$7,$K$8)</f>
        <v>201.88639152000002</v>
      </c>
      <c r="L470" s="66">
        <f t="shared" si="82"/>
        <v>145.48789707893175</v>
      </c>
      <c r="M470" s="7">
        <f t="shared" si="83"/>
        <v>78.192433238931727</v>
      </c>
      <c r="N470" s="7">
        <f t="shared" si="84"/>
        <v>23.858144639999978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457</v>
      </c>
      <c r="C471" s="7">
        <f t="shared" si="79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66" cm="1">
        <f t="array" ref="F471">estimatedTripDuration(C471,$C$7,$C$6)/60</f>
        <v>15.360000000662273</v>
      </c>
      <c r="G471">
        <f t="shared" si="76"/>
        <v>457</v>
      </c>
      <c r="H471" s="53">
        <f t="shared" si="80"/>
        <v>457</v>
      </c>
      <c r="I471" s="7" cm="1">
        <f t="array" ref="I471">CurrentCapacity(K$9,K$5,K$6,H471)</f>
        <v>269.17130592000001</v>
      </c>
      <c r="J471" s="51">
        <f t="shared" si="81"/>
        <v>0.45973595505698955</v>
      </c>
      <c r="K471" s="5" cm="1">
        <f t="array" ref="K471">UseableCapacity(I471,$K$7,$K$8)</f>
        <v>201.87847944000001</v>
      </c>
      <c r="L471" s="66">
        <f t="shared" si="82"/>
        <v>145.42357851893172</v>
      </c>
      <c r="M471" s="7">
        <f t="shared" si="83"/>
        <v>78.130752038931703</v>
      </c>
      <c r="N471" s="7">
        <f t="shared" si="84"/>
        <v>23.868694080000012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458</v>
      </c>
      <c r="C472" s="7">
        <f t="shared" si="79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66" cm="1">
        <f t="array" ref="F472">estimatedTripDuration(C472,$C$7,$C$6)/60</f>
        <v>15.393333333995608</v>
      </c>
      <c r="G472">
        <f t="shared" si="76"/>
        <v>458</v>
      </c>
      <c r="H472" s="53">
        <f t="shared" si="80"/>
        <v>458</v>
      </c>
      <c r="I472" s="7" cm="1">
        <f t="array" ref="I472">CurrentCapacity(K$9,K$5,K$6,H472)</f>
        <v>269.16075648000003</v>
      </c>
      <c r="J472" s="51">
        <f t="shared" si="81"/>
        <v>0.45995373969112524</v>
      </c>
      <c r="K472" s="5" cm="1">
        <f t="array" ref="K472">UseableCapacity(I472,$K$7,$K$8)</f>
        <v>201.87056736000002</v>
      </c>
      <c r="L472" s="66">
        <f t="shared" si="82"/>
        <v>145.35925995893174</v>
      </c>
      <c r="M472" s="7">
        <f t="shared" si="83"/>
        <v>78.069070838931736</v>
      </c>
      <c r="N472" s="7">
        <f t="shared" si="84"/>
        <v>23.879243519999989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459</v>
      </c>
      <c r="C473" s="7">
        <f t="shared" si="79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66" cm="1">
        <f t="array" ref="F473">estimatedTripDuration(C473,$C$7,$C$6)/60</f>
        <v>15.42666666732894</v>
      </c>
      <c r="G473">
        <f t="shared" si="76"/>
        <v>459</v>
      </c>
      <c r="H473" s="53">
        <f t="shared" si="80"/>
        <v>459</v>
      </c>
      <c r="I473" s="7" cm="1">
        <f t="array" ref="I473">CurrentCapacity(K$9,K$5,K$6,H473)</f>
        <v>269.15020704000005</v>
      </c>
      <c r="J473" s="51">
        <f t="shared" si="81"/>
        <v>0.46017154139755656</v>
      </c>
      <c r="K473" s="5" cm="1">
        <f t="array" ref="K473">UseableCapacity(I473,$K$7,$K$8)</f>
        <v>201.86265528000004</v>
      </c>
      <c r="L473" s="66">
        <f t="shared" si="82"/>
        <v>145.29494139893177</v>
      </c>
      <c r="M473" s="7">
        <f t="shared" si="83"/>
        <v>78.007389638931741</v>
      </c>
      <c r="N473" s="7">
        <f t="shared" si="84"/>
        <v>23.889792959999966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460</v>
      </c>
      <c r="C474" s="7">
        <f t="shared" si="79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66" cm="1">
        <f t="array" ref="F474">estimatedTripDuration(C474,$C$7,$C$6)/60</f>
        <v>15.460000000662273</v>
      </c>
      <c r="G474">
        <f t="shared" si="76"/>
        <v>460</v>
      </c>
      <c r="H474" s="53">
        <f t="shared" si="80"/>
        <v>460</v>
      </c>
      <c r="I474" s="7" cm="1">
        <f t="array" ref="I474">CurrentCapacity(K$9,K$5,K$6,H474)</f>
        <v>269.13965760000002</v>
      </c>
      <c r="J474" s="51">
        <f t="shared" si="81"/>
        <v>0.46038936017829085</v>
      </c>
      <c r="K474" s="5" cm="1">
        <f t="array" ref="K474">UseableCapacity(I474,$K$7,$K$8)</f>
        <v>201.85474320000003</v>
      </c>
      <c r="L474" s="66">
        <f t="shared" si="82"/>
        <v>145.23062283893174</v>
      </c>
      <c r="M474" s="7">
        <f t="shared" si="83"/>
        <v>77.945708438931746</v>
      </c>
      <c r="N474" s="7">
        <f t="shared" si="84"/>
        <v>23.9003424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461</v>
      </c>
      <c r="C475" s="7">
        <f t="shared" si="79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66" cm="1">
        <f t="array" ref="F475">estimatedTripDuration(C475,$C$7,$C$6)/60</f>
        <v>15.493333333995604</v>
      </c>
      <c r="G475">
        <f t="shared" si="76"/>
        <v>461</v>
      </c>
      <c r="H475" s="53">
        <f t="shared" si="80"/>
        <v>461</v>
      </c>
      <c r="I475" s="7" cm="1">
        <f t="array" ref="I475">CurrentCapacity(K$9,K$5,K$6,H475)</f>
        <v>269.12910816000004</v>
      </c>
      <c r="J475" s="51">
        <f t="shared" si="81"/>
        <v>0.46060719603533601</v>
      </c>
      <c r="K475" s="5" cm="1">
        <f t="array" ref="K475">UseableCapacity(I475,$K$7,$K$8)</f>
        <v>201.84683112000005</v>
      </c>
      <c r="L475" s="66">
        <f t="shared" si="82"/>
        <v>145.16630427893176</v>
      </c>
      <c r="M475" s="7">
        <f t="shared" si="83"/>
        <v>77.884027238931765</v>
      </c>
      <c r="N475" s="7">
        <f t="shared" si="84"/>
        <v>23.910891839999977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462</v>
      </c>
      <c r="C476" s="7">
        <f t="shared" si="79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66" cm="1">
        <f t="array" ref="F476">estimatedTripDuration(C476,$C$7,$C$6)/60</f>
        <v>15.526666667328941</v>
      </c>
      <c r="G476">
        <f t="shared" si="76"/>
        <v>462</v>
      </c>
      <c r="H476" s="53">
        <f t="shared" si="80"/>
        <v>462</v>
      </c>
      <c r="I476" s="7" cm="1">
        <f t="array" ref="I476">CurrentCapacity(K$9,K$5,K$6,H476)</f>
        <v>269.11855872000007</v>
      </c>
      <c r="J476" s="51">
        <f t="shared" si="81"/>
        <v>0.46082504897070026</v>
      </c>
      <c r="K476" s="5" cm="1">
        <f t="array" ref="K476">UseableCapacity(I476,$K$7,$K$8)</f>
        <v>201.83891904000006</v>
      </c>
      <c r="L476" s="66">
        <f t="shared" si="82"/>
        <v>145.10198571893176</v>
      </c>
      <c r="M476" s="7">
        <f t="shared" si="83"/>
        <v>77.822346038931755</v>
      </c>
      <c r="N476" s="7">
        <f t="shared" si="84"/>
        <v>23.921441279999954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463</v>
      </c>
      <c r="C477" s="7">
        <f t="shared" si="79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66" cm="1">
        <f t="array" ref="F477">estimatedTripDuration(C477,$C$7,$C$6)/60</f>
        <v>15.560000000662276</v>
      </c>
      <c r="G477">
        <f t="shared" si="76"/>
        <v>463</v>
      </c>
      <c r="H477" s="53">
        <f t="shared" si="80"/>
        <v>463</v>
      </c>
      <c r="I477" s="7" cm="1">
        <f t="array" ref="I477">CurrentCapacity(K$9,K$5,K$6,H477)</f>
        <v>269.10800928000003</v>
      </c>
      <c r="J477" s="51">
        <f t="shared" si="81"/>
        <v>0.46104291898639205</v>
      </c>
      <c r="K477" s="5" cm="1">
        <f t="array" ref="K477">UseableCapacity(I477,$K$7,$K$8)</f>
        <v>201.83100696000002</v>
      </c>
      <c r="L477" s="66">
        <f t="shared" si="82"/>
        <v>145.03766715893175</v>
      </c>
      <c r="M477" s="7">
        <f t="shared" si="83"/>
        <v>77.760664838931731</v>
      </c>
      <c r="N477" s="7">
        <f t="shared" si="84"/>
        <v>23.931990719999988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464</v>
      </c>
      <c r="C478" s="7">
        <f t="shared" si="79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66" cm="1">
        <f t="array" ref="F478">estimatedTripDuration(C478,$C$7,$C$6)/60</f>
        <v>15.593333333995608</v>
      </c>
      <c r="G478">
        <f t="shared" si="76"/>
        <v>464</v>
      </c>
      <c r="H478" s="53">
        <f t="shared" si="80"/>
        <v>464</v>
      </c>
      <c r="I478" s="7" cm="1">
        <f t="array" ref="I478">CurrentCapacity(K$9,K$5,K$6,H478)</f>
        <v>269.09745984</v>
      </c>
      <c r="J478" s="51">
        <f t="shared" si="81"/>
        <v>0.46126080608442022</v>
      </c>
      <c r="K478" s="5" cm="1">
        <f t="array" ref="K478">UseableCapacity(I478,$K$7,$K$8)</f>
        <v>201.82309487999999</v>
      </c>
      <c r="L478" s="66">
        <f t="shared" si="82"/>
        <v>144.97334859893169</v>
      </c>
      <c r="M478" s="7">
        <f t="shared" si="83"/>
        <v>77.698983638931693</v>
      </c>
      <c r="N478" s="7">
        <f t="shared" si="84"/>
        <v>23.942540160000021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465</v>
      </c>
      <c r="C479" s="7">
        <f t="shared" si="79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66" cm="1">
        <f t="array" ref="F479">estimatedTripDuration(C479,$C$7,$C$6)/60</f>
        <v>15.626666667328941</v>
      </c>
      <c r="G479">
        <f t="shared" ref="G479:G542" si="86">B479</f>
        <v>465</v>
      </c>
      <c r="H479" s="53">
        <f t="shared" si="80"/>
        <v>465</v>
      </c>
      <c r="I479" s="7" cm="1">
        <f t="array" ref="I479">CurrentCapacity(K$9,K$5,K$6,H479)</f>
        <v>269.08691040000002</v>
      </c>
      <c r="J479" s="51">
        <f t="shared" si="81"/>
        <v>0.46147871026679371</v>
      </c>
      <c r="K479" s="5" cm="1">
        <f t="array" ref="K479">UseableCapacity(I479,$K$7,$K$8)</f>
        <v>201.8151828</v>
      </c>
      <c r="L479" s="66">
        <f t="shared" si="82"/>
        <v>144.90903003893175</v>
      </c>
      <c r="M479" s="7">
        <f t="shared" si="83"/>
        <v>77.637302438931712</v>
      </c>
      <c r="N479" s="7">
        <f t="shared" si="84"/>
        <v>23.953089599999998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35">
      <c r="B480">
        <f t="shared" si="85"/>
        <v>466</v>
      </c>
      <c r="C480" s="7">
        <f t="shared" si="79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66" cm="1">
        <f t="array" ref="F480">estimatedTripDuration(C480,$C$7,$C$6)/60</f>
        <v>15.660000000662272</v>
      </c>
      <c r="G480">
        <f t="shared" si="86"/>
        <v>466</v>
      </c>
      <c r="H480" s="53">
        <f t="shared" si="80"/>
        <v>466</v>
      </c>
      <c r="I480" s="7" cm="1">
        <f t="array" ref="I480">CurrentCapacity(K$9,K$5,K$6,H480)</f>
        <v>269.07636096000004</v>
      </c>
      <c r="J480" s="51">
        <f t="shared" si="81"/>
        <v>0.4616966315355221</v>
      </c>
      <c r="K480" s="5" cm="1">
        <f t="array" ref="K480">UseableCapacity(I480,$K$7,$K$8)</f>
        <v>201.80727072000002</v>
      </c>
      <c r="L480" s="66">
        <f t="shared" si="82"/>
        <v>144.84471147893174</v>
      </c>
      <c r="M480" s="7">
        <f t="shared" si="83"/>
        <v>77.575621238931731</v>
      </c>
      <c r="N480" s="7">
        <f t="shared" si="84"/>
        <v>23.963639039999975</v>
      </c>
      <c r="O480" t="str">
        <f t="shared" si="87"/>
        <v>no</v>
      </c>
      <c r="P480" t="str">
        <f t="shared" si="88"/>
        <v>no</v>
      </c>
    </row>
    <row r="481" spans="2:16" x14ac:dyDescent="0.35">
      <c r="B481">
        <f t="shared" si="85"/>
        <v>467</v>
      </c>
      <c r="C481" s="7">
        <f t="shared" si="79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66" cm="1">
        <f t="array" ref="F481">estimatedTripDuration(C481,$C$7,$C$6)/60</f>
        <v>15.693333333995607</v>
      </c>
      <c r="G481">
        <f t="shared" si="86"/>
        <v>467</v>
      </c>
      <c r="H481" s="53">
        <f t="shared" si="80"/>
        <v>467</v>
      </c>
      <c r="I481" s="7" cm="1">
        <f t="array" ref="I481">CurrentCapacity(K$9,K$5,K$6,H481)</f>
        <v>269.06581152000001</v>
      </c>
      <c r="J481" s="51">
        <f t="shared" si="81"/>
        <v>0.46191456989261526</v>
      </c>
      <c r="K481" s="5" cm="1">
        <f t="array" ref="K481">UseableCapacity(I481,$K$7,$K$8)</f>
        <v>201.79935864000001</v>
      </c>
      <c r="L481" s="66">
        <f t="shared" si="82"/>
        <v>144.78039291893174</v>
      </c>
      <c r="M481" s="7">
        <f t="shared" si="83"/>
        <v>77.513940038931722</v>
      </c>
      <c r="N481" s="7">
        <f t="shared" si="84"/>
        <v>23.974188480000009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468</v>
      </c>
      <c r="C482" s="7">
        <f t="shared" si="79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66" cm="1">
        <f t="array" ref="F482">estimatedTripDuration(C482,$C$7,$C$6)/60</f>
        <v>15.726666667328942</v>
      </c>
      <c r="G482">
        <f t="shared" si="86"/>
        <v>468</v>
      </c>
      <c r="H482" s="53">
        <f t="shared" si="80"/>
        <v>468</v>
      </c>
      <c r="I482" s="7" cm="1">
        <f t="array" ref="I482">CurrentCapacity(K$9,K$5,K$6,H482)</f>
        <v>269.05526208000003</v>
      </c>
      <c r="J482" s="51">
        <f t="shared" si="81"/>
        <v>0.46213252534008298</v>
      </c>
      <c r="K482" s="5" cm="1">
        <f t="array" ref="K482">UseableCapacity(I482,$K$7,$K$8)</f>
        <v>201.79144656000003</v>
      </c>
      <c r="L482" s="66">
        <f t="shared" si="82"/>
        <v>144.71607435893173</v>
      </c>
      <c r="M482" s="7">
        <f t="shared" si="83"/>
        <v>77.452258838931741</v>
      </c>
      <c r="N482" s="7">
        <f t="shared" si="84"/>
        <v>23.984737919999986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469</v>
      </c>
      <c r="C483" s="7">
        <f t="shared" si="79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66" cm="1">
        <f t="array" ref="F483">estimatedTripDuration(C483,$C$7,$C$6)/60</f>
        <v>15.760000000662274</v>
      </c>
      <c r="G483">
        <f t="shared" si="86"/>
        <v>469</v>
      </c>
      <c r="H483" s="53">
        <f t="shared" si="80"/>
        <v>469</v>
      </c>
      <c r="I483" s="7" cm="1">
        <f t="array" ref="I483">CurrentCapacity(K$9,K$5,K$6,H483)</f>
        <v>269.04471264000006</v>
      </c>
      <c r="J483" s="51">
        <f t="shared" si="81"/>
        <v>0.46235049787993593</v>
      </c>
      <c r="K483" s="5" cm="1">
        <f t="array" ref="K483">UseableCapacity(I483,$K$7,$K$8)</f>
        <v>201.78353448000004</v>
      </c>
      <c r="L483" s="66">
        <f t="shared" si="82"/>
        <v>144.65175579893173</v>
      </c>
      <c r="M483" s="7">
        <f t="shared" si="83"/>
        <v>77.390577638931731</v>
      </c>
      <c r="N483" s="7">
        <f t="shared" si="84"/>
        <v>23.995287359999963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470</v>
      </c>
      <c r="C484" s="7">
        <f t="shared" si="79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66" cm="1">
        <f t="array" ref="F484">estimatedTripDuration(C484,$C$7,$C$6)/60</f>
        <v>15.793333333995607</v>
      </c>
      <c r="G484">
        <f t="shared" si="86"/>
        <v>470</v>
      </c>
      <c r="H484" s="53">
        <f t="shared" si="80"/>
        <v>470</v>
      </c>
      <c r="I484" s="7" cm="1">
        <f t="array" ref="I484">CurrentCapacity(K$9,K$5,K$6,H484)</f>
        <v>269.03416320000002</v>
      </c>
      <c r="J484" s="51">
        <f t="shared" si="81"/>
        <v>0.4625684875141845</v>
      </c>
      <c r="K484" s="5" cm="1">
        <f t="array" ref="K484">UseableCapacity(I484,$K$7,$K$8)</f>
        <v>201.77562240000003</v>
      </c>
      <c r="L484" s="66">
        <f t="shared" si="82"/>
        <v>144.58743723893173</v>
      </c>
      <c r="M484" s="7">
        <f t="shared" si="83"/>
        <v>77.32889643893175</v>
      </c>
      <c r="N484" s="7">
        <f t="shared" si="84"/>
        <v>24.005836799999997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471</v>
      </c>
      <c r="C485" s="7">
        <f t="shared" si="79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66" cm="1">
        <f t="array" ref="F485">estimatedTripDuration(C485,$C$7,$C$6)/60</f>
        <v>15.826666667328938</v>
      </c>
      <c r="G485">
        <f t="shared" si="86"/>
        <v>471</v>
      </c>
      <c r="H485" s="53">
        <f t="shared" si="80"/>
        <v>471</v>
      </c>
      <c r="I485" s="7" cm="1">
        <f t="array" ref="I485">CurrentCapacity(K$9,K$5,K$6,H485)</f>
        <v>269.02361376000005</v>
      </c>
      <c r="J485" s="51">
        <f t="shared" si="81"/>
        <v>0.46278649424483992</v>
      </c>
      <c r="K485" s="5" cm="1">
        <f t="array" ref="K485">UseableCapacity(I485,$K$7,$K$8)</f>
        <v>201.76771032000005</v>
      </c>
      <c r="L485" s="66">
        <f t="shared" si="82"/>
        <v>144.52311867893175</v>
      </c>
      <c r="M485" s="7">
        <f t="shared" si="83"/>
        <v>77.267215238931755</v>
      </c>
      <c r="N485" s="7">
        <f t="shared" si="84"/>
        <v>24.016386239999974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472</v>
      </c>
      <c r="C486" s="7">
        <f t="shared" si="79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66" cm="1">
        <f t="array" ref="F486">estimatedTripDuration(C486,$C$7,$C$6)/60</f>
        <v>15.860000000662273</v>
      </c>
      <c r="G486">
        <f t="shared" si="86"/>
        <v>472</v>
      </c>
      <c r="H486" s="53">
        <f t="shared" si="80"/>
        <v>472</v>
      </c>
      <c r="I486" s="7" cm="1">
        <f t="array" ref="I486">CurrentCapacity(K$9,K$5,K$6,H486)</f>
        <v>269.01306432000001</v>
      </c>
      <c r="J486" s="51">
        <f t="shared" si="81"/>
        <v>0.46300451807391352</v>
      </c>
      <c r="K486" s="5" cm="1">
        <f t="array" ref="K486">UseableCapacity(I486,$K$7,$K$8)</f>
        <v>201.75979824000001</v>
      </c>
      <c r="L486" s="66">
        <f t="shared" si="82"/>
        <v>144.45880011893172</v>
      </c>
      <c r="M486" s="7">
        <f t="shared" si="83"/>
        <v>77.205534038931702</v>
      </c>
      <c r="N486" s="7">
        <f t="shared" si="84"/>
        <v>24.026935680000008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473</v>
      </c>
      <c r="C487" s="7">
        <f t="shared" si="79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66" cm="1">
        <f t="array" ref="F487">estimatedTripDuration(C487,$C$7,$C$6)/60</f>
        <v>15.893333333995608</v>
      </c>
      <c r="G487">
        <f t="shared" si="86"/>
        <v>473</v>
      </c>
      <c r="H487" s="53">
        <f t="shared" si="80"/>
        <v>473</v>
      </c>
      <c r="I487" s="7" cm="1">
        <f t="array" ref="I487">CurrentCapacity(K$9,K$5,K$6,H487)</f>
        <v>269.00251488000004</v>
      </c>
      <c r="J487" s="51">
        <f t="shared" si="81"/>
        <v>0.46322255900341669</v>
      </c>
      <c r="K487" s="5" cm="1">
        <f t="array" ref="K487">UseableCapacity(I487,$K$7,$K$8)</f>
        <v>201.75188616000003</v>
      </c>
      <c r="L487" s="66">
        <f t="shared" si="82"/>
        <v>144.39448155893174</v>
      </c>
      <c r="M487" s="7">
        <f t="shared" si="83"/>
        <v>77.143852838931736</v>
      </c>
      <c r="N487" s="7">
        <f t="shared" si="84"/>
        <v>24.037485119999985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474</v>
      </c>
      <c r="C488" s="7">
        <f t="shared" si="79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66" cm="1">
        <f t="array" ref="F488">estimatedTripDuration(C488,$C$7,$C$6)/60</f>
        <v>15.92666666732894</v>
      </c>
      <c r="G488">
        <f t="shared" si="86"/>
        <v>474</v>
      </c>
      <c r="H488" s="53">
        <f t="shared" si="80"/>
        <v>474</v>
      </c>
      <c r="I488" s="7" cm="1">
        <f t="array" ref="I488">CurrentCapacity(K$9,K$5,K$6,H488)</f>
        <v>268.99196544000006</v>
      </c>
      <c r="J488" s="51">
        <f t="shared" si="81"/>
        <v>0.46344061703536166</v>
      </c>
      <c r="K488" s="5" cm="1">
        <f t="array" ref="K488">UseableCapacity(I488,$K$7,$K$8)</f>
        <v>201.74397408000004</v>
      </c>
      <c r="L488" s="66">
        <f t="shared" si="82"/>
        <v>144.33016299893177</v>
      </c>
      <c r="M488" s="7">
        <f t="shared" si="83"/>
        <v>77.08217163893174</v>
      </c>
      <c r="N488" s="7">
        <f t="shared" si="84"/>
        <v>24.048034559999962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475</v>
      </c>
      <c r="C489" s="7">
        <f t="shared" si="79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66" cm="1">
        <f t="array" ref="F489">estimatedTripDuration(C489,$C$7,$C$6)/60</f>
        <v>15.960000000662273</v>
      </c>
      <c r="G489">
        <f t="shared" si="86"/>
        <v>475</v>
      </c>
      <c r="H489" s="53">
        <f t="shared" si="80"/>
        <v>475</v>
      </c>
      <c r="I489" s="7" cm="1">
        <f t="array" ref="I489">CurrentCapacity(K$9,K$5,K$6,H489)</f>
        <v>268.98141600000002</v>
      </c>
      <c r="J489" s="51">
        <f t="shared" si="81"/>
        <v>0.46365869217176064</v>
      </c>
      <c r="K489" s="5" cm="1">
        <f t="array" ref="K489">UseableCapacity(I489,$K$7,$K$8)</f>
        <v>201.736062</v>
      </c>
      <c r="L489" s="66">
        <f t="shared" si="82"/>
        <v>144.26584443893171</v>
      </c>
      <c r="M489" s="7">
        <f t="shared" si="83"/>
        <v>77.020490438931702</v>
      </c>
      <c r="N489" s="7">
        <f t="shared" si="84"/>
        <v>24.058583999999996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476</v>
      </c>
      <c r="C490" s="7">
        <f t="shared" si="79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66" cm="1">
        <f t="array" ref="F490">estimatedTripDuration(C490,$C$7,$C$6)/60</f>
        <v>15.993333333995604</v>
      </c>
      <c r="G490">
        <f t="shared" si="86"/>
        <v>476</v>
      </c>
      <c r="H490" s="53">
        <f t="shared" si="80"/>
        <v>476</v>
      </c>
      <c r="I490" s="7" cm="1">
        <f t="array" ref="I490">CurrentCapacity(K$9,K$5,K$6,H490)</f>
        <v>268.97086656000005</v>
      </c>
      <c r="J490" s="51">
        <f t="shared" si="81"/>
        <v>0.46387678441462604</v>
      </c>
      <c r="K490" s="5" cm="1">
        <f t="array" ref="K490">UseableCapacity(I490,$K$7,$K$8)</f>
        <v>201.72814992000002</v>
      </c>
      <c r="L490" s="66">
        <f t="shared" si="82"/>
        <v>144.20152587893176</v>
      </c>
      <c r="M490" s="7">
        <f t="shared" si="83"/>
        <v>76.958809238931735</v>
      </c>
      <c r="N490" s="7">
        <f t="shared" si="84"/>
        <v>24.069133439999973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477</v>
      </c>
      <c r="C491" s="7">
        <f t="shared" si="79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66" cm="1">
        <f t="array" ref="F491">estimatedTripDuration(C491,$C$7,$C$6)/60</f>
        <v>16.026666667328939</v>
      </c>
      <c r="G491">
        <f t="shared" si="86"/>
        <v>477</v>
      </c>
      <c r="H491" s="53">
        <f t="shared" si="80"/>
        <v>477</v>
      </c>
      <c r="I491" s="7" cm="1">
        <f t="array" ref="I491">CurrentCapacity(K$9,K$5,K$6,H491)</f>
        <v>268.96031712000007</v>
      </c>
      <c r="J491" s="51">
        <f t="shared" si="81"/>
        <v>0.46409489376597091</v>
      </c>
      <c r="K491" s="5" cm="1">
        <f t="array" ref="K491">UseableCapacity(I491,$K$7,$K$8)</f>
        <v>201.72023784000004</v>
      </c>
      <c r="L491" s="66">
        <f t="shared" si="82"/>
        <v>144.13720731893179</v>
      </c>
      <c r="M491" s="7">
        <f t="shared" si="83"/>
        <v>76.897128038931754</v>
      </c>
      <c r="N491" s="7">
        <f t="shared" si="84"/>
        <v>24.07968287999995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478</v>
      </c>
      <c r="C492" s="7">
        <f t="shared" si="79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66" cm="1">
        <f t="array" ref="F492">estimatedTripDuration(C492,$C$7,$C$6)/60</f>
        <v>16.060000000662274</v>
      </c>
      <c r="G492">
        <f t="shared" si="86"/>
        <v>478</v>
      </c>
      <c r="H492" s="53">
        <f t="shared" si="80"/>
        <v>478</v>
      </c>
      <c r="I492" s="7" cm="1">
        <f t="array" ref="I492">CurrentCapacity(K$9,K$5,K$6,H492)</f>
        <v>268.94976768000004</v>
      </c>
      <c r="J492" s="51">
        <f t="shared" si="81"/>
        <v>0.46431302022780868</v>
      </c>
      <c r="K492" s="5" cm="1">
        <f t="array" ref="K492">UseableCapacity(I492,$K$7,$K$8)</f>
        <v>201.71232576000003</v>
      </c>
      <c r="L492" s="66">
        <f t="shared" si="82"/>
        <v>144.07288875893175</v>
      </c>
      <c r="M492" s="7">
        <f t="shared" si="83"/>
        <v>76.83544683893173</v>
      </c>
      <c r="N492" s="7">
        <f t="shared" si="84"/>
        <v>24.090232319999984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479</v>
      </c>
      <c r="C493" s="7">
        <f t="shared" si="79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66" cm="1">
        <f t="array" ref="F493">estimatedTripDuration(C493,$C$7,$C$6)/60</f>
        <v>16.093333333995606</v>
      </c>
      <c r="G493">
        <f t="shared" si="86"/>
        <v>479</v>
      </c>
      <c r="H493" s="53">
        <f t="shared" si="80"/>
        <v>479</v>
      </c>
      <c r="I493" s="7" cm="1">
        <f t="array" ref="I493">CurrentCapacity(K$9,K$5,K$6,H493)</f>
        <v>268.93921824</v>
      </c>
      <c r="J493" s="51">
        <f t="shared" si="81"/>
        <v>0.46453116380215254</v>
      </c>
      <c r="K493" s="5" cm="1">
        <f t="array" ref="K493">UseableCapacity(I493,$K$7,$K$8)</f>
        <v>201.70441368000002</v>
      </c>
      <c r="L493" s="66">
        <f t="shared" si="82"/>
        <v>144.00857019893169</v>
      </c>
      <c r="M493" s="7">
        <f t="shared" si="83"/>
        <v>76.773765638931721</v>
      </c>
      <c r="N493" s="7">
        <f t="shared" si="84"/>
        <v>24.100781760000018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480</v>
      </c>
      <c r="C494" s="7">
        <f t="shared" si="79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66" cm="1">
        <f t="array" ref="F494">estimatedTripDuration(C494,$C$7,$C$6)/60</f>
        <v>16.126666667328941</v>
      </c>
      <c r="G494">
        <f t="shared" si="86"/>
        <v>480</v>
      </c>
      <c r="H494" s="53">
        <f t="shared" si="80"/>
        <v>480</v>
      </c>
      <c r="I494" s="7" cm="1">
        <f t="array" ref="I494">CurrentCapacity(K$9,K$5,K$6,H494)</f>
        <v>268.92866880000003</v>
      </c>
      <c r="J494" s="51">
        <f t="shared" si="81"/>
        <v>0.46474932449101641</v>
      </c>
      <c r="K494" s="5" cm="1">
        <f t="array" ref="K494">UseableCapacity(I494,$K$7,$K$8)</f>
        <v>201.69650160000003</v>
      </c>
      <c r="L494" s="66">
        <f t="shared" si="82"/>
        <v>143.94425163893175</v>
      </c>
      <c r="M494" s="7">
        <f t="shared" si="83"/>
        <v>76.71208443893174</v>
      </c>
      <c r="N494" s="7">
        <f t="shared" si="84"/>
        <v>24.111331199999995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481</v>
      </c>
      <c r="C495" s="7">
        <f t="shared" si="79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66" cm="1">
        <f t="array" ref="F495">estimatedTripDuration(C495,$C$7,$C$6)/60</f>
        <v>16.160000000662272</v>
      </c>
      <c r="G495">
        <f t="shared" si="86"/>
        <v>481</v>
      </c>
      <c r="H495" s="53">
        <f t="shared" si="80"/>
        <v>481</v>
      </c>
      <c r="I495" s="7" cm="1">
        <f t="array" ref="I495">CurrentCapacity(K$9,K$5,K$6,H495)</f>
        <v>268.91811936000005</v>
      </c>
      <c r="J495" s="51">
        <f t="shared" si="81"/>
        <v>0.46496750229641448</v>
      </c>
      <c r="K495" s="5" cm="1">
        <f t="array" ref="K495">UseableCapacity(I495,$K$7,$K$8)</f>
        <v>201.68858952000005</v>
      </c>
      <c r="L495" s="66">
        <f t="shared" si="82"/>
        <v>143.87993307893174</v>
      </c>
      <c r="M495" s="7">
        <f t="shared" si="83"/>
        <v>76.650403238931759</v>
      </c>
      <c r="N495" s="7">
        <f t="shared" si="84"/>
        <v>24.121880639999972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482</v>
      </c>
      <c r="C496" s="7">
        <f t="shared" si="79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66" cm="1">
        <f t="array" ref="F496">estimatedTripDuration(C496,$C$7,$C$6)/60</f>
        <v>16.193333333995607</v>
      </c>
      <c r="G496">
        <f t="shared" si="86"/>
        <v>482</v>
      </c>
      <c r="H496" s="53">
        <f t="shared" si="80"/>
        <v>482</v>
      </c>
      <c r="I496" s="7" cm="1">
        <f t="array" ref="I496">CurrentCapacity(K$9,K$5,K$6,H496)</f>
        <v>268.90756992000001</v>
      </c>
      <c r="J496" s="51">
        <f t="shared" si="81"/>
        <v>0.46518569722036146</v>
      </c>
      <c r="K496" s="5" cm="1">
        <f t="array" ref="K496">UseableCapacity(I496,$K$7,$K$8)</f>
        <v>201.68067744000001</v>
      </c>
      <c r="L496" s="66">
        <f t="shared" si="82"/>
        <v>143.81561451893171</v>
      </c>
      <c r="M496" s="7">
        <f t="shared" si="83"/>
        <v>76.588722038931706</v>
      </c>
      <c r="N496" s="7">
        <f t="shared" si="84"/>
        <v>24.132430080000006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483</v>
      </c>
      <c r="C497" s="7">
        <f t="shared" si="79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66" cm="1">
        <f t="array" ref="F497">estimatedTripDuration(C497,$C$7,$C$6)/60</f>
        <v>16.226666667328942</v>
      </c>
      <c r="G497">
        <f t="shared" si="86"/>
        <v>483</v>
      </c>
      <c r="H497" s="53">
        <f t="shared" si="80"/>
        <v>483</v>
      </c>
      <c r="I497" s="7" cm="1">
        <f t="array" ref="I497">CurrentCapacity(K$9,K$5,K$6,H497)</f>
        <v>268.89702048000004</v>
      </c>
      <c r="J497" s="51">
        <f t="shared" si="81"/>
        <v>0.46540390926487174</v>
      </c>
      <c r="K497" s="5" cm="1">
        <f t="array" ref="K497">UseableCapacity(I497,$K$7,$K$8)</f>
        <v>201.67276536000003</v>
      </c>
      <c r="L497" s="66">
        <f t="shared" si="82"/>
        <v>143.75129595893173</v>
      </c>
      <c r="M497" s="7">
        <f t="shared" si="83"/>
        <v>76.52704083893174</v>
      </c>
      <c r="N497" s="7">
        <f t="shared" si="84"/>
        <v>24.142979519999983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484</v>
      </c>
      <c r="C498" s="7">
        <f t="shared" si="79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66" cm="1">
        <f t="array" ref="F498">estimatedTripDuration(C498,$C$7,$C$6)/60</f>
        <v>16.260000000662274</v>
      </c>
      <c r="G498">
        <f t="shared" si="86"/>
        <v>484</v>
      </c>
      <c r="H498" s="53">
        <f t="shared" si="80"/>
        <v>484</v>
      </c>
      <c r="I498" s="7" cm="1">
        <f t="array" ref="I498">CurrentCapacity(K$9,K$5,K$6,H498)</f>
        <v>268.88647104000006</v>
      </c>
      <c r="J498" s="51">
        <f t="shared" si="81"/>
        <v>0.46562213843196071</v>
      </c>
      <c r="K498" s="5" cm="1">
        <f t="array" ref="K498">UseableCapacity(I498,$K$7,$K$8)</f>
        <v>201.66485328000005</v>
      </c>
      <c r="L498" s="66">
        <f t="shared" si="82"/>
        <v>143.68697739893176</v>
      </c>
      <c r="M498" s="7">
        <f t="shared" si="83"/>
        <v>76.465359638931744</v>
      </c>
      <c r="N498" s="7">
        <f t="shared" si="84"/>
        <v>24.15352895999996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485</v>
      </c>
      <c r="C499" s="7">
        <f t="shared" si="79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66" cm="1">
        <f t="array" ref="F499">estimatedTripDuration(C499,$C$7,$C$6)/60</f>
        <v>16.293333333995609</v>
      </c>
      <c r="G499">
        <f t="shared" si="86"/>
        <v>485</v>
      </c>
      <c r="H499" s="53">
        <f t="shared" si="80"/>
        <v>485</v>
      </c>
      <c r="I499" s="7" cm="1">
        <f t="array" ref="I499">CurrentCapacity(K$9,K$5,K$6,H499)</f>
        <v>268.87592160000003</v>
      </c>
      <c r="J499" s="51">
        <f t="shared" si="81"/>
        <v>0.46584038472364375</v>
      </c>
      <c r="K499" s="5" cm="1">
        <f t="array" ref="K499">UseableCapacity(I499,$K$7,$K$8)</f>
        <v>201.65694120000001</v>
      </c>
      <c r="L499" s="66">
        <f t="shared" si="82"/>
        <v>143.62265883893173</v>
      </c>
      <c r="M499" s="7">
        <f t="shared" si="83"/>
        <v>76.403678438931721</v>
      </c>
      <c r="N499" s="7">
        <f t="shared" si="84"/>
        <v>24.164078399999994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486</v>
      </c>
      <c r="C500" s="7">
        <f t="shared" si="79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66" cm="1">
        <f t="array" ref="F500">estimatedTripDuration(C500,$C$7,$C$6)/60</f>
        <v>16.32666666732894</v>
      </c>
      <c r="G500">
        <f t="shared" si="86"/>
        <v>486</v>
      </c>
      <c r="H500" s="53">
        <f t="shared" si="80"/>
        <v>486</v>
      </c>
      <c r="I500" s="7" cm="1">
        <f t="array" ref="I500">CurrentCapacity(K$9,K$5,K$6,H500)</f>
        <v>268.86537216000005</v>
      </c>
      <c r="J500" s="51">
        <f t="shared" si="81"/>
        <v>0.46605864814193654</v>
      </c>
      <c r="K500" s="5" cm="1">
        <f t="array" ref="K500">UseableCapacity(I500,$K$7,$K$8)</f>
        <v>201.64902912000002</v>
      </c>
      <c r="L500" s="66">
        <f t="shared" si="82"/>
        <v>143.55834027893178</v>
      </c>
      <c r="M500" s="7">
        <f t="shared" si="83"/>
        <v>76.341997238931739</v>
      </c>
      <c r="N500" s="7">
        <f t="shared" si="84"/>
        <v>24.174627839999971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487</v>
      </c>
      <c r="C501" s="7">
        <f t="shared" si="79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66" cm="1">
        <f t="array" ref="F501">estimatedTripDuration(C501,$C$7,$C$6)/60</f>
        <v>16.360000000662275</v>
      </c>
      <c r="G501">
        <f t="shared" si="86"/>
        <v>487</v>
      </c>
      <c r="H501" s="53">
        <f t="shared" si="80"/>
        <v>487</v>
      </c>
      <c r="I501" s="7" cm="1">
        <f t="array" ref="I501">CurrentCapacity(K$9,K$5,K$6,H501)</f>
        <v>268.85482272000002</v>
      </c>
      <c r="J501" s="51">
        <f t="shared" si="81"/>
        <v>0.4662769286888554</v>
      </c>
      <c r="K501" s="5" cm="1">
        <f t="array" ref="K501">UseableCapacity(I501,$K$7,$K$8)</f>
        <v>201.64111704000001</v>
      </c>
      <c r="L501" s="66">
        <f t="shared" si="82"/>
        <v>143.49402171893172</v>
      </c>
      <c r="M501" s="7">
        <f t="shared" si="83"/>
        <v>76.280316038931701</v>
      </c>
      <c r="N501" s="7">
        <f t="shared" si="84"/>
        <v>24.185177280000005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488</v>
      </c>
      <c r="C502" s="7">
        <f t="shared" si="79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66" cm="1">
        <f t="array" ref="F502">estimatedTripDuration(C502,$C$7,$C$6)/60</f>
        <v>16.39333333399561</v>
      </c>
      <c r="G502">
        <f t="shared" si="86"/>
        <v>488</v>
      </c>
      <c r="H502" s="53">
        <f t="shared" si="80"/>
        <v>488</v>
      </c>
      <c r="I502" s="7" cm="1">
        <f t="array" ref="I502">CurrentCapacity(K$9,K$5,K$6,H502)</f>
        <v>268.84427328000004</v>
      </c>
      <c r="J502" s="51">
        <f t="shared" si="81"/>
        <v>0.46649522636641627</v>
      </c>
      <c r="K502" s="5" cm="1">
        <f t="array" ref="K502">UseableCapacity(I502,$K$7,$K$8)</f>
        <v>201.63320496000003</v>
      </c>
      <c r="L502" s="66">
        <f t="shared" si="82"/>
        <v>143.42970315893174</v>
      </c>
      <c r="M502" s="7">
        <f t="shared" si="83"/>
        <v>76.218634838931735</v>
      </c>
      <c r="N502" s="7">
        <f t="shared" si="84"/>
        <v>24.195726719999982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489</v>
      </c>
      <c r="C503" s="7">
        <f t="shared" si="79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66" cm="1">
        <f t="array" ref="F503">estimatedTripDuration(C503,$C$7,$C$6)/60</f>
        <v>16.426666667328941</v>
      </c>
      <c r="G503">
        <f t="shared" si="86"/>
        <v>489</v>
      </c>
      <c r="H503" s="53">
        <f t="shared" si="80"/>
        <v>489</v>
      </c>
      <c r="I503" s="7" cm="1">
        <f t="array" ref="I503">CurrentCapacity(K$9,K$5,K$6,H503)</f>
        <v>268.83372384000006</v>
      </c>
      <c r="J503" s="51">
        <f t="shared" si="81"/>
        <v>0.46671354117663616</v>
      </c>
      <c r="K503" s="5" cm="1">
        <f t="array" ref="K503">UseableCapacity(I503,$K$7,$K$8)</f>
        <v>201.62529288000005</v>
      </c>
      <c r="L503" s="66">
        <f t="shared" si="82"/>
        <v>143.36538459893177</v>
      </c>
      <c r="M503" s="7">
        <f t="shared" si="83"/>
        <v>76.156953638931739</v>
      </c>
      <c r="N503" s="7">
        <f t="shared" si="84"/>
        <v>24.206276159999959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490</v>
      </c>
      <c r="C504" s="7">
        <f t="shared" si="79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66" cm="1">
        <f t="array" ref="F504">estimatedTripDuration(C504,$C$7,$C$6)/60</f>
        <v>16.460000000662273</v>
      </c>
      <c r="G504">
        <f t="shared" si="86"/>
        <v>490</v>
      </c>
      <c r="H504" s="53">
        <f t="shared" si="80"/>
        <v>490</v>
      </c>
      <c r="I504" s="7" cm="1">
        <f t="array" ref="I504">CurrentCapacity(K$9,K$5,K$6,H504)</f>
        <v>268.82317440000003</v>
      </c>
      <c r="J504" s="51">
        <f t="shared" si="81"/>
        <v>0.46693187312153206</v>
      </c>
      <c r="K504" s="5" cm="1">
        <f t="array" ref="K504">UseableCapacity(I504,$K$7,$K$8)</f>
        <v>201.61738080000003</v>
      </c>
      <c r="L504" s="66">
        <f t="shared" si="82"/>
        <v>143.30106603893174</v>
      </c>
      <c r="M504" s="7">
        <f t="shared" si="83"/>
        <v>76.095272438931744</v>
      </c>
      <c r="N504" s="7">
        <f t="shared" si="84"/>
        <v>24.216825599999993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491</v>
      </c>
      <c r="C505" s="7">
        <f t="shared" si="79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66" cm="1">
        <f t="array" ref="F505">estimatedTripDuration(C505,$C$7,$C$6)/60</f>
        <v>16.493333333995604</v>
      </c>
      <c r="G505">
        <f t="shared" si="86"/>
        <v>491</v>
      </c>
      <c r="H505" s="53">
        <f t="shared" si="80"/>
        <v>491</v>
      </c>
      <c r="I505" s="7" cm="1">
        <f t="array" ref="I505">CurrentCapacity(K$9,K$5,K$6,H505)</f>
        <v>268.81262496000005</v>
      </c>
      <c r="J505" s="51">
        <f t="shared" si="81"/>
        <v>0.46715022220312108</v>
      </c>
      <c r="K505" s="5" cm="1">
        <f t="array" ref="K505">UseableCapacity(I505,$K$7,$K$8)</f>
        <v>201.60946872000005</v>
      </c>
      <c r="L505" s="66">
        <f t="shared" si="82"/>
        <v>143.23674747893176</v>
      </c>
      <c r="M505" s="7">
        <f t="shared" si="83"/>
        <v>76.033591238931777</v>
      </c>
      <c r="N505" s="7">
        <f t="shared" si="84"/>
        <v>24.22737503999997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492</v>
      </c>
      <c r="C506" s="7">
        <f t="shared" si="79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66" cm="1">
        <f t="array" ref="F506">estimatedTripDuration(C506,$C$7,$C$6)/60</f>
        <v>16.526666667328939</v>
      </c>
      <c r="G506">
        <f t="shared" si="86"/>
        <v>492</v>
      </c>
      <c r="H506" s="53">
        <f t="shared" si="80"/>
        <v>492</v>
      </c>
      <c r="I506" s="7" cm="1">
        <f t="array" ref="I506">CurrentCapacity(K$9,K$5,K$6,H506)</f>
        <v>268.80207552000007</v>
      </c>
      <c r="J506" s="51">
        <f t="shared" si="81"/>
        <v>0.46736858842342116</v>
      </c>
      <c r="K506" s="5" cm="1">
        <f t="array" ref="K506">UseableCapacity(I506,$K$7,$K$8)</f>
        <v>201.60155664000007</v>
      </c>
      <c r="L506" s="66">
        <f t="shared" si="82"/>
        <v>143.17242891893179</v>
      </c>
      <c r="M506" s="7">
        <f t="shared" si="83"/>
        <v>75.971910038931782</v>
      </c>
      <c r="N506" s="7">
        <f t="shared" si="84"/>
        <v>24.237924479999947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493</v>
      </c>
      <c r="C507" s="7">
        <f t="shared" si="79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66" cm="1">
        <f t="array" ref="F507">estimatedTripDuration(C507,$C$7,$C$6)/60</f>
        <v>16.560000000662274</v>
      </c>
      <c r="G507">
        <f t="shared" si="86"/>
        <v>493</v>
      </c>
      <c r="H507" s="53">
        <f t="shared" si="80"/>
        <v>493</v>
      </c>
      <c r="I507" s="7" cm="1">
        <f t="array" ref="I507">CurrentCapacity(K$9,K$5,K$6,H507)</f>
        <v>268.79152608000004</v>
      </c>
      <c r="J507" s="51">
        <f t="shared" si="81"/>
        <v>0.46758697178445019</v>
      </c>
      <c r="K507" s="5" cm="1">
        <f t="array" ref="K507">UseableCapacity(I507,$K$7,$K$8)</f>
        <v>201.59364456000003</v>
      </c>
      <c r="L507" s="66">
        <f t="shared" si="82"/>
        <v>143.10811035893175</v>
      </c>
      <c r="M507" s="7">
        <f t="shared" si="83"/>
        <v>75.910228838931744</v>
      </c>
      <c r="N507" s="7">
        <f t="shared" si="84"/>
        <v>24.248473919999981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494</v>
      </c>
      <c r="C508" s="7">
        <f t="shared" si="79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66" cm="1">
        <f t="array" ref="F508">estimatedTripDuration(C508,$C$7,$C$6)/60</f>
        <v>16.593333333995606</v>
      </c>
      <c r="G508">
        <f t="shared" si="86"/>
        <v>494</v>
      </c>
      <c r="H508" s="53">
        <f t="shared" si="80"/>
        <v>494</v>
      </c>
      <c r="I508" s="7" cm="1">
        <f t="array" ref="I508">CurrentCapacity(K$9,K$5,K$6,H508)</f>
        <v>268.78097664000001</v>
      </c>
      <c r="J508" s="51">
        <f t="shared" si="81"/>
        <v>0.46780537228822644</v>
      </c>
      <c r="K508" s="5" cm="1">
        <f t="array" ref="K508">UseableCapacity(I508,$K$7,$K$8)</f>
        <v>201.58573247999999</v>
      </c>
      <c r="L508" s="66">
        <f t="shared" si="82"/>
        <v>143.04379179893169</v>
      </c>
      <c r="M508" s="7">
        <f t="shared" si="83"/>
        <v>75.848547638931691</v>
      </c>
      <c r="N508" s="7">
        <f t="shared" si="84"/>
        <v>24.259023360000015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495</v>
      </c>
      <c r="C509" s="7">
        <f t="shared" si="79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66" cm="1">
        <f t="array" ref="F509">estimatedTripDuration(C509,$C$7,$C$6)/60</f>
        <v>16.626666667328941</v>
      </c>
      <c r="G509">
        <f t="shared" si="86"/>
        <v>495</v>
      </c>
      <c r="H509" s="53">
        <f t="shared" si="80"/>
        <v>495</v>
      </c>
      <c r="I509" s="7" cm="1">
        <f t="array" ref="I509">CurrentCapacity(K$9,K$5,K$6,H509)</f>
        <v>268.77042720000003</v>
      </c>
      <c r="J509" s="51">
        <f t="shared" si="81"/>
        <v>0.4680237899367683</v>
      </c>
      <c r="K509" s="5" cm="1">
        <f t="array" ref="K509">UseableCapacity(I509,$K$7,$K$8)</f>
        <v>201.57782040000001</v>
      </c>
      <c r="L509" s="66">
        <f t="shared" si="82"/>
        <v>142.97947323893175</v>
      </c>
      <c r="M509" s="7">
        <f t="shared" si="83"/>
        <v>75.786866438931725</v>
      </c>
      <c r="N509" s="7">
        <f t="shared" si="84"/>
        <v>24.269572799999992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496</v>
      </c>
      <c r="C510" s="7">
        <f t="shared" si="79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66" cm="1">
        <f t="array" ref="F510">estimatedTripDuration(C510,$C$7,$C$6)/60</f>
        <v>16.660000000662272</v>
      </c>
      <c r="G510">
        <f t="shared" si="86"/>
        <v>496</v>
      </c>
      <c r="H510" s="53">
        <f t="shared" si="80"/>
        <v>496</v>
      </c>
      <c r="I510" s="7" cm="1">
        <f t="array" ref="I510">CurrentCapacity(K$9,K$5,K$6,H510)</f>
        <v>268.75987776000005</v>
      </c>
      <c r="J510" s="51">
        <f t="shared" si="81"/>
        <v>0.46824222473209487</v>
      </c>
      <c r="K510" s="5" cm="1">
        <f t="array" ref="K510">UseableCapacity(I510,$K$7,$K$8)</f>
        <v>201.56990832000002</v>
      </c>
      <c r="L510" s="66">
        <f t="shared" si="82"/>
        <v>142.91515467893174</v>
      </c>
      <c r="M510" s="7">
        <f t="shared" si="83"/>
        <v>75.725185238931729</v>
      </c>
      <c r="N510" s="7">
        <f t="shared" si="84"/>
        <v>24.280122239999969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497</v>
      </c>
      <c r="C511" s="7">
        <f t="shared" si="79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66" cm="1">
        <f t="array" ref="F511">estimatedTripDuration(C511,$C$7,$C$6)/60</f>
        <v>16.693333333995607</v>
      </c>
      <c r="G511">
        <f t="shared" si="86"/>
        <v>497</v>
      </c>
      <c r="H511" s="53">
        <f t="shared" si="80"/>
        <v>497</v>
      </c>
      <c r="I511" s="7" cm="1">
        <f t="array" ref="I511">CurrentCapacity(K$9,K$5,K$6,H511)</f>
        <v>268.74932832000002</v>
      </c>
      <c r="J511" s="51">
        <f t="shared" si="81"/>
        <v>0.46846067667622554</v>
      </c>
      <c r="K511" s="5" cm="1">
        <f t="array" ref="K511">UseableCapacity(I511,$K$7,$K$8)</f>
        <v>201.56199624000001</v>
      </c>
      <c r="L511" s="66">
        <f t="shared" si="82"/>
        <v>142.85083611893171</v>
      </c>
      <c r="M511" s="7">
        <f t="shared" si="83"/>
        <v>75.663504038931706</v>
      </c>
      <c r="N511" s="7">
        <f t="shared" si="84"/>
        <v>24.290671680000003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498</v>
      </c>
      <c r="C512" s="7">
        <f t="shared" si="79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66" cm="1">
        <f t="array" ref="F512">estimatedTripDuration(C512,$C$7,$C$6)/60</f>
        <v>16.726666667328942</v>
      </c>
      <c r="G512">
        <f t="shared" si="86"/>
        <v>498</v>
      </c>
      <c r="H512" s="53">
        <f t="shared" si="80"/>
        <v>498</v>
      </c>
      <c r="I512" s="7" cm="1">
        <f t="array" ref="I512">CurrentCapacity(K$9,K$5,K$6,H512)</f>
        <v>268.73877888000004</v>
      </c>
      <c r="J512" s="51">
        <f t="shared" si="81"/>
        <v>0.46867914577117942</v>
      </c>
      <c r="K512" s="5" cm="1">
        <f t="array" ref="K512">UseableCapacity(I512,$K$7,$K$8)</f>
        <v>201.55408416000003</v>
      </c>
      <c r="L512" s="66">
        <f t="shared" si="82"/>
        <v>142.78651755893173</v>
      </c>
      <c r="M512" s="7">
        <f t="shared" si="83"/>
        <v>75.601822838931739</v>
      </c>
      <c r="N512" s="7">
        <f t="shared" si="84"/>
        <v>24.30122111999998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499</v>
      </c>
      <c r="C513" s="7">
        <f t="shared" si="79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66" cm="1">
        <f t="array" ref="F513">estimatedTripDuration(C513,$C$7,$C$6)/60</f>
        <v>16.760000000662274</v>
      </c>
      <c r="G513">
        <f t="shared" si="86"/>
        <v>499</v>
      </c>
      <c r="H513" s="53">
        <f t="shared" si="80"/>
        <v>499</v>
      </c>
      <c r="I513" s="7" cm="1">
        <f t="array" ref="I513">CurrentCapacity(K$9,K$5,K$6,H513)</f>
        <v>268.72822944000006</v>
      </c>
      <c r="J513" s="51">
        <f t="shared" si="81"/>
        <v>0.46889763201897677</v>
      </c>
      <c r="K513" s="5" cm="1">
        <f t="array" ref="K513">UseableCapacity(I513,$K$7,$K$8)</f>
        <v>201.54617208000005</v>
      </c>
      <c r="L513" s="66">
        <f t="shared" si="82"/>
        <v>142.72219899893176</v>
      </c>
      <c r="M513" s="7">
        <f t="shared" si="83"/>
        <v>75.540141638931743</v>
      </c>
      <c r="N513" s="7">
        <f t="shared" si="84"/>
        <v>24.311770559999957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500</v>
      </c>
      <c r="C514" s="7">
        <f t="shared" si="79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66" cm="1">
        <f t="array" ref="F514">estimatedTripDuration(C514,$C$7,$C$6)/60</f>
        <v>16.793333333995609</v>
      </c>
      <c r="G514">
        <f t="shared" si="86"/>
        <v>500</v>
      </c>
      <c r="H514" s="53">
        <f t="shared" si="80"/>
        <v>500</v>
      </c>
      <c r="I514" s="7" cm="1">
        <f t="array" ref="I514">CurrentCapacity(K$9,K$5,K$6,H514)</f>
        <v>268.71768000000003</v>
      </c>
      <c r="J514" s="51">
        <f t="shared" si="81"/>
        <v>0.4691161354216376</v>
      </c>
      <c r="K514" s="5" cm="1">
        <f t="array" ref="K514">UseableCapacity(I514,$K$7,$K$8)</f>
        <v>201.53826000000004</v>
      </c>
      <c r="L514" s="66">
        <f t="shared" si="82"/>
        <v>142.65788043893173</v>
      </c>
      <c r="M514" s="7">
        <f t="shared" si="83"/>
        <v>75.478460438931748</v>
      </c>
      <c r="N514" s="7">
        <f t="shared" si="84"/>
        <v>24.322319999999991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501</v>
      </c>
      <c r="C515" s="7">
        <f t="shared" si="79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66" cm="1">
        <f t="array" ref="F515">estimatedTripDuration(C515,$C$7,$C$6)/60</f>
        <v>16.82666666732894</v>
      </c>
      <c r="G515">
        <f t="shared" si="86"/>
        <v>501</v>
      </c>
      <c r="H515" s="53">
        <f t="shared" si="80"/>
        <v>501</v>
      </c>
      <c r="I515" s="7" cm="1">
        <f t="array" ref="I515">CurrentCapacity(K$9,K$5,K$6,H515)</f>
        <v>268.70713056</v>
      </c>
      <c r="J515" s="51">
        <f t="shared" si="81"/>
        <v>0.46933465598118251</v>
      </c>
      <c r="K515" s="5" cm="1">
        <f t="array" ref="K515">UseableCapacity(I515,$K$7,$K$8)</f>
        <v>201.53034792</v>
      </c>
      <c r="L515" s="66">
        <f t="shared" si="82"/>
        <v>142.59356187893172</v>
      </c>
      <c r="M515" s="7">
        <f t="shared" si="83"/>
        <v>75.41677923893171</v>
      </c>
      <c r="N515" s="7">
        <f t="shared" si="84"/>
        <v>24.332869440000024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502</v>
      </c>
      <c r="C516" s="7">
        <f t="shared" si="79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66" cm="1">
        <f t="array" ref="F516">estimatedTripDuration(C516,$C$7,$C$6)/60</f>
        <v>16.860000000662275</v>
      </c>
      <c r="G516">
        <f t="shared" si="86"/>
        <v>502</v>
      </c>
      <c r="H516" s="53">
        <f t="shared" si="80"/>
        <v>502</v>
      </c>
      <c r="I516" s="7" cm="1">
        <f t="array" ref="I516">CurrentCapacity(K$9,K$5,K$6,H516)</f>
        <v>268.69658112000002</v>
      </c>
      <c r="J516" s="51">
        <f t="shared" si="81"/>
        <v>0.46955319369963217</v>
      </c>
      <c r="K516" s="5" cm="1">
        <f t="array" ref="K516">UseableCapacity(I516,$K$7,$K$8)</f>
        <v>201.52243584000001</v>
      </c>
      <c r="L516" s="66">
        <f t="shared" si="82"/>
        <v>142.52924331893172</v>
      </c>
      <c r="M516" s="7">
        <f t="shared" si="83"/>
        <v>75.355098038931715</v>
      </c>
      <c r="N516" s="7">
        <f t="shared" si="84"/>
        <v>24.343418880000002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503</v>
      </c>
      <c r="C517" s="7">
        <f t="shared" si="79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66" cm="1">
        <f t="array" ref="F517">estimatedTripDuration(C517,$C$7,$C$6)/60</f>
        <v>16.89333333399561</v>
      </c>
      <c r="G517">
        <f t="shared" si="86"/>
        <v>503</v>
      </c>
      <c r="H517" s="53">
        <f t="shared" si="80"/>
        <v>503</v>
      </c>
      <c r="I517" s="7" cm="1">
        <f t="array" ref="I517">CurrentCapacity(K$9,K$5,K$6,H517)</f>
        <v>268.68603168000004</v>
      </c>
      <c r="J517" s="51">
        <f t="shared" si="81"/>
        <v>0.46977174857900778</v>
      </c>
      <c r="K517" s="5" cm="1">
        <f t="array" ref="K517">UseableCapacity(I517,$K$7,$K$8)</f>
        <v>201.51452376000003</v>
      </c>
      <c r="L517" s="66">
        <f t="shared" si="82"/>
        <v>142.46492475893174</v>
      </c>
      <c r="M517" s="7">
        <f t="shared" si="83"/>
        <v>75.293416838931734</v>
      </c>
      <c r="N517" s="7">
        <f t="shared" si="84"/>
        <v>24.353968319999979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504</v>
      </c>
      <c r="C518" s="7">
        <f t="shared" si="79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66" cm="1">
        <f t="array" ref="F518">estimatedTripDuration(C518,$C$7,$C$6)/60</f>
        <v>16.926666667328941</v>
      </c>
      <c r="G518">
        <f t="shared" si="86"/>
        <v>504</v>
      </c>
      <c r="H518" s="53">
        <f t="shared" si="80"/>
        <v>504</v>
      </c>
      <c r="I518" s="7" cm="1">
        <f t="array" ref="I518">CurrentCapacity(K$9,K$5,K$6,H518)</f>
        <v>268.67548224000001</v>
      </c>
      <c r="J518" s="51">
        <f t="shared" si="81"/>
        <v>0.46999032062133089</v>
      </c>
      <c r="K518" s="5" cm="1">
        <f t="array" ref="K518">UseableCapacity(I518,$K$7,$K$8)</f>
        <v>201.50661167999999</v>
      </c>
      <c r="L518" s="66">
        <f t="shared" si="82"/>
        <v>142.40060619893171</v>
      </c>
      <c r="M518" s="7">
        <f t="shared" si="83"/>
        <v>75.231735638931696</v>
      </c>
      <c r="N518" s="7">
        <f t="shared" si="84"/>
        <v>24.364517760000012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505</v>
      </c>
      <c r="C519" s="7">
        <f t="shared" si="79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66" cm="1">
        <f t="array" ref="F519">estimatedTripDuration(C519,$C$7,$C$6)/60</f>
        <v>16.960000000662273</v>
      </c>
      <c r="G519">
        <f t="shared" si="86"/>
        <v>505</v>
      </c>
      <c r="H519" s="53">
        <f t="shared" si="80"/>
        <v>505</v>
      </c>
      <c r="I519" s="7" cm="1">
        <f t="array" ref="I519">CurrentCapacity(K$9,K$5,K$6,H519)</f>
        <v>268.66493280000003</v>
      </c>
      <c r="J519" s="51">
        <f t="shared" si="81"/>
        <v>0.47020890982862307</v>
      </c>
      <c r="K519" s="5" cm="1">
        <f t="array" ref="K519">UseableCapacity(I519,$K$7,$K$8)</f>
        <v>201.49869960000001</v>
      </c>
      <c r="L519" s="66">
        <f t="shared" si="82"/>
        <v>142.33628763893174</v>
      </c>
      <c r="M519" s="7">
        <f t="shared" si="83"/>
        <v>75.170054438931714</v>
      </c>
      <c r="N519" s="7">
        <f t="shared" si="84"/>
        <v>24.375067199999989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506</v>
      </c>
      <c r="C520" s="7">
        <f t="shared" si="79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66" cm="1">
        <f t="array" ref="F520">estimatedTripDuration(C520,$C$7,$C$6)/60</f>
        <v>16.993333333995604</v>
      </c>
      <c r="G520">
        <f t="shared" si="86"/>
        <v>506</v>
      </c>
      <c r="H520" s="53">
        <f t="shared" si="80"/>
        <v>506</v>
      </c>
      <c r="I520" s="7" cm="1">
        <f t="array" ref="I520">CurrentCapacity(K$9,K$5,K$6,H520)</f>
        <v>268.65438336000005</v>
      </c>
      <c r="J520" s="51">
        <f t="shared" si="81"/>
        <v>0.47042751620290657</v>
      </c>
      <c r="K520" s="5" cm="1">
        <f t="array" ref="K520">UseableCapacity(I520,$K$7,$K$8)</f>
        <v>201.49078752000003</v>
      </c>
      <c r="L520" s="66">
        <f t="shared" si="82"/>
        <v>142.27196907893176</v>
      </c>
      <c r="M520" s="7">
        <f t="shared" si="83"/>
        <v>75.108373238931733</v>
      </c>
      <c r="N520" s="7">
        <f t="shared" si="84"/>
        <v>24.385616639999967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507</v>
      </c>
      <c r="C521" s="7">
        <f t="shared" si="79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66" cm="1">
        <f t="array" ref="F521">estimatedTripDuration(C521,$C$7,$C$6)/60</f>
        <v>17.026666667328939</v>
      </c>
      <c r="G521">
        <f t="shared" si="86"/>
        <v>507</v>
      </c>
      <c r="H521" s="53">
        <f t="shared" si="80"/>
        <v>507</v>
      </c>
      <c r="I521" s="7" cm="1">
        <f t="array" ref="I521">CurrentCapacity(K$9,K$5,K$6,H521)</f>
        <v>268.64383392000002</v>
      </c>
      <c r="J521" s="51">
        <f t="shared" si="81"/>
        <v>0.47064613974620378</v>
      </c>
      <c r="K521" s="5" cm="1">
        <f t="array" ref="K521">UseableCapacity(I521,$K$7,$K$8)</f>
        <v>201.48287544000002</v>
      </c>
      <c r="L521" s="66">
        <f t="shared" si="82"/>
        <v>142.20765051893173</v>
      </c>
      <c r="M521" s="7">
        <f t="shared" si="83"/>
        <v>75.046692038931724</v>
      </c>
      <c r="N521" s="7">
        <f t="shared" si="84"/>
        <v>24.39616608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508</v>
      </c>
      <c r="C522" s="7">
        <f t="shared" si="79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66" cm="1">
        <f t="array" ref="F522">estimatedTripDuration(C522,$C$7,$C$6)/60</f>
        <v>17.060000000662274</v>
      </c>
      <c r="G522">
        <f t="shared" si="86"/>
        <v>508</v>
      </c>
      <c r="H522" s="53">
        <f t="shared" si="80"/>
        <v>508</v>
      </c>
      <c r="I522" s="7" cm="1">
        <f t="array" ref="I522">CurrentCapacity(K$9,K$5,K$6,H522)</f>
        <v>268.63328448000004</v>
      </c>
      <c r="J522" s="51">
        <f t="shared" si="81"/>
        <v>0.47086478046053731</v>
      </c>
      <c r="K522" s="5" cm="1">
        <f t="array" ref="K522">UseableCapacity(I522,$K$7,$K$8)</f>
        <v>201.47496336000003</v>
      </c>
      <c r="L522" s="66">
        <f t="shared" si="82"/>
        <v>142.14333195893175</v>
      </c>
      <c r="M522" s="7">
        <f t="shared" si="83"/>
        <v>74.985010838931743</v>
      </c>
      <c r="N522" s="7">
        <f t="shared" si="84"/>
        <v>24.406715519999977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509</v>
      </c>
      <c r="C523" s="7">
        <f t="shared" si="79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66" cm="1">
        <f t="array" ref="F523">estimatedTripDuration(C523,$C$7,$C$6)/60</f>
        <v>17.093333333995606</v>
      </c>
      <c r="G523">
        <f t="shared" si="86"/>
        <v>509</v>
      </c>
      <c r="H523" s="53">
        <f t="shared" si="80"/>
        <v>509</v>
      </c>
      <c r="I523" s="7" cm="1">
        <f t="array" ref="I523">CurrentCapacity(K$9,K$5,K$6,H523)</f>
        <v>268.62273504000001</v>
      </c>
      <c r="J523" s="51">
        <f t="shared" si="81"/>
        <v>0.47108343834793043</v>
      </c>
      <c r="K523" s="5" cm="1">
        <f t="array" ref="K523">UseableCapacity(I523,$K$7,$K$8)</f>
        <v>201.46705128000002</v>
      </c>
      <c r="L523" s="66">
        <f t="shared" si="82"/>
        <v>142.07901339893169</v>
      </c>
      <c r="M523" s="7">
        <f t="shared" si="83"/>
        <v>74.923329638931719</v>
      </c>
      <c r="N523" s="7">
        <f t="shared" si="84"/>
        <v>24.417264960000011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510</v>
      </c>
      <c r="C524" s="7">
        <f t="shared" si="79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66" cm="1">
        <f t="array" ref="F524">estimatedTripDuration(C524,$C$7,$C$6)/60</f>
        <v>17.126666667328941</v>
      </c>
      <c r="G524">
        <f t="shared" si="86"/>
        <v>510</v>
      </c>
      <c r="H524" s="53">
        <f t="shared" si="80"/>
        <v>510</v>
      </c>
      <c r="I524" s="7" cm="1">
        <f t="array" ref="I524">CurrentCapacity(K$9,K$5,K$6,H524)</f>
        <v>268.61218560000003</v>
      </c>
      <c r="J524" s="51">
        <f t="shared" si="81"/>
        <v>0.47130211341040618</v>
      </c>
      <c r="K524" s="5" cm="1">
        <f t="array" ref="K524">UseableCapacity(I524,$K$7,$K$8)</f>
        <v>201.45913920000004</v>
      </c>
      <c r="L524" s="66">
        <f t="shared" si="82"/>
        <v>142.01469483893175</v>
      </c>
      <c r="M524" s="7">
        <f t="shared" si="83"/>
        <v>74.861648438931752</v>
      </c>
      <c r="N524" s="7">
        <f t="shared" si="84"/>
        <v>24.427814399999988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511</v>
      </c>
      <c r="C525" s="7">
        <f t="shared" si="79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66" cm="1">
        <f t="array" ref="F525">estimatedTripDuration(C525,$C$7,$C$6)/60</f>
        <v>17.160000000662269</v>
      </c>
      <c r="G525">
        <f t="shared" si="86"/>
        <v>511</v>
      </c>
      <c r="H525" s="53">
        <f t="shared" si="80"/>
        <v>511</v>
      </c>
      <c r="I525" s="7" cm="1">
        <f t="array" ref="I525">CurrentCapacity(K$9,K$5,K$6,H525)</f>
        <v>268.60163616000006</v>
      </c>
      <c r="J525" s="51">
        <f t="shared" si="81"/>
        <v>0.47152080564998838</v>
      </c>
      <c r="K525" s="5" cm="1">
        <f t="array" ref="K525">UseableCapacity(I525,$K$7,$K$8)</f>
        <v>201.45122712000006</v>
      </c>
      <c r="L525" s="66">
        <f t="shared" si="82"/>
        <v>141.95037627893177</v>
      </c>
      <c r="M525" s="7">
        <f t="shared" si="83"/>
        <v>74.799967238931771</v>
      </c>
      <c r="N525" s="7">
        <f t="shared" si="84"/>
        <v>24.438363839999965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512</v>
      </c>
      <c r="C526" s="7">
        <f t="shared" si="79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66" cm="1">
        <f t="array" ref="F526">estimatedTripDuration(C526,$C$7,$C$6)/60</f>
        <v>17.193333333995607</v>
      </c>
      <c r="G526">
        <f t="shared" si="86"/>
        <v>512</v>
      </c>
      <c r="H526" s="53">
        <f t="shared" si="80"/>
        <v>512</v>
      </c>
      <c r="I526" s="7" cm="1">
        <f t="array" ref="I526">CurrentCapacity(K$9,K$5,K$6,H526)</f>
        <v>268.59108672000002</v>
      </c>
      <c r="J526" s="51">
        <f t="shared" si="81"/>
        <v>0.47173951506870132</v>
      </c>
      <c r="K526" s="5" cm="1">
        <f t="array" ref="K526">UseableCapacity(I526,$K$7,$K$8)</f>
        <v>201.44331504000002</v>
      </c>
      <c r="L526" s="66">
        <f t="shared" si="82"/>
        <v>141.88605771893171</v>
      </c>
      <c r="M526" s="7">
        <f t="shared" si="83"/>
        <v>74.738286038931705</v>
      </c>
      <c r="N526" s="7">
        <f t="shared" si="84"/>
        <v>24.448913279999999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513</v>
      </c>
      <c r="C527" s="7">
        <f t="shared" ref="C527:C590" si="89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66" cm="1">
        <f t="array" ref="F527">estimatedTripDuration(C527,$C$7,$C$6)/60</f>
        <v>17.226666667328939</v>
      </c>
      <c r="G527">
        <f t="shared" si="86"/>
        <v>513</v>
      </c>
      <c r="H527" s="53">
        <f t="shared" ref="H527:H590" si="90">G527/$G$3</f>
        <v>513</v>
      </c>
      <c r="I527" s="7" cm="1">
        <f t="array" ref="I527">CurrentCapacity(K$9,K$5,K$6,H527)</f>
        <v>268.58053728000004</v>
      </c>
      <c r="J527" s="51">
        <f t="shared" ref="J527:J590" si="91">E527/I527</f>
        <v>0.4719582416685687</v>
      </c>
      <c r="K527" s="5" cm="1">
        <f t="array" ref="K527">UseableCapacity(I527,$K$7,$K$8)</f>
        <v>201.43540296000003</v>
      </c>
      <c r="L527" s="66">
        <f t="shared" ref="L527:L590" si="92">(K$7*I527)-E527</f>
        <v>141.82173915893176</v>
      </c>
      <c r="M527" s="7">
        <f t="shared" ref="M527:M590" si="93">K527-E527</f>
        <v>74.676604838931752</v>
      </c>
      <c r="N527" s="7">
        <f t="shared" ref="N527:N590" si="94">$K$9-I527</f>
        <v>24.459462719999976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ref="B528:B591" si="95">B527+$G$11</f>
        <v>514</v>
      </c>
      <c r="C528" s="7">
        <f t="shared" si="89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66" cm="1">
        <f t="array" ref="F528">estimatedTripDuration(C528,$C$7,$C$6)/60</f>
        <v>17.260000000662274</v>
      </c>
      <c r="G528">
        <f t="shared" si="86"/>
        <v>514</v>
      </c>
      <c r="H528" s="53">
        <f t="shared" si="90"/>
        <v>514</v>
      </c>
      <c r="I528" s="7" cm="1">
        <f t="array" ref="I528">CurrentCapacity(K$9,K$5,K$6,H528)</f>
        <v>268.56998784000007</v>
      </c>
      <c r="J528" s="51">
        <f t="shared" si="91"/>
        <v>0.47217698545161568</v>
      </c>
      <c r="K528" s="5" cm="1">
        <f t="array" ref="K528">UseableCapacity(I528,$K$7,$K$8)</f>
        <v>201.42749088000005</v>
      </c>
      <c r="L528" s="66">
        <f t="shared" si="92"/>
        <v>141.75742059893176</v>
      </c>
      <c r="M528" s="7">
        <f t="shared" si="93"/>
        <v>74.614923638931742</v>
      </c>
      <c r="N528" s="7">
        <f t="shared" si="94"/>
        <v>24.470012159999953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si="95"/>
        <v>515</v>
      </c>
      <c r="C529" s="7">
        <f t="shared" si="89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66" cm="1">
        <f t="array" ref="F529">estimatedTripDuration(C529,$C$7,$C$6)/60</f>
        <v>17.293333333995609</v>
      </c>
      <c r="G529">
        <f t="shared" si="86"/>
        <v>515</v>
      </c>
      <c r="H529" s="53">
        <f t="shared" si="90"/>
        <v>515</v>
      </c>
      <c r="I529" s="7" cm="1">
        <f t="array" ref="I529">CurrentCapacity(K$9,K$5,K$6,H529)</f>
        <v>268.55943840000003</v>
      </c>
      <c r="J529" s="51">
        <f t="shared" si="91"/>
        <v>0.47239574641986692</v>
      </c>
      <c r="K529" s="5" cm="1">
        <f t="array" ref="K529">UseableCapacity(I529,$K$7,$K$8)</f>
        <v>201.41957880000001</v>
      </c>
      <c r="L529" s="66">
        <f t="shared" si="92"/>
        <v>141.69310203893173</v>
      </c>
      <c r="M529" s="7">
        <f t="shared" si="93"/>
        <v>74.553242438931719</v>
      </c>
      <c r="N529" s="7">
        <f t="shared" si="94"/>
        <v>24.480561599999987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516</v>
      </c>
      <c r="C530" s="7">
        <f t="shared" si="89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66" cm="1">
        <f t="array" ref="F530">estimatedTripDuration(C530,$C$7,$C$6)/60</f>
        <v>17.32666666732894</v>
      </c>
      <c r="G530">
        <f t="shared" si="86"/>
        <v>516</v>
      </c>
      <c r="H530" s="53">
        <f t="shared" si="90"/>
        <v>516</v>
      </c>
      <c r="I530" s="7" cm="1">
        <f t="array" ref="I530">CurrentCapacity(K$9,K$5,K$6,H530)</f>
        <v>268.54888896</v>
      </c>
      <c r="J530" s="51">
        <f t="shared" si="91"/>
        <v>0.47261452457534786</v>
      </c>
      <c r="K530" s="5" cm="1">
        <f t="array" ref="K530">UseableCapacity(I530,$K$7,$K$8)</f>
        <v>201.41166672</v>
      </c>
      <c r="L530" s="66">
        <f t="shared" si="92"/>
        <v>141.62878347893172</v>
      </c>
      <c r="M530" s="7">
        <f t="shared" si="93"/>
        <v>74.491561238931709</v>
      </c>
      <c r="N530" s="7">
        <f t="shared" si="94"/>
        <v>24.491111040000021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517</v>
      </c>
      <c r="C531" s="7">
        <f t="shared" si="89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66" cm="1">
        <f t="array" ref="F531">estimatedTripDuration(C531,$C$7,$C$6)/60</f>
        <v>17.360000000662275</v>
      </c>
      <c r="G531">
        <f t="shared" si="86"/>
        <v>517</v>
      </c>
      <c r="H531" s="53">
        <f t="shared" si="90"/>
        <v>517</v>
      </c>
      <c r="I531" s="7" cm="1">
        <f t="array" ref="I531">CurrentCapacity(K$9,K$5,K$6,H531)</f>
        <v>268.53833952000002</v>
      </c>
      <c r="J531" s="51">
        <f t="shared" si="91"/>
        <v>0.47283331992008393</v>
      </c>
      <c r="K531" s="5" cm="1">
        <f t="array" ref="K531">UseableCapacity(I531,$K$7,$K$8)</f>
        <v>201.40375464000002</v>
      </c>
      <c r="L531" s="66">
        <f t="shared" si="92"/>
        <v>141.56446491893172</v>
      </c>
      <c r="M531" s="7">
        <f t="shared" si="93"/>
        <v>74.429880038931728</v>
      </c>
      <c r="N531" s="7">
        <f t="shared" si="94"/>
        <v>24.501660479999998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518</v>
      </c>
      <c r="C532" s="7">
        <f t="shared" si="89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66" cm="1">
        <f t="array" ref="F532">estimatedTripDuration(C532,$C$7,$C$6)/60</f>
        <v>17.393333333995606</v>
      </c>
      <c r="G532">
        <f t="shared" si="86"/>
        <v>518</v>
      </c>
      <c r="H532" s="53">
        <f t="shared" si="90"/>
        <v>518</v>
      </c>
      <c r="I532" s="7" cm="1">
        <f t="array" ref="I532">CurrentCapacity(K$9,K$5,K$6,H532)</f>
        <v>268.52779008000005</v>
      </c>
      <c r="J532" s="51">
        <f t="shared" si="91"/>
        <v>0.47305213245610106</v>
      </c>
      <c r="K532" s="5" cm="1">
        <f t="array" ref="K532">UseableCapacity(I532,$K$7,$K$8)</f>
        <v>201.39584256000003</v>
      </c>
      <c r="L532" s="66">
        <f t="shared" si="92"/>
        <v>141.50014635893177</v>
      </c>
      <c r="M532" s="7">
        <f t="shared" si="93"/>
        <v>74.368198838931747</v>
      </c>
      <c r="N532" s="7">
        <f t="shared" si="94"/>
        <v>24.512209919999975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519</v>
      </c>
      <c r="C533" s="7">
        <f t="shared" si="89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66" cm="1">
        <f t="array" ref="F533">estimatedTripDuration(C533,$C$7,$C$6)/60</f>
        <v>17.426666667328941</v>
      </c>
      <c r="G533">
        <f t="shared" si="86"/>
        <v>519</v>
      </c>
      <c r="H533" s="53">
        <f t="shared" si="90"/>
        <v>519</v>
      </c>
      <c r="I533" s="7" cm="1">
        <f t="array" ref="I533">CurrentCapacity(K$9,K$5,K$6,H533)</f>
        <v>268.51724064000001</v>
      </c>
      <c r="J533" s="51">
        <f t="shared" si="91"/>
        <v>0.47327096218542569</v>
      </c>
      <c r="K533" s="5" cm="1">
        <f t="array" ref="K533">UseableCapacity(I533,$K$7,$K$8)</f>
        <v>201.38793048000002</v>
      </c>
      <c r="L533" s="66">
        <f t="shared" si="92"/>
        <v>141.43582779893171</v>
      </c>
      <c r="M533" s="7">
        <f t="shared" si="93"/>
        <v>74.306517638931723</v>
      </c>
      <c r="N533" s="7">
        <f t="shared" si="94"/>
        <v>24.522759360000009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520</v>
      </c>
      <c r="C534" s="7">
        <f t="shared" si="89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66" cm="1">
        <f t="array" ref="F534">estimatedTripDuration(C534,$C$7,$C$6)/60</f>
        <v>17.460000000662273</v>
      </c>
      <c r="G534">
        <f t="shared" si="86"/>
        <v>520</v>
      </c>
      <c r="H534" s="53">
        <f t="shared" si="90"/>
        <v>520</v>
      </c>
      <c r="I534" s="7" cm="1">
        <f t="array" ref="I534">CurrentCapacity(K$9,K$5,K$6,H534)</f>
        <v>268.50669120000003</v>
      </c>
      <c r="J534" s="51">
        <f t="shared" si="91"/>
        <v>0.47348980911008398</v>
      </c>
      <c r="K534" s="5" cm="1">
        <f t="array" ref="K534">UseableCapacity(I534,$K$7,$K$8)</f>
        <v>201.38001840000004</v>
      </c>
      <c r="L534" s="66">
        <f t="shared" si="92"/>
        <v>141.37150923893176</v>
      </c>
      <c r="M534" s="7">
        <f t="shared" si="93"/>
        <v>74.244836438931756</v>
      </c>
      <c r="N534" s="7">
        <f t="shared" si="94"/>
        <v>24.533308799999986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521</v>
      </c>
      <c r="C535" s="7">
        <f t="shared" si="89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66" cm="1">
        <f t="array" ref="F535">estimatedTripDuration(C535,$C$7,$C$6)/60</f>
        <v>17.493333333995608</v>
      </c>
      <c r="G535">
        <f t="shared" si="86"/>
        <v>521</v>
      </c>
      <c r="H535" s="53">
        <f t="shared" si="90"/>
        <v>521</v>
      </c>
      <c r="I535" s="7" cm="1">
        <f t="array" ref="I535">CurrentCapacity(K$9,K$5,K$6,H535)</f>
        <v>268.49614176000006</v>
      </c>
      <c r="J535" s="51">
        <f t="shared" si="91"/>
        <v>0.47370867323210308</v>
      </c>
      <c r="K535" s="5" cm="1">
        <f t="array" ref="K535">UseableCapacity(I535,$K$7,$K$8)</f>
        <v>201.37210632000006</v>
      </c>
      <c r="L535" s="66">
        <f t="shared" si="92"/>
        <v>141.30719067893176</v>
      </c>
      <c r="M535" s="7">
        <f t="shared" si="93"/>
        <v>74.183155238931761</v>
      </c>
      <c r="N535" s="7">
        <f t="shared" si="94"/>
        <v>24.543858239999963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522</v>
      </c>
      <c r="C536" s="7">
        <f t="shared" si="89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66" cm="1">
        <f t="array" ref="F536">estimatedTripDuration(C536,$C$7,$C$6)/60</f>
        <v>17.526666667328939</v>
      </c>
      <c r="G536">
        <f t="shared" si="86"/>
        <v>522</v>
      </c>
      <c r="H536" s="53">
        <f t="shared" si="90"/>
        <v>522</v>
      </c>
      <c r="I536" s="7" cm="1">
        <f t="array" ref="I536">CurrentCapacity(K$9,K$5,K$6,H536)</f>
        <v>268.48559232000002</v>
      </c>
      <c r="J536" s="51">
        <f t="shared" si="91"/>
        <v>0.47392755455351016</v>
      </c>
      <c r="K536" s="5" cm="1">
        <f t="array" ref="K536">UseableCapacity(I536,$K$7,$K$8)</f>
        <v>201.36419424000002</v>
      </c>
      <c r="L536" s="66">
        <f t="shared" si="92"/>
        <v>141.24287211893173</v>
      </c>
      <c r="M536" s="7">
        <f t="shared" si="93"/>
        <v>74.121474038931723</v>
      </c>
      <c r="N536" s="7">
        <f t="shared" si="94"/>
        <v>24.554407679999997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523</v>
      </c>
      <c r="C537" s="7">
        <f t="shared" si="89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66" cm="1">
        <f t="array" ref="F537">estimatedTripDuration(C537,$C$7,$C$6)/60</f>
        <v>17.560000000662274</v>
      </c>
      <c r="G537">
        <f t="shared" si="86"/>
        <v>523</v>
      </c>
      <c r="H537" s="53">
        <f t="shared" si="90"/>
        <v>523</v>
      </c>
      <c r="I537" s="7" cm="1">
        <f t="array" ref="I537">CurrentCapacity(K$9,K$5,K$6,H537)</f>
        <v>268.47504288000005</v>
      </c>
      <c r="J537" s="51">
        <f t="shared" si="91"/>
        <v>0.47414645307633246</v>
      </c>
      <c r="K537" s="5" cm="1">
        <f t="array" ref="K537">UseableCapacity(I537,$K$7,$K$8)</f>
        <v>201.35628216000003</v>
      </c>
      <c r="L537" s="66">
        <f t="shared" si="92"/>
        <v>141.17855355893175</v>
      </c>
      <c r="M537" s="7">
        <f t="shared" si="93"/>
        <v>74.059792838931742</v>
      </c>
      <c r="N537" s="7">
        <f t="shared" si="94"/>
        <v>24.564957119999974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524</v>
      </c>
      <c r="C538" s="7">
        <f t="shared" si="89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66" cm="1">
        <f t="array" ref="F538">estimatedTripDuration(C538,$C$7,$C$6)/60</f>
        <v>17.593333333995606</v>
      </c>
      <c r="G538">
        <f t="shared" si="86"/>
        <v>524</v>
      </c>
      <c r="H538" s="53">
        <f t="shared" si="90"/>
        <v>524</v>
      </c>
      <c r="I538" s="7" cm="1">
        <f t="array" ref="I538">CurrentCapacity(K$9,K$5,K$6,H538)</f>
        <v>268.46449344000001</v>
      </c>
      <c r="J538" s="51">
        <f t="shared" si="91"/>
        <v>0.47436536880259816</v>
      </c>
      <c r="K538" s="5" cm="1">
        <f t="array" ref="K538">UseableCapacity(I538,$K$7,$K$8)</f>
        <v>201.34837008</v>
      </c>
      <c r="L538" s="66">
        <f t="shared" si="92"/>
        <v>141.11423499893169</v>
      </c>
      <c r="M538" s="7">
        <f t="shared" si="93"/>
        <v>73.99811163893169</v>
      </c>
      <c r="N538" s="7">
        <f t="shared" si="94"/>
        <v>24.575506560000008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525</v>
      </c>
      <c r="C539" s="7">
        <f t="shared" si="89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66" cm="1">
        <f t="array" ref="F539">estimatedTripDuration(C539,$C$7,$C$6)/60</f>
        <v>17.626666667328941</v>
      </c>
      <c r="G539">
        <f t="shared" si="86"/>
        <v>525</v>
      </c>
      <c r="H539" s="53">
        <f t="shared" si="90"/>
        <v>525</v>
      </c>
      <c r="I539" s="7" cm="1">
        <f t="array" ref="I539">CurrentCapacity(K$9,K$5,K$6,H539)</f>
        <v>268.45394400000004</v>
      </c>
      <c r="J539" s="51">
        <f t="shared" si="91"/>
        <v>0.47458430173433502</v>
      </c>
      <c r="K539" s="5" cm="1">
        <f t="array" ref="K539">UseableCapacity(I539,$K$7,$K$8)</f>
        <v>201.34045800000001</v>
      </c>
      <c r="L539" s="66">
        <f t="shared" si="92"/>
        <v>141.04991643893175</v>
      </c>
      <c r="M539" s="7">
        <f t="shared" si="93"/>
        <v>73.936430438931723</v>
      </c>
      <c r="N539" s="7">
        <f t="shared" si="94"/>
        <v>24.586055999999985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526</v>
      </c>
      <c r="C540" s="7">
        <f t="shared" si="89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66" cm="1">
        <f t="array" ref="F540">estimatedTripDuration(C540,$C$7,$C$6)/60</f>
        <v>17.660000000662272</v>
      </c>
      <c r="G540">
        <f t="shared" si="86"/>
        <v>526</v>
      </c>
      <c r="H540" s="53">
        <f t="shared" si="90"/>
        <v>526</v>
      </c>
      <c r="I540" s="7" cm="1">
        <f t="array" ref="I540">CurrentCapacity(K$9,K$5,K$6,H540)</f>
        <v>268.44339456000006</v>
      </c>
      <c r="J540" s="51">
        <f t="shared" si="91"/>
        <v>0.4748032518735717</v>
      </c>
      <c r="K540" s="5" cm="1">
        <f t="array" ref="K540">UseableCapacity(I540,$K$7,$K$8)</f>
        <v>201.33254592000003</v>
      </c>
      <c r="L540" s="66">
        <f t="shared" si="92"/>
        <v>140.98559787893177</v>
      </c>
      <c r="M540" s="7">
        <f t="shared" si="93"/>
        <v>73.874749238931742</v>
      </c>
      <c r="N540" s="7">
        <f t="shared" si="94"/>
        <v>24.596605439999962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527</v>
      </c>
      <c r="C541" s="7">
        <f t="shared" si="89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66" cm="1">
        <f t="array" ref="F541">estimatedTripDuration(C541,$C$7,$C$6)/60</f>
        <v>17.693333333995607</v>
      </c>
      <c r="G541">
        <f t="shared" si="86"/>
        <v>527</v>
      </c>
      <c r="H541" s="53">
        <f t="shared" si="90"/>
        <v>527</v>
      </c>
      <c r="I541" s="7" cm="1">
        <f t="array" ref="I541">CurrentCapacity(K$9,K$5,K$6,H541)</f>
        <v>268.43284512000002</v>
      </c>
      <c r="J541" s="51">
        <f t="shared" si="91"/>
        <v>0.47502221922233706</v>
      </c>
      <c r="K541" s="5" cm="1">
        <f t="array" ref="K541">UseableCapacity(I541,$K$7,$K$8)</f>
        <v>201.32463384000002</v>
      </c>
      <c r="L541" s="66">
        <f t="shared" si="92"/>
        <v>140.92127931893174</v>
      </c>
      <c r="M541" s="7">
        <f t="shared" si="93"/>
        <v>73.813068038931718</v>
      </c>
      <c r="N541" s="7">
        <f t="shared" si="94"/>
        <v>24.607154879999996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528</v>
      </c>
      <c r="C542" s="7">
        <f t="shared" si="89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66" cm="1">
        <f t="array" ref="F542">estimatedTripDuration(C542,$C$7,$C$6)/60</f>
        <v>17.726666667328939</v>
      </c>
      <c r="G542">
        <f t="shared" si="86"/>
        <v>528</v>
      </c>
      <c r="H542" s="53">
        <f t="shared" si="90"/>
        <v>528</v>
      </c>
      <c r="I542" s="7" cm="1">
        <f t="array" ref="I542">CurrentCapacity(K$9,K$5,K$6,H542)</f>
        <v>268.42229568000005</v>
      </c>
      <c r="J542" s="51">
        <f t="shared" si="91"/>
        <v>0.47524120378265994</v>
      </c>
      <c r="K542" s="5" cm="1">
        <f t="array" ref="K542">UseableCapacity(I542,$K$7,$K$8)</f>
        <v>201.31672176000004</v>
      </c>
      <c r="L542" s="66">
        <f t="shared" si="92"/>
        <v>140.85696075893173</v>
      </c>
      <c r="M542" s="7">
        <f t="shared" si="93"/>
        <v>73.751386838931737</v>
      </c>
      <c r="N542" s="7">
        <f t="shared" si="94"/>
        <v>24.617704319999973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529</v>
      </c>
      <c r="C543" s="7">
        <f t="shared" si="89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66" cm="1">
        <f t="array" ref="F543">estimatedTripDuration(C543,$C$7,$C$6)/60</f>
        <v>17.760000000662274</v>
      </c>
      <c r="G543">
        <f t="shared" ref="G543:G606" si="96">B543</f>
        <v>529</v>
      </c>
      <c r="H543" s="53">
        <f t="shared" si="90"/>
        <v>529</v>
      </c>
      <c r="I543" s="7" cm="1">
        <f t="array" ref="I543">CurrentCapacity(K$9,K$5,K$6,H543)</f>
        <v>268.41174624000007</v>
      </c>
      <c r="J543" s="51">
        <f t="shared" si="91"/>
        <v>0.47546020555656993</v>
      </c>
      <c r="K543" s="5" cm="1">
        <f t="array" ref="K543">UseableCapacity(I543,$K$7,$K$8)</f>
        <v>201.30880968000005</v>
      </c>
      <c r="L543" s="66">
        <f t="shared" si="92"/>
        <v>140.79264219893176</v>
      </c>
      <c r="M543" s="7">
        <f t="shared" si="93"/>
        <v>73.689705638931741</v>
      </c>
      <c r="N543" s="7">
        <f t="shared" si="94"/>
        <v>24.62825375999995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35">
      <c r="B544">
        <f t="shared" si="95"/>
        <v>530</v>
      </c>
      <c r="C544" s="7">
        <f t="shared" si="89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66" cm="1">
        <f t="array" ref="F544">estimatedTripDuration(C544,$C$7,$C$6)/60</f>
        <v>17.793333333995609</v>
      </c>
      <c r="G544">
        <f t="shared" si="96"/>
        <v>530</v>
      </c>
      <c r="H544" s="53">
        <f t="shared" si="90"/>
        <v>530</v>
      </c>
      <c r="I544" s="7" cm="1">
        <f t="array" ref="I544">CurrentCapacity(K$9,K$5,K$6,H544)</f>
        <v>268.40119680000004</v>
      </c>
      <c r="J544" s="51">
        <f t="shared" si="91"/>
        <v>0.47567922454609668</v>
      </c>
      <c r="K544" s="5" cm="1">
        <f t="array" ref="K544">UseableCapacity(I544,$K$7,$K$8)</f>
        <v>201.30089760000004</v>
      </c>
      <c r="L544" s="66">
        <f t="shared" si="92"/>
        <v>140.72832363893173</v>
      </c>
      <c r="M544" s="7">
        <f t="shared" si="93"/>
        <v>73.628024438931746</v>
      </c>
      <c r="N544" s="7">
        <f t="shared" si="94"/>
        <v>24.638803199999984</v>
      </c>
      <c r="O544" t="str">
        <f t="shared" si="97"/>
        <v>no</v>
      </c>
      <c r="P544" t="str">
        <f t="shared" si="98"/>
        <v>no</v>
      </c>
    </row>
    <row r="545" spans="2:16" x14ac:dyDescent="0.35">
      <c r="B545">
        <f t="shared" si="95"/>
        <v>531</v>
      </c>
      <c r="C545" s="7">
        <f t="shared" si="89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66" cm="1">
        <f t="array" ref="F545">estimatedTripDuration(C545,$C$7,$C$6)/60</f>
        <v>17.82666666732894</v>
      </c>
      <c r="G545">
        <f t="shared" si="96"/>
        <v>531</v>
      </c>
      <c r="H545" s="53">
        <f t="shared" si="90"/>
        <v>531</v>
      </c>
      <c r="I545" s="7" cm="1">
        <f t="array" ref="I545">CurrentCapacity(K$9,K$5,K$6,H545)</f>
        <v>268.39064736</v>
      </c>
      <c r="J545" s="51">
        <f t="shared" si="91"/>
        <v>0.47589826075327024</v>
      </c>
      <c r="K545" s="5" cm="1">
        <f t="array" ref="K545">UseableCapacity(I545,$K$7,$K$8)</f>
        <v>201.29298552</v>
      </c>
      <c r="L545" s="66">
        <f t="shared" si="92"/>
        <v>140.66400507893172</v>
      </c>
      <c r="M545" s="7">
        <f t="shared" si="93"/>
        <v>73.566343238931722</v>
      </c>
      <c r="N545" s="7">
        <f t="shared" si="94"/>
        <v>24.649352640000018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532</v>
      </c>
      <c r="C546" s="7">
        <f t="shared" si="89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66" cm="1">
        <f t="array" ref="F546">estimatedTripDuration(C546,$C$7,$C$6)/60</f>
        <v>17.860000000662275</v>
      </c>
      <c r="G546">
        <f t="shared" si="96"/>
        <v>532</v>
      </c>
      <c r="H546" s="53">
        <f t="shared" si="90"/>
        <v>532</v>
      </c>
      <c r="I546" s="7" cm="1">
        <f t="array" ref="I546">CurrentCapacity(K$9,K$5,K$6,H546)</f>
        <v>268.38009792000003</v>
      </c>
      <c r="J546" s="51">
        <f t="shared" si="91"/>
        <v>0.47611731418012099</v>
      </c>
      <c r="K546" s="5" cm="1">
        <f t="array" ref="K546">UseableCapacity(I546,$K$7,$K$8)</f>
        <v>201.28507344000002</v>
      </c>
      <c r="L546" s="66">
        <f t="shared" si="92"/>
        <v>140.59968651893172</v>
      </c>
      <c r="M546" s="7">
        <f t="shared" si="93"/>
        <v>73.504662038931727</v>
      </c>
      <c r="N546" s="7">
        <f t="shared" si="94"/>
        <v>24.659902079999995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533</v>
      </c>
      <c r="C547" s="7">
        <f t="shared" si="89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66" cm="1">
        <f t="array" ref="F547">estimatedTripDuration(C547,$C$7,$C$6)/60</f>
        <v>17.893333333995606</v>
      </c>
      <c r="G547">
        <f t="shared" si="96"/>
        <v>533</v>
      </c>
      <c r="H547" s="53">
        <f t="shared" si="90"/>
        <v>533</v>
      </c>
      <c r="I547" s="7" cm="1">
        <f t="array" ref="I547">CurrentCapacity(K$9,K$5,K$6,H547)</f>
        <v>268.36954848000005</v>
      </c>
      <c r="J547" s="51">
        <f t="shared" si="91"/>
        <v>0.47633638482867963</v>
      </c>
      <c r="K547" s="5" cm="1">
        <f t="array" ref="K547">UseableCapacity(I547,$K$7,$K$8)</f>
        <v>201.27716136000004</v>
      </c>
      <c r="L547" s="66">
        <f t="shared" si="92"/>
        <v>140.53536795893177</v>
      </c>
      <c r="M547" s="7">
        <f t="shared" si="93"/>
        <v>73.442980838931746</v>
      </c>
      <c r="N547" s="7">
        <f t="shared" si="94"/>
        <v>24.670451519999972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534</v>
      </c>
      <c r="C548" s="7">
        <f t="shared" si="89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66" cm="1">
        <f t="array" ref="F548">estimatedTripDuration(C548,$C$7,$C$6)/60</f>
        <v>17.926666667328941</v>
      </c>
      <c r="G548">
        <f t="shared" si="96"/>
        <v>534</v>
      </c>
      <c r="H548" s="53">
        <f t="shared" si="90"/>
        <v>534</v>
      </c>
      <c r="I548" s="7" cm="1">
        <f t="array" ref="I548">CurrentCapacity(K$9,K$5,K$6,H548)</f>
        <v>268.35899904000001</v>
      </c>
      <c r="J548" s="51">
        <f t="shared" si="91"/>
        <v>0.47655547270097726</v>
      </c>
      <c r="K548" s="5" cm="1">
        <f t="array" ref="K548">UseableCapacity(I548,$K$7,$K$8)</f>
        <v>201.26924928</v>
      </c>
      <c r="L548" s="66">
        <f t="shared" si="92"/>
        <v>140.47104939893171</v>
      </c>
      <c r="M548" s="7">
        <f t="shared" si="93"/>
        <v>73.381299638931694</v>
      </c>
      <c r="N548" s="7">
        <f t="shared" si="94"/>
        <v>24.681000960000006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535</v>
      </c>
      <c r="C549" s="7">
        <f t="shared" si="89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66" cm="1">
        <f t="array" ref="F549">estimatedTripDuration(C549,$C$7,$C$6)/60</f>
        <v>17.960000000662273</v>
      </c>
      <c r="G549">
        <f t="shared" si="96"/>
        <v>535</v>
      </c>
      <c r="H549" s="53">
        <f t="shared" si="90"/>
        <v>535</v>
      </c>
      <c r="I549" s="7" cm="1">
        <f t="array" ref="I549">CurrentCapacity(K$9,K$5,K$6,H549)</f>
        <v>268.34844960000004</v>
      </c>
      <c r="J549" s="51">
        <f t="shared" si="91"/>
        <v>0.47677457779904486</v>
      </c>
      <c r="K549" s="5" cm="1">
        <f t="array" ref="K549">UseableCapacity(I549,$K$7,$K$8)</f>
        <v>201.26133720000001</v>
      </c>
      <c r="L549" s="66">
        <f t="shared" si="92"/>
        <v>140.40673083893176</v>
      </c>
      <c r="M549" s="7">
        <f t="shared" si="93"/>
        <v>73.319618438931727</v>
      </c>
      <c r="N549" s="7">
        <f t="shared" si="94"/>
        <v>24.691550399999983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536</v>
      </c>
      <c r="C550" s="7">
        <f t="shared" si="89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66" cm="1">
        <f t="array" ref="F550">estimatedTripDuration(C550,$C$7,$C$6)/60</f>
        <v>17.993333333995608</v>
      </c>
      <c r="G550">
        <f t="shared" si="96"/>
        <v>536</v>
      </c>
      <c r="H550" s="53">
        <f t="shared" si="90"/>
        <v>536</v>
      </c>
      <c r="I550" s="7" cm="1">
        <f t="array" ref="I550">CurrentCapacity(K$9,K$5,K$6,H550)</f>
        <v>268.33790016000006</v>
      </c>
      <c r="J550" s="51">
        <f t="shared" si="91"/>
        <v>0.47699370012491432</v>
      </c>
      <c r="K550" s="5" cm="1">
        <f t="array" ref="K550">UseableCapacity(I550,$K$7,$K$8)</f>
        <v>201.25342512000003</v>
      </c>
      <c r="L550" s="66">
        <f t="shared" si="92"/>
        <v>140.34241227893179</v>
      </c>
      <c r="M550" s="7">
        <f t="shared" si="93"/>
        <v>73.25793723893176</v>
      </c>
      <c r="N550" s="7">
        <f t="shared" si="94"/>
        <v>24.70209983999996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537</v>
      </c>
      <c r="C551" s="7">
        <f t="shared" si="89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66" cm="1">
        <f t="array" ref="F551">estimatedTripDuration(C551,$C$7,$C$6)/60</f>
        <v>18.026666667328939</v>
      </c>
      <c r="G551">
        <f t="shared" si="96"/>
        <v>537</v>
      </c>
      <c r="H551" s="53">
        <f t="shared" si="90"/>
        <v>537</v>
      </c>
      <c r="I551" s="7" cm="1">
        <f t="array" ref="I551">CurrentCapacity(K$9,K$5,K$6,H551)</f>
        <v>268.32735072000003</v>
      </c>
      <c r="J551" s="51">
        <f t="shared" si="91"/>
        <v>0.4772128396806179</v>
      </c>
      <c r="K551" s="5" cm="1">
        <f t="array" ref="K551">UseableCapacity(I551,$K$7,$K$8)</f>
        <v>201.24551304000002</v>
      </c>
      <c r="L551" s="66">
        <f t="shared" si="92"/>
        <v>140.27809371893173</v>
      </c>
      <c r="M551" s="7">
        <f t="shared" si="93"/>
        <v>73.196256038931722</v>
      </c>
      <c r="N551" s="7">
        <f t="shared" si="94"/>
        <v>24.712649279999994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538</v>
      </c>
      <c r="C552" s="7">
        <f t="shared" si="89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66" cm="1">
        <f t="array" ref="F552">estimatedTripDuration(C552,$C$7,$C$6)/60</f>
        <v>18.060000000662274</v>
      </c>
      <c r="G552">
        <f t="shared" si="96"/>
        <v>538</v>
      </c>
      <c r="H552" s="53">
        <f t="shared" si="90"/>
        <v>538</v>
      </c>
      <c r="I552" s="7" cm="1">
        <f t="array" ref="I552">CurrentCapacity(K$9,K$5,K$6,H552)</f>
        <v>268.31680127999999</v>
      </c>
      <c r="J552" s="51">
        <f t="shared" si="91"/>
        <v>0.47743199646818729</v>
      </c>
      <c r="K552" s="5" cm="1">
        <f t="array" ref="K552">UseableCapacity(I552,$K$7,$K$8)</f>
        <v>201.23760096000001</v>
      </c>
      <c r="L552" s="66">
        <f t="shared" si="92"/>
        <v>140.21377515893172</v>
      </c>
      <c r="M552" s="7">
        <f t="shared" si="93"/>
        <v>73.134574838931741</v>
      </c>
      <c r="N552" s="7">
        <f t="shared" si="94"/>
        <v>24.723198720000028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539</v>
      </c>
      <c r="C553" s="7">
        <f t="shared" si="89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66" cm="1">
        <f t="array" ref="F553">estimatedTripDuration(C553,$C$7,$C$6)/60</f>
        <v>18.093333333995606</v>
      </c>
      <c r="G553">
        <f t="shared" si="96"/>
        <v>539</v>
      </c>
      <c r="H553" s="53">
        <f t="shared" si="90"/>
        <v>539</v>
      </c>
      <c r="I553" s="7" cm="1">
        <f t="array" ref="I553">CurrentCapacity(K$9,K$5,K$6,H553)</f>
        <v>268.30625184000002</v>
      </c>
      <c r="J553" s="51">
        <f t="shared" si="91"/>
        <v>0.4776511704896555</v>
      </c>
      <c r="K553" s="5" cm="1">
        <f t="array" ref="K553">UseableCapacity(I553,$K$7,$K$8)</f>
        <v>201.22968888000003</v>
      </c>
      <c r="L553" s="66">
        <f t="shared" si="92"/>
        <v>140.14945659893172</v>
      </c>
      <c r="M553" s="7">
        <f t="shared" si="93"/>
        <v>73.072893638931731</v>
      </c>
      <c r="N553" s="7">
        <f t="shared" si="94"/>
        <v>24.733748160000005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540</v>
      </c>
      <c r="C554" s="7">
        <f t="shared" si="89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66" cm="1">
        <f t="array" ref="F554">estimatedTripDuration(C554,$C$7,$C$6)/60</f>
        <v>18.126666667328941</v>
      </c>
      <c r="G554">
        <f t="shared" si="96"/>
        <v>540</v>
      </c>
      <c r="H554" s="53">
        <f t="shared" si="90"/>
        <v>540</v>
      </c>
      <c r="I554" s="7" cm="1">
        <f t="array" ref="I554">CurrentCapacity(K$9,K$5,K$6,H554)</f>
        <v>268.29570240000004</v>
      </c>
      <c r="J554" s="51">
        <f t="shared" si="91"/>
        <v>0.47787036174705522</v>
      </c>
      <c r="K554" s="5" cm="1">
        <f t="array" ref="K554">UseableCapacity(I554,$K$7,$K$8)</f>
        <v>201.22177680000004</v>
      </c>
      <c r="L554" s="66">
        <f t="shared" si="92"/>
        <v>140.08513803893175</v>
      </c>
      <c r="M554" s="7">
        <f t="shared" si="93"/>
        <v>73.01121243893175</v>
      </c>
      <c r="N554" s="7">
        <f t="shared" si="94"/>
        <v>24.744297599999982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541</v>
      </c>
      <c r="C555" s="7">
        <f t="shared" si="89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66" cm="1">
        <f t="array" ref="F555">estimatedTripDuration(C555,$C$7,$C$6)/60</f>
        <v>18.160000000662272</v>
      </c>
      <c r="G555">
        <f t="shared" si="96"/>
        <v>541</v>
      </c>
      <c r="H555" s="53">
        <f t="shared" si="90"/>
        <v>541</v>
      </c>
      <c r="I555" s="7" cm="1">
        <f t="array" ref="I555">CurrentCapacity(K$9,K$5,K$6,H555)</f>
        <v>268.28515296</v>
      </c>
      <c r="J555" s="51">
        <f t="shared" si="91"/>
        <v>0.47808957024241988</v>
      </c>
      <c r="K555" s="5" cm="1">
        <f t="array" ref="K555">UseableCapacity(I555,$K$7,$K$8)</f>
        <v>201.21386472</v>
      </c>
      <c r="L555" s="66">
        <f t="shared" si="92"/>
        <v>140.02081947893171</v>
      </c>
      <c r="M555" s="7">
        <f t="shared" si="93"/>
        <v>72.949531238931712</v>
      </c>
      <c r="N555" s="7">
        <f t="shared" si="94"/>
        <v>24.754847040000016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542</v>
      </c>
      <c r="C556" s="7">
        <f t="shared" si="89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66" cm="1">
        <f t="array" ref="F556">estimatedTripDuration(C556,$C$7,$C$6)/60</f>
        <v>18.193333333995607</v>
      </c>
      <c r="G556">
        <f t="shared" si="96"/>
        <v>542</v>
      </c>
      <c r="H556" s="53">
        <f t="shared" si="90"/>
        <v>542</v>
      </c>
      <c r="I556" s="7" cm="1">
        <f t="array" ref="I556">CurrentCapacity(K$9,K$5,K$6,H556)</f>
        <v>268.27460352000003</v>
      </c>
      <c r="J556" s="51">
        <f t="shared" si="91"/>
        <v>0.47830879597778292</v>
      </c>
      <c r="K556" s="5" cm="1">
        <f t="array" ref="K556">UseableCapacity(I556,$K$7,$K$8)</f>
        <v>201.20595264000002</v>
      </c>
      <c r="L556" s="66">
        <f t="shared" si="92"/>
        <v>139.95650091893174</v>
      </c>
      <c r="M556" s="7">
        <f t="shared" si="93"/>
        <v>72.887850038931731</v>
      </c>
      <c r="N556" s="7">
        <f t="shared" si="94"/>
        <v>24.765396479999993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543</v>
      </c>
      <c r="C557" s="7">
        <f t="shared" si="89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66" cm="1">
        <f t="array" ref="F557">estimatedTripDuration(C557,$C$7,$C$6)/60</f>
        <v>18.226666667328939</v>
      </c>
      <c r="G557">
        <f t="shared" si="96"/>
        <v>543</v>
      </c>
      <c r="H557" s="53">
        <f t="shared" si="90"/>
        <v>543</v>
      </c>
      <c r="I557" s="7" cm="1">
        <f t="array" ref="I557">CurrentCapacity(K$9,K$5,K$6,H557)</f>
        <v>268.26405408000005</v>
      </c>
      <c r="J557" s="51">
        <f t="shared" si="91"/>
        <v>0.47852803895517815</v>
      </c>
      <c r="K557" s="5" cm="1">
        <f t="array" ref="K557">UseableCapacity(I557,$K$7,$K$8)</f>
        <v>201.19804056000004</v>
      </c>
      <c r="L557" s="66">
        <f t="shared" si="92"/>
        <v>139.89218235893176</v>
      </c>
      <c r="M557" s="7">
        <f t="shared" si="93"/>
        <v>72.82616883893175</v>
      </c>
      <c r="N557" s="7">
        <f t="shared" si="94"/>
        <v>24.77594591999997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544</v>
      </c>
      <c r="C558" s="7">
        <f t="shared" si="89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66" cm="1">
        <f t="array" ref="F558">estimatedTripDuration(C558,$C$7,$C$6)/60</f>
        <v>18.260000000662274</v>
      </c>
      <c r="G558">
        <f t="shared" si="96"/>
        <v>544</v>
      </c>
      <c r="H558" s="53">
        <f t="shared" si="90"/>
        <v>544</v>
      </c>
      <c r="I558" s="7" cm="1">
        <f t="array" ref="I558">CurrentCapacity(K$9,K$5,K$6,H558)</f>
        <v>268.25350464000002</v>
      </c>
      <c r="J558" s="51">
        <f t="shared" si="91"/>
        <v>0.47874729917664016</v>
      </c>
      <c r="K558" s="5" cm="1">
        <f t="array" ref="K558">UseableCapacity(I558,$K$7,$K$8)</f>
        <v>201.19012848</v>
      </c>
      <c r="L558" s="66">
        <f t="shared" si="92"/>
        <v>139.8278637989317</v>
      </c>
      <c r="M558" s="7">
        <f t="shared" si="93"/>
        <v>72.764487638931683</v>
      </c>
      <c r="N558" s="7">
        <f t="shared" si="94"/>
        <v>24.786495360000004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545</v>
      </c>
      <c r="C559" s="7">
        <f t="shared" si="89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66" cm="1">
        <f t="array" ref="F559">estimatedTripDuration(C559,$C$7,$C$6)/60</f>
        <v>18.293333333995609</v>
      </c>
      <c r="G559">
        <f t="shared" si="96"/>
        <v>545</v>
      </c>
      <c r="H559" s="53">
        <f t="shared" si="90"/>
        <v>545</v>
      </c>
      <c r="I559" s="7" cm="1">
        <f t="array" ref="I559">CurrentCapacity(K$9,K$5,K$6,H559)</f>
        <v>268.24295520000004</v>
      </c>
      <c r="J559" s="51">
        <f t="shared" si="91"/>
        <v>0.47896657664420283</v>
      </c>
      <c r="K559" s="5" cm="1">
        <f t="array" ref="K559">UseableCapacity(I559,$K$7,$K$8)</f>
        <v>201.18221640000002</v>
      </c>
      <c r="L559" s="66">
        <f t="shared" si="92"/>
        <v>139.76354523893175</v>
      </c>
      <c r="M559" s="7">
        <f t="shared" si="93"/>
        <v>72.702806438931731</v>
      </c>
      <c r="N559" s="7">
        <f t="shared" si="94"/>
        <v>24.797044799999981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546</v>
      </c>
      <c r="C560" s="7">
        <f t="shared" si="89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66" cm="1">
        <f t="array" ref="F560">estimatedTripDuration(C560,$C$7,$C$6)/60</f>
        <v>18.32666666732894</v>
      </c>
      <c r="G560">
        <f t="shared" si="96"/>
        <v>546</v>
      </c>
      <c r="H560" s="53">
        <f t="shared" si="90"/>
        <v>546</v>
      </c>
      <c r="I560" s="7" cm="1">
        <f t="array" ref="I560">CurrentCapacity(K$9,K$5,K$6,H560)</f>
        <v>268.23240576000001</v>
      </c>
      <c r="J560" s="51">
        <f t="shared" si="91"/>
        <v>0.47918587135990159</v>
      </c>
      <c r="K560" s="5" cm="1">
        <f t="array" ref="K560">UseableCapacity(I560,$K$7,$K$8)</f>
        <v>201.17430432</v>
      </c>
      <c r="L560" s="66">
        <f t="shared" si="92"/>
        <v>139.69922667893172</v>
      </c>
      <c r="M560" s="7">
        <f t="shared" si="93"/>
        <v>72.641125238931721</v>
      </c>
      <c r="N560" s="7">
        <f t="shared" si="94"/>
        <v>24.807594240000014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547</v>
      </c>
      <c r="C561" s="7">
        <f t="shared" si="89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66" cm="1">
        <f t="array" ref="F561">estimatedTripDuration(C561,$C$7,$C$6)/60</f>
        <v>18.360000000662275</v>
      </c>
      <c r="G561">
        <f t="shared" si="96"/>
        <v>547</v>
      </c>
      <c r="H561" s="53">
        <f t="shared" si="90"/>
        <v>547</v>
      </c>
      <c r="I561" s="7" cm="1">
        <f t="array" ref="I561">CurrentCapacity(K$9,K$5,K$6,H561)</f>
        <v>268.22185632000003</v>
      </c>
      <c r="J561" s="51">
        <f t="shared" si="91"/>
        <v>0.47940518332577131</v>
      </c>
      <c r="K561" s="5" cm="1">
        <f t="array" ref="K561">UseableCapacity(I561,$K$7,$K$8)</f>
        <v>201.16639224000002</v>
      </c>
      <c r="L561" s="66">
        <f t="shared" si="92"/>
        <v>139.63490811893172</v>
      </c>
      <c r="M561" s="7">
        <f t="shared" si="93"/>
        <v>72.579444038931712</v>
      </c>
      <c r="N561" s="7">
        <f t="shared" si="94"/>
        <v>24.818143679999991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548</v>
      </c>
      <c r="C562" s="7">
        <f t="shared" si="89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66" cm="1">
        <f t="array" ref="F562">estimatedTripDuration(C562,$C$7,$C$6)/60</f>
        <v>18.393333333995606</v>
      </c>
      <c r="G562">
        <f t="shared" si="96"/>
        <v>548</v>
      </c>
      <c r="H562" s="53">
        <f t="shared" si="90"/>
        <v>548</v>
      </c>
      <c r="I562" s="7" cm="1">
        <f t="array" ref="I562">CurrentCapacity(K$9,K$5,K$6,H562)</f>
        <v>268.21130688000005</v>
      </c>
      <c r="J562" s="51">
        <f t="shared" si="91"/>
        <v>0.47962451254384747</v>
      </c>
      <c r="K562" s="5" cm="1">
        <f t="array" ref="K562">UseableCapacity(I562,$K$7,$K$8)</f>
        <v>201.15848016000004</v>
      </c>
      <c r="L562" s="66">
        <f t="shared" si="92"/>
        <v>139.57058955893174</v>
      </c>
      <c r="M562" s="7">
        <f t="shared" si="93"/>
        <v>72.517762838931731</v>
      </c>
      <c r="N562" s="7">
        <f t="shared" si="94"/>
        <v>24.828693119999969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549</v>
      </c>
      <c r="C563" s="7">
        <f t="shared" si="89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66" cm="1">
        <f t="array" ref="F563">estimatedTripDuration(C563,$C$7,$C$6)/60</f>
        <v>18.426666667328941</v>
      </c>
      <c r="G563">
        <f t="shared" si="96"/>
        <v>549</v>
      </c>
      <c r="H563" s="53">
        <f t="shared" si="90"/>
        <v>549</v>
      </c>
      <c r="I563" s="7" cm="1">
        <f t="array" ref="I563">CurrentCapacity(K$9,K$5,K$6,H563)</f>
        <v>268.20075744000002</v>
      </c>
      <c r="J563" s="51">
        <f t="shared" si="91"/>
        <v>0.479843859016166</v>
      </c>
      <c r="K563" s="5" cm="1">
        <f t="array" ref="K563">UseableCapacity(I563,$K$7,$K$8)</f>
        <v>201.15056808000003</v>
      </c>
      <c r="L563" s="66">
        <f t="shared" si="92"/>
        <v>139.50627099893171</v>
      </c>
      <c r="M563" s="7">
        <f t="shared" si="93"/>
        <v>72.456081638931721</v>
      </c>
      <c r="N563" s="7">
        <f t="shared" si="94"/>
        <v>24.839242560000002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550</v>
      </c>
      <c r="C564" s="7">
        <f t="shared" si="89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66" cm="1">
        <f t="array" ref="F564">estimatedTripDuration(C564,$C$7,$C$6)/60</f>
        <v>18.460000000662273</v>
      </c>
      <c r="G564">
        <f t="shared" si="96"/>
        <v>550</v>
      </c>
      <c r="H564" s="53">
        <f t="shared" si="90"/>
        <v>550</v>
      </c>
      <c r="I564" s="7" cm="1">
        <f t="array" ref="I564">CurrentCapacity(K$9,K$5,K$6,H564)</f>
        <v>268.19020800000004</v>
      </c>
      <c r="J564" s="51">
        <f t="shared" si="91"/>
        <v>0.48006322274476276</v>
      </c>
      <c r="K564" s="5" cm="1">
        <f t="array" ref="K564">UseableCapacity(I564,$K$7,$K$8)</f>
        <v>201.14265600000004</v>
      </c>
      <c r="L564" s="66">
        <f t="shared" si="92"/>
        <v>139.44195243893176</v>
      </c>
      <c r="M564" s="7">
        <f t="shared" si="93"/>
        <v>72.394400438931768</v>
      </c>
      <c r="N564" s="7">
        <f t="shared" si="94"/>
        <v>24.849791999999979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551</v>
      </c>
      <c r="C565" s="7">
        <f t="shared" si="89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66" cm="1">
        <f t="array" ref="F565">estimatedTripDuration(C565,$C$7,$C$6)/60</f>
        <v>18.493333333995608</v>
      </c>
      <c r="G565">
        <f t="shared" si="96"/>
        <v>551</v>
      </c>
      <c r="H565" s="53">
        <f t="shared" si="90"/>
        <v>551</v>
      </c>
      <c r="I565" s="7" cm="1">
        <f t="array" ref="I565">CurrentCapacity(K$9,K$5,K$6,H565)</f>
        <v>268.17965856000006</v>
      </c>
      <c r="J565" s="51">
        <f t="shared" si="91"/>
        <v>0.48028260373167447</v>
      </c>
      <c r="K565" s="5" cm="1">
        <f t="array" ref="K565">UseableCapacity(I565,$K$7,$K$8)</f>
        <v>201.13474392000006</v>
      </c>
      <c r="L565" s="66">
        <f t="shared" si="92"/>
        <v>139.37763387893179</v>
      </c>
      <c r="M565" s="7">
        <f t="shared" si="93"/>
        <v>72.332719238931787</v>
      </c>
      <c r="N565" s="7">
        <f t="shared" si="94"/>
        <v>24.860341439999956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552</v>
      </c>
      <c r="C566" s="7">
        <f t="shared" si="89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66" cm="1">
        <f t="array" ref="F566">estimatedTripDuration(C566,$C$7,$C$6)/60</f>
        <v>18.526666667328939</v>
      </c>
      <c r="G566">
        <f t="shared" si="96"/>
        <v>552</v>
      </c>
      <c r="H566" s="53">
        <f t="shared" si="90"/>
        <v>552</v>
      </c>
      <c r="I566" s="7" cm="1">
        <f t="array" ref="I566">CurrentCapacity(K$9,K$5,K$6,H566)</f>
        <v>268.16910912000003</v>
      </c>
      <c r="J566" s="51">
        <f t="shared" si="91"/>
        <v>0.48050200197893794</v>
      </c>
      <c r="K566" s="5" cm="1">
        <f t="array" ref="K566">UseableCapacity(I566,$K$7,$K$8)</f>
        <v>201.12683184000002</v>
      </c>
      <c r="L566" s="66">
        <f t="shared" si="92"/>
        <v>139.31331531893176</v>
      </c>
      <c r="M566" s="7">
        <f t="shared" si="93"/>
        <v>72.271038038931749</v>
      </c>
      <c r="N566" s="7">
        <f t="shared" si="94"/>
        <v>24.87089087999999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553</v>
      </c>
      <c r="C567" s="7">
        <f t="shared" si="89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66" cm="1">
        <f t="array" ref="F567">estimatedTripDuration(C567,$C$7,$C$6)/60</f>
        <v>18.560000000662274</v>
      </c>
      <c r="G567">
        <f t="shared" si="96"/>
        <v>553</v>
      </c>
      <c r="H567" s="53">
        <f t="shared" si="90"/>
        <v>553</v>
      </c>
      <c r="I567" s="7" cm="1">
        <f t="array" ref="I567">CurrentCapacity(K$9,K$5,K$6,H567)</f>
        <v>268.15855968</v>
      </c>
      <c r="J567" s="51">
        <f t="shared" si="91"/>
        <v>0.48072141748859015</v>
      </c>
      <c r="K567" s="5" cm="1">
        <f t="array" ref="K567">UseableCapacity(I567,$K$7,$K$8)</f>
        <v>201.11891975999998</v>
      </c>
      <c r="L567" s="66">
        <f t="shared" si="92"/>
        <v>139.2489967589317</v>
      </c>
      <c r="M567" s="7">
        <f t="shared" si="93"/>
        <v>72.209356838931683</v>
      </c>
      <c r="N567" s="7">
        <f t="shared" si="94"/>
        <v>24.881440320000024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554</v>
      </c>
      <c r="C568" s="7">
        <f t="shared" si="89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66" cm="1">
        <f t="array" ref="F568">estimatedTripDuration(C568,$C$7,$C$6)/60</f>
        <v>18.593333333995606</v>
      </c>
      <c r="G568">
        <f t="shared" si="96"/>
        <v>554</v>
      </c>
      <c r="H568" s="53">
        <f t="shared" si="90"/>
        <v>554</v>
      </c>
      <c r="I568" s="7" cm="1">
        <f t="array" ref="I568">CurrentCapacity(K$9,K$5,K$6,H568)</f>
        <v>268.14801024000002</v>
      </c>
      <c r="J568" s="51">
        <f t="shared" si="91"/>
        <v>0.48094085026266831</v>
      </c>
      <c r="K568" s="5" cm="1">
        <f t="array" ref="K568">UseableCapacity(I568,$K$7,$K$8)</f>
        <v>201.11100768</v>
      </c>
      <c r="L568" s="66">
        <f t="shared" si="92"/>
        <v>139.18467819893172</v>
      </c>
      <c r="M568" s="7">
        <f t="shared" si="93"/>
        <v>72.147675638931702</v>
      </c>
      <c r="N568" s="7">
        <f t="shared" si="94"/>
        <v>24.891989760000001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555</v>
      </c>
      <c r="C569" s="7">
        <f t="shared" si="89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66" cm="1">
        <f t="array" ref="F569">estimatedTripDuration(C569,$C$7,$C$6)/60</f>
        <v>18.626666667328941</v>
      </c>
      <c r="G569">
        <f t="shared" si="96"/>
        <v>555</v>
      </c>
      <c r="H569" s="53">
        <f t="shared" si="90"/>
        <v>555</v>
      </c>
      <c r="I569" s="7" cm="1">
        <f t="array" ref="I569">CurrentCapacity(K$9,K$5,K$6,H569)</f>
        <v>268.13746080000004</v>
      </c>
      <c r="J569" s="51">
        <f t="shared" si="91"/>
        <v>0.48116030030321028</v>
      </c>
      <c r="K569" s="5" cm="1">
        <f t="array" ref="K569">UseableCapacity(I569,$K$7,$K$8)</f>
        <v>201.10309560000002</v>
      </c>
      <c r="L569" s="66">
        <f t="shared" si="92"/>
        <v>139.12035963893175</v>
      </c>
      <c r="M569" s="7">
        <f t="shared" si="93"/>
        <v>72.085994438931721</v>
      </c>
      <c r="N569" s="7">
        <f t="shared" si="94"/>
        <v>24.902539199999978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556</v>
      </c>
      <c r="C570" s="7">
        <f t="shared" si="89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66" cm="1">
        <f t="array" ref="F570">estimatedTripDuration(C570,$C$7,$C$6)/60</f>
        <v>18.660000000662272</v>
      </c>
      <c r="G570">
        <f t="shared" si="96"/>
        <v>556</v>
      </c>
      <c r="H570" s="53">
        <f t="shared" si="90"/>
        <v>556</v>
      </c>
      <c r="I570" s="7" cm="1">
        <f t="array" ref="I570">CurrentCapacity(K$9,K$5,K$6,H570)</f>
        <v>268.12691136000001</v>
      </c>
      <c r="J570" s="51">
        <f t="shared" si="91"/>
        <v>0.48137976761225426</v>
      </c>
      <c r="K570" s="5" cm="1">
        <f t="array" ref="K570">UseableCapacity(I570,$K$7,$K$8)</f>
        <v>201.09518352000001</v>
      </c>
      <c r="L570" s="66">
        <f t="shared" si="92"/>
        <v>139.05604107893171</v>
      </c>
      <c r="M570" s="7">
        <f t="shared" si="93"/>
        <v>72.024313238931711</v>
      </c>
      <c r="N570" s="7">
        <f t="shared" si="94"/>
        <v>24.913088640000012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557</v>
      </c>
      <c r="C571" s="7">
        <f t="shared" si="89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66" cm="1">
        <f t="array" ref="F571">estimatedTripDuration(C571,$C$7,$C$6)/60</f>
        <v>18.693333333995607</v>
      </c>
      <c r="G571">
        <f t="shared" si="96"/>
        <v>557</v>
      </c>
      <c r="H571" s="53">
        <f t="shared" si="90"/>
        <v>557</v>
      </c>
      <c r="I571" s="7" cm="1">
        <f t="array" ref="I571">CurrentCapacity(K$9,K$5,K$6,H571)</f>
        <v>268.11636192000003</v>
      </c>
      <c r="J571" s="51">
        <f t="shared" si="91"/>
        <v>0.4815992521918383</v>
      </c>
      <c r="K571" s="5" cm="1">
        <f t="array" ref="K571">UseableCapacity(I571,$K$7,$K$8)</f>
        <v>201.08727144000002</v>
      </c>
      <c r="L571" s="66">
        <f t="shared" si="92"/>
        <v>138.99172251893174</v>
      </c>
      <c r="M571" s="7">
        <f t="shared" si="93"/>
        <v>71.96263203893173</v>
      </c>
      <c r="N571" s="7">
        <f t="shared" si="94"/>
        <v>24.923638079999989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558</v>
      </c>
      <c r="C572" s="7">
        <f t="shared" si="89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66" cm="1">
        <f t="array" ref="F572">estimatedTripDuration(C572,$C$7,$C$6)/60</f>
        <v>18.726666667328939</v>
      </c>
      <c r="G572">
        <f t="shared" si="96"/>
        <v>558</v>
      </c>
      <c r="H572" s="53">
        <f t="shared" si="90"/>
        <v>558</v>
      </c>
      <c r="I572" s="7" cm="1">
        <f t="array" ref="I572">CurrentCapacity(K$9,K$5,K$6,H572)</f>
        <v>268.10581248000005</v>
      </c>
      <c r="J572" s="51">
        <f t="shared" si="91"/>
        <v>0.48181875404400132</v>
      </c>
      <c r="K572" s="5" cm="1">
        <f t="array" ref="K572">UseableCapacity(I572,$K$7,$K$8)</f>
        <v>201.07935936000004</v>
      </c>
      <c r="L572" s="66">
        <f t="shared" si="92"/>
        <v>138.92740395893176</v>
      </c>
      <c r="M572" s="7">
        <f t="shared" si="93"/>
        <v>71.900950838931749</v>
      </c>
      <c r="N572" s="7">
        <f t="shared" si="94"/>
        <v>24.934187519999966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559</v>
      </c>
      <c r="C573" s="7">
        <f t="shared" si="89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66" cm="1">
        <f t="array" ref="F573">estimatedTripDuration(C573,$C$7,$C$6)/60</f>
        <v>18.760000000662274</v>
      </c>
      <c r="G573">
        <f t="shared" si="96"/>
        <v>559</v>
      </c>
      <c r="H573" s="53">
        <f t="shared" si="90"/>
        <v>559</v>
      </c>
      <c r="I573" s="7" cm="1">
        <f t="array" ref="I573">CurrentCapacity(K$9,K$5,K$6,H573)</f>
        <v>268.09526304000002</v>
      </c>
      <c r="J573" s="51">
        <f t="shared" si="91"/>
        <v>0.48203827317078241</v>
      </c>
      <c r="K573" s="5" cm="1">
        <f t="array" ref="K573">UseableCapacity(I573,$K$7,$K$8)</f>
        <v>201.07144728000003</v>
      </c>
      <c r="L573" s="66">
        <f t="shared" si="92"/>
        <v>138.86308539893173</v>
      </c>
      <c r="M573" s="7">
        <f t="shared" si="93"/>
        <v>71.839269638931739</v>
      </c>
      <c r="N573" s="7">
        <f t="shared" si="94"/>
        <v>24.94473696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560</v>
      </c>
      <c r="C574" s="7">
        <f t="shared" si="89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66" cm="1">
        <f t="array" ref="F574">estimatedTripDuration(C574,$C$7,$C$6)/60</f>
        <v>18.793333333995609</v>
      </c>
      <c r="G574">
        <f t="shared" si="96"/>
        <v>560</v>
      </c>
      <c r="H574" s="53">
        <f t="shared" si="90"/>
        <v>560</v>
      </c>
      <c r="I574" s="7" cm="1">
        <f t="array" ref="I574">CurrentCapacity(K$9,K$5,K$6,H574)</f>
        <v>268.08471360000004</v>
      </c>
      <c r="J574" s="51">
        <f t="shared" si="91"/>
        <v>0.4822578095742206</v>
      </c>
      <c r="K574" s="5" cm="1">
        <f t="array" ref="K574">UseableCapacity(I574,$K$7,$K$8)</f>
        <v>201.06353520000005</v>
      </c>
      <c r="L574" s="66">
        <f t="shared" si="92"/>
        <v>138.79876683893175</v>
      </c>
      <c r="M574" s="7">
        <f t="shared" si="93"/>
        <v>71.777588438931758</v>
      </c>
      <c r="N574" s="7">
        <f t="shared" si="94"/>
        <v>24.955286399999977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561</v>
      </c>
      <c r="C575" s="7">
        <f t="shared" si="89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66" cm="1">
        <f t="array" ref="F575">estimatedTripDuration(C575,$C$7,$C$6)/60</f>
        <v>18.82666666732894</v>
      </c>
      <c r="G575">
        <f t="shared" si="96"/>
        <v>561</v>
      </c>
      <c r="H575" s="53">
        <f t="shared" si="90"/>
        <v>561</v>
      </c>
      <c r="I575" s="7" cm="1">
        <f t="array" ref="I575">CurrentCapacity(K$9,K$5,K$6,H575)</f>
        <v>268.07416416000001</v>
      </c>
      <c r="J575" s="51">
        <f t="shared" si="91"/>
        <v>0.48247736325635582</v>
      </c>
      <c r="K575" s="5" cm="1">
        <f t="array" ref="K575">UseableCapacity(I575,$K$7,$K$8)</f>
        <v>201.05562312000001</v>
      </c>
      <c r="L575" s="66">
        <f t="shared" si="92"/>
        <v>138.73444827893172</v>
      </c>
      <c r="M575" s="7">
        <f t="shared" si="93"/>
        <v>71.71590723893172</v>
      </c>
      <c r="N575" s="7">
        <f t="shared" si="94"/>
        <v>24.965835840000011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562</v>
      </c>
      <c r="C576" s="7">
        <f t="shared" si="89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66" cm="1">
        <f t="array" ref="F576">estimatedTripDuration(C576,$C$7,$C$6)/60</f>
        <v>18.860000000662275</v>
      </c>
      <c r="G576">
        <f t="shared" si="96"/>
        <v>562</v>
      </c>
      <c r="H576" s="53">
        <f t="shared" si="90"/>
        <v>562</v>
      </c>
      <c r="I576" s="7" cm="1">
        <f t="array" ref="I576">CurrentCapacity(K$9,K$5,K$6,H576)</f>
        <v>268.06361472000003</v>
      </c>
      <c r="J576" s="51">
        <f t="shared" si="91"/>
        <v>0.48269693421922794</v>
      </c>
      <c r="K576" s="5" cm="1">
        <f t="array" ref="K576">UseableCapacity(I576,$K$7,$K$8)</f>
        <v>201.04771104000002</v>
      </c>
      <c r="L576" s="66">
        <f t="shared" si="92"/>
        <v>138.67012971893172</v>
      </c>
      <c r="M576" s="7">
        <f t="shared" si="93"/>
        <v>71.654226038931711</v>
      </c>
      <c r="N576" s="7">
        <f t="shared" si="94"/>
        <v>24.976385279999988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563</v>
      </c>
      <c r="C577" s="7">
        <f t="shared" si="89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66" cm="1">
        <f t="array" ref="F577">estimatedTripDuration(C577,$C$7,$C$6)/60</f>
        <v>18.893333333995606</v>
      </c>
      <c r="G577">
        <f t="shared" si="96"/>
        <v>563</v>
      </c>
      <c r="H577" s="53">
        <f t="shared" si="90"/>
        <v>563</v>
      </c>
      <c r="I577" s="7" cm="1">
        <f t="array" ref="I577">CurrentCapacity(K$9,K$5,K$6,H577)</f>
        <v>268.05306528000006</v>
      </c>
      <c r="J577" s="51">
        <f t="shared" si="91"/>
        <v>0.48291652246487698</v>
      </c>
      <c r="K577" s="5" cm="1">
        <f t="array" ref="K577">UseableCapacity(I577,$K$7,$K$8)</f>
        <v>201.03979896000004</v>
      </c>
      <c r="L577" s="66">
        <f t="shared" si="92"/>
        <v>138.60581115893177</v>
      </c>
      <c r="M577" s="7">
        <f t="shared" si="93"/>
        <v>71.592544838931758</v>
      </c>
      <c r="N577" s="7">
        <f t="shared" si="94"/>
        <v>24.986934719999965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564</v>
      </c>
      <c r="C578" s="7">
        <f t="shared" si="89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66" cm="1">
        <f t="array" ref="F578">estimatedTripDuration(C578,$C$7,$C$6)/60</f>
        <v>18.926666667328941</v>
      </c>
      <c r="G578">
        <f t="shared" si="96"/>
        <v>564</v>
      </c>
      <c r="H578" s="53">
        <f t="shared" si="90"/>
        <v>564</v>
      </c>
      <c r="I578" s="7" cm="1">
        <f t="array" ref="I578">CurrentCapacity(K$9,K$5,K$6,H578)</f>
        <v>268.04251584000002</v>
      </c>
      <c r="J578" s="51">
        <f t="shared" si="91"/>
        <v>0.48313612799534417</v>
      </c>
      <c r="K578" s="5" cm="1">
        <f t="array" ref="K578">UseableCapacity(I578,$K$7,$K$8)</f>
        <v>201.03188688</v>
      </c>
      <c r="L578" s="66">
        <f t="shared" si="92"/>
        <v>138.54149259893171</v>
      </c>
      <c r="M578" s="7">
        <f t="shared" si="93"/>
        <v>71.530863638931692</v>
      </c>
      <c r="N578" s="7">
        <f t="shared" si="94"/>
        <v>24.997484159999999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565</v>
      </c>
      <c r="C579" s="7">
        <f t="shared" si="89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66" cm="1">
        <f t="array" ref="F579">estimatedTripDuration(C579,$C$7,$C$6)/60</f>
        <v>18.960000000662273</v>
      </c>
      <c r="G579">
        <f t="shared" si="96"/>
        <v>565</v>
      </c>
      <c r="H579" s="53">
        <f t="shared" si="90"/>
        <v>565</v>
      </c>
      <c r="I579" s="7" cm="1">
        <f t="array" ref="I579">CurrentCapacity(K$9,K$5,K$6,H579)</f>
        <v>268.03196640000004</v>
      </c>
      <c r="J579" s="51">
        <f t="shared" si="91"/>
        <v>0.48335575081266968</v>
      </c>
      <c r="K579" s="5" cm="1">
        <f t="array" ref="K579">UseableCapacity(I579,$K$7,$K$8)</f>
        <v>201.02397480000002</v>
      </c>
      <c r="L579" s="66">
        <f t="shared" si="92"/>
        <v>138.47717403893176</v>
      </c>
      <c r="M579" s="7">
        <f t="shared" si="93"/>
        <v>71.469182438931739</v>
      </c>
      <c r="N579" s="7">
        <f t="shared" si="94"/>
        <v>25.008033599999976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566</v>
      </c>
      <c r="C580" s="7">
        <f t="shared" si="89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66" cm="1">
        <f t="array" ref="F580">estimatedTripDuration(C580,$C$7,$C$6)/60</f>
        <v>18.993333333995608</v>
      </c>
      <c r="G580">
        <f t="shared" si="96"/>
        <v>566</v>
      </c>
      <c r="H580" s="53">
        <f t="shared" si="90"/>
        <v>566</v>
      </c>
      <c r="I580" s="7" cm="1">
        <f t="array" ref="I580">CurrentCapacity(K$9,K$5,K$6,H580)</f>
        <v>268.02141696000007</v>
      </c>
      <c r="J580" s="51">
        <f t="shared" si="91"/>
        <v>0.48357539091889534</v>
      </c>
      <c r="K580" s="5" cm="1">
        <f t="array" ref="K580">UseableCapacity(I580,$K$7,$K$8)</f>
        <v>201.01606272000004</v>
      </c>
      <c r="L580" s="66">
        <f t="shared" si="92"/>
        <v>138.41285547893179</v>
      </c>
      <c r="M580" s="7">
        <f t="shared" si="93"/>
        <v>71.407501238931758</v>
      </c>
      <c r="N580" s="7">
        <f t="shared" si="94"/>
        <v>25.018583039999953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567</v>
      </c>
      <c r="C581" s="7">
        <f t="shared" si="89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66" cm="1">
        <f t="array" ref="F581">estimatedTripDuration(C581,$C$7,$C$6)/60</f>
        <v>19.026666667328939</v>
      </c>
      <c r="G581">
        <f t="shared" si="96"/>
        <v>567</v>
      </c>
      <c r="H581" s="53">
        <f t="shared" si="90"/>
        <v>567</v>
      </c>
      <c r="I581" s="7" cm="1">
        <f t="array" ref="I581">CurrentCapacity(K$9,K$5,K$6,H581)</f>
        <v>268.01086752000003</v>
      </c>
      <c r="J581" s="51">
        <f t="shared" si="91"/>
        <v>0.48379504831606263</v>
      </c>
      <c r="K581" s="5" cm="1">
        <f t="array" ref="K581">UseableCapacity(I581,$K$7,$K$8)</f>
        <v>201.00815064000003</v>
      </c>
      <c r="L581" s="66">
        <f t="shared" si="92"/>
        <v>138.34853691893176</v>
      </c>
      <c r="M581" s="7">
        <f t="shared" si="93"/>
        <v>71.345820038931748</v>
      </c>
      <c r="N581" s="7">
        <f t="shared" si="94"/>
        <v>25.029132479999987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568</v>
      </c>
      <c r="C582" s="7">
        <f t="shared" si="89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66" cm="1">
        <f t="array" ref="F582">estimatedTripDuration(C582,$C$7,$C$6)/60</f>
        <v>19.060000000662274</v>
      </c>
      <c r="G582">
        <f t="shared" si="96"/>
        <v>568</v>
      </c>
      <c r="H582" s="53">
        <f t="shared" si="90"/>
        <v>568</v>
      </c>
      <c r="I582" s="7" cm="1">
        <f t="array" ref="I582">CurrentCapacity(K$9,K$5,K$6,H582)</f>
        <v>268.00031808000006</v>
      </c>
      <c r="J582" s="51">
        <f t="shared" si="91"/>
        <v>0.48401472300621329</v>
      </c>
      <c r="K582" s="5" cm="1">
        <f t="array" ref="K582">UseableCapacity(I582,$K$7,$K$8)</f>
        <v>201.00023856000004</v>
      </c>
      <c r="L582" s="66">
        <f t="shared" si="92"/>
        <v>138.28421835893178</v>
      </c>
      <c r="M582" s="7">
        <f t="shared" si="93"/>
        <v>71.284138838931767</v>
      </c>
      <c r="N582" s="7">
        <f t="shared" si="94"/>
        <v>25.039681919999964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569</v>
      </c>
      <c r="C583" s="7">
        <f t="shared" si="89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66" cm="1">
        <f t="array" ref="F583">estimatedTripDuration(C583,$C$7,$C$6)/60</f>
        <v>19.093333333995606</v>
      </c>
      <c r="G583">
        <f t="shared" si="96"/>
        <v>569</v>
      </c>
      <c r="H583" s="53">
        <f t="shared" si="90"/>
        <v>569</v>
      </c>
      <c r="I583" s="7" cm="1">
        <f t="array" ref="I583">CurrentCapacity(K$9,K$5,K$6,H583)</f>
        <v>267.98976864000002</v>
      </c>
      <c r="J583" s="51">
        <f t="shared" si="91"/>
        <v>0.48423441499138975</v>
      </c>
      <c r="K583" s="5" cm="1">
        <f t="array" ref="K583">UseableCapacity(I583,$K$7,$K$8)</f>
        <v>200.99232648000003</v>
      </c>
      <c r="L583" s="66">
        <f t="shared" si="92"/>
        <v>138.21989979893172</v>
      </c>
      <c r="M583" s="7">
        <f t="shared" si="93"/>
        <v>71.222457638931729</v>
      </c>
      <c r="N583" s="7">
        <f t="shared" si="94"/>
        <v>25.050231359999998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570</v>
      </c>
      <c r="C584" s="7">
        <f t="shared" si="89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66" cm="1">
        <f t="array" ref="F584">estimatedTripDuration(C584,$C$7,$C$6)/60</f>
        <v>19.126666667328941</v>
      </c>
      <c r="G584">
        <f t="shared" si="96"/>
        <v>570</v>
      </c>
      <c r="H584" s="53">
        <f t="shared" si="90"/>
        <v>570</v>
      </c>
      <c r="I584" s="7" cm="1">
        <f t="array" ref="I584">CurrentCapacity(K$9,K$5,K$6,H584)</f>
        <v>267.97921920000005</v>
      </c>
      <c r="J584" s="51">
        <f t="shared" si="91"/>
        <v>0.48445412427363427</v>
      </c>
      <c r="K584" s="5" cm="1">
        <f t="array" ref="K584">UseableCapacity(I584,$K$7,$K$8)</f>
        <v>200.98441440000005</v>
      </c>
      <c r="L584" s="66">
        <f t="shared" si="92"/>
        <v>138.15558123893175</v>
      </c>
      <c r="M584" s="7">
        <f t="shared" si="93"/>
        <v>71.160776438931748</v>
      </c>
      <c r="N584" s="7">
        <f t="shared" si="94"/>
        <v>25.060780799999975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571</v>
      </c>
      <c r="C585" s="7">
        <f t="shared" si="89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66" cm="1">
        <f t="array" ref="F585">estimatedTripDuration(C585,$C$7,$C$6)/60</f>
        <v>19.160000000662272</v>
      </c>
      <c r="G585">
        <f t="shared" si="96"/>
        <v>571</v>
      </c>
      <c r="H585" s="53">
        <f t="shared" si="90"/>
        <v>571</v>
      </c>
      <c r="I585" s="7" cm="1">
        <f t="array" ref="I585">CurrentCapacity(K$9,K$5,K$6,H585)</f>
        <v>267.96866976000001</v>
      </c>
      <c r="J585" s="51">
        <f t="shared" si="91"/>
        <v>0.48467385085498993</v>
      </c>
      <c r="K585" s="5" cm="1">
        <f t="array" ref="K585">UseableCapacity(I585,$K$7,$K$8)</f>
        <v>200.97650232000001</v>
      </c>
      <c r="L585" s="66">
        <f t="shared" si="92"/>
        <v>138.09126267893171</v>
      </c>
      <c r="M585" s="7">
        <f t="shared" si="93"/>
        <v>71.09909523893171</v>
      </c>
      <c r="N585" s="7">
        <f t="shared" si="94"/>
        <v>25.071330240000009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572</v>
      </c>
      <c r="C586" s="7">
        <f t="shared" si="89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66" cm="1">
        <f t="array" ref="F586">estimatedTripDuration(C586,$C$7,$C$6)/60</f>
        <v>19.193333333995607</v>
      </c>
      <c r="G586">
        <f t="shared" si="96"/>
        <v>572</v>
      </c>
      <c r="H586" s="53">
        <f t="shared" si="90"/>
        <v>572</v>
      </c>
      <c r="I586" s="7" cm="1">
        <f t="array" ref="I586">CurrentCapacity(K$9,K$5,K$6,H586)</f>
        <v>267.95812032000003</v>
      </c>
      <c r="J586" s="51">
        <f t="shared" si="91"/>
        <v>0.48489359473749977</v>
      </c>
      <c r="K586" s="5" cm="1">
        <f t="array" ref="K586">UseableCapacity(I586,$K$7,$K$8)</f>
        <v>200.96859024000003</v>
      </c>
      <c r="L586" s="66">
        <f t="shared" si="92"/>
        <v>138.02694411893174</v>
      </c>
      <c r="M586" s="7">
        <f t="shared" si="93"/>
        <v>71.037414038931729</v>
      </c>
      <c r="N586" s="7">
        <f t="shared" si="94"/>
        <v>25.081879679999986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573</v>
      </c>
      <c r="C587" s="7">
        <f t="shared" si="89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66" cm="1">
        <f t="array" ref="F587">estimatedTripDuration(C587,$C$7,$C$6)/60</f>
        <v>19.226666667328939</v>
      </c>
      <c r="G587">
        <f t="shared" si="96"/>
        <v>573</v>
      </c>
      <c r="H587" s="53">
        <f t="shared" si="90"/>
        <v>573</v>
      </c>
      <c r="I587" s="7" cm="1">
        <f t="array" ref="I587">CurrentCapacity(K$9,K$5,K$6,H587)</f>
        <v>267.94757088000006</v>
      </c>
      <c r="J587" s="51">
        <f t="shared" si="91"/>
        <v>0.48511335592320737</v>
      </c>
      <c r="K587" s="5" cm="1">
        <f t="array" ref="K587">UseableCapacity(I587,$K$7,$K$8)</f>
        <v>200.96067816000004</v>
      </c>
      <c r="L587" s="66">
        <f t="shared" si="92"/>
        <v>137.96262555893176</v>
      </c>
      <c r="M587" s="7">
        <f t="shared" si="93"/>
        <v>70.975732838931748</v>
      </c>
      <c r="N587" s="7">
        <f t="shared" si="94"/>
        <v>25.092429119999963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574</v>
      </c>
      <c r="C588" s="7">
        <f t="shared" si="89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66" cm="1">
        <f t="array" ref="F588">estimatedTripDuration(C588,$C$7,$C$6)/60</f>
        <v>19.260000000662274</v>
      </c>
      <c r="G588">
        <f t="shared" si="96"/>
        <v>574</v>
      </c>
      <c r="H588" s="53">
        <f t="shared" si="90"/>
        <v>574</v>
      </c>
      <c r="I588" s="7" cm="1">
        <f t="array" ref="I588">CurrentCapacity(K$9,K$5,K$6,H588)</f>
        <v>267.93702144000002</v>
      </c>
      <c r="J588" s="51">
        <f t="shared" si="91"/>
        <v>0.4853331344141566</v>
      </c>
      <c r="K588" s="5" cm="1">
        <f t="array" ref="K588">UseableCapacity(I588,$K$7,$K$8)</f>
        <v>200.95276608</v>
      </c>
      <c r="L588" s="66">
        <f t="shared" si="92"/>
        <v>137.89830699893173</v>
      </c>
      <c r="M588" s="7">
        <f t="shared" si="93"/>
        <v>70.91405163893171</v>
      </c>
      <c r="N588" s="7">
        <f t="shared" si="94"/>
        <v>25.102978559999997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575</v>
      </c>
      <c r="C589" s="7">
        <f t="shared" si="89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66" cm="1">
        <f t="array" ref="F589">estimatedTripDuration(C589,$C$7,$C$6)/60</f>
        <v>19.293333333995609</v>
      </c>
      <c r="G589">
        <f t="shared" si="96"/>
        <v>575</v>
      </c>
      <c r="H589" s="53">
        <f t="shared" si="90"/>
        <v>575</v>
      </c>
      <c r="I589" s="7" cm="1">
        <f t="array" ref="I589">CurrentCapacity(K$9,K$5,K$6,H589)</f>
        <v>267.92647200000005</v>
      </c>
      <c r="J589" s="51">
        <f t="shared" si="91"/>
        <v>0.48555293021239154</v>
      </c>
      <c r="K589" s="5" cm="1">
        <f t="array" ref="K589">UseableCapacity(I589,$K$7,$K$8)</f>
        <v>200.94485400000002</v>
      </c>
      <c r="L589" s="66">
        <f t="shared" si="92"/>
        <v>137.83398843893175</v>
      </c>
      <c r="M589" s="7">
        <f t="shared" si="93"/>
        <v>70.852370438931729</v>
      </c>
      <c r="N589" s="7">
        <f t="shared" si="94"/>
        <v>25.113527999999974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576</v>
      </c>
      <c r="C590" s="7">
        <f t="shared" si="89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66" cm="1">
        <f t="array" ref="F590">estimatedTripDuration(C590,$C$7,$C$6)/60</f>
        <v>19.32666666732894</v>
      </c>
      <c r="G590">
        <f t="shared" si="96"/>
        <v>576</v>
      </c>
      <c r="H590" s="53">
        <f t="shared" si="90"/>
        <v>576</v>
      </c>
      <c r="I590" s="7" cm="1">
        <f t="array" ref="I590">CurrentCapacity(K$9,K$5,K$6,H590)</f>
        <v>267.91592256000007</v>
      </c>
      <c r="J590" s="51">
        <f t="shared" si="91"/>
        <v>0.48577274331995651</v>
      </c>
      <c r="K590" s="5" cm="1">
        <f t="array" ref="K590">UseableCapacity(I590,$K$7,$K$8)</f>
        <v>200.93694192000004</v>
      </c>
      <c r="L590" s="66">
        <f t="shared" si="92"/>
        <v>137.76966987893181</v>
      </c>
      <c r="M590" s="7">
        <f t="shared" si="93"/>
        <v>70.790689238931776</v>
      </c>
      <c r="N590" s="7">
        <f t="shared" si="94"/>
        <v>25.124077439999951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577</v>
      </c>
      <c r="C591" s="7">
        <f t="shared" ref="C591:C636" si="99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66" cm="1">
        <f t="array" ref="F591">estimatedTripDuration(C591,$C$7,$C$6)/60</f>
        <v>19.360000000662275</v>
      </c>
      <c r="G591">
        <f t="shared" si="96"/>
        <v>577</v>
      </c>
      <c r="H591" s="53">
        <f t="shared" ref="H591:H636" si="100">G591/$G$3</f>
        <v>577</v>
      </c>
      <c r="I591" s="7" cm="1">
        <f t="array" ref="I591">CurrentCapacity(K$9,K$5,K$6,H591)</f>
        <v>267.90537312000004</v>
      </c>
      <c r="J591" s="51">
        <f t="shared" ref="J591:J636" si="101">E591/I591</f>
        <v>0.48599257373889682</v>
      </c>
      <c r="K591" s="5" cm="1">
        <f t="array" ref="K591">UseableCapacity(I591,$K$7,$K$8)</f>
        <v>200.92902984000003</v>
      </c>
      <c r="L591" s="66">
        <f t="shared" ref="L591:L636" si="102">(K$7*I591)-E591</f>
        <v>137.70535131893175</v>
      </c>
      <c r="M591" s="7">
        <f t="shared" ref="M591:M636" si="103">K591-E591</f>
        <v>70.729008038931738</v>
      </c>
      <c r="N591" s="7">
        <f t="shared" ref="N591:N636" si="104">$K$9-I591</f>
        <v>25.134626879999985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ref="B592:B636" si="105">B591+$G$11</f>
        <v>578</v>
      </c>
      <c r="C592" s="7">
        <f t="shared" si="99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66" cm="1">
        <f t="array" ref="F592">estimatedTripDuration(C592,$C$7,$C$6)/60</f>
        <v>19.393333333995606</v>
      </c>
      <c r="G592">
        <f t="shared" si="96"/>
        <v>578</v>
      </c>
      <c r="H592" s="53">
        <f t="shared" si="100"/>
        <v>578</v>
      </c>
      <c r="I592" s="7" cm="1">
        <f t="array" ref="I592">CurrentCapacity(K$9,K$5,K$6,H592)</f>
        <v>267.89482368</v>
      </c>
      <c r="J592" s="51">
        <f t="shared" si="101"/>
        <v>0.48621242147125715</v>
      </c>
      <c r="K592" s="5" cm="1">
        <f t="array" ref="K592">UseableCapacity(I592,$K$7,$K$8)</f>
        <v>200.92111776000002</v>
      </c>
      <c r="L592" s="66">
        <f t="shared" si="102"/>
        <v>137.64103275893171</v>
      </c>
      <c r="M592" s="7">
        <f t="shared" si="103"/>
        <v>70.667326838931729</v>
      </c>
      <c r="N592" s="7">
        <f t="shared" si="104"/>
        <v>25.145176320000019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si="105"/>
        <v>579</v>
      </c>
      <c r="C593" s="7">
        <f t="shared" si="99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66" cm="1">
        <f t="array" ref="F593">estimatedTripDuration(C593,$C$7,$C$6)/60</f>
        <v>19.426666667328941</v>
      </c>
      <c r="G593">
        <f t="shared" si="96"/>
        <v>579</v>
      </c>
      <c r="H593" s="53">
        <f t="shared" si="100"/>
        <v>579</v>
      </c>
      <c r="I593" s="7" cm="1">
        <f t="array" ref="I593">CurrentCapacity(K$9,K$5,K$6,H593)</f>
        <v>267.88427424000002</v>
      </c>
      <c r="J593" s="51">
        <f t="shared" si="101"/>
        <v>0.48643228651908305</v>
      </c>
      <c r="K593" s="5" cm="1">
        <f t="array" ref="K593">UseableCapacity(I593,$K$7,$K$8)</f>
        <v>200.91320568000003</v>
      </c>
      <c r="L593" s="66">
        <f t="shared" si="102"/>
        <v>137.57671419893171</v>
      </c>
      <c r="M593" s="7">
        <f t="shared" si="103"/>
        <v>70.605645638931719</v>
      </c>
      <c r="N593" s="7">
        <f t="shared" si="104"/>
        <v>25.155725759999996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580</v>
      </c>
      <c r="C594" s="7">
        <f t="shared" si="99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66" cm="1">
        <f t="array" ref="F594">estimatedTripDuration(C594,$C$7,$C$6)/60</f>
        <v>19.460000000662273</v>
      </c>
      <c r="G594">
        <f t="shared" si="96"/>
        <v>580</v>
      </c>
      <c r="H594" s="53">
        <f t="shared" si="100"/>
        <v>580</v>
      </c>
      <c r="I594" s="7" cm="1">
        <f t="array" ref="I594">CurrentCapacity(K$9,K$5,K$6,H594)</f>
        <v>267.87372480000005</v>
      </c>
      <c r="J594" s="51">
        <f t="shared" si="101"/>
        <v>0.48665216888442003</v>
      </c>
      <c r="K594" s="5" cm="1">
        <f t="array" ref="K594">UseableCapacity(I594,$K$7,$K$8)</f>
        <v>200.90529360000005</v>
      </c>
      <c r="L594" s="66">
        <f t="shared" si="102"/>
        <v>137.51239563893176</v>
      </c>
      <c r="M594" s="7">
        <f t="shared" si="103"/>
        <v>70.543964438931766</v>
      </c>
      <c r="N594" s="7">
        <f t="shared" si="104"/>
        <v>25.166275199999973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581</v>
      </c>
      <c r="C595" s="7">
        <f t="shared" si="99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66" cm="1">
        <f t="array" ref="F595">estimatedTripDuration(C595,$C$7,$C$6)/60</f>
        <v>19.493333333995608</v>
      </c>
      <c r="G595">
        <f t="shared" si="96"/>
        <v>581</v>
      </c>
      <c r="H595" s="53">
        <f t="shared" si="100"/>
        <v>581</v>
      </c>
      <c r="I595" s="7" cm="1">
        <f t="array" ref="I595">CurrentCapacity(K$9,K$5,K$6,H595)</f>
        <v>267.86317536000001</v>
      </c>
      <c r="J595" s="51">
        <f t="shared" si="101"/>
        <v>0.48687206856931464</v>
      </c>
      <c r="K595" s="5" cm="1">
        <f t="array" ref="K595">UseableCapacity(I595,$K$7,$K$8)</f>
        <v>200.89738152000001</v>
      </c>
      <c r="L595" s="66">
        <f t="shared" si="102"/>
        <v>137.44807707893173</v>
      </c>
      <c r="M595" s="7">
        <f t="shared" si="103"/>
        <v>70.482283238931728</v>
      </c>
      <c r="N595" s="7">
        <f t="shared" si="104"/>
        <v>25.176824640000007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582</v>
      </c>
      <c r="C596" s="7">
        <f t="shared" si="99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66" cm="1">
        <f t="array" ref="F596">estimatedTripDuration(C596,$C$7,$C$6)/60</f>
        <v>19.526666667328939</v>
      </c>
      <c r="G596">
        <f t="shared" si="96"/>
        <v>582</v>
      </c>
      <c r="H596" s="53">
        <f t="shared" si="100"/>
        <v>582</v>
      </c>
      <c r="I596" s="7" cm="1">
        <f t="array" ref="I596">CurrentCapacity(K$9,K$5,K$6,H596)</f>
        <v>267.85262592000004</v>
      </c>
      <c r="J596" s="51">
        <f t="shared" si="101"/>
        <v>0.48709198557581307</v>
      </c>
      <c r="K596" s="5" cm="1">
        <f t="array" ref="K596">UseableCapacity(I596,$K$7,$K$8)</f>
        <v>200.88946944000003</v>
      </c>
      <c r="L596" s="66">
        <f t="shared" si="102"/>
        <v>137.38375851893173</v>
      </c>
      <c r="M596" s="7">
        <f t="shared" si="103"/>
        <v>70.420602038931719</v>
      </c>
      <c r="N596" s="7">
        <f t="shared" si="104"/>
        <v>25.187374079999984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583</v>
      </c>
      <c r="C597" s="7">
        <f t="shared" si="99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66" cm="1">
        <f t="array" ref="F597">estimatedTripDuration(C597,$C$7,$C$6)/60</f>
        <v>19.560000000662274</v>
      </c>
      <c r="G597">
        <f t="shared" si="96"/>
        <v>583</v>
      </c>
      <c r="H597" s="53">
        <f t="shared" si="100"/>
        <v>583</v>
      </c>
      <c r="I597" s="7" cm="1">
        <f t="array" ref="I597">CurrentCapacity(K$9,K$5,K$6,H597)</f>
        <v>267.84207648000006</v>
      </c>
      <c r="J597" s="51">
        <f t="shared" si="101"/>
        <v>0.48731191990596179</v>
      </c>
      <c r="K597" s="5" cm="1">
        <f t="array" ref="K597">UseableCapacity(I597,$K$7,$K$8)</f>
        <v>200.88155736000004</v>
      </c>
      <c r="L597" s="66">
        <f t="shared" si="102"/>
        <v>137.31943995893178</v>
      </c>
      <c r="M597" s="7">
        <f t="shared" si="103"/>
        <v>70.358920838931766</v>
      </c>
      <c r="N597" s="7">
        <f t="shared" si="104"/>
        <v>25.197923519999961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584</v>
      </c>
      <c r="C598" s="7">
        <f t="shared" si="99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66" cm="1">
        <f t="array" ref="F598">estimatedTripDuration(C598,$C$7,$C$6)/60</f>
        <v>19.593333333995606</v>
      </c>
      <c r="G598">
        <f t="shared" si="96"/>
        <v>584</v>
      </c>
      <c r="H598" s="53">
        <f t="shared" si="100"/>
        <v>584</v>
      </c>
      <c r="I598" s="7" cm="1">
        <f t="array" ref="I598">CurrentCapacity(K$9,K$5,K$6,H598)</f>
        <v>267.83152704000003</v>
      </c>
      <c r="J598" s="51">
        <f t="shared" si="101"/>
        <v>0.48753187156180838</v>
      </c>
      <c r="K598" s="5" cm="1">
        <f t="array" ref="K598">UseableCapacity(I598,$K$7,$K$8)</f>
        <v>200.87364528000001</v>
      </c>
      <c r="L598" s="66">
        <f t="shared" si="102"/>
        <v>137.25512139893172</v>
      </c>
      <c r="M598" s="7">
        <f t="shared" si="103"/>
        <v>70.2972396389317</v>
      </c>
      <c r="N598" s="7">
        <f t="shared" si="104"/>
        <v>25.208472959999995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585</v>
      </c>
      <c r="C599" s="7">
        <f t="shared" si="99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66" cm="1">
        <f t="array" ref="F599">estimatedTripDuration(C599,$C$7,$C$6)/60</f>
        <v>19.626666667328941</v>
      </c>
      <c r="G599">
        <f t="shared" si="96"/>
        <v>585</v>
      </c>
      <c r="H599" s="53">
        <f t="shared" si="100"/>
        <v>585</v>
      </c>
      <c r="I599" s="7" cm="1">
        <f t="array" ref="I599">CurrentCapacity(K$9,K$5,K$6,H599)</f>
        <v>267.82097760000005</v>
      </c>
      <c r="J599" s="51">
        <f t="shared" si="101"/>
        <v>0.48775184054539977</v>
      </c>
      <c r="K599" s="5" cm="1">
        <f t="array" ref="K599">UseableCapacity(I599,$K$7,$K$8)</f>
        <v>200.86573320000002</v>
      </c>
      <c r="L599" s="66">
        <f t="shared" si="102"/>
        <v>137.19080283893175</v>
      </c>
      <c r="M599" s="7">
        <f t="shared" si="103"/>
        <v>70.235558438931719</v>
      </c>
      <c r="N599" s="7">
        <f t="shared" si="104"/>
        <v>25.219022399999972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586</v>
      </c>
      <c r="C600" s="7">
        <f t="shared" si="99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66" cm="1">
        <f t="array" ref="F600">estimatedTripDuration(C600,$C$7,$C$6)/60</f>
        <v>19.660000000662272</v>
      </c>
      <c r="G600">
        <f t="shared" si="96"/>
        <v>586</v>
      </c>
      <c r="H600" s="53">
        <f t="shared" si="100"/>
        <v>586</v>
      </c>
      <c r="I600" s="7" cm="1">
        <f t="array" ref="I600">CurrentCapacity(K$9,K$5,K$6,H600)</f>
        <v>267.81042816000001</v>
      </c>
      <c r="J600" s="51">
        <f t="shared" si="101"/>
        <v>0.48797182685878376</v>
      </c>
      <c r="K600" s="5" cm="1">
        <f t="array" ref="K600">UseableCapacity(I600,$K$7,$K$8)</f>
        <v>200.85782112000001</v>
      </c>
      <c r="L600" s="66">
        <f t="shared" si="102"/>
        <v>137.12648427893174</v>
      </c>
      <c r="M600" s="7">
        <f t="shared" si="103"/>
        <v>70.173877238931738</v>
      </c>
      <c r="N600" s="7">
        <f t="shared" si="104"/>
        <v>25.229571840000006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587</v>
      </c>
      <c r="C601" s="7">
        <f t="shared" si="99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66" cm="1">
        <f t="array" ref="F601">estimatedTripDuration(C601,$C$7,$C$6)/60</f>
        <v>19.693333333995607</v>
      </c>
      <c r="G601">
        <f t="shared" si="96"/>
        <v>587</v>
      </c>
      <c r="H601" s="53">
        <f t="shared" si="100"/>
        <v>587</v>
      </c>
      <c r="I601" s="7" cm="1">
        <f t="array" ref="I601">CurrentCapacity(K$9,K$5,K$6,H601)</f>
        <v>267.79987872000004</v>
      </c>
      <c r="J601" s="51">
        <f t="shared" si="101"/>
        <v>0.48819183050400855</v>
      </c>
      <c r="K601" s="5" cm="1">
        <f t="array" ref="K601">UseableCapacity(I601,$K$7,$K$8)</f>
        <v>200.84990904000003</v>
      </c>
      <c r="L601" s="66">
        <f t="shared" si="102"/>
        <v>137.06216571893174</v>
      </c>
      <c r="M601" s="7">
        <f t="shared" si="103"/>
        <v>70.112196038931728</v>
      </c>
      <c r="N601" s="7">
        <f t="shared" si="104"/>
        <v>25.240121279999983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588</v>
      </c>
      <c r="C602" s="7">
        <f t="shared" si="99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66" cm="1">
        <f t="array" ref="F602">estimatedTripDuration(C602,$C$7,$C$6)/60</f>
        <v>19.726666667328939</v>
      </c>
      <c r="G602">
        <f t="shared" si="96"/>
        <v>588</v>
      </c>
      <c r="H602" s="53">
        <f t="shared" si="100"/>
        <v>588</v>
      </c>
      <c r="I602" s="7" cm="1">
        <f t="array" ref="I602">CurrentCapacity(K$9,K$5,K$6,H602)</f>
        <v>267.78932928000006</v>
      </c>
      <c r="J602" s="51">
        <f t="shared" si="101"/>
        <v>0.48841185148312222</v>
      </c>
      <c r="K602" s="5" cm="1">
        <f t="array" ref="K602">UseableCapacity(I602,$K$7,$K$8)</f>
        <v>200.84199696000005</v>
      </c>
      <c r="L602" s="66">
        <f t="shared" si="102"/>
        <v>136.99784715893176</v>
      </c>
      <c r="M602" s="7">
        <f t="shared" si="103"/>
        <v>70.050514838931747</v>
      </c>
      <c r="N602" s="7">
        <f t="shared" si="104"/>
        <v>25.25067071999996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589</v>
      </c>
      <c r="C603" s="7">
        <f t="shared" si="99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66" cm="1">
        <f t="array" ref="F603">estimatedTripDuration(C603,$C$7,$C$6)/60</f>
        <v>19.760000000662274</v>
      </c>
      <c r="G603">
        <f t="shared" si="96"/>
        <v>589</v>
      </c>
      <c r="H603" s="53">
        <f t="shared" si="100"/>
        <v>589</v>
      </c>
      <c r="I603" s="7" cm="1">
        <f t="array" ref="I603">CurrentCapacity(K$9,K$5,K$6,H603)</f>
        <v>267.77877984000003</v>
      </c>
      <c r="J603" s="51">
        <f t="shared" si="101"/>
        <v>0.48863188979817374</v>
      </c>
      <c r="K603" s="5" cm="1">
        <f t="array" ref="K603">UseableCapacity(I603,$K$7,$K$8)</f>
        <v>200.83408488000003</v>
      </c>
      <c r="L603" s="66">
        <f t="shared" si="102"/>
        <v>136.9335285989317</v>
      </c>
      <c r="M603" s="7">
        <f t="shared" si="103"/>
        <v>69.988833638931709</v>
      </c>
      <c r="N603" s="7">
        <f t="shared" si="104"/>
        <v>25.261220159999993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590</v>
      </c>
      <c r="C604" s="7">
        <f t="shared" si="99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66" cm="1">
        <f t="array" ref="F604">estimatedTripDuration(C604,$C$7,$C$6)/60</f>
        <v>19.793333333995609</v>
      </c>
      <c r="G604">
        <f t="shared" si="96"/>
        <v>590</v>
      </c>
      <c r="H604" s="53">
        <f t="shared" si="100"/>
        <v>590</v>
      </c>
      <c r="I604" s="7" cm="1">
        <f t="array" ref="I604">CurrentCapacity(K$9,K$5,K$6,H604)</f>
        <v>267.76823040000005</v>
      </c>
      <c r="J604" s="51">
        <f t="shared" si="101"/>
        <v>0.48885194545121163</v>
      </c>
      <c r="K604" s="5" cm="1">
        <f t="array" ref="K604">UseableCapacity(I604,$K$7,$K$8)</f>
        <v>200.82617280000005</v>
      </c>
      <c r="L604" s="66">
        <f t="shared" si="102"/>
        <v>136.86921003893175</v>
      </c>
      <c r="M604" s="7">
        <f t="shared" si="103"/>
        <v>69.927152438931756</v>
      </c>
      <c r="N604" s="7">
        <f t="shared" si="104"/>
        <v>25.271769599999971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591</v>
      </c>
      <c r="C605" s="7">
        <f t="shared" si="99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66" cm="1">
        <f t="array" ref="F605">estimatedTripDuration(C605,$C$7,$C$6)/60</f>
        <v>19.82666666732894</v>
      </c>
      <c r="G605">
        <f t="shared" si="96"/>
        <v>591</v>
      </c>
      <c r="H605" s="53">
        <f t="shared" si="100"/>
        <v>591</v>
      </c>
      <c r="I605" s="7" cm="1">
        <f t="array" ref="I605">CurrentCapacity(K$9,K$5,K$6,H605)</f>
        <v>267.75768096000007</v>
      </c>
      <c r="J605" s="51">
        <f t="shared" si="101"/>
        <v>0.48907201844428549</v>
      </c>
      <c r="K605" s="5" cm="1">
        <f t="array" ref="K605">UseableCapacity(I605,$K$7,$K$8)</f>
        <v>200.81826072000007</v>
      </c>
      <c r="L605" s="66">
        <f t="shared" si="102"/>
        <v>136.80489147893181</v>
      </c>
      <c r="M605" s="7">
        <f t="shared" si="103"/>
        <v>69.865471238931804</v>
      </c>
      <c r="N605" s="7">
        <f t="shared" si="104"/>
        <v>25.282319039999948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592</v>
      </c>
      <c r="C606" s="7">
        <f t="shared" si="99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66" cm="1">
        <f t="array" ref="F606">estimatedTripDuration(C606,$C$7,$C$6)/60</f>
        <v>19.860000000662275</v>
      </c>
      <c r="G606">
        <f t="shared" si="96"/>
        <v>592</v>
      </c>
      <c r="H606" s="53">
        <f t="shared" si="100"/>
        <v>592</v>
      </c>
      <c r="I606" s="7" cm="1">
        <f t="array" ref="I606">CurrentCapacity(K$9,K$5,K$6,H606)</f>
        <v>267.74713152000004</v>
      </c>
      <c r="J606" s="51">
        <f t="shared" si="101"/>
        <v>0.48929210877944523</v>
      </c>
      <c r="K606" s="5" cm="1">
        <f t="array" ref="K606">UseableCapacity(I606,$K$7,$K$8)</f>
        <v>200.81034864000003</v>
      </c>
      <c r="L606" s="66">
        <f t="shared" si="102"/>
        <v>136.74057291893175</v>
      </c>
      <c r="M606" s="7">
        <f t="shared" si="103"/>
        <v>69.803790038931737</v>
      </c>
      <c r="N606" s="7">
        <f t="shared" si="104"/>
        <v>25.292868479999981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593</v>
      </c>
      <c r="C607" s="7">
        <f t="shared" si="99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66" cm="1">
        <f t="array" ref="F607">estimatedTripDuration(C607,$C$7,$C$6)/60</f>
        <v>19.893333333995606</v>
      </c>
      <c r="G607">
        <f t="shared" ref="G607:G636" si="106">B607</f>
        <v>593</v>
      </c>
      <c r="H607" s="53">
        <f t="shared" si="100"/>
        <v>593</v>
      </c>
      <c r="I607" s="7" cm="1">
        <f t="array" ref="I607">CurrentCapacity(K$9,K$5,K$6,H607)</f>
        <v>267.73658208000001</v>
      </c>
      <c r="J607" s="51">
        <f t="shared" si="101"/>
        <v>0.48951221645874043</v>
      </c>
      <c r="K607" s="5" cm="1">
        <f t="array" ref="K607">UseableCapacity(I607,$K$7,$K$8)</f>
        <v>200.80243655999999</v>
      </c>
      <c r="L607" s="66">
        <f t="shared" si="102"/>
        <v>136.67625435893171</v>
      </c>
      <c r="M607" s="7">
        <f t="shared" si="103"/>
        <v>69.742108838931699</v>
      </c>
      <c r="N607" s="7">
        <f t="shared" si="104"/>
        <v>25.303417920000015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35">
      <c r="B608">
        <f t="shared" si="105"/>
        <v>594</v>
      </c>
      <c r="C608" s="7">
        <f t="shared" si="99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66" cm="1">
        <f t="array" ref="F608">estimatedTripDuration(C608,$C$7,$C$6)/60</f>
        <v>19.926666667328941</v>
      </c>
      <c r="G608">
        <f t="shared" si="106"/>
        <v>594</v>
      </c>
      <c r="H608" s="53">
        <f t="shared" si="100"/>
        <v>594</v>
      </c>
      <c r="I608" s="7" cm="1">
        <f t="array" ref="I608">CurrentCapacity(K$9,K$5,K$6,H608)</f>
        <v>267.72603264000003</v>
      </c>
      <c r="J608" s="51">
        <f t="shared" si="101"/>
        <v>0.48973234148422146</v>
      </c>
      <c r="K608" s="5" cm="1">
        <f t="array" ref="K608">UseableCapacity(I608,$K$7,$K$8)</f>
        <v>200.79452448000001</v>
      </c>
      <c r="L608" s="66">
        <f t="shared" si="102"/>
        <v>136.61193579893171</v>
      </c>
      <c r="M608" s="7">
        <f t="shared" si="103"/>
        <v>69.68042763893169</v>
      </c>
      <c r="N608" s="7">
        <f t="shared" si="104"/>
        <v>25.313967359999992</v>
      </c>
      <c r="O608" t="str">
        <f t="shared" si="107"/>
        <v>no</v>
      </c>
      <c r="P608" t="str">
        <f t="shared" si="108"/>
        <v>no</v>
      </c>
    </row>
    <row r="609" spans="2:16" x14ac:dyDescent="0.35">
      <c r="B609">
        <f t="shared" si="105"/>
        <v>595</v>
      </c>
      <c r="C609" s="7">
        <f t="shared" si="99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66" cm="1">
        <f t="array" ref="F609">estimatedTripDuration(C609,$C$7,$C$6)/60</f>
        <v>19.960000000662273</v>
      </c>
      <c r="G609">
        <f t="shared" si="106"/>
        <v>595</v>
      </c>
      <c r="H609" s="53">
        <f t="shared" si="100"/>
        <v>595</v>
      </c>
      <c r="I609" s="7" cm="1">
        <f t="array" ref="I609">CurrentCapacity(K$9,K$5,K$6,H609)</f>
        <v>267.71548320000005</v>
      </c>
      <c r="J609" s="51">
        <f t="shared" si="101"/>
        <v>0.48995248385793871</v>
      </c>
      <c r="K609" s="5" cm="1">
        <f t="array" ref="K609">UseableCapacity(I609,$K$7,$K$8)</f>
        <v>200.78661240000002</v>
      </c>
      <c r="L609" s="66">
        <f t="shared" si="102"/>
        <v>136.54761723893176</v>
      </c>
      <c r="M609" s="7">
        <f t="shared" si="103"/>
        <v>69.618746438931737</v>
      </c>
      <c r="N609" s="7">
        <f t="shared" si="104"/>
        <v>25.324516799999969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596</v>
      </c>
      <c r="C610" s="7">
        <f t="shared" si="99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66" cm="1">
        <f t="array" ref="F610">estimatedTripDuration(C610,$C$7,$C$6)/60</f>
        <v>19.993333333995608</v>
      </c>
      <c r="G610">
        <f t="shared" si="106"/>
        <v>596</v>
      </c>
      <c r="H610" s="53">
        <f t="shared" si="100"/>
        <v>596</v>
      </c>
      <c r="I610" s="7" cm="1">
        <f t="array" ref="I610">CurrentCapacity(K$9,K$5,K$6,H610)</f>
        <v>267.70493376000002</v>
      </c>
      <c r="J610" s="51">
        <f t="shared" si="101"/>
        <v>0.49017264358194351</v>
      </c>
      <c r="K610" s="5" cm="1">
        <f t="array" ref="K610">UseableCapacity(I610,$K$7,$K$8)</f>
        <v>200.77870032000001</v>
      </c>
      <c r="L610" s="66">
        <f t="shared" si="102"/>
        <v>136.48329867893173</v>
      </c>
      <c r="M610" s="7">
        <f t="shared" si="103"/>
        <v>69.557065238931727</v>
      </c>
      <c r="N610" s="7">
        <f t="shared" si="104"/>
        <v>25.335066240000003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597</v>
      </c>
      <c r="C611" s="7">
        <f t="shared" si="99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66" cm="1">
        <f t="array" ref="F611">estimatedTripDuration(C611,$C$7,$C$6)/60</f>
        <v>20.026666667328939</v>
      </c>
      <c r="G611">
        <f t="shared" si="106"/>
        <v>597</v>
      </c>
      <c r="H611" s="53">
        <f t="shared" si="100"/>
        <v>597</v>
      </c>
      <c r="I611" s="7" cm="1">
        <f t="array" ref="I611">CurrentCapacity(K$9,K$5,K$6,H611)</f>
        <v>267.69438432000004</v>
      </c>
      <c r="J611" s="51">
        <f t="shared" si="101"/>
        <v>0.49039282065828693</v>
      </c>
      <c r="K611" s="5" cm="1">
        <f t="array" ref="K611">UseableCapacity(I611,$K$7,$K$8)</f>
        <v>200.77078824000003</v>
      </c>
      <c r="L611" s="66">
        <f t="shared" si="102"/>
        <v>136.41898011893173</v>
      </c>
      <c r="M611" s="7">
        <f t="shared" si="103"/>
        <v>69.495384038931718</v>
      </c>
      <c r="N611" s="7">
        <f t="shared" si="104"/>
        <v>25.34561567999998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598</v>
      </c>
      <c r="C612" s="7">
        <f t="shared" si="99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66" cm="1">
        <f t="array" ref="F612">estimatedTripDuration(C612,$C$7,$C$6)/60</f>
        <v>20.060000000662274</v>
      </c>
      <c r="G612">
        <f t="shared" si="106"/>
        <v>598</v>
      </c>
      <c r="H612" s="53">
        <f t="shared" si="100"/>
        <v>598</v>
      </c>
      <c r="I612" s="7" cm="1">
        <f t="array" ref="I612">CurrentCapacity(K$9,K$5,K$6,H612)</f>
        <v>267.68383488000006</v>
      </c>
      <c r="J612" s="51">
        <f t="shared" si="101"/>
        <v>0.49061301508902028</v>
      </c>
      <c r="K612" s="5" cm="1">
        <f t="array" ref="K612">UseableCapacity(I612,$K$7,$K$8)</f>
        <v>200.76287616000005</v>
      </c>
      <c r="L612" s="66">
        <f t="shared" si="102"/>
        <v>136.35466155893178</v>
      </c>
      <c r="M612" s="7">
        <f t="shared" si="103"/>
        <v>69.433702838931765</v>
      </c>
      <c r="N612" s="7">
        <f t="shared" si="104"/>
        <v>25.356165119999957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599</v>
      </c>
      <c r="C613" s="7">
        <f t="shared" si="99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66" cm="1">
        <f t="array" ref="F613">estimatedTripDuration(C613,$C$7,$C$6)/60</f>
        <v>20.093333333995606</v>
      </c>
      <c r="G613">
        <f t="shared" si="106"/>
        <v>599</v>
      </c>
      <c r="H613" s="53">
        <f t="shared" si="100"/>
        <v>599</v>
      </c>
      <c r="I613" s="7" cm="1">
        <f t="array" ref="I613">CurrentCapacity(K$9,K$5,K$6,H613)</f>
        <v>267.67328544000003</v>
      </c>
      <c r="J613" s="51">
        <f t="shared" si="101"/>
        <v>0.49083322687619602</v>
      </c>
      <c r="K613" s="5" cm="1">
        <f t="array" ref="K613">UseableCapacity(I613,$K$7,$K$8)</f>
        <v>200.75496408000004</v>
      </c>
      <c r="L613" s="66">
        <f t="shared" si="102"/>
        <v>136.29034299893172</v>
      </c>
      <c r="M613" s="7">
        <f t="shared" si="103"/>
        <v>69.372021638931727</v>
      </c>
      <c r="N613" s="7">
        <f t="shared" si="104"/>
        <v>25.366714559999991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600</v>
      </c>
      <c r="C614" s="7">
        <f t="shared" si="99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66" cm="1">
        <f t="array" ref="F614">estimatedTripDuration(C614,$C$7,$C$6)/60</f>
        <v>20.126666667328941</v>
      </c>
      <c r="G614">
        <f t="shared" si="106"/>
        <v>600</v>
      </c>
      <c r="H614" s="53">
        <f t="shared" si="100"/>
        <v>600</v>
      </c>
      <c r="I614" s="7" cm="1">
        <f t="array" ref="I614">CurrentCapacity(K$9,K$5,K$6,H614)</f>
        <v>267.66273600000005</v>
      </c>
      <c r="J614" s="51">
        <f t="shared" si="101"/>
        <v>0.49105345602186584</v>
      </c>
      <c r="K614" s="5" cm="1">
        <f t="array" ref="K614">UseableCapacity(I614,$K$7,$K$8)</f>
        <v>200.74705200000005</v>
      </c>
      <c r="L614" s="66">
        <f t="shared" si="102"/>
        <v>136.22602443893174</v>
      </c>
      <c r="M614" s="7">
        <f t="shared" si="103"/>
        <v>69.310340438931746</v>
      </c>
      <c r="N614" s="7">
        <f t="shared" si="104"/>
        <v>25.377263999999968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601</v>
      </c>
      <c r="C615" s="7">
        <f t="shared" si="99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66" cm="1">
        <f t="array" ref="F615">estimatedTripDuration(C615,$C$7,$C$6)/60</f>
        <v>20.160000000662272</v>
      </c>
      <c r="G615">
        <f t="shared" si="106"/>
        <v>601</v>
      </c>
      <c r="H615" s="53">
        <f t="shared" si="100"/>
        <v>601</v>
      </c>
      <c r="I615" s="7" cm="1">
        <f t="array" ref="I615">CurrentCapacity(K$9,K$5,K$6,H615)</f>
        <v>267.65218656000002</v>
      </c>
      <c r="J615" s="51">
        <f t="shared" si="101"/>
        <v>0.49127370252808256</v>
      </c>
      <c r="K615" s="5" cm="1">
        <f t="array" ref="K615">UseableCapacity(I615,$K$7,$K$8)</f>
        <v>200.73913992000001</v>
      </c>
      <c r="L615" s="66">
        <f t="shared" si="102"/>
        <v>136.16170587893171</v>
      </c>
      <c r="M615" s="7">
        <f t="shared" si="103"/>
        <v>69.248659238931708</v>
      </c>
      <c r="N615" s="7">
        <f t="shared" si="104"/>
        <v>25.387813440000002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602</v>
      </c>
      <c r="C616" s="7">
        <f t="shared" si="99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66" cm="1">
        <f t="array" ref="F616">estimatedTripDuration(C616,$C$7,$C$6)/60</f>
        <v>20.193333333995607</v>
      </c>
      <c r="G616">
        <f t="shared" si="106"/>
        <v>602</v>
      </c>
      <c r="H616" s="53">
        <f t="shared" si="100"/>
        <v>602</v>
      </c>
      <c r="I616" s="7" cm="1">
        <f t="array" ref="I616">CurrentCapacity(K$9,K$5,K$6,H616)</f>
        <v>267.64163712000004</v>
      </c>
      <c r="J616" s="51">
        <f t="shared" si="101"/>
        <v>0.49149396639689885</v>
      </c>
      <c r="K616" s="5" cm="1">
        <f t="array" ref="K616">UseableCapacity(I616,$K$7,$K$8)</f>
        <v>200.73122784000003</v>
      </c>
      <c r="L616" s="66">
        <f t="shared" si="102"/>
        <v>136.09738731893174</v>
      </c>
      <c r="M616" s="7">
        <f t="shared" si="103"/>
        <v>69.186978038931727</v>
      </c>
      <c r="N616" s="7">
        <f t="shared" si="104"/>
        <v>25.398362879999979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603</v>
      </c>
      <c r="C617" s="7">
        <f t="shared" si="99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66" cm="1">
        <f t="array" ref="F617">estimatedTripDuration(C617,$C$7,$C$6)/60</f>
        <v>20.226666667328939</v>
      </c>
      <c r="G617">
        <f t="shared" si="106"/>
        <v>603</v>
      </c>
      <c r="H617" s="53">
        <f t="shared" si="100"/>
        <v>603</v>
      </c>
      <c r="I617" s="7" cm="1">
        <f t="array" ref="I617">CurrentCapacity(K$9,K$5,K$6,H617)</f>
        <v>267.63108768000006</v>
      </c>
      <c r="J617" s="51">
        <f t="shared" si="101"/>
        <v>0.4917142476303682</v>
      </c>
      <c r="K617" s="5" cm="1">
        <f t="array" ref="K617">UseableCapacity(I617,$K$7,$K$8)</f>
        <v>200.72331576000005</v>
      </c>
      <c r="L617" s="66">
        <f t="shared" si="102"/>
        <v>136.03306875893173</v>
      </c>
      <c r="M617" s="7">
        <f t="shared" si="103"/>
        <v>69.125296838931718</v>
      </c>
      <c r="N617" s="7">
        <f t="shared" si="104"/>
        <v>25.408912319999956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604</v>
      </c>
      <c r="C618" s="7">
        <f t="shared" si="99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66" cm="1">
        <f t="array" ref="F618">estimatedTripDuration(C618,$C$7,$C$6)/60</f>
        <v>20.260000000662274</v>
      </c>
      <c r="G618">
        <f t="shared" si="106"/>
        <v>604</v>
      </c>
      <c r="H618" s="53">
        <f t="shared" si="100"/>
        <v>604</v>
      </c>
      <c r="I618" s="7" cm="1">
        <f t="array" ref="I618">CurrentCapacity(K$9,K$5,K$6,H618)</f>
        <v>267.62053824000003</v>
      </c>
      <c r="J618" s="51">
        <f t="shared" si="101"/>
        <v>0.49193454623054389</v>
      </c>
      <c r="K618" s="5" cm="1">
        <f t="array" ref="K618">UseableCapacity(I618,$K$7,$K$8)</f>
        <v>200.71540368000001</v>
      </c>
      <c r="L618" s="66">
        <f t="shared" si="102"/>
        <v>135.9687501989317</v>
      </c>
      <c r="M618" s="7">
        <f t="shared" si="103"/>
        <v>69.06361563893168</v>
      </c>
      <c r="N618" s="7">
        <f t="shared" si="104"/>
        <v>25.41946175999999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605</v>
      </c>
      <c r="C619" s="7">
        <f t="shared" si="99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66" cm="1">
        <f t="array" ref="F619">estimatedTripDuration(C619,$C$7,$C$6)/60</f>
        <v>20.293333333995609</v>
      </c>
      <c r="G619">
        <f t="shared" si="106"/>
        <v>605</v>
      </c>
      <c r="H619" s="53">
        <f t="shared" si="100"/>
        <v>605</v>
      </c>
      <c r="I619" s="7" cm="1">
        <f t="array" ref="I619">CurrentCapacity(K$9,K$5,K$6,H619)</f>
        <v>267.60998880000005</v>
      </c>
      <c r="J619" s="51">
        <f t="shared" si="101"/>
        <v>0.49215486219947957</v>
      </c>
      <c r="K619" s="5" cm="1">
        <f t="array" ref="K619">UseableCapacity(I619,$K$7,$K$8)</f>
        <v>200.70749160000003</v>
      </c>
      <c r="L619" s="66">
        <f t="shared" si="102"/>
        <v>135.90443163893175</v>
      </c>
      <c r="M619" s="7">
        <f t="shared" si="103"/>
        <v>69.001934438931727</v>
      </c>
      <c r="N619" s="7">
        <f t="shared" si="104"/>
        <v>25.430011199999967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606</v>
      </c>
      <c r="C620" s="7">
        <f t="shared" si="99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66" cm="1">
        <f t="array" ref="F620">estimatedTripDuration(C620,$C$7,$C$6)/60</f>
        <v>20.32666666732894</v>
      </c>
      <c r="G620">
        <f t="shared" si="106"/>
        <v>606</v>
      </c>
      <c r="H620" s="53">
        <f t="shared" si="100"/>
        <v>606</v>
      </c>
      <c r="I620" s="7" cm="1">
        <f t="array" ref="I620">CurrentCapacity(K$9,K$5,K$6,H620)</f>
        <v>267.59943936000002</v>
      </c>
      <c r="J620" s="51">
        <f t="shared" si="101"/>
        <v>0.49237519553922987</v>
      </c>
      <c r="K620" s="5" cm="1">
        <f t="array" ref="K620">UseableCapacity(I620,$K$7,$K$8)</f>
        <v>200.69957952000001</v>
      </c>
      <c r="L620" s="66">
        <f t="shared" si="102"/>
        <v>135.84011307893172</v>
      </c>
      <c r="M620" s="7">
        <f t="shared" si="103"/>
        <v>68.940253238931717</v>
      </c>
      <c r="N620" s="7">
        <f t="shared" si="104"/>
        <v>25.440560640000001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607</v>
      </c>
      <c r="C621" s="7">
        <f t="shared" si="99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66" cm="1">
        <f t="array" ref="F621">estimatedTripDuration(C621,$C$7,$C$6)/60</f>
        <v>20.360000000662275</v>
      </c>
      <c r="G621">
        <f t="shared" si="106"/>
        <v>607</v>
      </c>
      <c r="H621" s="53">
        <f t="shared" si="100"/>
        <v>607</v>
      </c>
      <c r="I621" s="7" cm="1">
        <f t="array" ref="I621">CurrentCapacity(K$9,K$5,K$6,H621)</f>
        <v>267.58888992000004</v>
      </c>
      <c r="J621" s="51">
        <f t="shared" si="101"/>
        <v>0.49259554625184893</v>
      </c>
      <c r="K621" s="5" cm="1">
        <f t="array" ref="K621">UseableCapacity(I621,$K$7,$K$8)</f>
        <v>200.69166744000003</v>
      </c>
      <c r="L621" s="66">
        <f t="shared" si="102"/>
        <v>135.77579451893175</v>
      </c>
      <c r="M621" s="7">
        <f t="shared" si="103"/>
        <v>68.878572038931736</v>
      </c>
      <c r="N621" s="7">
        <f t="shared" si="104"/>
        <v>25.451110079999978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608</v>
      </c>
      <c r="C622" s="7">
        <f t="shared" si="99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66" cm="1">
        <f t="array" ref="F622">estimatedTripDuration(C622,$C$7,$C$6)/60</f>
        <v>20.393333333995606</v>
      </c>
      <c r="G622">
        <f t="shared" si="106"/>
        <v>608</v>
      </c>
      <c r="H622" s="53">
        <f t="shared" si="100"/>
        <v>608</v>
      </c>
      <c r="I622" s="7" cm="1">
        <f t="array" ref="I622">CurrentCapacity(K$9,K$5,K$6,H622)</f>
        <v>267.57834048000001</v>
      </c>
      <c r="J622" s="51">
        <f t="shared" si="101"/>
        <v>0.49281591433939181</v>
      </c>
      <c r="K622" s="5" cm="1">
        <f t="array" ref="K622">UseableCapacity(I622,$K$7,$K$8)</f>
        <v>200.68375536000002</v>
      </c>
      <c r="L622" s="66">
        <f t="shared" si="102"/>
        <v>135.71147595893171</v>
      </c>
      <c r="M622" s="7">
        <f t="shared" si="103"/>
        <v>68.816890838931727</v>
      </c>
      <c r="N622" s="7">
        <f t="shared" si="104"/>
        <v>25.461659520000012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609</v>
      </c>
      <c r="C623" s="7">
        <f t="shared" si="99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66" cm="1">
        <f t="array" ref="F623">estimatedTripDuration(C623,$C$7,$C$6)/60</f>
        <v>20.426666667328941</v>
      </c>
      <c r="G623">
        <f t="shared" si="106"/>
        <v>609</v>
      </c>
      <c r="H623" s="53">
        <f t="shared" si="100"/>
        <v>609</v>
      </c>
      <c r="I623" s="7" cm="1">
        <f t="array" ref="I623">CurrentCapacity(K$9,K$5,K$6,H623)</f>
        <v>267.56779104000003</v>
      </c>
      <c r="J623" s="51">
        <f t="shared" si="101"/>
        <v>0.49303629980391334</v>
      </c>
      <c r="K623" s="5" cm="1">
        <f t="array" ref="K623">UseableCapacity(I623,$K$7,$K$8)</f>
        <v>200.67584328000004</v>
      </c>
      <c r="L623" s="66">
        <f t="shared" si="102"/>
        <v>135.64715739893174</v>
      </c>
      <c r="M623" s="7">
        <f t="shared" si="103"/>
        <v>68.755209638931746</v>
      </c>
      <c r="N623" s="7">
        <f t="shared" si="104"/>
        <v>25.472208959999989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610</v>
      </c>
      <c r="C624" s="7">
        <f t="shared" si="99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66" cm="1">
        <f t="array" ref="F624">estimatedTripDuration(C624,$C$7,$C$6)/60</f>
        <v>20.460000000662273</v>
      </c>
      <c r="G624">
        <f t="shared" si="106"/>
        <v>610</v>
      </c>
      <c r="H624" s="53">
        <f t="shared" si="100"/>
        <v>610</v>
      </c>
      <c r="I624" s="7" cm="1">
        <f t="array" ref="I624">CurrentCapacity(K$9,K$5,K$6,H624)</f>
        <v>267.55724160000005</v>
      </c>
      <c r="J624" s="51">
        <f t="shared" si="101"/>
        <v>0.49325670264746924</v>
      </c>
      <c r="K624" s="5" cm="1">
        <f t="array" ref="K624">UseableCapacity(I624,$K$7,$K$8)</f>
        <v>200.66793120000006</v>
      </c>
      <c r="L624" s="66">
        <f t="shared" si="102"/>
        <v>135.58283883893174</v>
      </c>
      <c r="M624" s="7">
        <f t="shared" si="103"/>
        <v>68.693528438931736</v>
      </c>
      <c r="N624" s="7">
        <f t="shared" si="104"/>
        <v>25.482758399999966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611</v>
      </c>
      <c r="C625" s="7">
        <f t="shared" si="99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66" cm="1">
        <f t="array" ref="F625">estimatedTripDuration(C625,$C$7,$C$6)/60</f>
        <v>20.493333333995608</v>
      </c>
      <c r="G625">
        <f t="shared" si="106"/>
        <v>611</v>
      </c>
      <c r="H625" s="53">
        <f t="shared" si="100"/>
        <v>611</v>
      </c>
      <c r="I625" s="7" cm="1">
        <f t="array" ref="I625">CurrentCapacity(K$9,K$5,K$6,H625)</f>
        <v>267.54669216000002</v>
      </c>
      <c r="J625" s="51">
        <f t="shared" si="101"/>
        <v>0.49347712287211509</v>
      </c>
      <c r="K625" s="5" cm="1">
        <f t="array" ref="K625">UseableCapacity(I625,$K$7,$K$8)</f>
        <v>200.66001912000002</v>
      </c>
      <c r="L625" s="66">
        <f t="shared" si="102"/>
        <v>135.51852027893173</v>
      </c>
      <c r="M625" s="7">
        <f t="shared" si="103"/>
        <v>68.631847238931726</v>
      </c>
      <c r="N625" s="7">
        <f t="shared" si="104"/>
        <v>25.49330784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612</v>
      </c>
      <c r="C626" s="7">
        <f t="shared" si="99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66" cm="1">
        <f t="array" ref="F626">estimatedTripDuration(C626,$C$7,$C$6)/60</f>
        <v>20.526666667328939</v>
      </c>
      <c r="G626">
        <f t="shared" si="106"/>
        <v>612</v>
      </c>
      <c r="H626" s="53">
        <f t="shared" si="100"/>
        <v>612</v>
      </c>
      <c r="I626" s="7" cm="1">
        <f t="array" ref="I626">CurrentCapacity(K$9,K$5,K$6,H626)</f>
        <v>267.53614272000004</v>
      </c>
      <c r="J626" s="51">
        <f t="shared" si="101"/>
        <v>0.49369756047990726</v>
      </c>
      <c r="K626" s="5" cm="1">
        <f t="array" ref="K626">UseableCapacity(I626,$K$7,$K$8)</f>
        <v>200.65210704000003</v>
      </c>
      <c r="L626" s="66">
        <f t="shared" si="102"/>
        <v>135.45420171893173</v>
      </c>
      <c r="M626" s="7">
        <f t="shared" si="103"/>
        <v>68.570166038931717</v>
      </c>
      <c r="N626" s="7">
        <f t="shared" si="104"/>
        <v>25.503857279999977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613</v>
      </c>
      <c r="C627" s="7">
        <f t="shared" si="99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66" cm="1">
        <f t="array" ref="F627">estimatedTripDuration(C627,$C$7,$C$6)/60</f>
        <v>20.560000000662274</v>
      </c>
      <c r="G627">
        <f t="shared" si="106"/>
        <v>613</v>
      </c>
      <c r="H627" s="53">
        <f t="shared" si="100"/>
        <v>613</v>
      </c>
      <c r="I627" s="7" cm="1">
        <f t="array" ref="I627">CurrentCapacity(K$9,K$5,K$6,H627)</f>
        <v>267.52559328000007</v>
      </c>
      <c r="J627" s="51">
        <f t="shared" si="101"/>
        <v>0.49391801547290182</v>
      </c>
      <c r="K627" s="5" cm="1">
        <f t="array" ref="K627">UseableCapacity(I627,$K$7,$K$8)</f>
        <v>200.64419496000005</v>
      </c>
      <c r="L627" s="66">
        <f t="shared" si="102"/>
        <v>135.38988315893175</v>
      </c>
      <c r="M627" s="7">
        <f t="shared" si="103"/>
        <v>68.508484838931736</v>
      </c>
      <c r="N627" s="7">
        <f t="shared" si="104"/>
        <v>25.514406719999954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614</v>
      </c>
      <c r="C628" s="7">
        <f t="shared" si="99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66" cm="1">
        <f t="array" ref="F628">estimatedTripDuration(C628,$C$7,$C$6)/60</f>
        <v>20.593333333995606</v>
      </c>
      <c r="G628">
        <f t="shared" si="106"/>
        <v>614</v>
      </c>
      <c r="H628" s="53">
        <f t="shared" si="100"/>
        <v>614</v>
      </c>
      <c r="I628" s="7" cm="1">
        <f t="array" ref="I628">CurrentCapacity(K$9,K$5,K$6,H628)</f>
        <v>267.51504384000003</v>
      </c>
      <c r="J628" s="51">
        <f t="shared" si="101"/>
        <v>0.49413848785315584</v>
      </c>
      <c r="K628" s="5" cm="1">
        <f t="array" ref="K628">UseableCapacity(I628,$K$7,$K$8)</f>
        <v>200.63628288000001</v>
      </c>
      <c r="L628" s="66">
        <f t="shared" si="102"/>
        <v>135.32556459893172</v>
      </c>
      <c r="M628" s="7">
        <f t="shared" si="103"/>
        <v>68.446803638931698</v>
      </c>
      <c r="N628" s="7">
        <f t="shared" si="104"/>
        <v>25.524956159999988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615</v>
      </c>
      <c r="C629" s="7">
        <f t="shared" si="99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66" cm="1">
        <f t="array" ref="F629">estimatedTripDuration(C629,$C$7,$C$6)/60</f>
        <v>20.626666667328941</v>
      </c>
      <c r="G629">
        <f t="shared" si="106"/>
        <v>615</v>
      </c>
      <c r="H629" s="53">
        <f t="shared" si="100"/>
        <v>615</v>
      </c>
      <c r="I629" s="7" cm="1">
        <f t="array" ref="I629">CurrentCapacity(K$9,K$5,K$6,H629)</f>
        <v>267.5044944</v>
      </c>
      <c r="J629" s="51">
        <f t="shared" si="101"/>
        <v>0.49435897762272629</v>
      </c>
      <c r="K629" s="5" cm="1">
        <f t="array" ref="K629">UseableCapacity(I629,$K$7,$K$8)</f>
        <v>200.6283708</v>
      </c>
      <c r="L629" s="66">
        <f t="shared" si="102"/>
        <v>135.26124603893169</v>
      </c>
      <c r="M629" s="7">
        <f t="shared" si="103"/>
        <v>68.385122438931688</v>
      </c>
      <c r="N629" s="7">
        <f t="shared" si="104"/>
        <v>25.535505600000022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616</v>
      </c>
      <c r="C630" s="7">
        <f t="shared" si="99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66" cm="1">
        <f t="array" ref="F630">estimatedTripDuration(C630,$C$7,$C$6)/60</f>
        <v>20.660000000662272</v>
      </c>
      <c r="G630">
        <f t="shared" si="106"/>
        <v>616</v>
      </c>
      <c r="H630" s="53">
        <f t="shared" si="100"/>
        <v>616</v>
      </c>
      <c r="I630" s="7" cm="1">
        <f t="array" ref="I630">CurrentCapacity(K$9,K$5,K$6,H630)</f>
        <v>267.49394496000002</v>
      </c>
      <c r="J630" s="51">
        <f t="shared" si="101"/>
        <v>0.49457948478367031</v>
      </c>
      <c r="K630" s="5" cm="1">
        <f t="array" ref="K630">UseableCapacity(I630,$K$7,$K$8)</f>
        <v>200.62045872000002</v>
      </c>
      <c r="L630" s="66">
        <f t="shared" si="102"/>
        <v>135.19692747893174</v>
      </c>
      <c r="M630" s="7">
        <f t="shared" si="103"/>
        <v>68.323441238931736</v>
      </c>
      <c r="N630" s="7">
        <f t="shared" si="104"/>
        <v>25.546055039999999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617</v>
      </c>
      <c r="C631" s="7">
        <f t="shared" si="99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66" cm="1">
        <f t="array" ref="F631">estimatedTripDuration(C631,$C$7,$C$6)/60</f>
        <v>20.693333333995607</v>
      </c>
      <c r="G631">
        <f t="shared" si="106"/>
        <v>617</v>
      </c>
      <c r="H631" s="53">
        <f t="shared" si="100"/>
        <v>617</v>
      </c>
      <c r="I631" s="7" cm="1">
        <f t="array" ref="I631">CurrentCapacity(K$9,K$5,K$6,H631)</f>
        <v>267.48339552000004</v>
      </c>
      <c r="J631" s="51">
        <f t="shared" si="101"/>
        <v>0.49480000933804613</v>
      </c>
      <c r="K631" s="5" cm="1">
        <f t="array" ref="K631">UseableCapacity(I631,$K$7,$K$8)</f>
        <v>200.61254664000003</v>
      </c>
      <c r="L631" s="66">
        <f t="shared" si="102"/>
        <v>135.13260891893174</v>
      </c>
      <c r="M631" s="7">
        <f t="shared" si="103"/>
        <v>68.261760038931726</v>
      </c>
      <c r="N631" s="7">
        <f t="shared" si="104"/>
        <v>25.556604479999976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618</v>
      </c>
      <c r="C632" s="7">
        <f t="shared" si="99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66" cm="1">
        <f t="array" ref="F632">estimatedTripDuration(C632,$C$7,$C$6)/60</f>
        <v>20.726666667328939</v>
      </c>
      <c r="G632">
        <f t="shared" si="106"/>
        <v>618</v>
      </c>
      <c r="H632" s="53">
        <f t="shared" si="100"/>
        <v>618</v>
      </c>
      <c r="I632" s="7" cm="1">
        <f t="array" ref="I632">CurrentCapacity(K$9,K$5,K$6,H632)</f>
        <v>267.47284608000001</v>
      </c>
      <c r="J632" s="51">
        <f t="shared" si="101"/>
        <v>0.49502055128791139</v>
      </c>
      <c r="K632" s="5" cm="1">
        <f t="array" ref="K632">UseableCapacity(I632,$K$7,$K$8)</f>
        <v>200.60463456000002</v>
      </c>
      <c r="L632" s="66">
        <f t="shared" si="102"/>
        <v>135.06829035893173</v>
      </c>
      <c r="M632" s="7">
        <f t="shared" si="103"/>
        <v>68.200078838931745</v>
      </c>
      <c r="N632" s="7">
        <f t="shared" si="104"/>
        <v>25.56715392000001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619</v>
      </c>
      <c r="C633" s="7">
        <f t="shared" si="99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66" cm="1">
        <f t="array" ref="F633">estimatedTripDuration(C633,$C$7,$C$6)/60</f>
        <v>20.760000000662274</v>
      </c>
      <c r="G633">
        <f t="shared" si="106"/>
        <v>619</v>
      </c>
      <c r="H633" s="53">
        <f t="shared" si="100"/>
        <v>619</v>
      </c>
      <c r="I633" s="7" cm="1">
        <f t="array" ref="I633">CurrentCapacity(K$9,K$5,K$6,H633)</f>
        <v>267.46229664000003</v>
      </c>
      <c r="J633" s="51">
        <f t="shared" si="101"/>
        <v>0.49524111063532483</v>
      </c>
      <c r="K633" s="5" cm="1">
        <f t="array" ref="K633">UseableCapacity(I633,$K$7,$K$8)</f>
        <v>200.59672248000004</v>
      </c>
      <c r="L633" s="66">
        <f t="shared" si="102"/>
        <v>135.0039717989317</v>
      </c>
      <c r="M633" s="7">
        <f t="shared" si="103"/>
        <v>68.138397638931707</v>
      </c>
      <c r="N633" s="7">
        <f t="shared" si="104"/>
        <v>25.577703359999987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620</v>
      </c>
      <c r="C634" s="7">
        <f t="shared" si="99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66" cm="1">
        <f t="array" ref="F634">estimatedTripDuration(C634,$C$7,$C$6)/60</f>
        <v>20.793333333995609</v>
      </c>
      <c r="G634">
        <f t="shared" si="106"/>
        <v>620</v>
      </c>
      <c r="H634" s="53">
        <f t="shared" si="100"/>
        <v>620</v>
      </c>
      <c r="I634" s="7" cm="1">
        <f t="array" ref="I634">CurrentCapacity(K$9,K$5,K$6,H634)</f>
        <v>267.45174720000006</v>
      </c>
      <c r="J634" s="51">
        <f t="shared" si="101"/>
        <v>0.49546168738234453</v>
      </c>
      <c r="K634" s="5" cm="1">
        <f t="array" ref="K634">UseableCapacity(I634,$K$7,$K$8)</f>
        <v>200.58881040000006</v>
      </c>
      <c r="L634" s="66">
        <f t="shared" si="102"/>
        <v>134.93965323893178</v>
      </c>
      <c r="M634" s="7">
        <f t="shared" si="103"/>
        <v>68.076716438931783</v>
      </c>
      <c r="N634" s="7">
        <f t="shared" si="104"/>
        <v>25.588252799999964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621</v>
      </c>
      <c r="C635" s="7">
        <f t="shared" si="99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66" cm="1">
        <f t="array" ref="F635">estimatedTripDuration(C635,$C$7,$C$6)/60</f>
        <v>20.82666666732894</v>
      </c>
      <c r="G635">
        <f t="shared" si="106"/>
        <v>621</v>
      </c>
      <c r="H635" s="53">
        <f t="shared" si="100"/>
        <v>621</v>
      </c>
      <c r="I635" s="7" cm="1">
        <f t="array" ref="I635">CurrentCapacity(K$9,K$5,K$6,H635)</f>
        <v>267.44119776000002</v>
      </c>
      <c r="J635" s="51">
        <f t="shared" si="101"/>
        <v>0.49568228153103039</v>
      </c>
      <c r="K635" s="5" cm="1">
        <f t="array" ref="K635">UseableCapacity(I635,$K$7,$K$8)</f>
        <v>200.58089832000002</v>
      </c>
      <c r="L635" s="66">
        <f t="shared" si="102"/>
        <v>134.87533467893172</v>
      </c>
      <c r="M635" s="7">
        <f t="shared" si="103"/>
        <v>68.015035238931716</v>
      </c>
      <c r="N635" s="7">
        <f t="shared" si="104"/>
        <v>25.598802239999998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622</v>
      </c>
      <c r="C636" s="7">
        <f t="shared" si="99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66" cm="1">
        <f t="array" ref="F636">estimatedTripDuration(C636,$C$7,$C$6)/60</f>
        <v>20.860000000662275</v>
      </c>
      <c r="G636">
        <f t="shared" si="106"/>
        <v>622</v>
      </c>
      <c r="H636" s="53">
        <f t="shared" si="100"/>
        <v>622</v>
      </c>
      <c r="I636" s="7" cm="1">
        <f t="array" ref="I636">CurrentCapacity(K$9,K$5,K$6,H636)</f>
        <v>267.43064832000005</v>
      </c>
      <c r="J636" s="51">
        <f t="shared" si="101"/>
        <v>0.49590289308344104</v>
      </c>
      <c r="K636" s="5" cm="1">
        <f t="array" ref="K636">UseableCapacity(I636,$K$7,$K$8)</f>
        <v>200.57298624000003</v>
      </c>
      <c r="L636" s="66">
        <f t="shared" si="102"/>
        <v>134.81101611893175</v>
      </c>
      <c r="M636" s="7">
        <f t="shared" si="103"/>
        <v>67.953354038931735</v>
      </c>
      <c r="N636" s="7">
        <f t="shared" si="104"/>
        <v>25.609351679999975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7" priority="4" operator="lessThan">
      <formula>0</formula>
    </cfRule>
  </conditionalFormatting>
  <conditionalFormatting sqref="C14:C636">
    <cfRule type="cellIs" dxfId="6" priority="3" operator="greaterThan">
      <formula>50</formula>
    </cfRule>
  </conditionalFormatting>
  <conditionalFormatting sqref="C11">
    <cfRule type="cellIs" dxfId="5" priority="1" operator="greaterThan">
      <formula>$K$12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6" t="s">
        <v>23</v>
      </c>
      <c r="B2" s="6"/>
      <c r="C2" s="6"/>
      <c r="D2" s="6"/>
      <c r="I2" s="6"/>
    </row>
    <row r="3" spans="1:9" ht="59" x14ac:dyDescent="0.45">
      <c r="A3" s="17" t="s">
        <v>24</v>
      </c>
      <c r="B3" s="18" t="s">
        <v>25</v>
      </c>
      <c r="C3" s="19" t="s">
        <v>26</v>
      </c>
      <c r="D3" s="19" t="s">
        <v>27</v>
      </c>
      <c r="E3" s="20" t="s">
        <v>28</v>
      </c>
      <c r="F3" s="19" t="s">
        <v>29</v>
      </c>
      <c r="G3" s="21" t="s">
        <v>30</v>
      </c>
      <c r="H3" s="19" t="s">
        <v>31</v>
      </c>
      <c r="I3" s="22" t="s">
        <v>32</v>
      </c>
    </row>
    <row r="4" spans="1:9" x14ac:dyDescent="0.35">
      <c r="A4" s="23" t="s">
        <v>33</v>
      </c>
      <c r="B4" s="24" t="s">
        <v>34</v>
      </c>
      <c r="C4" s="2"/>
      <c r="D4" s="2"/>
      <c r="E4" s="25">
        <v>6</v>
      </c>
      <c r="F4" s="26">
        <v>0.95</v>
      </c>
      <c r="G4" s="27">
        <f t="shared" ref="G4:G9" si="0">(1-F4)*E4</f>
        <v>0.30000000000000027</v>
      </c>
      <c r="H4" s="3">
        <v>0</v>
      </c>
      <c r="I4" s="28"/>
    </row>
    <row r="5" spans="1:9" x14ac:dyDescent="0.35">
      <c r="A5" s="8"/>
      <c r="B5" s="29" t="s">
        <v>35</v>
      </c>
      <c r="C5" s="2"/>
      <c r="D5" s="2"/>
      <c r="E5" s="25">
        <f>E4</f>
        <v>6</v>
      </c>
      <c r="F5" s="26">
        <v>0.95</v>
      </c>
      <c r="G5" s="27">
        <f t="shared" si="0"/>
        <v>0.30000000000000027</v>
      </c>
      <c r="H5" s="3">
        <v>1</v>
      </c>
      <c r="I5" s="28"/>
    </row>
    <row r="6" spans="1:9" x14ac:dyDescent="0.35">
      <c r="A6" s="8"/>
      <c r="B6" s="29" t="s">
        <v>36</v>
      </c>
      <c r="C6" s="2"/>
      <c r="D6" s="2"/>
      <c r="E6" s="25">
        <f>E5</f>
        <v>6</v>
      </c>
      <c r="F6" s="26">
        <v>0.95</v>
      </c>
      <c r="G6" s="27">
        <f t="shared" si="0"/>
        <v>0.30000000000000027</v>
      </c>
      <c r="H6" s="3">
        <v>1</v>
      </c>
      <c r="I6" s="28"/>
    </row>
    <row r="7" spans="1:9" x14ac:dyDescent="0.35">
      <c r="A7" s="8"/>
      <c r="B7" s="29" t="s">
        <v>37</v>
      </c>
      <c r="C7" s="2"/>
      <c r="D7" s="2"/>
      <c r="E7" s="25">
        <v>0</v>
      </c>
      <c r="F7" s="26">
        <v>0.95</v>
      </c>
      <c r="G7" s="27">
        <f t="shared" si="0"/>
        <v>0</v>
      </c>
      <c r="H7" s="3">
        <v>0</v>
      </c>
      <c r="I7" s="28"/>
    </row>
    <row r="8" spans="1:9" x14ac:dyDescent="0.35">
      <c r="A8" s="8"/>
      <c r="B8" s="29" t="s">
        <v>38</v>
      </c>
      <c r="C8" s="2"/>
      <c r="D8" s="2"/>
      <c r="E8" s="25">
        <f>E7</f>
        <v>0</v>
      </c>
      <c r="F8" s="26">
        <v>0.95</v>
      </c>
      <c r="G8" s="27">
        <f t="shared" si="0"/>
        <v>0</v>
      </c>
      <c r="H8" s="3">
        <v>1</v>
      </c>
      <c r="I8" s="28"/>
    </row>
    <row r="9" spans="1:9" x14ac:dyDescent="0.35">
      <c r="A9" s="8"/>
      <c r="B9" s="29" t="s">
        <v>39</v>
      </c>
      <c r="C9" s="2"/>
      <c r="D9" s="2"/>
      <c r="E9" s="25">
        <f>E8</f>
        <v>0</v>
      </c>
      <c r="F9" s="26">
        <v>0.95</v>
      </c>
      <c r="G9" s="27">
        <f t="shared" si="0"/>
        <v>0</v>
      </c>
      <c r="H9" s="3">
        <v>1</v>
      </c>
      <c r="I9" s="28"/>
    </row>
    <row r="10" spans="1:9" x14ac:dyDescent="0.35">
      <c r="A10" s="8"/>
      <c r="B10" s="29" t="s">
        <v>40</v>
      </c>
      <c r="C10" s="2"/>
      <c r="D10" s="2"/>
      <c r="E10" s="30"/>
      <c r="F10" s="26"/>
      <c r="G10" s="27"/>
      <c r="H10" s="3"/>
      <c r="I10" s="28"/>
    </row>
    <row r="11" spans="1:9" x14ac:dyDescent="0.35">
      <c r="A11" s="8"/>
      <c r="B11" s="3"/>
      <c r="C11" s="3"/>
      <c r="D11" s="3"/>
      <c r="G11" s="5"/>
      <c r="H11" s="3"/>
      <c r="I11" s="28"/>
    </row>
    <row r="12" spans="1:9" ht="58" x14ac:dyDescent="0.35">
      <c r="A12" s="23" t="s">
        <v>41</v>
      </c>
      <c r="B12" s="29" t="s">
        <v>42</v>
      </c>
      <c r="C12" s="2"/>
      <c r="D12" s="2"/>
      <c r="E12" s="30">
        <v>2.5</v>
      </c>
      <c r="F12" s="26">
        <v>0</v>
      </c>
      <c r="G12" s="27">
        <f t="shared" ref="G12:G17" si="1">(1-F12)*E12</f>
        <v>2.5</v>
      </c>
      <c r="H12" s="3">
        <v>0</v>
      </c>
      <c r="I12" s="28" t="s">
        <v>43</v>
      </c>
    </row>
    <row r="13" spans="1:9" ht="29" x14ac:dyDescent="0.35">
      <c r="A13" s="8"/>
      <c r="B13" s="29" t="s">
        <v>44</v>
      </c>
      <c r="C13" s="3">
        <v>3.3</v>
      </c>
      <c r="D13" s="2"/>
      <c r="E13" s="30">
        <f>E12</f>
        <v>2.5</v>
      </c>
      <c r="F13" s="26">
        <v>0.95</v>
      </c>
      <c r="G13" s="27">
        <f t="shared" si="1"/>
        <v>0.12500000000000011</v>
      </c>
      <c r="H13" s="3">
        <v>1</v>
      </c>
      <c r="I13" s="28" t="s">
        <v>45</v>
      </c>
    </row>
    <row r="14" spans="1:9" ht="29" x14ac:dyDescent="0.35">
      <c r="B14" s="29" t="s">
        <v>46</v>
      </c>
      <c r="C14" s="3">
        <v>3.3</v>
      </c>
      <c r="D14" s="3">
        <f>12.23/1000</f>
        <v>1.2230000000000001E-2</v>
      </c>
      <c r="E14" s="30">
        <f>C14*D14</f>
        <v>4.0358999999999999E-2</v>
      </c>
      <c r="F14" s="26">
        <v>0</v>
      </c>
      <c r="G14" s="27">
        <f t="shared" si="1"/>
        <v>4.0358999999999999E-2</v>
      </c>
      <c r="H14" s="3">
        <v>0</v>
      </c>
      <c r="I14" s="28" t="s">
        <v>47</v>
      </c>
    </row>
    <row r="15" spans="1:9" x14ac:dyDescent="0.35">
      <c r="B15" s="29" t="s">
        <v>48</v>
      </c>
      <c r="C15" s="3"/>
      <c r="D15" s="3"/>
      <c r="E15" s="30"/>
      <c r="F15" s="26">
        <v>0</v>
      </c>
      <c r="G15" s="27">
        <f t="shared" si="1"/>
        <v>0</v>
      </c>
      <c r="H15" s="3">
        <v>0</v>
      </c>
      <c r="I15" s="28"/>
    </row>
    <row r="16" spans="1:9" ht="58" x14ac:dyDescent="0.35">
      <c r="B16" s="29" t="s">
        <v>49</v>
      </c>
      <c r="C16" s="3">
        <v>3.3</v>
      </c>
      <c r="D16" s="3">
        <f>(6)/1000000</f>
        <v>6.0000000000000002E-6</v>
      </c>
      <c r="E16" s="31">
        <f>C16*12*D16+6*C16*180/1000000</f>
        <v>3.8015999999999996E-3</v>
      </c>
      <c r="F16" s="26">
        <v>0</v>
      </c>
      <c r="G16" s="27">
        <f t="shared" si="1"/>
        <v>3.8015999999999996E-3</v>
      </c>
      <c r="H16" s="3">
        <v>0</v>
      </c>
      <c r="I16" s="28" t="s">
        <v>50</v>
      </c>
    </row>
    <row r="17" spans="1:9" ht="29" x14ac:dyDescent="0.35">
      <c r="B17" s="29" t="s">
        <v>51</v>
      </c>
      <c r="C17" s="3"/>
      <c r="D17" s="3"/>
      <c r="E17" s="30">
        <f>10/1000</f>
        <v>0.01</v>
      </c>
      <c r="F17" s="26">
        <v>0</v>
      </c>
      <c r="G17" s="27">
        <f t="shared" si="1"/>
        <v>0.01</v>
      </c>
      <c r="H17" s="3">
        <v>0</v>
      </c>
      <c r="I17" s="28" t="s">
        <v>52</v>
      </c>
    </row>
    <row r="18" spans="1:9" x14ac:dyDescent="0.35">
      <c r="B18" s="29"/>
      <c r="C18" s="3"/>
      <c r="D18" s="3"/>
      <c r="E18" s="14"/>
      <c r="F18" s="61"/>
      <c r="G18" s="62"/>
      <c r="H18" s="14"/>
      <c r="I18" s="63"/>
    </row>
    <row r="19" spans="1:9" x14ac:dyDescent="0.35">
      <c r="A19" s="4" t="s">
        <v>79</v>
      </c>
      <c r="B19" s="29"/>
      <c r="C19" s="3"/>
      <c r="D19" s="3"/>
      <c r="E19" s="3"/>
      <c r="F19" s="26"/>
      <c r="G19" s="33">
        <v>2</v>
      </c>
      <c r="H19" s="3"/>
      <c r="I19" s="28"/>
    </row>
    <row r="20" spans="1:9" x14ac:dyDescent="0.35">
      <c r="B20" s="29"/>
      <c r="C20" s="3"/>
      <c r="D20" s="3"/>
      <c r="E20" s="14"/>
      <c r="F20" s="61"/>
      <c r="G20" s="62"/>
      <c r="H20" s="14"/>
      <c r="I20" s="63"/>
    </row>
    <row r="21" spans="1:9" x14ac:dyDescent="0.35">
      <c r="B21" s="29"/>
      <c r="C21" s="3"/>
      <c r="D21" s="3"/>
      <c r="E21" s="14"/>
      <c r="F21" s="61"/>
      <c r="G21" s="62"/>
      <c r="H21" s="14"/>
      <c r="I21" s="63"/>
    </row>
    <row r="22" spans="1:9" x14ac:dyDescent="0.35">
      <c r="B22" s="29"/>
      <c r="C22" s="3"/>
      <c r="D22" s="3"/>
      <c r="E22" s="14"/>
      <c r="F22" s="61"/>
      <c r="G22" s="62"/>
      <c r="H22" s="14"/>
      <c r="I22" s="63"/>
    </row>
    <row r="23" spans="1:9" x14ac:dyDescent="0.35">
      <c r="B23" s="29"/>
      <c r="C23" s="3"/>
      <c r="D23" s="3"/>
      <c r="E23" s="14"/>
      <c r="F23" s="61"/>
      <c r="G23" s="62"/>
      <c r="H23" s="14"/>
      <c r="I23" s="63"/>
    </row>
    <row r="24" spans="1:9" x14ac:dyDescent="0.35">
      <c r="B24" s="29"/>
      <c r="C24" s="3"/>
      <c r="D24" s="3"/>
      <c r="F24" s="32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9" t="s">
        <v>54</v>
      </c>
      <c r="C26" s="2"/>
      <c r="D26" s="2"/>
      <c r="E26" s="30">
        <v>30</v>
      </c>
      <c r="F26" s="26">
        <v>0.95</v>
      </c>
      <c r="G26" s="33">
        <f t="shared" ref="G26:G28" si="2">(1-F26)*E26</f>
        <v>1.5000000000000013</v>
      </c>
      <c r="I26" s="6"/>
    </row>
    <row r="27" spans="1:9" x14ac:dyDescent="0.35">
      <c r="B27" s="29" t="s">
        <v>55</v>
      </c>
      <c r="C27" s="2"/>
      <c r="D27" s="2"/>
      <c r="E27" s="30">
        <v>30</v>
      </c>
      <c r="F27" s="26">
        <v>0.95</v>
      </c>
      <c r="G27" s="33">
        <f t="shared" si="2"/>
        <v>1.5000000000000013</v>
      </c>
      <c r="I27" s="6"/>
    </row>
    <row r="28" spans="1:9" x14ac:dyDescent="0.35">
      <c r="B28" s="29" t="s">
        <v>56</v>
      </c>
      <c r="C28" s="2"/>
      <c r="D28" s="2"/>
      <c r="E28" s="30">
        <v>30</v>
      </c>
      <c r="F28" s="26">
        <v>0.95</v>
      </c>
      <c r="G28" s="3">
        <f t="shared" si="2"/>
        <v>1.5000000000000013</v>
      </c>
      <c r="I28" s="6"/>
    </row>
    <row r="29" spans="1:9" ht="15" thickBot="1" x14ac:dyDescent="0.4">
      <c r="F29" s="34"/>
      <c r="G29" s="35" t="s">
        <v>57</v>
      </c>
      <c r="I29" s="6"/>
    </row>
    <row r="30" spans="1:9" ht="15" thickBot="1" x14ac:dyDescent="0.4">
      <c r="B30" s="36" t="s">
        <v>58</v>
      </c>
      <c r="C30" s="37">
        <f>E26+SUM(G27:G28)</f>
        <v>33</v>
      </c>
      <c r="D30" s="38" t="s">
        <v>59</v>
      </c>
      <c r="E30" s="39" t="e">
        <f>C30/'Drilling Summary'!$H$8</f>
        <v>#DIV/0!</v>
      </c>
      <c r="F30" s="38" t="s">
        <v>60</v>
      </c>
      <c r="G30" s="37">
        <f>SUM(G26:G29)</f>
        <v>4.5000000000000036</v>
      </c>
      <c r="H30" s="40" t="s">
        <v>59</v>
      </c>
      <c r="I30" s="6"/>
    </row>
    <row r="31" spans="1:9" ht="15" thickBot="1" x14ac:dyDescent="0.4">
      <c r="B31" s="41" t="s">
        <v>61</v>
      </c>
      <c r="C31" s="33">
        <f>E4+E7+SUM(G5:G6,G8:G9)</f>
        <v>6.6000000000000005</v>
      </c>
      <c r="D31" s="3" t="s">
        <v>59</v>
      </c>
      <c r="E31" s="39" t="e">
        <f>C31/'Drilling Summary'!$H$8</f>
        <v>#DIV/0!</v>
      </c>
      <c r="F31" s="3" t="s">
        <v>60</v>
      </c>
      <c r="G31" s="33">
        <f>SUM(G4:G9)</f>
        <v>0.9000000000000008</v>
      </c>
      <c r="H31" s="42" t="s">
        <v>59</v>
      </c>
      <c r="I31" s="6"/>
    </row>
    <row r="32" spans="1:9" ht="15" thickBot="1" x14ac:dyDescent="0.4">
      <c r="B32" s="43" t="s">
        <v>62</v>
      </c>
      <c r="C32" s="44">
        <f>SUM(G12:G20)</f>
        <v>4.6791605999999994</v>
      </c>
      <c r="D32" s="45" t="s">
        <v>59</v>
      </c>
      <c r="E32" s="39" t="e">
        <f>C32/'Drilling Summary'!$H$8</f>
        <v>#DIV/0!</v>
      </c>
      <c r="F32" s="45" t="s">
        <v>60</v>
      </c>
      <c r="G32" s="44">
        <f>SUM(G12:G17)</f>
        <v>2.6791605999999999</v>
      </c>
      <c r="H32" s="46" t="s">
        <v>59</v>
      </c>
      <c r="I32" s="6"/>
    </row>
    <row r="33" spans="2:9" ht="15" thickBot="1" x14ac:dyDescent="0.4">
      <c r="B33" s="47" t="s">
        <v>63</v>
      </c>
      <c r="C33" s="48">
        <f>SUM(C30:C31)</f>
        <v>39.6</v>
      </c>
      <c r="D33" s="49" t="s">
        <v>59</v>
      </c>
      <c r="E33" s="39" t="e">
        <f>C33/'Drilling Summary'!$H$8</f>
        <v>#DIV/0!</v>
      </c>
      <c r="F33" s="49" t="s">
        <v>60</v>
      </c>
      <c r="G33" s="48">
        <f>SUM(G30:G31)</f>
        <v>5.4000000000000039</v>
      </c>
      <c r="H33" s="50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3"/>
  <sheetViews>
    <sheetView topLeftCell="A28" workbookViewId="0">
      <selection activeCell="I36" sqref="I36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0.1796875" customWidth="1"/>
  </cols>
  <sheetData>
    <row r="2" spans="2:20" ht="23.5" x14ac:dyDescent="0.55000000000000004">
      <c r="B2" s="101" t="s">
        <v>80</v>
      </c>
      <c r="C2" s="101"/>
      <c r="D2" s="101"/>
      <c r="E2" s="101"/>
      <c r="F2" s="101"/>
    </row>
    <row r="4" spans="2:20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J4" s="54" t="s">
        <v>13</v>
      </c>
      <c r="K4" s="12">
        <f>3.7*5</f>
        <v>18.5</v>
      </c>
      <c r="L4" s="3" t="s">
        <v>15</v>
      </c>
    </row>
    <row r="5" spans="2:20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J5" s="54" t="s">
        <v>14</v>
      </c>
      <c r="K5" s="3">
        <v>4400</v>
      </c>
      <c r="L5" s="3" t="s">
        <v>0</v>
      </c>
    </row>
    <row r="6" spans="2:20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J6" s="54" t="s">
        <v>1</v>
      </c>
      <c r="K6" s="10">
        <v>-3.6000000000000001E-5</v>
      </c>
      <c r="L6" s="9" t="s">
        <v>3</v>
      </c>
    </row>
    <row r="7" spans="2:20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f>G5/G6</f>
        <v>0</v>
      </c>
      <c r="H7" s="55" t="s">
        <v>59</v>
      </c>
      <c r="J7" s="54" t="s">
        <v>2</v>
      </c>
      <c r="K7" s="11">
        <v>0.93500000000000005</v>
      </c>
      <c r="L7" s="9" t="s">
        <v>3</v>
      </c>
    </row>
    <row r="8" spans="2:20" x14ac:dyDescent="0.35">
      <c r="B8" s="54" t="s">
        <v>10</v>
      </c>
      <c r="C8" s="3">
        <v>0.15</v>
      </c>
      <c r="D8" s="3" t="s">
        <v>5</v>
      </c>
      <c r="E8" s="14"/>
      <c r="J8" s="54" t="s">
        <v>17</v>
      </c>
      <c r="K8" s="13">
        <v>1</v>
      </c>
      <c r="L8" s="3"/>
    </row>
    <row r="9" spans="2:20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J9" s="54" t="s">
        <v>18</v>
      </c>
      <c r="K9" s="13">
        <v>0.25</v>
      </c>
      <c r="L9" s="3"/>
    </row>
    <row r="10" spans="2:20" x14ac:dyDescent="0.35">
      <c r="B10" s="54" t="s">
        <v>104</v>
      </c>
      <c r="C10" s="3">
        <v>4</v>
      </c>
      <c r="D10" s="3" t="s">
        <v>105</v>
      </c>
      <c r="E10" s="14"/>
      <c r="J10" s="55" t="s">
        <v>114</v>
      </c>
      <c r="K10" s="55">
        <f>K5*3.6/1000*K4</f>
        <v>293.04000000000002</v>
      </c>
      <c r="L10" s="55" t="s">
        <v>16</v>
      </c>
    </row>
    <row r="11" spans="2:20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44.282960599999996</v>
      </c>
      <c r="H11" s="55" t="s">
        <v>59</v>
      </c>
      <c r="J11" s="55" t="s">
        <v>113</v>
      </c>
      <c r="K11" s="80" cm="1">
        <f t="array" ref="K11">UseableCapacity(K10,K8,K9)</f>
        <v>219.78000000000003</v>
      </c>
      <c r="L11" s="55" t="s">
        <v>16</v>
      </c>
    </row>
    <row r="12" spans="2:20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J12" s="55" t="s">
        <v>109</v>
      </c>
      <c r="K12" s="55">
        <f>K5*0.5</f>
        <v>2200</v>
      </c>
      <c r="L12" s="55" t="s">
        <v>107</v>
      </c>
    </row>
    <row r="13" spans="2:20" x14ac:dyDescent="0.35">
      <c r="J13" s="55" t="s">
        <v>108</v>
      </c>
      <c r="K13" s="55">
        <f>K12*K4/1000</f>
        <v>40.700000000000003</v>
      </c>
      <c r="L13" s="55" t="s">
        <v>59</v>
      </c>
    </row>
    <row r="14" spans="2:20" ht="15" thickBot="1" x14ac:dyDescent="0.4">
      <c r="N14" t="s">
        <v>125</v>
      </c>
    </row>
    <row r="15" spans="2:20" x14ac:dyDescent="0.35">
      <c r="B15" s="81" t="s">
        <v>84</v>
      </c>
      <c r="C15" s="70"/>
      <c r="D15" s="70"/>
      <c r="E15" s="71"/>
      <c r="G15" s="72" t="s">
        <v>85</v>
      </c>
      <c r="H15" s="73"/>
      <c r="I15" s="73"/>
      <c r="J15" s="73"/>
      <c r="K15" s="74"/>
      <c r="L15" s="74"/>
      <c r="M15" s="74"/>
      <c r="P15" s="67" t="s">
        <v>87</v>
      </c>
      <c r="Q15" s="68"/>
      <c r="R15" s="69"/>
      <c r="S15" s="74"/>
    </row>
    <row r="16" spans="2:20" x14ac:dyDescent="0.35">
      <c r="B16" s="3"/>
      <c r="C16" s="3"/>
      <c r="D16" s="3"/>
      <c r="E16" s="42"/>
      <c r="G16" s="3"/>
      <c r="H16" s="3"/>
      <c r="I16" s="26"/>
      <c r="J16" s="75"/>
      <c r="K16" s="14"/>
      <c r="L16" s="14"/>
      <c r="M16" s="14"/>
      <c r="P16" s="3"/>
      <c r="Q16" s="3"/>
      <c r="R16" s="3"/>
      <c r="S16" s="75"/>
      <c r="T16" s="42"/>
    </row>
    <row r="17" spans="2:23" ht="58" x14ac:dyDescent="0.35">
      <c r="B17" s="28" t="s">
        <v>81</v>
      </c>
      <c r="C17" s="28" t="s">
        <v>95</v>
      </c>
      <c r="D17" s="28" t="s">
        <v>97</v>
      </c>
      <c r="E17" s="58" t="s">
        <v>96</v>
      </c>
      <c r="G17" s="28" t="s">
        <v>86</v>
      </c>
      <c r="H17" s="28" t="s">
        <v>102</v>
      </c>
      <c r="I17" s="28" t="s">
        <v>126</v>
      </c>
      <c r="J17" s="76" t="s">
        <v>83</v>
      </c>
      <c r="K17" s="76" t="s">
        <v>121</v>
      </c>
      <c r="L17" s="76" t="s">
        <v>122</v>
      </c>
      <c r="M17" s="76" t="s">
        <v>123</v>
      </c>
      <c r="N17" s="76" t="s">
        <v>124</v>
      </c>
      <c r="O17" s="76"/>
      <c r="P17" s="28" t="s">
        <v>88</v>
      </c>
      <c r="Q17" s="28" t="s">
        <v>116</v>
      </c>
      <c r="R17" s="28" t="s">
        <v>117</v>
      </c>
      <c r="S17" s="28" t="s">
        <v>95</v>
      </c>
      <c r="T17" s="28" t="s">
        <v>101</v>
      </c>
      <c r="U17" s="28" t="s">
        <v>82</v>
      </c>
      <c r="V17" s="58" t="s">
        <v>83</v>
      </c>
    </row>
    <row r="18" spans="2:23" x14ac:dyDescent="0.35">
      <c r="B18" s="13">
        <v>0.16</v>
      </c>
      <c r="C18" s="64" cm="1">
        <f t="array" ref="C18">drivePower($C$4,$C$5,$C$9,$C$10,B18)</f>
        <v>59.136874999999996</v>
      </c>
      <c r="D18" s="65" cm="1">
        <f t="array" ref="D18">maxDepthToMinSOC($K$8,0,$K$6,$K$7,$K$10,$G$5,$G$6,C18,$C$7,$C$9,$G$4,$C$8)</f>
        <v>285.90001136064529</v>
      </c>
      <c r="E18" s="65" cm="1">
        <f t="array" ref="E18">maxDepthToMinSOC($K$8,$K$9,$K$6,$K$7,$K$10,$G$5,$G$6,C18,$C$7,$C$9,$G$4,$C$8)</f>
        <v>198.15000787377357</v>
      </c>
      <c r="F18" s="6"/>
      <c r="G18" s="59">
        <v>0.12</v>
      </c>
      <c r="H18" s="64" cm="1">
        <f t="array" ref="H18">drivePower($C$4,$C$5,G18,$C$10,$C$11)</f>
        <v>9.4098240000000004</v>
      </c>
      <c r="I18" s="65">
        <f>$C$7+H18</f>
        <v>34.088984600000003</v>
      </c>
      <c r="J18" s="65" cm="1">
        <f t="array" ref="J18">maxDepthToMinSOC($K$8,$K$9,$K$6,$K$7,$K$10,$G$5,$G$6,$H18,$C$7,$G18,$G$4,$C$8)</f>
        <v>239.8500095307827</v>
      </c>
      <c r="K18" s="65" cm="1">
        <f t="array" ref="K18">maxDepthToMinSOC($K$8,$K$9,$K$6,$K$7,$T$18,$G$5,$G$6,drivePower($C$4,$R$18,$G18,$C$10,$C$11),$C$7,$G18,$G$4,$C$8)</f>
        <v>77.850003093481064</v>
      </c>
      <c r="L18" s="65" cm="1">
        <f t="array" ref="L18">maxDepthToMinSOC($K$8,$K$9,$K$6,$K$7,$T$22,$G$5,$G$6,drivePower($C$4,$R$22,$G18,$C$10,$C$11),$C$7,$G18,$G$4,$C$8)</f>
        <v>648.00002574920654</v>
      </c>
      <c r="M18" s="65" cm="1">
        <f t="array" ref="M18">maxDepthToMinSOC($K$8,$K$9,$K$6,$K$7,$T$20,$G$5,$G$6,drivePower($C$4,$R$20,$G18,$C$10,$C$11),$C$7,$G18,$G$4,$C$8)</f>
        <v>387.75001540780067</v>
      </c>
      <c r="N18" s="65" cm="1">
        <f t="array" ref="N18">maxDepthToMinSOC($K$8,$K$9,$K$6,$K$7,$T$21,$G$5,$G$6,drivePower($C$4,$R$21,$G18,$C$10,$C$11),$C$7,$G18,$G$4,$C$8)</f>
        <v>523.35002079606056</v>
      </c>
      <c r="O18" s="83"/>
      <c r="P18" s="60">
        <v>2200</v>
      </c>
      <c r="Q18" s="59">
        <f>(P18-4400)*(5*0.048)/4400</f>
        <v>-0.12</v>
      </c>
      <c r="R18" s="64">
        <f>$C$5+Q18</f>
        <v>9.8800000000000008</v>
      </c>
      <c r="S18" s="64" cm="1">
        <f t="array" ref="S18">drivePower($C$4,R18,$C$9,$C$10,$C$11)</f>
        <v>19.380554400000001</v>
      </c>
      <c r="T18" s="60">
        <f t="shared" ref="T18:T26" si="0">P18*3.6/1000*$K$4</f>
        <v>146.52000000000001</v>
      </c>
      <c r="U18" s="65" cm="1">
        <f t="array" ref="U18">maxDepthToMinSOC($K$8,0,$K$6,$K$7,T18,$G$5,$G$6,S18,$C$7,$C$9,$G$4,$C$8)</f>
        <v>204.60000813007355</v>
      </c>
      <c r="V18" s="65" cm="1">
        <f t="array" ref="V18">maxDepthToMinSOC($K$8,$K$9,$K$6,$K$7,T18,$G$5,$G$6,S18,$C$7,$C$9,$G$4,$C$8)</f>
        <v>118.95000472664833</v>
      </c>
      <c r="W18" t="s">
        <v>89</v>
      </c>
    </row>
    <row r="19" spans="2:23" x14ac:dyDescent="0.35">
      <c r="B19" s="13">
        <f>B18+0.02</f>
        <v>0.18</v>
      </c>
      <c r="C19" s="64" cm="1">
        <f t="array" ref="C19">drivePower($C$4,$C$5,$C$9,$C$10,B19)</f>
        <v>52.67722222222222</v>
      </c>
      <c r="D19" s="65" cm="1">
        <f t="array" ref="D19">maxDepthToMinSOC($K$8,0,$K$6,$K$7,$K$10,$G$5,$G$6,C19,$C$7,$C$9,$G$4,$C$8)</f>
        <v>308.40001225471497</v>
      </c>
      <c r="E19" s="65" cm="1">
        <f t="array" ref="E19">maxDepthToMinSOC($K$8,$K$9,$K$6,$K$7,$K$10,$G$5,$G$6,C19,$C$7,$C$9,$G$4,$C$8)</f>
        <v>214.5000085234642</v>
      </c>
      <c r="G19" s="59">
        <v>0.16</v>
      </c>
      <c r="H19" s="64" cm="1">
        <f t="array" ref="H19">drivePower($C$4,$C$5,G19,$C$10,$C$11)</f>
        <v>12.546432000000001</v>
      </c>
      <c r="I19" s="65">
        <f t="shared" ref="I19:I31" si="1">$C$7+H19</f>
        <v>37.225592599999999</v>
      </c>
      <c r="J19" s="65" cm="1">
        <f t="array" ref="J19">maxDepthToMinSOC($K$8,$K$9,$K$6,$K$7,$K$10,$G$5,$G$6,$H19,$C$7,$G19,$G$4,$C$8)</f>
        <v>286.80001139640808</v>
      </c>
      <c r="K19" s="65" cm="1">
        <f t="array" ref="K19">maxDepthToMinSOC($K$8,$K$9,$K$6,$K$7,$T$18,$G$5,$G$6,drivePower($C$4,$R$18,$G19,$C$10,$C$11),$C$7,$G19,$G$4,$C$8)</f>
        <v>93.600003719329834</v>
      </c>
      <c r="L19" s="65" cm="1">
        <f t="array" ref="L19">maxDepthToMinSOC($K$8,$K$9,$K$6,$K$7,$T$22,$G$5,$G$6,drivePower($C$4,$R$22,$G19,$C$10,$C$11),$C$7,$G19,$G$4,$C$8)</f>
        <v>758.10003012418747</v>
      </c>
      <c r="M19" s="65" cm="1">
        <f t="array" ref="M19">maxDepthToMinSOC($K$8,$K$9,$K$6,$K$7,$T$20,$G$5,$G$6,drivePower($C$4,$R$20,$G19,$C$10,$C$11),$C$7,$G19,$G$4,$C$8)</f>
        <v>460.05001828074455</v>
      </c>
      <c r="N19" s="65" cm="1">
        <f t="array" ref="N19">maxDepthToMinSOC($K$8,$K$9,$K$6,$K$7,$T$21,$G$5,$G$6,drivePower($C$4,$R$21,$G19,$C$10,$C$11),$C$7,$G19,$G$4,$C$8)</f>
        <v>616.35002449154854</v>
      </c>
      <c r="O19" s="83"/>
      <c r="P19" s="60">
        <v>4400</v>
      </c>
      <c r="Q19" s="59">
        <f t="shared" ref="Q19:Q26" si="2">(P19-4400)*(5*0.048)/4400</f>
        <v>0</v>
      </c>
      <c r="R19" s="64">
        <f t="shared" ref="R19:R26" si="3">$C$5+Q19</f>
        <v>10</v>
      </c>
      <c r="S19" s="64" cm="1">
        <f t="array" ref="S19">drivePower($C$4,R19,$C$9,$C$10,$C$11)</f>
        <v>19.6038</v>
      </c>
      <c r="T19" s="60">
        <f t="shared" si="0"/>
        <v>293.04000000000002</v>
      </c>
      <c r="U19" s="65" cm="1">
        <f t="array" ref="U19">maxDepthToMinSOC($K$8,0,$K$6,$K$7,T19,$G$5,$G$6,S19,$C$7,$C$9,$G$4,$C$8)</f>
        <v>509.40002024173737</v>
      </c>
      <c r="V19" s="65" cm="1">
        <f t="array" ref="V19">maxDepthToMinSOC($K$8,$K$9,$K$6,$K$7,T19,$G$5,$G$6,S19,$C$7,$C$9,$G$4,$C$8)</f>
        <v>363.00001442432404</v>
      </c>
      <c r="W19" t="s">
        <v>90</v>
      </c>
    </row>
    <row r="20" spans="2:23" x14ac:dyDescent="0.35">
      <c r="B20" s="13">
        <f t="shared" ref="B20:B35" si="4">B19+0.02</f>
        <v>0.19999999999999998</v>
      </c>
      <c r="C20" s="64" cm="1">
        <f t="array" ref="C20">drivePower($C$4,$C$5,$C$9,$C$10,B20)</f>
        <v>47.509500000000003</v>
      </c>
      <c r="D20" s="65" cm="1">
        <f t="array" ref="D20">maxDepthToMinSOC($K$8,0,$K$6,$K$7,$K$10,$G$5,$G$6,C20,$C$7,$C$9,$G$4,$C$8)</f>
        <v>328.9500130712986</v>
      </c>
      <c r="E20" s="65" cm="1">
        <f t="array" ref="E20">maxDepthToMinSOC($K$8,$K$9,$K$6,$K$7,$K$10,$G$5,$G$6,C20,$C$7,$C$9,$G$4,$C$8)</f>
        <v>229.50000911951065</v>
      </c>
      <c r="G20" s="59">
        <v>0.2</v>
      </c>
      <c r="H20" s="64" cm="1">
        <f t="array" ref="H20">drivePower($C$4,$C$5,G20,$C$10,$C$11)</f>
        <v>15.683040000000002</v>
      </c>
      <c r="I20" s="65">
        <f t="shared" si="1"/>
        <v>40.362200600000001</v>
      </c>
      <c r="J20" s="65" cm="1">
        <f t="array" ref="J20">maxDepthToMinSOC($K$8,$K$9,$K$6,$K$7,$K$10,$G$5,$G$6,$H20,$C$7,$G20,$G$4,$C$8)</f>
        <v>324.75001290440559</v>
      </c>
      <c r="K20" s="65" cm="1">
        <f t="array" ref="K20">maxDepthToMinSOC($K$8,$K$9,$K$6,$K$7,$T$18,$G$5,$G$6,drivePower($C$4,$R$18,$G20,$C$10,$C$11),$C$7,$G20,$G$4,$C$8)</f>
        <v>106.20000422000885</v>
      </c>
      <c r="L20" s="65" cm="1">
        <f t="array" ref="L20">maxDepthToMinSOC($K$8,$K$9,$K$6,$K$7,$T$22,$G$5,$G$6,drivePower($C$4,$R$22,$G20,$C$10,$C$11),$C$7,$G20,$G$4,$C$8)</f>
        <v>843.90003353357315</v>
      </c>
      <c r="M20" s="65" cm="1">
        <f t="array" ref="M20">maxDepthToMinSOC($K$8,$K$9,$K$6,$K$7,$T$20,$G$5,$G$6,drivePower($C$4,$R$20,$G20,$C$10,$C$11),$C$7,$G20,$G$4,$C$8)</f>
        <v>517.95002058148384</v>
      </c>
      <c r="N20" s="65" cm="1">
        <f t="array" ref="N20">maxDepthToMinSOC($K$8,$K$9,$K$6,$K$7,$T$21,$G$5,$G$6,drivePower($C$4,$R$21,$G20,$C$10,$C$11),$C$7,$G20,$G$4,$C$8)</f>
        <v>689.85002741217613</v>
      </c>
      <c r="O20" s="83"/>
      <c r="P20" s="60">
        <v>6600</v>
      </c>
      <c r="Q20" s="59">
        <f t="shared" si="2"/>
        <v>0.12</v>
      </c>
      <c r="R20" s="64">
        <f t="shared" si="3"/>
        <v>10.119999999999999</v>
      </c>
      <c r="S20" s="64" cm="1">
        <f t="array" ref="S20">drivePower($C$4,R20,$C$9,$C$10,$C$11)</f>
        <v>19.827045599999998</v>
      </c>
      <c r="T20" s="60">
        <f t="shared" si="0"/>
        <v>439.56</v>
      </c>
      <c r="U20" s="65" cm="1">
        <f t="array" ref="U20">maxDepthToMinSOC($K$8,0,$K$6,$K$7,T20,$G$5,$G$6,S20,$C$7,$C$9,$G$4,$C$8)</f>
        <v>765.30003041028976</v>
      </c>
      <c r="V20" s="65" cm="1">
        <f t="array" ref="V20">maxDepthToMinSOC($K$8,$K$9,$K$6,$K$7,T20,$G$5,$G$6,S20,$C$7,$C$9,$G$4,$C$8)</f>
        <v>575.5500228703022</v>
      </c>
      <c r="W20" t="s">
        <v>91</v>
      </c>
    </row>
    <row r="21" spans="2:23" x14ac:dyDescent="0.35">
      <c r="B21" s="13">
        <f t="shared" si="4"/>
        <v>0.21999999999999997</v>
      </c>
      <c r="C21" s="64" cm="1">
        <f t="array" ref="C21">drivePower($C$4,$C$5,$C$9,$C$10,B21)</f>
        <v>43.281363636363643</v>
      </c>
      <c r="D21" s="65" cm="1">
        <f t="array" ref="D21">maxDepthToMinSOC($K$8,0,$K$6,$K$7,$K$10,$G$5,$G$6,C21,$C$7,$C$9,$G$4,$C$8)</f>
        <v>347.85001382231712</v>
      </c>
      <c r="E21" s="65" cm="1">
        <f t="array" ref="E21">maxDepthToMinSOC($K$8,$K$9,$K$6,$K$7,$K$10,$G$5,$G$6,C21,$C$7,$C$9,$G$4,$C$8)</f>
        <v>243.30000966787338</v>
      </c>
      <c r="G21" s="59">
        <v>0.24</v>
      </c>
      <c r="H21" s="64" cm="1">
        <f t="array" ref="H21">drivePower($C$4,$C$5,G21,$C$10,$C$11)</f>
        <v>18.819648000000001</v>
      </c>
      <c r="I21" s="65">
        <f t="shared" si="1"/>
        <v>43.498808600000004</v>
      </c>
      <c r="J21" s="65" cm="1">
        <f t="array" ref="J21">maxDepthToMinSOC($K$8,$K$9,$K$6,$K$7,$K$10,$G$5,$G$6,$H21,$C$7,$G21,$G$4,$C$8)</f>
        <v>356.10001415014267</v>
      </c>
      <c r="K21" s="65" cm="1">
        <f t="array" ref="K21">maxDepthToMinSOC($K$8,$K$9,$K$6,$K$7,$T$18,$G$5,$G$6,drivePower($C$4,$R$18,$G21,$C$10,$C$11),$C$7,$G21,$G$4,$C$8)</f>
        <v>116.5500046312809</v>
      </c>
      <c r="L21" s="65" cm="1">
        <f t="array" ref="L21">maxDepthToMinSOC($K$8,$K$9,$K$6,$K$7,$T$22,$G$5,$G$6,drivePower($C$4,$R$22,$G21,$C$10,$C$11),$C$7,$G21,$G$4,$C$8)</f>
        <v>912.60003626346588</v>
      </c>
      <c r="M21" s="65" cm="1">
        <f t="array" ref="M21">maxDepthToMinSOC($K$8,$K$9,$K$6,$K$7,$T$20,$G$5,$G$6,drivePower($C$4,$R$20,$G21,$C$10,$C$11),$C$7,$G21,$G$4,$C$8)</f>
        <v>565.20002245903015</v>
      </c>
      <c r="N21" s="65" cm="1">
        <f t="array" ref="N21">maxDepthToMinSOC($K$8,$K$9,$K$6,$K$7,$T$21,$G$5,$G$6,drivePower($C$4,$R$21,$G21,$C$10,$C$11),$C$7,$G21,$G$4,$C$8)</f>
        <v>749.25002977252007</v>
      </c>
      <c r="O21" s="83"/>
      <c r="P21" s="60">
        <v>8800</v>
      </c>
      <c r="Q21" s="59">
        <f t="shared" si="2"/>
        <v>0.24</v>
      </c>
      <c r="R21" s="64">
        <f t="shared" si="3"/>
        <v>10.24</v>
      </c>
      <c r="S21" s="64" cm="1">
        <f t="array" ref="S21">drivePower($C$4,R21,$C$9,$C$10,$C$11)</f>
        <v>20.0502912</v>
      </c>
      <c r="T21" s="60">
        <f t="shared" si="0"/>
        <v>586.08000000000004</v>
      </c>
      <c r="U21" s="65" cm="1">
        <f t="array" ref="U21">maxDepthToMinSOC($K$8,0,$K$6,$K$7,T21,$G$5,$G$6,S21,$C$7,$C$9,$G$4,$C$8)</f>
        <v>983.40003907680511</v>
      </c>
      <c r="V21" s="65" cm="1">
        <f t="array" ref="V21">maxDepthToMinSOC($K$8,$K$9,$K$6,$K$7,T21,$G$5,$G$6,S21,$C$7,$C$9,$G$4,$C$8)</f>
        <v>762.30003029108047</v>
      </c>
      <c r="W21" t="s">
        <v>92</v>
      </c>
    </row>
    <row r="22" spans="2:23" x14ac:dyDescent="0.35">
      <c r="B22" s="13">
        <f t="shared" si="4"/>
        <v>0.23999999999999996</v>
      </c>
      <c r="C22" s="64" cm="1">
        <f t="array" ref="C22">drivePower($C$4,$C$5,$C$9,$C$10,B22)</f>
        <v>39.757916666666674</v>
      </c>
      <c r="D22" s="65" cm="1">
        <f t="array" ref="D22">maxDepthToMinSOC($K$8,0,$K$6,$K$7,$K$10,$G$5,$G$6,C22,$C$7,$C$9,$G$4,$C$8)</f>
        <v>365.250014513731</v>
      </c>
      <c r="E22" s="65" cm="1">
        <f t="array" ref="E22">maxDepthToMinSOC($K$8,$K$9,$K$6,$K$7,$K$10,$G$5,$G$6,C22,$C$7,$C$9,$G$4,$C$8)</f>
        <v>256.05001017451286</v>
      </c>
      <c r="G22" s="59">
        <v>0.28000000000000003</v>
      </c>
      <c r="H22" s="64" cm="1">
        <f t="array" ref="H22">drivePower($C$4,$C$5,G22,$C$10,$C$11)</f>
        <v>21.956256000000003</v>
      </c>
      <c r="I22" s="65">
        <f t="shared" si="1"/>
        <v>46.635416599999999</v>
      </c>
      <c r="J22" s="65" cm="1">
        <f t="array" ref="J22">maxDepthToMinSOC($K$8,$K$9,$K$6,$K$7,$K$10,$G$5,$G$6,$H22,$C$7,$G22,$G$4,$C$8)</f>
        <v>382.20001518726349</v>
      </c>
      <c r="K22" s="65" cm="1">
        <f t="array" ref="K22">maxDepthToMinSOC($K$8,$K$9,$K$6,$K$7,$T$18,$G$5,$G$6,drivePower($C$4,$R$18,$G22,$C$10,$C$11),$C$7,$G22,$G$4,$C$8)</f>
        <v>125.25000497698784</v>
      </c>
      <c r="L22" s="65" cm="1">
        <f t="array" ref="L22">maxDepthToMinSOC($K$8,$K$9,$K$6,$K$7,$T$22,$G$5,$G$6,drivePower($C$4,$R$22,$G22,$C$10,$C$11),$C$7,$G22,$G$4,$C$8)</f>
        <v>968.85003849864006</v>
      </c>
      <c r="M22" s="65" cm="1">
        <f t="array" ref="M22">maxDepthToMinSOC($K$8,$K$9,$K$6,$K$7,$T$20,$G$5,$G$6,drivePower($C$4,$R$20,$G22,$C$10,$C$11),$C$7,$G22,$G$4,$C$8)</f>
        <v>604.35002401471138</v>
      </c>
      <c r="N22" s="65" cm="1">
        <f t="array" ref="N22">maxDepthToMinSOC($K$8,$K$9,$K$6,$K$7,$T$21,$G$5,$G$6,drivePower($C$4,$R$21,$G22,$C$10,$C$11),$C$7,$G22,$G$4,$C$8)</f>
        <v>798.15003171563148</v>
      </c>
      <c r="O22" s="83"/>
      <c r="P22" s="60">
        <f>P21+2200</f>
        <v>11000</v>
      </c>
      <c r="Q22" s="59">
        <f t="shared" si="2"/>
        <v>0.36</v>
      </c>
      <c r="R22" s="64">
        <f t="shared" si="3"/>
        <v>10.36</v>
      </c>
      <c r="S22" s="64" cm="1">
        <f t="array" ref="S22">drivePower($C$4,R22,$C$9,$C$10,$C$11)</f>
        <v>20.273536799999999</v>
      </c>
      <c r="T22" s="60">
        <f t="shared" si="0"/>
        <v>732.6</v>
      </c>
      <c r="U22" s="65" cm="1">
        <f t="array" ref="U22">maxDepthToMinSOC($K$8,0,$K$6,$K$7,T22,$G$5,$G$6,S22,$C$7,$C$9,$G$4,$C$8)</f>
        <v>1171.3500465452671</v>
      </c>
      <c r="V22" s="65" cm="1">
        <f t="array" ref="V22">maxDepthToMinSOC($K$8,$K$9,$K$6,$K$7,T22,$G$5,$G$6,S22,$C$7,$C$9,$G$4,$C$8)</f>
        <v>927.60003685951233</v>
      </c>
    </row>
    <row r="23" spans="2:23" x14ac:dyDescent="0.35">
      <c r="B23" s="13">
        <f t="shared" si="4"/>
        <v>0.25999999999999995</v>
      </c>
      <c r="C23" s="64" cm="1">
        <f t="array" ref="C23">drivePower($C$4,$C$5,$C$9,$C$10,B23)</f>
        <v>36.776538461538465</v>
      </c>
      <c r="D23" s="65" cm="1">
        <f t="array" ref="D23">maxDepthToMinSOC($K$8,0,$K$6,$K$7,$K$10,$G$5,$G$6,C23,$C$7,$C$9,$G$4,$C$8)</f>
        <v>381.45001515746117</v>
      </c>
      <c r="E23" s="65" cm="1">
        <f t="array" ref="E23">maxDepthToMinSOC($K$8,$K$9,$K$6,$K$7,$K$10,$G$5,$G$6,C23,$C$7,$C$9,$G$4,$C$8)</f>
        <v>267.90001064538956</v>
      </c>
      <c r="G23" s="59">
        <v>0.32</v>
      </c>
      <c r="H23" s="64" cm="1">
        <f t="array" ref="H23">drivePower($C$4,$C$5,G23,$C$10,$C$11)</f>
        <v>25.092864000000002</v>
      </c>
      <c r="I23" s="65">
        <f t="shared" si="1"/>
        <v>49.772024600000002</v>
      </c>
      <c r="J23" s="65" cm="1">
        <f t="array" ref="J23">maxDepthToMinSOC($K$8,$K$9,$K$6,$K$7,$K$10,$G$5,$G$6,$H23,$C$7,$G23,$G$4,$C$8)</f>
        <v>404.40001606941223</v>
      </c>
      <c r="K23" s="65" cm="1">
        <f t="array" ref="K23">maxDepthToMinSOC($K$8,$K$9,$K$6,$K$7,$T$18,$G$5,$G$6,drivePower($C$4,$R$18,$G23,$C$10,$C$11),$C$7,$G23,$G$4,$C$8)</f>
        <v>132.30000525712967</v>
      </c>
      <c r="L23" s="65" cm="1">
        <f t="array" ref="L23">maxDepthToMinSOC($K$8,$K$9,$K$6,$K$7,$T$22,$G$5,$G$6,drivePower($C$4,$R$22,$G23,$C$10,$C$11),$C$7,$G23,$G$4,$C$8)</f>
        <v>1015.650040358305</v>
      </c>
      <c r="M23" s="65" cm="1">
        <f t="array" ref="M23">maxDepthToMinSOC($K$8,$K$9,$K$6,$K$7,$T$20,$G$5,$G$6,drivePower($C$4,$R$20,$G23,$C$10,$C$11),$C$7,$G23,$G$4,$C$8)</f>
        <v>637.50002533197403</v>
      </c>
      <c r="N23" s="65" cm="1">
        <f t="array" ref="N23">maxDepthToMinSOC($K$8,$K$9,$K$6,$K$7,$T$21,$G$5,$G$6,drivePower($C$4,$R$21,$G23,$C$10,$C$11),$C$7,$G23,$G$4,$C$8)</f>
        <v>839.25003334879875</v>
      </c>
      <c r="O23" s="83"/>
      <c r="P23" s="60">
        <f t="shared" ref="P23:P26" si="5">P22+2200</f>
        <v>13200</v>
      </c>
      <c r="Q23" s="59">
        <f t="shared" si="2"/>
        <v>0.48</v>
      </c>
      <c r="R23" s="64">
        <f t="shared" si="3"/>
        <v>10.48</v>
      </c>
      <c r="S23" s="64" cm="1">
        <f t="array" ref="S23">drivePower($C$4,R23,$C$9,$C$10,$C$11)</f>
        <v>20.496782400000001</v>
      </c>
      <c r="T23" s="60">
        <f t="shared" si="0"/>
        <v>879.12</v>
      </c>
      <c r="U23" s="65" cm="1">
        <f t="array" ref="U23">maxDepthToMinSOC($K$8,0,$K$6,$K$7,T23,$G$5,$G$6,S23,$C$7,$C$9,$G$4,$C$8)</f>
        <v>1335.0000530481339</v>
      </c>
      <c r="V23" s="65" cm="1">
        <f t="array" ref="V23">maxDepthToMinSOC($K$8,$K$9,$K$6,$K$7,T23,$G$5,$G$6,S23,$C$7,$C$9,$G$4,$C$8)</f>
        <v>1075.0500427186489</v>
      </c>
    </row>
    <row r="24" spans="2:23" x14ac:dyDescent="0.35">
      <c r="B24" s="13">
        <f t="shared" si="4"/>
        <v>0.27999999999999997</v>
      </c>
      <c r="C24" s="64" cm="1">
        <f t="array" ref="C24">drivePower($C$4,$C$5,$C$9,$C$10,B24)</f>
        <v>34.221071428571435</v>
      </c>
      <c r="D24" s="65" cm="1">
        <f t="array" ref="D24">maxDepthToMinSOC($K$8,0,$K$6,$K$7,$K$10,$G$5,$G$6,C24,$C$7,$C$9,$G$4,$C$8)</f>
        <v>396.30001574754715</v>
      </c>
      <c r="E24" s="65" cm="1">
        <f t="array" ref="E24">maxDepthToMinSOC($K$8,$K$9,$K$6,$K$7,$K$10,$G$5,$G$6,C24,$C$7,$C$9,$G$4,$C$8)</f>
        <v>278.85001108050346</v>
      </c>
      <c r="G24" s="59">
        <v>0.36</v>
      </c>
      <c r="H24" s="64" cm="1">
        <f t="array" ref="H24">drivePower($C$4,$C$5,G24,$C$10,$C$11)</f>
        <v>28.229472000000001</v>
      </c>
      <c r="I24" s="65">
        <f t="shared" si="1"/>
        <v>52.908632600000004</v>
      </c>
      <c r="J24" s="65" cm="1">
        <f t="array" ref="J24">maxDepthToMinSOC($K$8,$K$9,$K$6,$K$7,$K$10,$G$5,$G$6,$H24,$C$7,$G24,$G$4,$C$8)</f>
        <v>423.45001682639122</v>
      </c>
      <c r="K24" s="65" cm="1">
        <f t="array" ref="K24">maxDepthToMinSOC($K$8,$K$9,$K$6,$K$7,$T$18,$G$5,$G$6,drivePower($C$4,$R$18,$G24,$C$10,$C$11),$C$7,$G24,$G$4,$C$8)</f>
        <v>138.45000550150871</v>
      </c>
      <c r="L24" s="65" cm="1">
        <f t="array" ref="L24">maxDepthToMinSOC($K$8,$K$9,$K$6,$K$7,$T$22,$G$5,$G$6,drivePower($C$4,$R$22,$G24,$C$10,$C$11),$C$7,$G24,$G$4,$C$8)</f>
        <v>1055.1000419259071</v>
      </c>
      <c r="M24" s="65" cm="1">
        <f t="array" ref="M24">maxDepthToMinSOC($K$8,$K$9,$K$6,$K$7,$T$20,$G$5,$G$6,drivePower($C$4,$R$20,$G24,$C$10,$C$11),$C$7,$G24,$G$4,$C$8)</f>
        <v>665.70002645254135</v>
      </c>
      <c r="N24" s="65" cm="1">
        <f t="array" ref="N24">maxDepthToMinSOC($K$8,$K$9,$K$6,$K$7,$T$21,$G$5,$G$6,drivePower($C$4,$R$21,$G24,$C$10,$C$11),$C$7,$G24,$G$4,$C$8)</f>
        <v>874.05003473162651</v>
      </c>
      <c r="O24" s="83"/>
      <c r="P24" s="60">
        <f t="shared" si="5"/>
        <v>15400</v>
      </c>
      <c r="Q24" s="59">
        <f t="shared" si="2"/>
        <v>0.6</v>
      </c>
      <c r="R24" s="64">
        <f t="shared" si="3"/>
        <v>10.6</v>
      </c>
      <c r="S24" s="64" cm="1">
        <f t="array" ref="S24">drivePower($C$4,R24,$C$9,$C$10,$C$11)</f>
        <v>20.720027999999999</v>
      </c>
      <c r="T24" s="60">
        <f t="shared" si="0"/>
        <v>1025.6399999999999</v>
      </c>
      <c r="U24" s="65" cm="1">
        <f t="array" ref="U24">maxDepthToMinSOC($K$8,0,$K$6,$K$7,T24,$G$5,$G$6,S24,$C$7,$C$9,$G$4,$C$8)</f>
        <v>1478.8500587642193</v>
      </c>
      <c r="V24" s="65" cm="1">
        <f t="array" ref="V24">maxDepthToMinSOC($K$8,$K$9,$K$6,$K$7,T24,$G$5,$G$6,S24,$C$7,$C$9,$G$4,$C$8)</f>
        <v>1207.3500479757786</v>
      </c>
    </row>
    <row r="25" spans="2:23" x14ac:dyDescent="0.35">
      <c r="B25" s="13">
        <f t="shared" si="4"/>
        <v>0.3</v>
      </c>
      <c r="C25" s="64" cm="1">
        <f t="array" ref="C25">drivePower($C$4,$C$5,$C$9,$C$10,B25)</f>
        <v>32.00633333333333</v>
      </c>
      <c r="D25" s="65" cm="1">
        <f t="array" ref="D25">maxDepthToMinSOC($K$8,0,$K$6,$K$7,$K$10,$G$5,$G$6,C25,$C$7,$C$9,$G$4,$C$8)</f>
        <v>410.25001630187035</v>
      </c>
      <c r="E25" s="65" cm="1">
        <f t="array" ref="E25">maxDepthToMinSOC($K$8,$K$9,$K$6,$K$7,$K$10,$G$5,$G$6,C25,$C$7,$C$9,$G$4,$C$8)</f>
        <v>289.20001149177551</v>
      </c>
      <c r="G25" s="59">
        <v>0.4</v>
      </c>
      <c r="H25" s="64" cm="1">
        <f t="array" ref="H25">drivePower($C$4,$C$5,G25,$C$10,$C$11)</f>
        <v>31.366080000000004</v>
      </c>
      <c r="I25" s="65">
        <f t="shared" si="1"/>
        <v>56.0452406</v>
      </c>
      <c r="J25" s="65" cm="1">
        <f t="array" ref="J25">maxDepthToMinSOC($K$8,$K$9,$K$6,$K$7,$K$10,$G$5,$G$6,$H25,$C$7,$G25,$G$4,$C$8)</f>
        <v>439.80001747608185</v>
      </c>
      <c r="K25" s="65" cm="1">
        <f t="array" ref="K25">maxDepthToMinSOC($K$8,$K$9,$K$6,$K$7,$T$18,$G$5,$G$6,drivePower($C$4,$R$18,$G25,$C$10,$C$11),$C$7,$G25,$G$4,$C$8)</f>
        <v>143.40000569820404</v>
      </c>
      <c r="L25" s="65" cm="1">
        <f t="array" ref="L25">maxDepthToMinSOC($K$8,$K$9,$K$6,$K$7,$T$22,$G$5,$G$6,drivePower($C$4,$R$22,$G25,$C$10,$C$11),$C$7,$G25,$G$4,$C$8)</f>
        <v>1088.8500432670116</v>
      </c>
      <c r="M25" s="65" cm="1">
        <f t="array" ref="M25">maxDepthToMinSOC($K$8,$K$9,$K$6,$K$7,$T$20,$G$5,$G$6,drivePower($C$4,$R$20,$G25,$C$10,$C$11),$C$7,$G25,$G$4,$C$8)</f>
        <v>689.85002741217613</v>
      </c>
      <c r="N25" s="65" cm="1">
        <f t="array" ref="N25">maxDepthToMinSOC($K$8,$K$9,$K$6,$K$7,$T$21,$G$5,$G$6,drivePower($C$4,$R$21,$G25,$C$10,$C$11),$C$7,$G25,$G$4,$C$8)</f>
        <v>903.90003591775894</v>
      </c>
      <c r="O25" s="83"/>
      <c r="P25" s="60">
        <f t="shared" si="5"/>
        <v>17600</v>
      </c>
      <c r="Q25" s="59">
        <f t="shared" si="2"/>
        <v>0.72</v>
      </c>
      <c r="R25" s="64">
        <f t="shared" si="3"/>
        <v>10.72</v>
      </c>
      <c r="S25" s="64" cm="1">
        <f t="array" ref="S25">drivePower($C$4,R25,$C$9,$C$10,$C$11)</f>
        <v>20.943273600000001</v>
      </c>
      <c r="T25" s="60">
        <f t="shared" si="0"/>
        <v>1172.1600000000001</v>
      </c>
      <c r="U25" s="65" cm="1">
        <f t="array" ref="U25">maxDepthToMinSOC($K$8,0,$K$6,$K$7,T25,$G$5,$G$6,S25,$C$7,$C$9,$G$4,$C$8)</f>
        <v>1606.2000638246536</v>
      </c>
      <c r="V25" s="65" cm="1">
        <f t="array" ref="V25">maxDepthToMinSOC($K$8,$K$9,$K$6,$K$7,T25,$G$5,$G$6,S25,$C$7,$C$9,$G$4,$C$8)</f>
        <v>1326.6000527143478</v>
      </c>
    </row>
    <row r="26" spans="2:23" x14ac:dyDescent="0.35">
      <c r="B26" s="13">
        <f t="shared" si="4"/>
        <v>0.32</v>
      </c>
      <c r="C26" s="64" cm="1">
        <f t="array" ref="C26">drivePower($C$4,$C$5,$C$9,$C$10,B26)</f>
        <v>30.068437499999998</v>
      </c>
      <c r="D26" s="65" cm="1">
        <f t="array" ref="D26">maxDepthToMinSOC($K$8,0,$K$6,$K$7,$K$10,$G$5,$G$6,C26,$C$7,$C$9,$G$4,$C$8)</f>
        <v>423.15001681447029</v>
      </c>
      <c r="E26" s="65" cm="1">
        <f t="array" ref="E26">maxDepthToMinSOC($K$8,$K$9,$K$6,$K$7,$K$10,$G$5,$G$6,C26,$C$7,$C$9,$G$4,$C$8)</f>
        <v>298.65001186728477</v>
      </c>
      <c r="G26" s="59">
        <v>0.44</v>
      </c>
      <c r="H26" s="64" cm="1">
        <f t="array" ref="H26">drivePower($C$4,$C$5,G26,$C$10,$C$11)</f>
        <v>34.502687999999999</v>
      </c>
      <c r="I26" s="65">
        <f t="shared" si="1"/>
        <v>59.181848599999995</v>
      </c>
      <c r="J26" s="65" cm="1">
        <f t="array" ref="J26">maxDepthToMinSOC($K$8,$K$9,$K$6,$K$7,$K$10,$G$5,$G$6,$H26,$C$7,$G26,$G$4,$C$8)</f>
        <v>454.05001804232597</v>
      </c>
      <c r="K26" s="65" cm="1">
        <f t="array" ref="K26">maxDepthToMinSOC($K$8,$K$9,$K$6,$K$7,$T$18,$G$5,$G$6,drivePower($C$4,$R$18,$G26,$C$10,$C$11),$C$7,$G26,$G$4,$C$8)</f>
        <v>147.75000587105751</v>
      </c>
      <c r="L26" s="65" cm="1">
        <f t="array" ref="L26">maxDepthToMinSOC($K$8,$K$9,$K$6,$K$7,$T$22,$G$5,$G$6,drivePower($C$4,$R$22,$G26,$C$10,$C$11),$C$7,$G26,$G$4,$C$8)</f>
        <v>1118.1000444293022</v>
      </c>
      <c r="M26" s="65" cm="1">
        <f t="array" ref="M26">maxDepthToMinSOC($K$8,$K$9,$K$6,$K$7,$T$20,$G$5,$G$6,drivePower($C$4,$R$20,$G26,$C$10,$C$11),$C$7,$G26,$G$4,$C$8)</f>
        <v>711.00002825260162</v>
      </c>
      <c r="N26" s="65" cm="1">
        <f t="array" ref="N26">maxDepthToMinSOC($K$8,$K$9,$K$6,$K$7,$T$21,$G$5,$G$6,drivePower($C$4,$R$21,$G26,$C$10,$C$11),$C$7,$G26,$G$4,$C$8)</f>
        <v>929.70003694295883</v>
      </c>
      <c r="O26" s="83"/>
      <c r="P26" s="60">
        <f t="shared" si="5"/>
        <v>19800</v>
      </c>
      <c r="Q26" s="59">
        <f t="shared" si="2"/>
        <v>0.84</v>
      </c>
      <c r="R26" s="64">
        <f t="shared" si="3"/>
        <v>10.84</v>
      </c>
      <c r="S26" s="64" cm="1">
        <f t="array" ref="S26">drivePower($C$4,R26,$C$9,$C$10,$C$11)</f>
        <v>21.1665192</v>
      </c>
      <c r="T26" s="60">
        <f t="shared" si="0"/>
        <v>1318.68</v>
      </c>
      <c r="U26" s="65" cm="1">
        <f t="array" ref="U26">maxDepthToMinSOC($K$8,0,$K$6,$K$7,T26,$G$5,$G$6,S26,$C$7,$C$9,$G$4,$C$8)</f>
        <v>1719.9000683426857</v>
      </c>
      <c r="V26" s="65" cm="1">
        <f t="array" ref="V26">maxDepthToMinSOC($K$8,$K$9,$K$6,$K$7,T26,$G$5,$G$6,S26,$C$7,$C$9,$G$4,$C$8)</f>
        <v>1434.9000570178032</v>
      </c>
    </row>
    <row r="27" spans="2:23" x14ac:dyDescent="0.35">
      <c r="B27" s="13">
        <f t="shared" si="4"/>
        <v>0.34</v>
      </c>
      <c r="C27" s="64" cm="1">
        <f t="array" ref="C27">drivePower($C$4,$C$5,$C$9,$C$10,B27)</f>
        <v>28.358529411764703</v>
      </c>
      <c r="D27" s="65" cm="1">
        <f t="array" ref="D27">maxDepthToMinSOC($K$8,0,$K$6,$K$7,$K$10,$G$5,$G$6,C27,$C$7,$C$9,$G$4,$C$8)</f>
        <v>435.30001729726791</v>
      </c>
      <c r="E27" s="65" cm="1">
        <f t="array" ref="E27">maxDepthToMinSOC($K$8,$K$9,$K$6,$K$7,$K$10,$G$5,$G$6,C27,$C$7,$C$9,$G$4,$C$8)</f>
        <v>307.65001222491264</v>
      </c>
      <c r="G27" s="59">
        <v>0.48</v>
      </c>
      <c r="H27" s="64" cm="1">
        <f t="array" ref="H27">drivePower($C$4,$C$5,G27,$C$10,$C$11)</f>
        <v>37.639296000000002</v>
      </c>
      <c r="I27" s="65">
        <f t="shared" si="1"/>
        <v>62.318456600000005</v>
      </c>
      <c r="J27" s="65" cm="1">
        <f t="array" ref="J27">maxDepthToMinSOC($K$8,$K$9,$K$6,$K$7,$K$10,$G$5,$G$6,$H27,$C$7,$G27,$G$4,$C$8)</f>
        <v>466.50001853704453</v>
      </c>
      <c r="K27" s="65" cm="1">
        <f t="array" ref="K27">maxDepthToMinSOC($K$8,$K$9,$K$6,$K$7,$T$18,$G$5,$G$6,drivePower($C$4,$R$18,$G27,$C$10,$C$11),$C$7,$G27,$G$4,$C$8)</f>
        <v>151.35000601410866</v>
      </c>
      <c r="L27" s="65" cm="1">
        <f t="array" ref="L27">maxDepthToMinSOC($K$8,$K$9,$K$6,$K$7,$T$22,$G$5,$G$6,drivePower($C$4,$R$22,$G27,$C$10,$C$11),$C$7,$G27,$G$4,$C$8)</f>
        <v>1143.4500454366207</v>
      </c>
      <c r="M27" s="65" cm="1">
        <f t="array" ref="M27">maxDepthToMinSOC($K$8,$K$9,$K$6,$K$7,$T$20,$G$5,$G$6,drivePower($C$4,$R$20,$G27,$C$10,$C$11),$C$7,$G27,$G$4,$C$8)</f>
        <v>729.45002898573875</v>
      </c>
      <c r="N27" s="65" cm="1">
        <f t="array" ref="N27">maxDepthToMinSOC($K$8,$K$9,$K$6,$K$7,$T$21,$G$5,$G$6,drivePower($C$4,$R$21,$G27,$C$10,$C$11),$C$7,$G27,$G$4,$C$8)</f>
        <v>952.35003784298897</v>
      </c>
      <c r="O27" s="82"/>
    </row>
    <row r="28" spans="2:23" x14ac:dyDescent="0.35">
      <c r="B28" s="13">
        <f t="shared" si="4"/>
        <v>0.36000000000000004</v>
      </c>
      <c r="C28" s="64" cm="1">
        <f t="array" ref="C28">drivePower($C$4,$C$5,$C$9,$C$10,B28)</f>
        <v>26.838611111111106</v>
      </c>
      <c r="D28" s="65" cm="1">
        <f t="array" ref="D28">maxDepthToMinSOC($K$8,0,$K$6,$K$7,$K$10,$G$5,$G$6,C28,$C$7,$C$9,$G$4,$C$8)</f>
        <v>446.55001774430275</v>
      </c>
      <c r="E28" s="65" cm="1">
        <f t="array" ref="E28">maxDepthToMinSOC($K$8,$K$9,$K$6,$K$7,$K$10,$G$5,$G$6,C28,$C$7,$C$9,$G$4,$C$8)</f>
        <v>316.05001255869865</v>
      </c>
      <c r="G28" s="59">
        <v>0.52</v>
      </c>
      <c r="H28" s="64" cm="1">
        <f t="array" ref="H28">drivePower($C$4,$C$5,G28,$C$10,$C$11)</f>
        <v>40.775903999999997</v>
      </c>
      <c r="I28" s="65">
        <f t="shared" si="1"/>
        <v>65.4550646</v>
      </c>
      <c r="J28" s="65" cm="1">
        <f t="array" ref="J28">maxDepthToMinSOC($K$8,$K$9,$K$6,$K$7,$K$10,$G$5,$G$6,$H28,$C$7,$G28,$G$4,$C$8)</f>
        <v>477.45001897215843</v>
      </c>
      <c r="K28" s="65" cm="1">
        <f t="array" ref="K28">maxDepthToMinSOC($K$8,$K$9,$K$6,$K$7,$T$18,$G$5,$G$6,drivePower($C$4,$R$18,$G28,$C$10,$C$11),$C$7,$G28,$G$4,$C$8)</f>
        <v>154.50000613927841</v>
      </c>
      <c r="L28" s="65" cm="1">
        <f t="array" ref="L28">maxDepthToMinSOC($K$8,$K$9,$K$6,$K$7,$T$22,$G$5,$G$6,drivePower($C$4,$R$22,$G28,$C$10,$C$11),$C$7,$G28,$G$4,$C$8)</f>
        <v>1165.8000463247299</v>
      </c>
      <c r="M28" s="65" cm="1">
        <f t="array" ref="M28">maxDepthToMinSOC($K$8,$K$9,$K$6,$K$7,$T$20,$G$5,$G$6,drivePower($C$4,$R$20,$G28,$C$10,$C$11),$C$7,$G28,$G$4,$C$8)</f>
        <v>745.80002963542938</v>
      </c>
      <c r="N28" s="65" cm="1">
        <f t="array" ref="N28">maxDepthToMinSOC($K$8,$K$9,$K$6,$K$7,$T$21,$G$5,$G$6,drivePower($C$4,$R$21,$G28,$C$10,$C$11),$C$7,$G28,$G$4,$C$8)</f>
        <v>972.15003862977028</v>
      </c>
      <c r="O28" s="82"/>
    </row>
    <row r="29" spans="2:23" x14ac:dyDescent="0.35">
      <c r="B29" s="13">
        <f t="shared" si="4"/>
        <v>0.38000000000000006</v>
      </c>
      <c r="C29" s="64" cm="1">
        <f t="array" ref="C29">drivePower($C$4,$C$5,$C$9,$C$10,B29)</f>
        <v>25.47868421052631</v>
      </c>
      <c r="D29" s="65" cm="1">
        <f t="array" ref="D29">maxDepthToMinSOC($K$8,0,$K$6,$K$7,$K$10,$G$5,$G$6,C29,$C$7,$C$9,$G$4,$C$8)</f>
        <v>457.20001816749573</v>
      </c>
      <c r="E29" s="65" cm="1">
        <f t="array" ref="E29">maxDepthToMinSOC($K$8,$K$9,$K$6,$K$7,$K$10,$G$5,$G$6,C29,$C$7,$C$9,$G$4,$C$8)</f>
        <v>324.00001287460327</v>
      </c>
      <c r="G29" s="59">
        <v>0.56000000000000005</v>
      </c>
      <c r="H29" s="64" cm="1">
        <f t="array" ref="H29">drivePower($C$4,$C$5,G29,$C$10,$C$11)</f>
        <v>43.912512000000007</v>
      </c>
      <c r="I29" s="65">
        <f t="shared" si="1"/>
        <v>68.59167260000001</v>
      </c>
      <c r="J29" s="65" cm="1">
        <f t="array" ref="J29">maxDepthToMinSOC($K$8,$K$9,$K$6,$K$7,$K$10,$G$5,$G$6,$H29,$C$7,$G29,$G$4,$C$8)</f>
        <v>487.20001935958862</v>
      </c>
      <c r="K29" s="65" cm="1">
        <f t="array" ref="K29">maxDepthToMinSOC($K$8,$K$9,$K$6,$K$7,$T$18,$G$5,$G$6,drivePower($C$4,$R$18,$G29,$C$10,$C$11),$C$7,$G29,$G$4,$C$8)</f>
        <v>157.05000624060631</v>
      </c>
      <c r="L29" s="65" cm="1">
        <f t="array" ref="L29">maxDepthToMinSOC($K$8,$K$9,$K$6,$K$7,$T$22,$G$5,$G$6,drivePower($C$4,$R$22,$G29,$C$10,$C$11),$C$7,$G29,$G$4,$C$8)</f>
        <v>1185.6000471115112</v>
      </c>
      <c r="M29" s="65" cm="1">
        <f t="array" ref="M29">maxDepthToMinSOC($K$8,$K$9,$K$6,$K$7,$T$20,$G$5,$G$6,drivePower($C$4,$R$20,$G29,$C$10,$C$11),$C$7,$G29,$G$4,$C$8)</f>
        <v>760.20003020763397</v>
      </c>
      <c r="N29" s="65" cm="1">
        <f t="array" ref="N29">maxDepthToMinSOC($K$8,$K$9,$K$6,$K$7,$T$21,$G$5,$G$6,drivePower($C$4,$R$21,$G29,$C$10,$C$11),$C$7,$G29,$G$4,$C$8)</f>
        <v>989.70003932714462</v>
      </c>
      <c r="O29" s="82"/>
    </row>
    <row r="30" spans="2:23" x14ac:dyDescent="0.35">
      <c r="B30" s="13">
        <f t="shared" si="4"/>
        <v>0.40000000000000008</v>
      </c>
      <c r="C30" s="64" cm="1">
        <f t="array" ref="C30">drivePower($C$4,$C$5,$C$9,$C$10,B30)</f>
        <v>24.254749999999994</v>
      </c>
      <c r="D30" s="65" cm="1">
        <f t="array" ref="D30">maxDepthToMinSOC($K$8,0,$K$6,$K$7,$K$10,$G$5,$G$6,C30,$C$7,$C$9,$G$4,$C$8)</f>
        <v>467.10001856088638</v>
      </c>
      <c r="E30" s="65" cm="1">
        <f t="array" ref="E30">maxDepthToMinSOC($K$8,$K$9,$K$6,$K$7,$K$10,$G$5,$G$6,C30,$C$7,$C$9,$G$4,$C$8)</f>
        <v>331.5000131726265</v>
      </c>
      <c r="G30" s="59">
        <v>0.6</v>
      </c>
      <c r="H30" s="64" cm="1">
        <f t="array" ref="H30">drivePower($C$4,$C$5,G30,$C$10,$C$11)</f>
        <v>47.049119999999995</v>
      </c>
      <c r="I30" s="65">
        <f t="shared" si="1"/>
        <v>71.728280599999991</v>
      </c>
      <c r="J30" s="65" cm="1">
        <f t="array" ref="J30">maxDepthToMinSOC($K$8,$K$9,$K$6,$K$7,$K$10,$G$5,$G$6,$H30,$C$7,$G30,$G$4,$C$8)</f>
        <v>495.7500196993351</v>
      </c>
      <c r="K30" s="65" cm="1">
        <f t="array" ref="K30">maxDepthToMinSOC($K$8,$K$9,$K$6,$K$7,$T$18,$G$5,$G$6,drivePower($C$4,$R$18,$G30,$C$10,$C$11),$C$7,$G30,$G$4,$C$8)</f>
        <v>159.30000633001328</v>
      </c>
      <c r="L30" s="65" cm="1">
        <f t="array" ref="L30">maxDepthToMinSOC($K$8,$K$9,$K$6,$K$7,$T$22,$G$5,$G$6,drivePower($C$4,$R$22,$G30,$C$10,$C$11),$C$7,$G30,$G$4,$C$8)</f>
        <v>1203.1500478088856</v>
      </c>
      <c r="M30" s="65" cm="1">
        <f t="array" ref="M30">maxDepthToMinSOC($K$8,$K$9,$K$6,$K$7,$T$20,$G$5,$G$6,drivePower($C$4,$R$20,$G30,$C$10,$C$11),$C$7,$G30,$G$4,$C$8)</f>
        <v>772.95003071427345</v>
      </c>
      <c r="N30" s="65" cm="1">
        <f t="array" ref="N30">maxDepthToMinSOC($K$8,$K$9,$K$6,$K$7,$T$21,$G$5,$G$6,drivePower($C$4,$R$21,$G30,$C$10,$C$11),$C$7,$G30,$G$4,$C$8)</f>
        <v>1005.4500399529934</v>
      </c>
      <c r="O30" s="82"/>
    </row>
    <row r="31" spans="2:23" x14ac:dyDescent="0.35">
      <c r="B31" s="13">
        <f t="shared" si="4"/>
        <v>0.4200000000000001</v>
      </c>
      <c r="C31" s="64" cm="1">
        <f t="array" ref="C31">drivePower($C$4,$C$5,$C$9,$C$10,B31)</f>
        <v>23.147380952380946</v>
      </c>
      <c r="D31" s="65" cm="1">
        <f t="array" ref="D31">maxDepthToMinSOC($K$8,0,$K$6,$K$7,$K$10,$G$5,$G$6,C31,$C$7,$C$9,$G$4,$C$8)</f>
        <v>476.55001893639565</v>
      </c>
      <c r="E31" s="65" cm="1">
        <f t="array" ref="E31">maxDepthToMinSOC($K$8,$K$9,$K$6,$K$7,$K$10,$G$5,$G$6,C31,$C$7,$C$9,$G$4,$C$8)</f>
        <v>338.55001345276833</v>
      </c>
      <c r="G31" s="59">
        <v>0.64</v>
      </c>
      <c r="H31" s="64" cm="1">
        <f t="array" ref="H31">drivePower($C$4,$C$5,G31,$C$10,$C$11)</f>
        <v>50.185728000000005</v>
      </c>
      <c r="I31" s="65">
        <f t="shared" si="1"/>
        <v>74.8648886</v>
      </c>
      <c r="J31" s="65" cm="1">
        <f t="array" ref="J31">maxDepthToMinSOC($K$8,$K$9,$K$6,$K$7,$K$10,$G$5,$G$6,$H31,$C$7,$G31,$G$4,$C$8)</f>
        <v>503.40002000331879</v>
      </c>
      <c r="K31" s="65" cm="1">
        <f t="array" ref="K31">maxDepthToMinSOC($K$8,$K$9,$K$6,$K$7,$T$18,$G$5,$G$6,drivePower($C$4,$R$18,$G31,$C$10,$C$11),$C$7,$G31,$G$4,$C$8)</f>
        <v>161.10000640153885</v>
      </c>
      <c r="L31" s="65" cm="1">
        <f t="array" ref="L31">maxDepthToMinSOC($K$8,$K$9,$K$6,$K$7,$T$22,$G$5,$G$6,drivePower($C$4,$R$22,$G31,$C$10,$C$11),$C$7,$G31,$G$4,$C$8)</f>
        <v>1218.7500484287739</v>
      </c>
      <c r="M31" s="65" cm="1">
        <f t="array" ref="M31">maxDepthToMinSOC($K$8,$K$9,$K$6,$K$7,$T$20,$G$5,$G$6,drivePower($C$4,$R$20,$G31,$C$10,$C$11),$C$7,$G31,$G$4,$C$8)</f>
        <v>784.50003117322922</v>
      </c>
      <c r="N31" s="65" cm="1">
        <f t="array" ref="N31">maxDepthToMinSOC($K$8,$K$9,$K$6,$K$7,$T$21,$G$5,$G$6,drivePower($C$4,$R$21,$G31,$C$10,$C$11),$C$7,$G31,$G$4,$C$8)</f>
        <v>1019.4000405073166</v>
      </c>
      <c r="O31" s="82"/>
    </row>
    <row r="32" spans="2:23" x14ac:dyDescent="0.35">
      <c r="B32" s="13">
        <f t="shared" si="4"/>
        <v>0.44000000000000011</v>
      </c>
      <c r="C32" s="64" cm="1">
        <f t="array" ref="C32">drivePower($C$4,$C$5,$C$9,$C$10,B32)</f>
        <v>22.140681818181811</v>
      </c>
      <c r="D32" s="65" cm="1">
        <f t="array" ref="D32">maxDepthToMinSOC($K$8,0,$K$6,$K$7,$K$10,$G$5,$G$6,C32,$C$7,$C$9,$G$4,$C$8)</f>
        <v>485.40001928806305</v>
      </c>
      <c r="E32" s="65" cm="1">
        <f t="array" ref="E32">maxDepthToMinSOC($K$8,$K$9,$K$6,$K$7,$K$10,$G$5,$G$6,C32,$C$7,$C$9,$G$4,$C$8)</f>
        <v>345.15001371502876</v>
      </c>
    </row>
    <row r="33" spans="2:16" x14ac:dyDescent="0.35">
      <c r="B33" s="13">
        <f t="shared" si="4"/>
        <v>0.46000000000000013</v>
      </c>
      <c r="C33" s="64" cm="1">
        <f t="array" ref="C33">drivePower($C$4,$C$5,$C$9,$C$10,B33)</f>
        <v>21.221521739130427</v>
      </c>
      <c r="D33" s="65" cm="1">
        <f t="array" ref="D33">maxDepthToMinSOC($K$8,0,$K$6,$K$7,$K$10,$G$5,$G$6,C33,$C$7,$C$9,$G$4,$C$8)</f>
        <v>493.80001962184906</v>
      </c>
      <c r="E33" s="65" cm="1">
        <f t="array" ref="E33">maxDepthToMinSOC($K$8,$K$9,$K$6,$K$7,$K$10,$G$5,$G$6,C33,$C$7,$C$9,$G$4,$C$8)</f>
        <v>351.45001396536827</v>
      </c>
    </row>
    <row r="34" spans="2:16" x14ac:dyDescent="0.35">
      <c r="B34" s="13">
        <f t="shared" si="4"/>
        <v>0.48000000000000015</v>
      </c>
      <c r="C34" s="64" cm="1">
        <f t="array" ref="C34">drivePower($C$4,$C$5,$C$9,$C$10,B34)</f>
        <v>20.378958333333326</v>
      </c>
      <c r="D34" s="65" cm="1">
        <f t="array" ref="D34">maxDepthToMinSOC($K$8,0,$K$6,$K$7,$K$10,$G$5,$G$6,C34,$C$7,$C$9,$G$4,$C$8)</f>
        <v>501.75001993775368</v>
      </c>
      <c r="E34" s="65" cm="1">
        <f t="array" ref="E34">maxDepthToMinSOC($K$8,$K$9,$K$6,$K$7,$K$10,$G$5,$G$6,C34,$C$7,$C$9,$G$4,$C$8)</f>
        <v>357.45001420378685</v>
      </c>
    </row>
    <row r="35" spans="2:16" x14ac:dyDescent="0.35">
      <c r="B35" s="13">
        <f t="shared" si="4"/>
        <v>0.50000000000000011</v>
      </c>
      <c r="C35" s="64" cm="1">
        <f t="array" ref="C35">drivePower($C$4,$C$5,$C$9,$C$10,B35)</f>
        <v>19.603799999999996</v>
      </c>
      <c r="D35" s="65" cm="1">
        <f t="array" ref="D35">maxDepthToMinSOC($K$8,0,$K$6,$K$7,$K$10,$G$5,$G$6,C35,$C$7,$C$9,$G$4,$C$8)</f>
        <v>509.40002024173737</v>
      </c>
      <c r="E35" s="65" cm="1">
        <f t="array" ref="E35">maxDepthToMinSOC($K$8,$K$9,$K$6,$K$7,$K$10,$G$5,$G$6,C35,$C$7,$C$9,$G$4,$C$8)</f>
        <v>363.00001442432404</v>
      </c>
    </row>
    <row r="36" spans="2:16" x14ac:dyDescent="0.35">
      <c r="J36" s="74"/>
      <c r="K36" s="74"/>
      <c r="L36" s="74"/>
      <c r="M36" s="74"/>
      <c r="N36" s="74"/>
      <c r="O36" s="74"/>
      <c r="P36" s="74"/>
    </row>
    <row r="37" spans="2:16" x14ac:dyDescent="0.35">
      <c r="J37" s="14"/>
      <c r="K37" s="14"/>
      <c r="L37" s="14"/>
      <c r="M37" s="14"/>
      <c r="N37" s="14"/>
      <c r="O37" s="14"/>
      <c r="P37" s="14"/>
    </row>
    <row r="38" spans="2:16" x14ac:dyDescent="0.35">
      <c r="J38" s="63"/>
      <c r="K38" s="63"/>
      <c r="L38" s="63"/>
      <c r="M38" s="63"/>
      <c r="N38" s="63"/>
      <c r="O38" s="63"/>
      <c r="P38" s="63"/>
    </row>
    <row r="39" spans="2:16" x14ac:dyDescent="0.35">
      <c r="J39" s="62"/>
      <c r="K39" s="14"/>
      <c r="L39" s="77"/>
      <c r="M39" s="78"/>
      <c r="N39" s="78"/>
      <c r="O39" s="78"/>
      <c r="P39" s="78"/>
    </row>
    <row r="40" spans="2:16" x14ac:dyDescent="0.35">
      <c r="J40" s="62"/>
      <c r="K40" s="14"/>
      <c r="L40" s="77"/>
      <c r="M40" s="78"/>
      <c r="N40" s="78"/>
      <c r="O40" s="78"/>
      <c r="P40" s="78"/>
    </row>
    <row r="41" spans="2:16" x14ac:dyDescent="0.35">
      <c r="J41" s="62"/>
      <c r="K41" s="14"/>
      <c r="L41" s="77"/>
      <c r="M41" s="78"/>
      <c r="N41" s="78"/>
      <c r="O41" s="78"/>
      <c r="P41" s="78"/>
    </row>
    <row r="42" spans="2:16" x14ac:dyDescent="0.35">
      <c r="J42" s="62"/>
      <c r="K42" s="14"/>
      <c r="L42" s="77"/>
      <c r="M42" s="78"/>
      <c r="N42" s="78"/>
      <c r="O42" s="78"/>
      <c r="P42" s="78"/>
    </row>
    <row r="43" spans="2:16" x14ac:dyDescent="0.35">
      <c r="J43" s="62"/>
      <c r="K43" s="14"/>
      <c r="L43" s="77"/>
      <c r="M43" s="78"/>
      <c r="N43" s="78"/>
      <c r="O43" s="78"/>
      <c r="P43" s="78"/>
    </row>
    <row r="44" spans="2:16" x14ac:dyDescent="0.35">
      <c r="J44" s="62"/>
      <c r="K44" s="14"/>
      <c r="L44" s="77"/>
      <c r="M44" s="78"/>
      <c r="N44" s="78"/>
      <c r="O44" s="78"/>
      <c r="P44" s="78"/>
    </row>
    <row r="45" spans="2:16" x14ac:dyDescent="0.35">
      <c r="J45" s="62"/>
      <c r="K45" s="14"/>
      <c r="L45" s="77"/>
      <c r="M45" s="78"/>
      <c r="N45" s="78"/>
      <c r="O45" s="78"/>
      <c r="P45" s="78"/>
    </row>
    <row r="46" spans="2:16" x14ac:dyDescent="0.35">
      <c r="J46" s="62"/>
      <c r="K46" s="14"/>
      <c r="L46" s="77"/>
      <c r="M46" s="78"/>
      <c r="N46" s="78"/>
      <c r="O46" s="78"/>
      <c r="P46" s="78"/>
    </row>
    <row r="47" spans="2:16" x14ac:dyDescent="0.35">
      <c r="J47" s="62"/>
      <c r="K47" s="14"/>
      <c r="L47" s="77"/>
      <c r="M47" s="78"/>
      <c r="N47" s="78"/>
      <c r="O47" s="78"/>
      <c r="P47" s="78"/>
    </row>
    <row r="48" spans="2:16" x14ac:dyDescent="0.35">
      <c r="J48" s="62"/>
      <c r="K48" s="14"/>
      <c r="L48" s="77"/>
      <c r="M48" s="78"/>
      <c r="N48" s="78"/>
      <c r="O48" s="78"/>
      <c r="P48" s="78"/>
    </row>
    <row r="49" spans="10:16" x14ac:dyDescent="0.35">
      <c r="J49" s="62"/>
      <c r="K49" s="14"/>
      <c r="L49" s="77"/>
      <c r="M49" s="78"/>
      <c r="N49" s="78"/>
      <c r="O49" s="78"/>
      <c r="P49" s="78"/>
    </row>
    <row r="50" spans="10:16" x14ac:dyDescent="0.35">
      <c r="J50" s="62"/>
      <c r="K50" s="14"/>
      <c r="L50" s="77"/>
      <c r="M50" s="78"/>
      <c r="N50" s="78"/>
      <c r="O50" s="78"/>
      <c r="P50" s="78"/>
    </row>
    <row r="51" spans="10:16" x14ac:dyDescent="0.35">
      <c r="J51" s="62"/>
      <c r="K51" s="14"/>
      <c r="L51" s="77"/>
      <c r="M51" s="78"/>
      <c r="N51" s="78"/>
      <c r="O51" s="78"/>
      <c r="P51" s="78"/>
    </row>
    <row r="52" spans="10:16" x14ac:dyDescent="0.35">
      <c r="J52" s="62"/>
      <c r="K52" s="14"/>
      <c r="L52" s="77"/>
      <c r="M52" s="78"/>
      <c r="N52" s="78"/>
      <c r="O52" s="78"/>
      <c r="P52" s="78"/>
    </row>
    <row r="53" spans="10:16" x14ac:dyDescent="0.35">
      <c r="J53" s="14"/>
      <c r="K53" s="14"/>
      <c r="L53" s="14"/>
      <c r="M53" s="14"/>
      <c r="N53" s="14"/>
      <c r="O53" s="14"/>
      <c r="P53" s="14"/>
    </row>
  </sheetData>
  <mergeCells count="1">
    <mergeCell ref="B2:F2"/>
  </mergeCells>
  <conditionalFormatting sqref="C12">
    <cfRule type="cellIs" dxfId="4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69"/>
  <sheetViews>
    <sheetView zoomScaleNormal="100" workbookViewId="0">
      <selection activeCell="F43" sqref="F43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22" max="22" width="12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</row>
    <row r="14" spans="2:22" ht="15" thickBot="1" x14ac:dyDescent="0.4"/>
    <row r="15" spans="2:22" x14ac:dyDescent="0.35">
      <c r="B15" s="81"/>
      <c r="C15" s="70"/>
      <c r="D15" s="70"/>
      <c r="E15" s="71"/>
      <c r="G15" s="72" t="s">
        <v>85</v>
      </c>
      <c r="H15" s="73"/>
      <c r="I15" s="73"/>
      <c r="J15" s="73"/>
      <c r="K15" s="73"/>
      <c r="L15" s="73"/>
      <c r="M15" s="74"/>
      <c r="N15" s="74"/>
      <c r="O15" s="74"/>
      <c r="R15" s="67" t="s">
        <v>87</v>
      </c>
      <c r="S15" s="68"/>
      <c r="T15" s="69"/>
      <c r="U15" s="74"/>
    </row>
    <row r="16" spans="2:22" x14ac:dyDescent="0.35">
      <c r="B16" s="3"/>
      <c r="C16" s="3"/>
      <c r="D16" s="3"/>
      <c r="E16" s="42"/>
      <c r="G16" s="3"/>
      <c r="H16" s="3"/>
      <c r="I16" s="3"/>
      <c r="J16" s="3"/>
      <c r="K16" s="26"/>
      <c r="L16" s="75"/>
      <c r="M16" s="14"/>
      <c r="N16" s="14"/>
      <c r="O16" s="14"/>
      <c r="R16" s="3"/>
      <c r="S16" s="3"/>
      <c r="T16" s="3"/>
      <c r="U16" s="75"/>
      <c r="V16" s="42"/>
    </row>
    <row r="17" spans="2:24" ht="58" x14ac:dyDescent="0.35">
      <c r="B17" s="28"/>
      <c r="C17" s="28"/>
      <c r="D17" s="28"/>
      <c r="E17" s="58"/>
      <c r="G17" s="28" t="s">
        <v>86</v>
      </c>
      <c r="H17" s="28" t="s">
        <v>95</v>
      </c>
      <c r="I17" s="28" t="s">
        <v>127</v>
      </c>
      <c r="J17" s="28" t="s">
        <v>126</v>
      </c>
      <c r="K17" s="76" t="s">
        <v>128</v>
      </c>
      <c r="L17" s="76" t="s">
        <v>129</v>
      </c>
      <c r="M17" s="76" t="s">
        <v>131</v>
      </c>
      <c r="N17" s="76" t="s">
        <v>130</v>
      </c>
      <c r="O17" s="76" t="s">
        <v>132</v>
      </c>
      <c r="P17" s="76"/>
      <c r="Q17" s="28" t="s">
        <v>88</v>
      </c>
      <c r="R17" s="28" t="s">
        <v>116</v>
      </c>
      <c r="S17" s="28" t="s">
        <v>117</v>
      </c>
      <c r="T17" s="28" t="s">
        <v>95</v>
      </c>
      <c r="U17" s="28" t="s">
        <v>101</v>
      </c>
      <c r="V17" s="28" t="s">
        <v>82</v>
      </c>
      <c r="W17" s="58" t="s">
        <v>83</v>
      </c>
    </row>
    <row r="18" spans="2:24" x14ac:dyDescent="0.35">
      <c r="B18" s="13"/>
      <c r="C18" s="64"/>
      <c r="D18" s="65"/>
      <c r="E18" s="65"/>
      <c r="F18" s="6"/>
      <c r="G18" s="59">
        <f>$C$9</f>
        <v>0.25</v>
      </c>
      <c r="H18" s="64" cm="1">
        <f t="array" ref="H18">drivePower($C$4,$C$5,G18,$C$10,$C$11)</f>
        <v>19.6038</v>
      </c>
      <c r="I18" s="84">
        <v>30</v>
      </c>
      <c r="J18" s="84">
        <f>H18+I18</f>
        <v>49.6038</v>
      </c>
      <c r="K18" s="65" cm="1">
        <f t="array" ref="K18">maxDepthToMinSOC($L$8,$L$9,$L$6,$L$7,$L$10,$G$5,$G$6,$H18,I18,$G18,$G$4,$C$8)</f>
        <v>302.10001200437546</v>
      </c>
      <c r="L18" s="65" cm="1">
        <f t="array" ref="L18">maxDepthToMinSOC($L$8,$L$9,$L$6,$L$7,$U$18,$G$5,$G$6,drivePower($C$4,$S$18,$G18,$C$10,$C$11),I18,$G18,$G$4,$C$8)</f>
        <v>78.450003117322922</v>
      </c>
      <c r="M18" s="65" cm="1">
        <f t="array" ref="M18">maxDepthToMinSOC($L$8,$L$9,$L$6,$L$7,$U$22,$G$5,$G$6,drivePower($C$4,$S$22,$G18,$C$10,$C$11),I18,$G18,$G$4,$C$8)</f>
        <v>831.30003303289413</v>
      </c>
      <c r="N18" s="65" cm="1">
        <f t="array" ref="N18">maxDepthToMinSOC($L$8,$L$9,$L$6,$L$7,$U$20,$G$5,$G$6,drivePower($C$4,$S$20,$G18,$C$10,$C$11),I18,$G18,$G$4,$C$8)</f>
        <v>499.20001983642578</v>
      </c>
      <c r="O18" s="65" cm="1">
        <f t="array" ref="O18">maxDepthToMinSOC($L$8,$L$9,$L$6,$L$7,$U$21,$G$5,$G$6,drivePower($C$4,$S$21,$G18,$C$10,$C$11),I18,$G18,$G$4,$C$8)</f>
        <v>674.55002680420876</v>
      </c>
      <c r="P18" s="83"/>
      <c r="Q18" s="60">
        <v>2200</v>
      </c>
      <c r="R18" s="59">
        <f>(Q18-4400)*(5*0.048)/4400</f>
        <v>-0.12</v>
      </c>
      <c r="S18" s="64">
        <f>$C$5+R18</f>
        <v>9.8800000000000008</v>
      </c>
      <c r="T18" s="64" cm="1">
        <f t="array" ref="T18">drivePower($C$4,S18,$C$9,$C$10,$C$11)</f>
        <v>19.380554400000001</v>
      </c>
      <c r="U18" s="60">
        <f t="shared" ref="U18:U26" si="0">Q18*3.6/1000*$L$4</f>
        <v>146.52000000000001</v>
      </c>
      <c r="V18" s="65" cm="1">
        <f t="array" ref="V18">maxDepthToMinSOC($L$8,0,$L$6,$L$7,U18,$G$5,$G$6,T18,$C$7,$C$9,$G$4,$C$8)</f>
        <v>204.60000813007355</v>
      </c>
      <c r="W18" s="65" cm="1">
        <f t="array" ref="W18">maxDepthToMinSOC($L$8,$L$9,$L$6,$L$7,U18,$G$5,$G$6,T18,$C$7,$C$9,$G$4,$C$8)</f>
        <v>118.95000472664833</v>
      </c>
      <c r="X18" t="s">
        <v>89</v>
      </c>
    </row>
    <row r="19" spans="2:24" x14ac:dyDescent="0.35">
      <c r="B19" s="13"/>
      <c r="C19" s="64"/>
      <c r="D19" s="65"/>
      <c r="E19" s="65"/>
      <c r="G19" s="59">
        <f t="shared" ref="G19:G31" si="1">$C$9</f>
        <v>0.25</v>
      </c>
      <c r="H19" s="64" cm="1">
        <f t="array" ref="H19">drivePower($C$4,$C$5,G19,$C$10,$C$11)</f>
        <v>19.6038</v>
      </c>
      <c r="I19" s="84">
        <v>32.5</v>
      </c>
      <c r="J19" s="84">
        <f t="shared" ref="J19:J31" si="2">H19+I19</f>
        <v>52.1038</v>
      </c>
      <c r="K19" s="65" cm="1">
        <f t="array" ref="K19">maxDepthToMinSOC($L$8,$L$9,$L$6,$L$7,$L$10,$G$5,$G$6,$H19,I19,$G19,$G$4,$C$8)</f>
        <v>277.20001101493835</v>
      </c>
      <c r="L19" s="65" cm="1">
        <f t="array" ref="L19">maxDepthToMinSOC($L$8,$L$9,$L$6,$L$7,$U$18,$G$5,$G$6,drivePower($C$4,$S$18,$G19,$C$10,$C$11),I19,$G19,$G$4,$C$8)</f>
        <v>62.100002467632294</v>
      </c>
      <c r="M19" s="65" cm="1">
        <f t="array" ref="M19">maxDepthToMinSOC($L$8,$L$9,$L$6,$L$7,$U$22,$G$5,$G$6,drivePower($C$4,$S$22,$G19,$C$10,$C$11),I19,$G19,$G$4,$C$8)</f>
        <v>791.10003143548965</v>
      </c>
      <c r="N19" s="65" cm="1">
        <f t="array" ref="N19">maxDepthToMinSOC($L$8,$L$9,$L$6,$L$7,$U$20,$G$5,$G$6,drivePower($C$4,$S$20,$G19,$C$10,$C$11),I19,$G19,$G$4,$C$8)</f>
        <v>467.85001859068871</v>
      </c>
      <c r="O19" s="65" cm="1">
        <f t="array" ref="O19">maxDepthToMinSOC($L$8,$L$9,$L$6,$L$7,$U$21,$G$5,$G$6,drivePower($C$4,$S$21,$G19,$C$10,$C$11),I19,$G19,$G$4,$C$8)</f>
        <v>638.25002536177635</v>
      </c>
      <c r="P19" s="83"/>
      <c r="Q19" s="60">
        <v>4400</v>
      </c>
      <c r="R19" s="59">
        <f t="shared" ref="R19:R26" si="3">(Q19-4400)*(5*0.048)/4400</f>
        <v>0</v>
      </c>
      <c r="S19" s="64">
        <f t="shared" ref="S19:S26" si="4">$C$5+R19</f>
        <v>10</v>
      </c>
      <c r="T19" s="64" cm="1">
        <f t="array" ref="T19">drivePower($C$4,S19,$C$9,$C$10,$C$11)</f>
        <v>19.6038</v>
      </c>
      <c r="U19" s="60">
        <f t="shared" si="0"/>
        <v>293.04000000000002</v>
      </c>
      <c r="V19" s="65" cm="1">
        <f t="array" ref="V19">maxDepthToMinSOC($L$8,0,$L$6,$L$7,U19,$G$5,$G$6,T19,$C$7,$C$9,$G$4,$C$8)</f>
        <v>509.40002024173737</v>
      </c>
      <c r="W19" s="65" cm="1">
        <f t="array" ref="W19">maxDepthToMinSOC($L$8,$L$9,$L$6,$L$7,U19,$G$5,$G$6,T19,$C$7,$C$9,$G$4,$C$8)</f>
        <v>363.00001442432404</v>
      </c>
      <c r="X19" t="s">
        <v>90</v>
      </c>
    </row>
    <row r="20" spans="2:24" x14ac:dyDescent="0.35">
      <c r="B20" s="13"/>
      <c r="C20" s="64"/>
      <c r="D20" s="65"/>
      <c r="E20" s="65"/>
      <c r="G20" s="59">
        <f t="shared" si="1"/>
        <v>0.25</v>
      </c>
      <c r="H20" s="64" cm="1">
        <f t="array" ref="H20">drivePower($C$4,$C$5,G20,$C$10,$C$11)</f>
        <v>19.6038</v>
      </c>
      <c r="I20" s="84">
        <v>35</v>
      </c>
      <c r="J20" s="84">
        <f t="shared" si="2"/>
        <v>54.6038</v>
      </c>
      <c r="K20" s="65" cm="1">
        <f t="array" ref="K20">maxDepthToMinSOC($L$8,$L$9,$L$6,$L$7,$L$10,$G$5,$G$6,$H20,I20,$G20,$G$4,$C$8)</f>
        <v>254.40001010894775</v>
      </c>
      <c r="L20" s="65" cm="1">
        <f t="array" ref="L20">maxDepthToMinSOC($L$8,$L$9,$L$6,$L$7,$U$18,$G$5,$G$6,drivePower($C$4,$S$18,$G20,$C$10,$C$11),I20,$G20,$G$4,$C$8)</f>
        <v>47.25000187754631</v>
      </c>
      <c r="M20" s="65" cm="1">
        <f t="array" ref="M20">maxDepthToMinSOC($L$8,$L$9,$L$6,$L$7,$U$22,$G$5,$G$6,drivePower($C$4,$S$22,$G20,$C$10,$C$11),I20,$G20,$G$4,$C$8)</f>
        <v>753.750029951334</v>
      </c>
      <c r="N20" s="65" cm="1">
        <f t="array" ref="N20">maxDepthToMinSOC($L$8,$L$9,$L$6,$L$7,$U$20,$G$5,$G$6,drivePower($C$4,$S$20,$G20,$C$10,$C$11),I20,$G20,$G$4,$C$8)</f>
        <v>438.90001744031906</v>
      </c>
      <c r="O20" s="65" cm="1">
        <f t="array" ref="O20">maxDepthToMinSOC($L$8,$L$9,$L$6,$L$7,$U$21,$G$5,$G$6,drivePower($C$4,$S$21,$G20,$C$10,$C$11),I20,$G20,$G$4,$C$8)</f>
        <v>604.50002402067184</v>
      </c>
      <c r="P20" s="83"/>
      <c r="Q20" s="60">
        <v>6600</v>
      </c>
      <c r="R20" s="59">
        <f t="shared" si="3"/>
        <v>0.12</v>
      </c>
      <c r="S20" s="64">
        <f t="shared" si="4"/>
        <v>10.119999999999999</v>
      </c>
      <c r="T20" s="64" cm="1">
        <f t="array" ref="T20">drivePower($C$4,S20,$C$9,$C$10,$C$11)</f>
        <v>19.827045599999998</v>
      </c>
      <c r="U20" s="60">
        <f t="shared" si="0"/>
        <v>439.56</v>
      </c>
      <c r="V20" s="65" cm="1">
        <f t="array" ref="V20">maxDepthToMinSOC($L$8,0,$L$6,$L$7,U20,$G$5,$G$6,T20,$C$7,$C$9,$G$4,$C$8)</f>
        <v>765.30003041028976</v>
      </c>
      <c r="W20" s="65" cm="1">
        <f t="array" ref="W20">maxDepthToMinSOC($L$8,$L$9,$L$6,$L$7,U20,$G$5,$G$6,T20,$C$7,$C$9,$G$4,$C$8)</f>
        <v>575.5500228703022</v>
      </c>
      <c r="X20" t="s">
        <v>91</v>
      </c>
    </row>
    <row r="21" spans="2:24" x14ac:dyDescent="0.35">
      <c r="B21" s="13"/>
      <c r="C21" s="64"/>
      <c r="D21" s="65"/>
      <c r="E21" s="65"/>
      <c r="G21" s="59">
        <f t="shared" si="1"/>
        <v>0.25</v>
      </c>
      <c r="H21" s="64" cm="1">
        <f t="array" ref="H21">drivePower($C$4,$C$5,G21,$C$10,$C$11)</f>
        <v>19.6038</v>
      </c>
      <c r="I21" s="84">
        <v>37.5</v>
      </c>
      <c r="J21" s="84">
        <f t="shared" si="2"/>
        <v>57.1038</v>
      </c>
      <c r="K21" s="65" cm="1">
        <f t="array" ref="K21">maxDepthToMinSOC($L$8,$L$9,$L$6,$L$7,$L$10,$G$5,$G$6,$H21,I21,$G21,$G$4,$C$8)</f>
        <v>233.40000927448273</v>
      </c>
      <c r="L21" s="65" cm="1">
        <f t="array" ref="L21">maxDepthToMinSOC($L$8,$L$9,$L$6,$L$7,$U$18,$G$5,$G$6,drivePower($C$4,$S$18,$G21,$C$10,$C$11),I21,$G21,$G$4,$C$8)</f>
        <v>33.600001335144043</v>
      </c>
      <c r="M21" s="65" cm="1">
        <f t="array" ref="M21">maxDepthToMinSOC($L$8,$L$9,$L$6,$L$7,$U$22,$G$5,$G$6,drivePower($C$4,$S$22,$G21,$C$10,$C$11),I21,$G21,$G$4,$C$8)</f>
        <v>718.95002856850624</v>
      </c>
      <c r="N21" s="65" cm="1">
        <f t="array" ref="N21">maxDepthToMinSOC($L$8,$L$9,$L$6,$L$7,$U$20,$G$5,$G$6,drivePower($C$4,$S$20,$G21,$C$10,$C$11),I21,$G21,$G$4,$C$8)</f>
        <v>412.20001637935638</v>
      </c>
      <c r="O21" s="65" cm="1">
        <f t="array" ref="O21">maxDepthToMinSOC($L$8,$L$9,$L$6,$L$7,$U$21,$G$5,$G$6,drivePower($C$4,$S$21,$G21,$C$10,$C$11),I21,$G21,$G$4,$C$8)</f>
        <v>573.15002277493477</v>
      </c>
      <c r="P21" s="83"/>
      <c r="Q21" s="60">
        <v>8800</v>
      </c>
      <c r="R21" s="59">
        <f t="shared" si="3"/>
        <v>0.24</v>
      </c>
      <c r="S21" s="64">
        <f t="shared" si="4"/>
        <v>10.24</v>
      </c>
      <c r="T21" s="64" cm="1">
        <f t="array" ref="T21">drivePower($C$4,S21,$C$9,$C$10,$C$11)</f>
        <v>20.0502912</v>
      </c>
      <c r="U21" s="60">
        <f t="shared" si="0"/>
        <v>586.08000000000004</v>
      </c>
      <c r="V21" s="65" cm="1">
        <f t="array" ref="V21">maxDepthToMinSOC($L$8,0,$L$6,$L$7,U21,$G$5,$G$6,T21,$C$7,$C$9,$G$4,$C$8)</f>
        <v>983.40003907680511</v>
      </c>
      <c r="W21" s="65" cm="1">
        <f t="array" ref="W21">maxDepthToMinSOC($L$8,$L$9,$L$6,$L$7,U21,$G$5,$G$6,T21,$C$7,$C$9,$G$4,$C$8)</f>
        <v>762.30003029108047</v>
      </c>
      <c r="X21" t="s">
        <v>92</v>
      </c>
    </row>
    <row r="22" spans="2:24" x14ac:dyDescent="0.35">
      <c r="B22" s="13"/>
      <c r="C22" s="64"/>
      <c r="D22" s="65"/>
      <c r="E22" s="65"/>
      <c r="G22" s="59">
        <f t="shared" si="1"/>
        <v>0.25</v>
      </c>
      <c r="H22" s="64" cm="1">
        <f t="array" ref="H22">drivePower($C$4,$C$5,G22,$C$10,$C$11)</f>
        <v>19.6038</v>
      </c>
      <c r="I22" s="84">
        <v>40</v>
      </c>
      <c r="J22" s="84">
        <f t="shared" si="2"/>
        <v>59.6038</v>
      </c>
      <c r="K22" s="65" cm="1">
        <f t="array" ref="K22">maxDepthToMinSOC($L$8,$L$9,$L$6,$L$7,$L$10,$G$5,$G$6,$H22,I22,$G22,$G$4,$C$8)</f>
        <v>213.90000849962234</v>
      </c>
      <c r="L22" s="65" cm="1">
        <f t="array" ref="L22">maxDepthToMinSOC($L$8,$L$9,$L$6,$L$7,$U$18,$G$5,$G$6,drivePower($C$4,$S$18,$G22,$C$10,$C$11),I22,$G22,$G$4,$C$8)</f>
        <v>21.150000840425491</v>
      </c>
      <c r="M22" s="65" cm="1">
        <f t="array" ref="M22">maxDepthToMinSOC($L$8,$L$9,$L$6,$L$7,$U$22,$G$5,$G$6,drivePower($C$4,$S$22,$G22,$C$10,$C$11),I22,$G22,$G$4,$C$8)</f>
        <v>686.40002727508545</v>
      </c>
      <c r="N22" s="65" cm="1">
        <f t="array" ref="N22">maxDepthToMinSOC($L$8,$L$9,$L$6,$L$7,$U$20,$G$5,$G$6,drivePower($C$4,$S$20,$G22,$C$10,$C$11),I22,$G22,$G$4,$C$8)</f>
        <v>387.30001538991928</v>
      </c>
      <c r="O22" s="65" cm="1">
        <f t="array" ref="O22">maxDepthToMinSOC($L$8,$L$9,$L$6,$L$7,$U$21,$G$5,$G$6,drivePower($C$4,$S$21,$G22,$C$10,$C$11),I22,$G22,$G$4,$C$8)</f>
        <v>544.05002161860466</v>
      </c>
      <c r="P22" s="83"/>
      <c r="Q22" s="60">
        <f>Q21+2200</f>
        <v>11000</v>
      </c>
      <c r="R22" s="59">
        <f t="shared" si="3"/>
        <v>0.36</v>
      </c>
      <c r="S22" s="64">
        <f t="shared" si="4"/>
        <v>10.36</v>
      </c>
      <c r="T22" s="64" cm="1">
        <f t="array" ref="T22">drivePower($C$4,S22,$C$9,$C$10,$C$11)</f>
        <v>20.273536799999999</v>
      </c>
      <c r="U22" s="60">
        <f t="shared" si="0"/>
        <v>732.6</v>
      </c>
      <c r="V22" s="65" cm="1">
        <f t="array" ref="V22">maxDepthToMinSOC($L$8,0,$L$6,$L$7,U22,$G$5,$G$6,T22,$C$7,$C$9,$G$4,$C$8)</f>
        <v>1171.3500465452671</v>
      </c>
      <c r="W22" s="65" cm="1">
        <f t="array" ref="W22">maxDepthToMinSOC($L$8,$L$9,$L$6,$L$7,U22,$G$5,$G$6,T22,$C$7,$C$9,$G$4,$C$8)</f>
        <v>927.60003685951233</v>
      </c>
    </row>
    <row r="23" spans="2:24" x14ac:dyDescent="0.35">
      <c r="B23" s="13"/>
      <c r="C23" s="64"/>
      <c r="D23" s="65"/>
      <c r="E23" s="65"/>
      <c r="G23" s="59">
        <f t="shared" si="1"/>
        <v>0.25</v>
      </c>
      <c r="H23" s="64" cm="1">
        <f t="array" ref="H23">drivePower($C$4,$C$5,G23,$C$10,$C$11)</f>
        <v>19.6038</v>
      </c>
      <c r="I23" s="84">
        <v>42.5</v>
      </c>
      <c r="J23" s="84">
        <f t="shared" si="2"/>
        <v>62.1038</v>
      </c>
      <c r="K23" s="65" cm="1">
        <f t="array" ref="K23">maxDepthToMinSOC($L$8,$L$9,$L$6,$L$7,$L$10,$G$5,$G$6,$H23,I23,$G23,$G$4,$C$8)</f>
        <v>195.90000778436661</v>
      </c>
      <c r="L23" s="65" cm="1">
        <f t="array" ref="L23">maxDepthToMinSOC($L$8,$L$9,$L$6,$L$7,$U$18,$G$5,$G$6,drivePower($C$4,$S$18,$G23,$C$10,$C$11),I23,$G23,$G$4,$C$8)</f>
        <v>9.4500003755092621</v>
      </c>
      <c r="M23" s="65" cm="1">
        <f t="array" ref="M23">maxDepthToMinSOC($L$8,$L$9,$L$6,$L$7,$U$22,$G$5,$G$6,drivePower($C$4,$S$22,$G23,$C$10,$C$11),I23,$G23,$G$4,$C$8)</f>
        <v>655.8000260591507</v>
      </c>
      <c r="N23" s="65" cm="1">
        <f t="array" ref="N23">maxDepthToMinSOC($L$8,$L$9,$L$6,$L$7,$U$20,$G$5,$G$6,drivePower($C$4,$S$20,$G23,$C$10,$C$11),I23,$G23,$G$4,$C$8)</f>
        <v>364.20001447200775</v>
      </c>
      <c r="O23" s="65" cm="1">
        <f t="array" ref="O23">maxDepthToMinSOC($L$8,$L$9,$L$6,$L$7,$U$21,$G$5,$G$6,drivePower($C$4,$S$21,$G23,$C$10,$C$11),I23,$G23,$G$4,$C$8)</f>
        <v>516.75002053380013</v>
      </c>
      <c r="P23" s="83"/>
      <c r="Q23" s="60">
        <f t="shared" ref="Q23:Q26" si="5">Q22+2200</f>
        <v>13200</v>
      </c>
      <c r="R23" s="59">
        <f t="shared" si="3"/>
        <v>0.48</v>
      </c>
      <c r="S23" s="64">
        <f t="shared" si="4"/>
        <v>10.48</v>
      </c>
      <c r="T23" s="64" cm="1">
        <f t="array" ref="T23">drivePower($C$4,S23,$C$9,$C$10,$C$11)</f>
        <v>20.496782400000001</v>
      </c>
      <c r="U23" s="60">
        <f t="shared" si="0"/>
        <v>879.12</v>
      </c>
      <c r="V23" s="65" cm="1">
        <f t="array" ref="V23">maxDepthToMinSOC($L$8,0,$L$6,$L$7,U23,$G$5,$G$6,T23,$C$7,$C$9,$G$4,$C$8)</f>
        <v>1335.0000530481339</v>
      </c>
      <c r="W23" s="65" cm="1">
        <f t="array" ref="W23">maxDepthToMinSOC($L$8,$L$9,$L$6,$L$7,U23,$G$5,$G$6,T23,$C$7,$C$9,$G$4,$C$8)</f>
        <v>1075.0500427186489</v>
      </c>
    </row>
    <row r="24" spans="2:24" x14ac:dyDescent="0.35">
      <c r="B24" s="13"/>
      <c r="C24" s="64"/>
      <c r="D24" s="65"/>
      <c r="E24" s="65"/>
      <c r="G24" s="59">
        <f t="shared" si="1"/>
        <v>0.25</v>
      </c>
      <c r="H24" s="64" cm="1">
        <f t="array" ref="H24">drivePower($C$4,$C$5,G24,$C$10,$C$11)</f>
        <v>19.6038</v>
      </c>
      <c r="I24" s="84">
        <v>45</v>
      </c>
      <c r="J24" s="84">
        <f t="shared" si="2"/>
        <v>64.603800000000007</v>
      </c>
      <c r="K24" s="65" cm="1">
        <f t="array" ref="K24">maxDepthToMinSOC($L$8,$L$9,$L$6,$L$7,$L$10,$G$5,$G$6,$H24,I24,$G24,$G$4,$C$8)</f>
        <v>179.10000711679459</v>
      </c>
      <c r="L24" s="65" cm="1">
        <f t="array" ref="L24">maxDepthToMinSOC($L$8,$L$9,$L$6,$L$7,$U$18,$G$5,$G$6,drivePower($C$4,$S$18,$G24,$C$10,$C$11),I24,$G24,$G$4,$C$8)</f>
        <v>0</v>
      </c>
      <c r="M24" s="65" cm="1">
        <f t="array" ref="M24">maxDepthToMinSOC($L$8,$L$9,$L$6,$L$7,$U$22,$G$5,$G$6,drivePower($C$4,$S$22,$G24,$C$10,$C$11),I24,$G24,$G$4,$C$8)</f>
        <v>627.15002492070198</v>
      </c>
      <c r="N24" s="65" cm="1">
        <f t="array" ref="N24">maxDepthToMinSOC($L$8,$L$9,$L$6,$L$7,$U$20,$G$5,$G$6,drivePower($C$4,$S$20,$G24,$C$10,$C$11),I24,$G24,$G$4,$C$8)</f>
        <v>342.60001361370087</v>
      </c>
      <c r="O24" s="65" cm="1">
        <f t="array" ref="O24">maxDepthToMinSOC($L$8,$L$9,$L$6,$L$7,$U$21,$G$5,$G$6,drivePower($C$4,$S$21,$G24,$C$10,$C$11),I24,$G24,$G$4,$C$8)</f>
        <v>491.25001952052116</v>
      </c>
      <c r="P24" s="83"/>
      <c r="Q24" s="60">
        <f t="shared" si="5"/>
        <v>15400</v>
      </c>
      <c r="R24" s="59">
        <f t="shared" si="3"/>
        <v>0.6</v>
      </c>
      <c r="S24" s="64">
        <f t="shared" si="4"/>
        <v>10.6</v>
      </c>
      <c r="T24" s="64" cm="1">
        <f t="array" ref="T24">drivePower($C$4,S24,$C$9,$C$10,$C$11)</f>
        <v>20.720027999999999</v>
      </c>
      <c r="U24" s="60">
        <f t="shared" si="0"/>
        <v>1025.6399999999999</v>
      </c>
      <c r="V24" s="65" cm="1">
        <f t="array" ref="V24">maxDepthToMinSOC($L$8,0,$L$6,$L$7,U24,$G$5,$G$6,T24,$C$7,$C$9,$G$4,$C$8)</f>
        <v>1478.8500587642193</v>
      </c>
      <c r="W24" s="65" cm="1">
        <f t="array" ref="W24">maxDepthToMinSOC($L$8,$L$9,$L$6,$L$7,U24,$G$5,$G$6,T24,$C$7,$C$9,$G$4,$C$8)</f>
        <v>1207.3500479757786</v>
      </c>
    </row>
    <row r="25" spans="2:24" x14ac:dyDescent="0.35">
      <c r="B25" s="13"/>
      <c r="C25" s="64"/>
      <c r="D25" s="65"/>
      <c r="E25" s="65"/>
      <c r="G25" s="59">
        <f t="shared" si="1"/>
        <v>0.25</v>
      </c>
      <c r="H25" s="64" cm="1">
        <f t="array" ref="H25">drivePower($C$4,$C$5,G25,$C$10,$C$11)</f>
        <v>19.6038</v>
      </c>
      <c r="I25" s="84">
        <v>47.5</v>
      </c>
      <c r="J25" s="84">
        <f t="shared" si="2"/>
        <v>67.103800000000007</v>
      </c>
      <c r="K25" s="65" cm="1">
        <f t="array" ref="K25">maxDepthToMinSOC($L$8,$L$9,$L$6,$L$7,$L$10,$G$5,$G$6,$H25,I25,$G25,$G$4,$C$8)</f>
        <v>163.50000649690628</v>
      </c>
      <c r="L25" s="65" cm="1">
        <f t="array" ref="L25">maxDepthToMinSOC($L$8,$L$9,$L$6,$L$7,$U$18,$G$5,$G$6,drivePower($C$4,$S$18,$G25,$C$10,$C$11),I25,$G25,$G$4,$C$8)</f>
        <v>0</v>
      </c>
      <c r="M25" s="65" cm="1">
        <f t="array" ref="M25">maxDepthToMinSOC($L$8,$L$9,$L$6,$L$7,$U$22,$G$5,$G$6,drivePower($C$4,$S$22,$G25,$C$10,$C$11),I25,$G25,$G$4,$C$8)</f>
        <v>600.30002385377884</v>
      </c>
      <c r="N25" s="65" cm="1">
        <f t="array" ref="N25">maxDepthToMinSOC($L$8,$L$9,$L$6,$L$7,$U$20,$G$5,$G$6,drivePower($C$4,$S$20,$G25,$C$10,$C$11),I25,$G25,$G$4,$C$8)</f>
        <v>322.35001280903816</v>
      </c>
      <c r="O25" s="65" cm="1">
        <f t="array" ref="O25">maxDepthToMinSOC($L$8,$L$9,$L$6,$L$7,$U$21,$G$5,$G$6,drivePower($C$4,$S$21,$G25,$C$10,$C$11),I25,$G25,$G$4,$C$8)</f>
        <v>467.40001857280731</v>
      </c>
      <c r="P25" s="83"/>
      <c r="Q25" s="60">
        <f t="shared" si="5"/>
        <v>17600</v>
      </c>
      <c r="R25" s="59">
        <f t="shared" si="3"/>
        <v>0.72</v>
      </c>
      <c r="S25" s="64">
        <f t="shared" si="4"/>
        <v>10.72</v>
      </c>
      <c r="T25" s="64" cm="1">
        <f t="array" ref="T25">drivePower($C$4,S25,$C$9,$C$10,$C$11)</f>
        <v>20.943273600000001</v>
      </c>
      <c r="U25" s="60">
        <f t="shared" si="0"/>
        <v>1172.1600000000001</v>
      </c>
      <c r="V25" s="65" cm="1">
        <f t="array" ref="V25">maxDepthToMinSOC($L$8,0,$L$6,$L$7,U25,$G$5,$G$6,T25,$C$7,$C$9,$G$4,$C$8)</f>
        <v>1606.2000638246536</v>
      </c>
      <c r="W25" s="65" cm="1">
        <f t="array" ref="W25">maxDepthToMinSOC($L$8,$L$9,$L$6,$L$7,U25,$G$5,$G$6,T25,$C$7,$C$9,$G$4,$C$8)</f>
        <v>1326.6000527143478</v>
      </c>
    </row>
    <row r="26" spans="2:24" x14ac:dyDescent="0.35">
      <c r="B26" s="13"/>
      <c r="C26" s="64"/>
      <c r="D26" s="65"/>
      <c r="E26" s="65"/>
      <c r="G26" s="59">
        <f t="shared" si="1"/>
        <v>0.25</v>
      </c>
      <c r="H26" s="64" cm="1">
        <f t="array" ref="H26">drivePower($C$4,$C$5,G26,$C$10,$C$11)</f>
        <v>19.6038</v>
      </c>
      <c r="I26" s="84">
        <v>50</v>
      </c>
      <c r="J26" s="84">
        <f t="shared" si="2"/>
        <v>69.603800000000007</v>
      </c>
      <c r="K26" s="65" cm="1">
        <f t="array" ref="K26">maxDepthToMinSOC($L$8,$L$9,$L$6,$L$7,$L$10,$G$5,$G$6,$H26,I26,$G26,$G$4,$C$8)</f>
        <v>148.95000591874123</v>
      </c>
      <c r="L26" s="65" cm="1">
        <f t="array" ref="L26">maxDepthToMinSOC($L$8,$L$9,$L$6,$L$7,$U$18,$G$5,$G$6,drivePower($C$4,$S$18,$G26,$C$10,$C$11),I26,$G26,$G$4,$C$8)</f>
        <v>0</v>
      </c>
      <c r="M26" s="65" cm="1">
        <f t="array" ref="M26">maxDepthToMinSOC($L$8,$L$9,$L$6,$L$7,$U$22,$G$5,$G$6,drivePower($C$4,$S$22,$G26,$C$10,$C$11),I26,$G26,$G$4,$C$8)</f>
        <v>574.80002284049988</v>
      </c>
      <c r="N26" s="65" cm="1">
        <f t="array" ref="N26">maxDepthToMinSOC($L$8,$L$9,$L$6,$L$7,$U$20,$G$5,$G$6,drivePower($C$4,$S$20,$G26,$C$10,$C$11),I26,$G26,$G$4,$C$8)</f>
        <v>303.45001205801964</v>
      </c>
      <c r="O26" s="65" cm="1">
        <f t="array" ref="O26">maxDepthToMinSOC($L$8,$L$9,$L$6,$L$7,$U$21,$G$5,$G$6,drivePower($C$4,$S$21,$G26,$C$10,$C$11),I26,$G26,$G$4,$C$8)</f>
        <v>444.90001767873764</v>
      </c>
      <c r="P26" s="83"/>
      <c r="Q26" s="60">
        <f t="shared" si="5"/>
        <v>19800</v>
      </c>
      <c r="R26" s="59">
        <f t="shared" si="3"/>
        <v>0.84</v>
      </c>
      <c r="S26" s="64">
        <f t="shared" si="4"/>
        <v>10.84</v>
      </c>
      <c r="T26" s="64" cm="1">
        <f t="array" ref="T26">drivePower($C$4,S26,$C$9,$C$10,$C$11)</f>
        <v>21.1665192</v>
      </c>
      <c r="U26" s="60">
        <f t="shared" si="0"/>
        <v>1318.68</v>
      </c>
      <c r="V26" s="65" cm="1">
        <f t="array" ref="V26">maxDepthToMinSOC($L$8,0,$L$6,$L$7,U26,$G$5,$G$6,T26,$C$7,$C$9,$G$4,$C$8)</f>
        <v>1719.9000683426857</v>
      </c>
      <c r="W26" s="65" cm="1">
        <f t="array" ref="W26">maxDepthToMinSOC($L$8,$L$9,$L$6,$L$7,U26,$G$5,$G$6,T26,$C$7,$C$9,$G$4,$C$8)</f>
        <v>1434.9000570178032</v>
      </c>
    </row>
    <row r="27" spans="2:24" x14ac:dyDescent="0.35">
      <c r="B27" s="13"/>
      <c r="C27" s="64"/>
      <c r="D27" s="65"/>
      <c r="E27" s="65"/>
      <c r="G27" s="59">
        <f t="shared" si="1"/>
        <v>0.25</v>
      </c>
      <c r="H27" s="64" cm="1">
        <f t="array" ref="H27">drivePower($C$4,$C$5,G27,$C$10,$C$11)</f>
        <v>19.6038</v>
      </c>
      <c r="I27" s="84">
        <v>52.5</v>
      </c>
      <c r="J27" s="84">
        <f t="shared" si="2"/>
        <v>72.103800000000007</v>
      </c>
      <c r="K27" s="65" cm="1">
        <f t="array" ref="K27">maxDepthToMinSOC($L$8,$L$9,$L$6,$L$7,$L$10,$G$5,$G$6,$H27,I27,$G27,$G$4,$C$8)</f>
        <v>135.30000537633896</v>
      </c>
      <c r="L27" s="65" cm="1">
        <f t="array" ref="L27">maxDepthToMinSOC($L$8,$L$9,$L$6,$L$7,$U$18,$G$5,$G$6,drivePower($C$4,$S$18,$G27,$C$10,$C$11),I27,$G27,$G$4,$C$8)</f>
        <v>0</v>
      </c>
      <c r="M27" s="65" cm="1">
        <f t="array" ref="M27">maxDepthToMinSOC($L$8,$L$9,$L$6,$L$7,$U$22,$G$5,$G$6,drivePower($C$4,$S$22,$G27,$C$10,$C$11),I27,$G27,$G$4,$C$8)</f>
        <v>550.80002188682556</v>
      </c>
      <c r="N27" s="65" cm="1">
        <f t="array" ref="N27">maxDepthToMinSOC($L$8,$L$9,$L$6,$L$7,$U$20,$G$5,$G$6,drivePower($C$4,$S$20,$G27,$C$10,$C$11),I27,$G27,$G$4,$C$8)</f>
        <v>285.60001134872437</v>
      </c>
      <c r="O27" s="65" cm="1">
        <f t="array" ref="O27">maxDepthToMinSOC($L$8,$L$9,$L$6,$L$7,$U$21,$G$5,$G$6,drivePower($C$4,$S$21,$G27,$C$10,$C$11),I27,$G27,$G$4,$C$8)</f>
        <v>423.75001683831215</v>
      </c>
      <c r="P27" s="82"/>
    </row>
    <row r="28" spans="2:24" x14ac:dyDescent="0.35">
      <c r="B28" s="13"/>
      <c r="C28" s="64"/>
      <c r="D28" s="65"/>
      <c r="E28" s="65"/>
      <c r="G28" s="59">
        <f t="shared" si="1"/>
        <v>0.25</v>
      </c>
      <c r="H28" s="64" cm="1">
        <f t="array" ref="H28">drivePower($C$4,$C$5,G28,$C$10,$C$11)</f>
        <v>19.6038</v>
      </c>
      <c r="I28" s="84">
        <v>55</v>
      </c>
      <c r="J28" s="84">
        <f t="shared" si="2"/>
        <v>74.603800000000007</v>
      </c>
      <c r="K28" s="65" cm="1">
        <f t="array" ref="K28">maxDepthToMinSOC($L$8,$L$9,$L$6,$L$7,$L$10,$G$5,$G$6,$H28,I28,$G28,$G$4,$C$8)</f>
        <v>122.40000486373901</v>
      </c>
      <c r="L28" s="65" cm="1">
        <f t="array" ref="L28">maxDepthToMinSOC($L$8,$L$9,$L$6,$L$7,$U$18,$G$5,$G$6,drivePower($C$4,$S$18,$G28,$C$10,$C$11),I28,$G28,$G$4,$C$8)</f>
        <v>0</v>
      </c>
      <c r="M28" s="65" cm="1">
        <f t="array" ref="M28">maxDepthToMinSOC($L$8,$L$9,$L$6,$L$7,$U$22,$G$5,$G$6,drivePower($C$4,$S$22,$G28,$C$10,$C$11),I28,$G28,$G$4,$C$8)</f>
        <v>528.15002098679543</v>
      </c>
      <c r="N28" s="65" cm="1">
        <f t="array" ref="N28">maxDepthToMinSOC($L$8,$L$9,$L$6,$L$7,$U$20,$G$5,$G$6,drivePower($C$4,$S$20,$G28,$C$10,$C$11),I28,$G28,$G$4,$C$8)</f>
        <v>268.95001068711281</v>
      </c>
      <c r="O28" s="65" cm="1">
        <f t="array" ref="O28">maxDepthToMinSOC($L$8,$L$9,$L$6,$L$7,$U$21,$G$5,$G$6,drivePower($C$4,$S$21,$G28,$C$10,$C$11),I28,$G28,$G$4,$C$8)</f>
        <v>403.80001604557037</v>
      </c>
      <c r="P28" s="82"/>
    </row>
    <row r="29" spans="2:24" x14ac:dyDescent="0.35">
      <c r="B29" s="13"/>
      <c r="C29" s="64"/>
      <c r="D29" s="65"/>
      <c r="E29" s="65"/>
      <c r="G29" s="59">
        <f t="shared" si="1"/>
        <v>0.25</v>
      </c>
      <c r="H29" s="64" cm="1">
        <f t="array" ref="H29">drivePower($C$4,$C$5,G29,$C$10,$C$11)</f>
        <v>19.6038</v>
      </c>
      <c r="I29" s="84">
        <v>57.5</v>
      </c>
      <c r="J29" s="84">
        <f t="shared" si="2"/>
        <v>77.103800000000007</v>
      </c>
      <c r="K29" s="65" cm="1">
        <f t="array" ref="K29">maxDepthToMinSOC($L$8,$L$9,$L$6,$L$7,$L$10,$G$5,$G$6,$H29,I29,$G29,$G$4,$C$8)</f>
        <v>110.40000438690186</v>
      </c>
      <c r="L29" s="65" cm="1">
        <f t="array" ref="L29">maxDepthToMinSOC($L$8,$L$9,$L$6,$L$7,$U$18,$G$5,$G$6,drivePower($C$4,$S$18,$G29,$C$10,$C$11),I29,$G29,$G$4,$C$8)</f>
        <v>0</v>
      </c>
      <c r="M29" s="65" cm="1">
        <f t="array" ref="M29">maxDepthToMinSOC($L$8,$L$9,$L$6,$L$7,$U$22,$G$5,$G$6,drivePower($C$4,$S$22,$G29,$C$10,$C$11),I29,$G29,$G$4,$C$8)</f>
        <v>506.70002013444901</v>
      </c>
      <c r="N29" s="65" cm="1">
        <f t="array" ref="N29">maxDepthToMinSOC($L$8,$L$9,$L$6,$L$7,$U$20,$G$5,$G$6,drivePower($C$4,$S$20,$G29,$C$10,$C$11),I29,$G29,$G$4,$C$8)</f>
        <v>253.20001006126404</v>
      </c>
      <c r="O29" s="65" cm="1">
        <f t="array" ref="O29">maxDepthToMinSOC($L$8,$L$9,$L$6,$L$7,$U$21,$G$5,$G$6,drivePower($C$4,$S$21,$G29,$C$10,$C$11),I29,$G29,$G$4,$C$8)</f>
        <v>384.90001529455185</v>
      </c>
      <c r="P29" s="82"/>
    </row>
    <row r="30" spans="2:24" x14ac:dyDescent="0.35">
      <c r="B30" s="13"/>
      <c r="C30" s="64"/>
      <c r="D30" s="65"/>
      <c r="E30" s="65"/>
      <c r="G30" s="59">
        <f t="shared" si="1"/>
        <v>0.25</v>
      </c>
      <c r="H30" s="64" cm="1">
        <f t="array" ref="H30">drivePower($C$4,$C$5,G30,$C$10,$C$11)</f>
        <v>19.6038</v>
      </c>
      <c r="I30" s="84">
        <v>60</v>
      </c>
      <c r="J30" s="84">
        <f t="shared" si="2"/>
        <v>79.603800000000007</v>
      </c>
      <c r="K30" s="65" cm="1">
        <f t="array" ref="K30">maxDepthToMinSOC($L$8,$L$9,$L$6,$L$7,$L$10,$G$5,$G$6,$H30,I30,$G30,$G$4,$C$8)</f>
        <v>99.000003933906555</v>
      </c>
      <c r="L30" s="65" cm="1">
        <f t="array" ref="L30">maxDepthToMinSOC($L$8,$L$9,$L$6,$L$7,$U$18,$G$5,$G$6,drivePower($C$4,$S$18,$G30,$C$10,$C$11),I30,$G30,$G$4,$C$8)</f>
        <v>0</v>
      </c>
      <c r="M30" s="65" cm="1">
        <f t="array" ref="M30">maxDepthToMinSOC($L$8,$L$9,$L$6,$L$7,$U$22,$G$5,$G$6,drivePower($C$4,$S$22,$G30,$C$10,$C$11),I30,$G30,$G$4,$C$8)</f>
        <v>486.30001932382584</v>
      </c>
      <c r="N30" s="65" cm="1">
        <f t="array" ref="N30">maxDepthToMinSOC($L$8,$L$9,$L$6,$L$7,$U$20,$G$5,$G$6,drivePower($C$4,$S$20,$G30,$C$10,$C$11),I30,$G30,$G$4,$C$8)</f>
        <v>238.20000946521759</v>
      </c>
      <c r="O30" s="65" cm="1">
        <f t="array" ref="O30">maxDepthToMinSOC($L$8,$L$9,$L$6,$L$7,$U$21,$G$5,$G$6,drivePower($C$4,$S$21,$G30,$C$10,$C$11),I30,$G30,$G$4,$C$8)</f>
        <v>367.05001458525658</v>
      </c>
      <c r="P30" s="82"/>
    </row>
    <row r="31" spans="2:24" x14ac:dyDescent="0.35">
      <c r="B31" s="13"/>
      <c r="C31" s="64"/>
      <c r="D31" s="65"/>
      <c r="E31" s="65"/>
      <c r="G31" s="59">
        <f t="shared" si="1"/>
        <v>0.25</v>
      </c>
      <c r="H31" s="64" cm="1">
        <f t="array" ref="H31">drivePower($C$4,$C$5,G31,$C$10,$C$11)</f>
        <v>19.6038</v>
      </c>
      <c r="I31" s="84">
        <v>62.5</v>
      </c>
      <c r="J31" s="84">
        <f t="shared" si="2"/>
        <v>82.103800000000007</v>
      </c>
      <c r="K31" s="65" cm="1">
        <f t="array" ref="K31">maxDepthToMinSOC($L$8,$L$9,$L$6,$L$7,$L$10,$G$5,$G$6,$H31,I31,$G31,$G$4,$C$8)</f>
        <v>88.350003510713577</v>
      </c>
      <c r="L31" s="65" cm="1">
        <f t="array" ref="L31">maxDepthToMinSOC($L$8,$L$9,$L$6,$L$7,$U$18,$G$5,$G$6,drivePower($C$4,$S$18,$G31,$C$10,$C$11),I31,$G31,$G$4,$C$8)</f>
        <v>0</v>
      </c>
      <c r="M31" s="65" cm="1">
        <f t="array" ref="M31">maxDepthToMinSOC($L$8,$L$9,$L$6,$L$7,$U$22,$G$5,$G$6,drivePower($C$4,$S$22,$G31,$C$10,$C$11),I31,$G31,$G$4,$C$8)</f>
        <v>466.95001855492592</v>
      </c>
      <c r="N31" s="65" cm="1">
        <f t="array" ref="N31">maxDepthToMinSOC($L$8,$L$9,$L$6,$L$7,$U$20,$G$5,$G$6,drivePower($C$4,$S$20,$G31,$C$10,$C$11),I31,$G31,$G$4,$C$8)</f>
        <v>224.25000891089439</v>
      </c>
      <c r="O31" s="65" cm="1">
        <f t="array" ref="O31">maxDepthToMinSOC($L$8,$L$9,$L$6,$L$7,$U$21,$G$5,$G$6,drivePower($C$4,$S$21,$G31,$C$10,$C$11),I31,$G31,$G$4,$C$8)</f>
        <v>350.10001391172409</v>
      </c>
      <c r="P31" s="82"/>
    </row>
    <row r="32" spans="2:24" ht="15" thickBot="1" x14ac:dyDescent="0.4">
      <c r="B32" s="13"/>
      <c r="C32" s="64"/>
      <c r="D32" s="65"/>
      <c r="E32" s="65"/>
    </row>
    <row r="33" spans="2:33" x14ac:dyDescent="0.35">
      <c r="B33" s="13"/>
      <c r="C33" s="64"/>
      <c r="D33" s="65"/>
      <c r="E33" s="65"/>
      <c r="R33" s="72" t="s">
        <v>85</v>
      </c>
      <c r="S33" s="73"/>
      <c r="T33" s="73"/>
      <c r="U33" s="73"/>
      <c r="V33" s="73"/>
      <c r="W33" s="73"/>
      <c r="X33" s="74"/>
      <c r="Y33" s="74"/>
      <c r="Z33" s="74"/>
      <c r="AC33" s="67" t="s">
        <v>87</v>
      </c>
      <c r="AD33" s="68"/>
      <c r="AE33" s="69"/>
      <c r="AF33" s="74"/>
    </row>
    <row r="34" spans="2:33" x14ac:dyDescent="0.35">
      <c r="B34" s="13"/>
      <c r="C34" s="64"/>
      <c r="D34" s="65"/>
      <c r="E34" s="65"/>
      <c r="R34" s="3"/>
      <c r="S34" s="3"/>
      <c r="T34" s="3"/>
      <c r="U34" s="3"/>
      <c r="V34" s="26"/>
      <c r="W34" s="75"/>
      <c r="X34" s="14"/>
      <c r="Y34" s="14"/>
      <c r="Z34" s="14"/>
      <c r="AC34" s="3"/>
      <c r="AD34" s="3"/>
      <c r="AE34" s="3"/>
      <c r="AF34" s="75"/>
      <c r="AG34" s="42"/>
    </row>
    <row r="35" spans="2:33" ht="58" x14ac:dyDescent="0.35">
      <c r="B35" s="13"/>
      <c r="C35" s="64"/>
      <c r="D35" s="65"/>
      <c r="E35" s="65"/>
      <c r="G35" s="28"/>
      <c r="H35" s="28"/>
      <c r="I35" s="76"/>
      <c r="J35" s="76"/>
      <c r="K35" s="76"/>
      <c r="L35" s="76"/>
      <c r="M35" s="76"/>
      <c r="R35" s="28" t="s">
        <v>86</v>
      </c>
      <c r="S35" s="28" t="s">
        <v>95</v>
      </c>
      <c r="T35" s="28" t="s">
        <v>127</v>
      </c>
      <c r="U35" s="28" t="s">
        <v>126</v>
      </c>
      <c r="V35" s="76" t="s">
        <v>128</v>
      </c>
      <c r="W35" s="76"/>
      <c r="X35" s="28" t="s">
        <v>88</v>
      </c>
      <c r="Y35" s="28" t="s">
        <v>116</v>
      </c>
      <c r="Z35" s="28" t="s">
        <v>117</v>
      </c>
      <c r="AA35" s="28" t="s">
        <v>95</v>
      </c>
      <c r="AB35" s="28" t="s">
        <v>101</v>
      </c>
      <c r="AC35" s="28" t="s">
        <v>82</v>
      </c>
      <c r="AD35" s="58" t="s">
        <v>83</v>
      </c>
    </row>
    <row r="36" spans="2:33" x14ac:dyDescent="0.35">
      <c r="G36" s="59"/>
      <c r="H36" s="7"/>
      <c r="I36" s="66"/>
      <c r="J36" s="66"/>
      <c r="K36" s="66"/>
      <c r="L36" s="66"/>
      <c r="M36" s="66"/>
      <c r="N36" s="74"/>
      <c r="O36" s="74"/>
      <c r="P36" s="74"/>
      <c r="Q36" s="74"/>
      <c r="R36" s="59">
        <v>0.35</v>
      </c>
      <c r="S36" s="64" cm="1">
        <f t="array" ref="S36">drivePower($C$4,$C$5,R36,$C$10,$C$11)</f>
        <v>27.445319999999995</v>
      </c>
      <c r="T36" s="84">
        <v>22.5</v>
      </c>
      <c r="U36" s="84">
        <f t="shared" ref="U36:U49" si="6">S36+T36</f>
        <v>49.945319999999995</v>
      </c>
      <c r="V36" s="65" cm="1">
        <f t="array" ref="V36">maxDepthToMinSOC($L$8,$L$9,$L$6,$L$7,$L$10,$G$5,$G$6,$S36,T36,$R36,$G$4,$C$8)</f>
        <v>448.80001783370972</v>
      </c>
      <c r="W36" s="83"/>
      <c r="X36" s="60">
        <v>2200</v>
      </c>
      <c r="Y36" s="59">
        <f t="shared" ref="Y36:Y44" si="7">(X36-4400)*(5*0.048)/4400</f>
        <v>-0.12</v>
      </c>
      <c r="Z36" s="64">
        <f t="shared" ref="Z36:Z44" si="8">$C$5+Y36</f>
        <v>9.8800000000000008</v>
      </c>
      <c r="AA36" s="64" cm="1">
        <f t="array" ref="AA36">drivePower($C$4,Z36,$C$9,$C$10,$C$11)</f>
        <v>19.380554400000001</v>
      </c>
      <c r="AB36" s="60">
        <f t="shared" ref="AB36:AB44" si="9">X36*3.6/1000*$L$4</f>
        <v>146.52000000000001</v>
      </c>
      <c r="AC36" s="65" cm="1">
        <f t="array" ref="AC36">maxDepthToMinSOC($L$8,0,$L$6,$L$7,AB36,$G$5,$G$6,AA36,$C$7,$C$9,$G$4,$C$8)</f>
        <v>204.60000813007355</v>
      </c>
      <c r="AD36" s="65" cm="1">
        <f t="array" ref="AD36">maxDepthToMinSOC($L$8,$L$9,$L$6,$L$7,AB36,$G$5,$G$6,AA36,$C$7,$C$9,$G$4,$C$8)</f>
        <v>118.95000472664833</v>
      </c>
    </row>
    <row r="37" spans="2:33" x14ac:dyDescent="0.35">
      <c r="G37" s="59"/>
      <c r="H37" s="7"/>
      <c r="I37" s="66"/>
      <c r="J37" s="66"/>
      <c r="K37" s="66"/>
      <c r="L37" s="66"/>
      <c r="M37" s="66"/>
      <c r="N37" s="14"/>
      <c r="O37" s="14"/>
      <c r="P37" s="14"/>
      <c r="Q37" s="14"/>
      <c r="R37" s="59">
        <v>0.35</v>
      </c>
      <c r="S37" s="64" cm="1">
        <f t="array" ref="S37">drivePower($C$4,$C$5,R37,$C$10,$C$11)</f>
        <v>27.445319999999995</v>
      </c>
      <c r="T37" s="84">
        <v>25</v>
      </c>
      <c r="U37" s="84">
        <f t="shared" si="6"/>
        <v>52.445319999999995</v>
      </c>
      <c r="V37" s="65" cm="1">
        <f t="array" ref="V37">maxDepthToMinSOC($L$8,$L$9,$L$6,$L$7,$L$10,$G$5,$G$6,$S37,T37,$R37,$G$4,$C$8)</f>
        <v>414.75001648068428</v>
      </c>
      <c r="W37" s="83"/>
      <c r="X37" s="60">
        <v>4400</v>
      </c>
      <c r="Y37" s="59">
        <f t="shared" si="7"/>
        <v>0</v>
      </c>
      <c r="Z37" s="64">
        <f t="shared" si="8"/>
        <v>10</v>
      </c>
      <c r="AA37" s="64" cm="1">
        <f t="array" ref="AA37">drivePower($C$4,Z37,$C$9,$C$10,$C$11)</f>
        <v>19.6038</v>
      </c>
      <c r="AB37" s="60">
        <f t="shared" si="9"/>
        <v>293.04000000000002</v>
      </c>
      <c r="AC37" s="65" cm="1">
        <f t="array" ref="AC37">maxDepthToMinSOC($L$8,0,$L$6,$L$7,AB37,$G$5,$G$6,AA37,$C$7,$C$9,$G$4,$C$8)</f>
        <v>509.40002024173737</v>
      </c>
      <c r="AD37" s="65" cm="1">
        <f t="array" ref="AD37">maxDepthToMinSOC($L$8,$L$9,$L$6,$L$7,AB37,$G$5,$G$6,AA37,$C$7,$C$9,$G$4,$C$8)</f>
        <v>363.00001442432404</v>
      </c>
    </row>
    <row r="38" spans="2:33" x14ac:dyDescent="0.35">
      <c r="G38" s="59"/>
      <c r="H38" s="7"/>
      <c r="I38" s="66"/>
      <c r="J38" s="66"/>
      <c r="K38" s="66"/>
      <c r="L38" s="66"/>
      <c r="M38" s="66"/>
      <c r="N38" s="63"/>
      <c r="O38" s="63"/>
      <c r="P38" s="63"/>
      <c r="Q38" s="63"/>
      <c r="R38" s="59">
        <v>0.35</v>
      </c>
      <c r="S38" s="64" cm="1">
        <f t="array" ref="S38">drivePower($C$4,$C$5,R38,$C$10,$C$11)</f>
        <v>27.445319999999995</v>
      </c>
      <c r="T38" s="84">
        <v>27.5</v>
      </c>
      <c r="U38" s="84">
        <f t="shared" si="6"/>
        <v>54.945319999999995</v>
      </c>
      <c r="V38" s="65" cm="1">
        <f t="array" ref="V38">maxDepthToMinSOC($L$8,$L$9,$L$6,$L$7,$L$10,$G$5,$G$6,$S38,T38,$R38,$G$4,$C$8)</f>
        <v>383.25001522898674</v>
      </c>
      <c r="W38" s="83"/>
      <c r="X38" s="60">
        <v>6600</v>
      </c>
      <c r="Y38" s="59">
        <f t="shared" si="7"/>
        <v>0.12</v>
      </c>
      <c r="Z38" s="64">
        <f t="shared" si="8"/>
        <v>10.119999999999999</v>
      </c>
      <c r="AA38" s="64" cm="1">
        <f t="array" ref="AA38">drivePower($C$4,Z38,$C$9,$C$10,$C$11)</f>
        <v>19.827045599999998</v>
      </c>
      <c r="AB38" s="60">
        <f t="shared" si="9"/>
        <v>439.56</v>
      </c>
      <c r="AC38" s="65" cm="1">
        <f t="array" ref="AC38">maxDepthToMinSOC($L$8,0,$L$6,$L$7,AB38,$G$5,$G$6,AA38,$C$7,$C$9,$G$4,$C$8)</f>
        <v>765.30003041028976</v>
      </c>
      <c r="AD38" s="65" cm="1">
        <f t="array" ref="AD38">maxDepthToMinSOC($L$8,$L$9,$L$6,$L$7,AB38,$G$5,$G$6,AA38,$C$7,$C$9,$G$4,$C$8)</f>
        <v>575.5500228703022</v>
      </c>
    </row>
    <row r="39" spans="2:33" x14ac:dyDescent="0.35">
      <c r="G39" s="59"/>
      <c r="H39" s="7"/>
      <c r="I39" s="66"/>
      <c r="J39" s="66"/>
      <c r="K39" s="66"/>
      <c r="L39" s="66"/>
      <c r="M39" s="66"/>
      <c r="N39" s="78"/>
      <c r="O39" s="78"/>
      <c r="P39" s="78"/>
      <c r="Q39" s="78"/>
      <c r="R39" s="59">
        <v>0.35</v>
      </c>
      <c r="S39" s="64" cm="1">
        <f t="array" ref="S39">drivePower($C$4,$C$5,R39,$C$10,$C$11)</f>
        <v>27.445319999999995</v>
      </c>
      <c r="T39" s="84">
        <v>30</v>
      </c>
      <c r="U39" s="84">
        <f t="shared" si="6"/>
        <v>57.445319999999995</v>
      </c>
      <c r="V39" s="65" cm="1">
        <f t="array" ref="V39">maxDepthToMinSOC($L$8,$L$9,$L$6,$L$7,$L$10,$G$5,$G$6,$S39,T39,$R39,$G$4,$C$8)</f>
        <v>354.15001407265663</v>
      </c>
      <c r="W39" s="83"/>
      <c r="X39" s="60">
        <v>8800</v>
      </c>
      <c r="Y39" s="59">
        <f t="shared" si="7"/>
        <v>0.24</v>
      </c>
      <c r="Z39" s="64">
        <f t="shared" si="8"/>
        <v>10.24</v>
      </c>
      <c r="AA39" s="64" cm="1">
        <f t="array" ref="AA39">drivePower($C$4,Z39,$C$9,$C$10,$C$11)</f>
        <v>20.0502912</v>
      </c>
      <c r="AB39" s="60">
        <f t="shared" si="9"/>
        <v>586.08000000000004</v>
      </c>
      <c r="AC39" s="65" cm="1">
        <f t="array" ref="AC39">maxDepthToMinSOC($L$8,0,$L$6,$L$7,AB39,$G$5,$G$6,AA39,$C$7,$C$9,$G$4,$C$8)</f>
        <v>983.40003907680511</v>
      </c>
      <c r="AD39" s="65" cm="1">
        <f t="array" ref="AD39">maxDepthToMinSOC($L$8,$L$9,$L$6,$L$7,AB39,$G$5,$G$6,AA39,$C$7,$C$9,$G$4,$C$8)</f>
        <v>762.30003029108047</v>
      </c>
    </row>
    <row r="40" spans="2:33" x14ac:dyDescent="0.35">
      <c r="G40" s="59"/>
      <c r="H40" s="7"/>
      <c r="I40" s="66"/>
      <c r="J40" s="66"/>
      <c r="K40" s="66"/>
      <c r="L40" s="66"/>
      <c r="M40" s="66"/>
      <c r="N40" s="78"/>
      <c r="O40" s="78"/>
      <c r="P40" s="78"/>
      <c r="Q40" s="78"/>
      <c r="R40" s="59">
        <v>0.35</v>
      </c>
      <c r="S40" s="64" cm="1">
        <f t="array" ref="S40">drivePower($C$4,$C$5,R40,$C$10,$C$11)</f>
        <v>27.445319999999995</v>
      </c>
      <c r="T40" s="84">
        <v>32.5</v>
      </c>
      <c r="U40" s="84">
        <f t="shared" si="6"/>
        <v>59.945319999999995</v>
      </c>
      <c r="V40" s="65" cm="1">
        <f t="array" ref="V40">maxDepthToMinSOC($L$8,$L$9,$L$6,$L$7,$L$10,$G$5,$G$6,$S40,T40,$R40,$G$4,$C$8)</f>
        <v>327.00001299381256</v>
      </c>
      <c r="W40" s="83"/>
      <c r="X40" s="60">
        <f>X39+2200</f>
        <v>11000</v>
      </c>
      <c r="Y40" s="59">
        <f t="shared" si="7"/>
        <v>0.36</v>
      </c>
      <c r="Z40" s="64">
        <f t="shared" si="8"/>
        <v>10.36</v>
      </c>
      <c r="AA40" s="64" cm="1">
        <f t="array" ref="AA40">drivePower($C$4,Z40,$C$9,$C$10,$C$11)</f>
        <v>20.273536799999999</v>
      </c>
      <c r="AB40" s="60">
        <f t="shared" si="9"/>
        <v>732.6</v>
      </c>
      <c r="AC40" s="65" cm="1">
        <f t="array" ref="AC40">maxDepthToMinSOC($L$8,0,$L$6,$L$7,AB40,$G$5,$G$6,AA40,$C$7,$C$9,$G$4,$C$8)</f>
        <v>1171.3500465452671</v>
      </c>
      <c r="AD40" s="65" cm="1">
        <f t="array" ref="AD40">maxDepthToMinSOC($L$8,$L$9,$L$6,$L$7,AB40,$G$5,$G$6,AA40,$C$7,$C$9,$G$4,$C$8)</f>
        <v>927.60003685951233</v>
      </c>
    </row>
    <row r="41" spans="2:33" x14ac:dyDescent="0.35">
      <c r="G41" s="59"/>
      <c r="H41" s="7"/>
      <c r="I41" s="66"/>
      <c r="J41" s="66"/>
      <c r="K41" s="66"/>
      <c r="L41" s="66"/>
      <c r="M41" s="66"/>
      <c r="N41" s="78"/>
      <c r="O41" s="78"/>
      <c r="P41" s="78"/>
      <c r="Q41" s="78"/>
      <c r="R41" s="59">
        <v>0.35</v>
      </c>
      <c r="S41" s="64" cm="1">
        <f t="array" ref="S41">drivePower($C$4,$C$5,R41,$C$10,$C$11)</f>
        <v>27.445319999999995</v>
      </c>
      <c r="T41" s="84">
        <v>35</v>
      </c>
      <c r="U41" s="84">
        <f t="shared" si="6"/>
        <v>62.445319999999995</v>
      </c>
      <c r="V41" s="65" cm="1">
        <f t="array" ref="V41">maxDepthToMinSOC($L$8,$L$9,$L$6,$L$7,$L$10,$G$5,$G$6,$S41,T41,$R41,$G$4,$C$8)</f>
        <v>301.95001199841499</v>
      </c>
      <c r="W41" s="83"/>
      <c r="X41" s="60">
        <f>X40+2200</f>
        <v>13200</v>
      </c>
      <c r="Y41" s="59">
        <f t="shared" si="7"/>
        <v>0.48</v>
      </c>
      <c r="Z41" s="64">
        <f t="shared" si="8"/>
        <v>10.48</v>
      </c>
      <c r="AA41" s="64" cm="1">
        <f t="array" ref="AA41">drivePower($C$4,Z41,$C$9,$C$10,$C$11)</f>
        <v>20.496782400000001</v>
      </c>
      <c r="AB41" s="60">
        <f t="shared" si="9"/>
        <v>879.12</v>
      </c>
      <c r="AC41" s="65" cm="1">
        <f t="array" ref="AC41">maxDepthToMinSOC($L$8,0,$L$6,$L$7,AB41,$G$5,$G$6,AA41,$C$7,$C$9,$G$4,$C$8)</f>
        <v>1335.0000530481339</v>
      </c>
      <c r="AD41" s="65" cm="1">
        <f t="array" ref="AD41">maxDepthToMinSOC($L$8,$L$9,$L$6,$L$7,AB41,$G$5,$G$6,AA41,$C$7,$C$9,$G$4,$C$8)</f>
        <v>1075.0500427186489</v>
      </c>
    </row>
    <row r="42" spans="2:33" x14ac:dyDescent="0.35">
      <c r="G42" s="59"/>
      <c r="H42" s="7"/>
      <c r="I42" s="66"/>
      <c r="J42" s="66"/>
      <c r="K42" s="66"/>
      <c r="L42" s="66"/>
      <c r="M42" s="66"/>
      <c r="N42" s="78"/>
      <c r="O42" s="78"/>
      <c r="P42" s="78"/>
      <c r="Q42" s="78"/>
      <c r="R42" s="59">
        <v>0.35</v>
      </c>
      <c r="S42" s="64" cm="1">
        <f t="array" ref="S42">drivePower($C$4,$C$5,R42,$C$10,$C$11)</f>
        <v>27.445319999999995</v>
      </c>
      <c r="T42" s="84">
        <v>37.5</v>
      </c>
      <c r="U42" s="84">
        <f t="shared" si="6"/>
        <v>64.945319999999995</v>
      </c>
      <c r="V42" s="65" cm="1">
        <f t="array" ref="V42">maxDepthToMinSOC($L$8,$L$9,$L$6,$L$7,$L$10,$G$5,$G$6,$S42,T42,$R42,$G$4,$C$8)</f>
        <v>278.55001106858253</v>
      </c>
      <c r="W42" s="83"/>
      <c r="X42" s="60">
        <f>X41+2200</f>
        <v>15400</v>
      </c>
      <c r="Y42" s="59">
        <f t="shared" si="7"/>
        <v>0.6</v>
      </c>
      <c r="Z42" s="64">
        <f t="shared" si="8"/>
        <v>10.6</v>
      </c>
      <c r="AA42" s="64" cm="1">
        <f t="array" ref="AA42">drivePower($C$4,Z42,$C$9,$C$10,$C$11)</f>
        <v>20.720027999999999</v>
      </c>
      <c r="AB42" s="60">
        <f t="shared" si="9"/>
        <v>1025.6399999999999</v>
      </c>
      <c r="AC42" s="65" cm="1">
        <f t="array" ref="AC42">maxDepthToMinSOC($L$8,0,$L$6,$L$7,AB42,$G$5,$G$6,AA42,$C$7,$C$9,$G$4,$C$8)</f>
        <v>1478.8500587642193</v>
      </c>
      <c r="AD42" s="65" cm="1">
        <f t="array" ref="AD42">maxDepthToMinSOC($L$8,$L$9,$L$6,$L$7,AB42,$G$5,$G$6,AA42,$C$7,$C$9,$G$4,$C$8)</f>
        <v>1207.3500479757786</v>
      </c>
    </row>
    <row r="43" spans="2:33" x14ac:dyDescent="0.35">
      <c r="G43" s="59"/>
      <c r="H43" s="7"/>
      <c r="I43" s="66"/>
      <c r="J43" s="66"/>
      <c r="K43" s="66"/>
      <c r="L43" s="66"/>
      <c r="M43" s="66"/>
      <c r="N43" s="78"/>
      <c r="O43" s="78"/>
      <c r="P43" s="78"/>
      <c r="Q43" s="78"/>
      <c r="R43" s="59">
        <v>0.35</v>
      </c>
      <c r="S43" s="64" cm="1">
        <f t="array" ref="S43">drivePower($C$4,$C$5,R43,$C$10,$C$11)</f>
        <v>27.445319999999995</v>
      </c>
      <c r="T43" s="84">
        <v>40</v>
      </c>
      <c r="U43" s="84">
        <f t="shared" si="6"/>
        <v>67.445319999999995</v>
      </c>
      <c r="V43" s="65" cm="1">
        <f t="array" ref="V43">maxDepthToMinSOC($L$8,$L$9,$L$6,$L$7,$L$10,$G$5,$G$6,$S43,T43,$R43,$G$4,$C$8)</f>
        <v>256.50001019239426</v>
      </c>
      <c r="W43" s="83"/>
      <c r="X43" s="60">
        <f>X42+2200</f>
        <v>17600</v>
      </c>
      <c r="Y43" s="59">
        <f t="shared" si="7"/>
        <v>0.72</v>
      </c>
      <c r="Z43" s="64">
        <f t="shared" si="8"/>
        <v>10.72</v>
      </c>
      <c r="AA43" s="64" cm="1">
        <f t="array" ref="AA43">drivePower($C$4,Z43,$C$9,$C$10,$C$11)</f>
        <v>20.943273600000001</v>
      </c>
      <c r="AB43" s="60">
        <f t="shared" si="9"/>
        <v>1172.1600000000001</v>
      </c>
      <c r="AC43" s="65" cm="1">
        <f t="array" ref="AC43">maxDepthToMinSOC($L$8,0,$L$6,$L$7,AB43,$G$5,$G$6,AA43,$C$7,$C$9,$G$4,$C$8)</f>
        <v>1606.2000638246536</v>
      </c>
      <c r="AD43" s="65" cm="1">
        <f t="array" ref="AD43">maxDepthToMinSOC($L$8,$L$9,$L$6,$L$7,AB43,$G$5,$G$6,AA43,$C$7,$C$9,$G$4,$C$8)</f>
        <v>1326.6000527143478</v>
      </c>
    </row>
    <row r="44" spans="2:33" x14ac:dyDescent="0.35">
      <c r="G44" s="59"/>
      <c r="H44" s="7"/>
      <c r="I44" s="66"/>
      <c r="J44" s="66"/>
      <c r="K44" s="66"/>
      <c r="L44" s="66"/>
      <c r="M44" s="66"/>
      <c r="N44" s="78"/>
      <c r="O44" s="78"/>
      <c r="P44" s="78"/>
      <c r="Q44" s="78"/>
      <c r="R44" s="59">
        <v>0.35</v>
      </c>
      <c r="S44" s="64" cm="1">
        <f t="array" ref="S44">drivePower($C$4,$C$5,R44,$C$10,$C$11)</f>
        <v>27.445319999999995</v>
      </c>
      <c r="T44" s="84">
        <v>42.5</v>
      </c>
      <c r="U44" s="84">
        <f t="shared" si="6"/>
        <v>69.945319999999995</v>
      </c>
      <c r="V44" s="65" cm="1">
        <f t="array" ref="V44">maxDepthToMinSOC($L$8,$L$9,$L$6,$L$7,$L$10,$G$5,$G$6,$S44,T44,$R44,$G$4,$C$8)</f>
        <v>235.95000937581062</v>
      </c>
      <c r="W44" s="83"/>
      <c r="X44" s="60">
        <f>X43+2200</f>
        <v>19800</v>
      </c>
      <c r="Y44" s="59">
        <f t="shared" si="7"/>
        <v>0.84</v>
      </c>
      <c r="Z44" s="64">
        <f t="shared" si="8"/>
        <v>10.84</v>
      </c>
      <c r="AA44" s="64" cm="1">
        <f t="array" ref="AA44">drivePower($C$4,Z44,$C$9,$C$10,$C$11)</f>
        <v>21.1665192</v>
      </c>
      <c r="AB44" s="60">
        <f t="shared" si="9"/>
        <v>1318.68</v>
      </c>
      <c r="AC44" s="65" cm="1">
        <f t="array" ref="AC44">maxDepthToMinSOC($L$8,0,$L$6,$L$7,AB44,$G$5,$G$6,AA44,$C$7,$C$9,$G$4,$C$8)</f>
        <v>1719.9000683426857</v>
      </c>
      <c r="AD44" s="65" cm="1">
        <f t="array" ref="AD44">maxDepthToMinSOC($L$8,$L$9,$L$6,$L$7,AB44,$G$5,$G$6,AA44,$C$7,$C$9,$G$4,$C$8)</f>
        <v>1434.9000570178032</v>
      </c>
    </row>
    <row r="45" spans="2:33" x14ac:dyDescent="0.35">
      <c r="G45" s="59"/>
      <c r="H45" s="7"/>
      <c r="I45" s="66"/>
      <c r="J45" s="66"/>
      <c r="K45" s="66"/>
      <c r="L45" s="66"/>
      <c r="M45" s="66"/>
      <c r="N45" s="78"/>
      <c r="O45" s="78"/>
      <c r="P45" s="78"/>
      <c r="Q45" s="78"/>
      <c r="R45" s="59">
        <v>0.35</v>
      </c>
      <c r="S45" s="64" cm="1">
        <f t="array" ref="S45">drivePower($C$4,$C$5,R45,$C$10,$C$11)</f>
        <v>27.445319999999995</v>
      </c>
      <c r="T45" s="84">
        <v>45</v>
      </c>
      <c r="U45" s="84">
        <f t="shared" si="6"/>
        <v>72.445319999999995</v>
      </c>
      <c r="V45" s="65" cm="1">
        <f t="array" ref="V45">maxDepthToMinSOC($L$8,$L$9,$L$6,$L$7,$L$10,$G$5,$G$6,$S45,T45,$R45,$G$4,$C$8)</f>
        <v>216.75000861287117</v>
      </c>
      <c r="W45" s="82"/>
    </row>
    <row r="46" spans="2:33" x14ac:dyDescent="0.35">
      <c r="G46" s="59"/>
      <c r="H46" s="7"/>
      <c r="I46" s="66"/>
      <c r="J46" s="66"/>
      <c r="K46" s="66"/>
      <c r="L46" s="66"/>
      <c r="M46" s="66"/>
      <c r="N46" s="78"/>
      <c r="O46" s="78"/>
      <c r="P46" s="78"/>
      <c r="Q46" s="78"/>
      <c r="R46" s="59">
        <v>0.35</v>
      </c>
      <c r="S46" s="64" cm="1">
        <f t="array" ref="S46">drivePower($C$4,$C$5,R46,$C$10,$C$11)</f>
        <v>27.445319999999995</v>
      </c>
      <c r="T46" s="84">
        <v>47.5</v>
      </c>
      <c r="U46" s="84">
        <f t="shared" si="6"/>
        <v>74.945319999999995</v>
      </c>
      <c r="V46" s="65" cm="1">
        <f t="array" ref="V46">maxDepthToMinSOC($L$8,$L$9,$L$6,$L$7,$L$10,$G$5,$G$6,$S46,T46,$R46,$G$4,$C$8)</f>
        <v>198.60000789165497</v>
      </c>
      <c r="W46" s="82"/>
    </row>
    <row r="47" spans="2:33" x14ac:dyDescent="0.35">
      <c r="G47" s="59"/>
      <c r="H47" s="7"/>
      <c r="I47" s="66"/>
      <c r="J47" s="66"/>
      <c r="K47" s="66"/>
      <c r="L47" s="66"/>
      <c r="M47" s="66"/>
      <c r="N47" s="78"/>
      <c r="O47" s="78"/>
      <c r="P47" s="78"/>
      <c r="Q47" s="78"/>
      <c r="R47" s="59">
        <v>0.35</v>
      </c>
      <c r="S47" s="64" cm="1">
        <f t="array" ref="S47">drivePower($C$4,$C$5,R47,$C$10,$C$11)</f>
        <v>27.445319999999995</v>
      </c>
      <c r="T47" s="84">
        <v>50</v>
      </c>
      <c r="U47" s="84">
        <f t="shared" si="6"/>
        <v>77.445319999999995</v>
      </c>
      <c r="V47" s="65" cm="1">
        <f t="array" ref="V47">maxDepthToMinSOC($L$8,$L$9,$L$6,$L$7,$L$10,$G$5,$G$6,$S47,T47,$R47,$G$4,$C$8)</f>
        <v>181.50000721216202</v>
      </c>
      <c r="W47" s="82"/>
    </row>
    <row r="48" spans="2:33" x14ac:dyDescent="0.35">
      <c r="G48" s="59"/>
      <c r="H48" s="7"/>
      <c r="I48" s="66"/>
      <c r="J48" s="66"/>
      <c r="K48" s="66"/>
      <c r="L48" s="66"/>
      <c r="M48" s="66"/>
      <c r="N48" s="78"/>
      <c r="O48" s="78"/>
      <c r="P48" s="78"/>
      <c r="Q48" s="78"/>
      <c r="R48" s="59">
        <v>0.35</v>
      </c>
      <c r="S48" s="64" cm="1">
        <f t="array" ref="S48">drivePower($C$4,$C$5,R48,$C$10,$C$11)</f>
        <v>27.445319999999995</v>
      </c>
      <c r="T48" s="84">
        <v>52.5</v>
      </c>
      <c r="U48" s="84">
        <f t="shared" si="6"/>
        <v>79.945319999999995</v>
      </c>
      <c r="V48" s="65" cm="1">
        <f t="array" ref="V48">maxDepthToMinSOC($L$8,$L$9,$L$6,$L$7,$L$10,$G$5,$G$6,$S48,T48,$R48,$G$4,$C$8)</f>
        <v>165.45000657439232</v>
      </c>
      <c r="W48" s="82"/>
    </row>
    <row r="49" spans="7:33" x14ac:dyDescent="0.35">
      <c r="G49" s="59"/>
      <c r="H49" s="7"/>
      <c r="I49" s="66"/>
      <c r="J49" s="66"/>
      <c r="K49" s="66"/>
      <c r="L49" s="66"/>
      <c r="M49" s="66"/>
      <c r="N49" s="78"/>
      <c r="O49" s="78"/>
      <c r="P49" s="78"/>
      <c r="Q49" s="78"/>
      <c r="R49" s="59">
        <v>0.35</v>
      </c>
      <c r="S49" s="64" cm="1">
        <f t="array" ref="S49">drivePower($C$4,$C$5,R49,$C$10,$C$11)</f>
        <v>27.445319999999995</v>
      </c>
      <c r="T49" s="84">
        <v>55</v>
      </c>
      <c r="U49" s="84">
        <f t="shared" si="6"/>
        <v>82.445319999999995</v>
      </c>
      <c r="V49" s="65" cm="1">
        <f t="array" ref="V49">maxDepthToMinSOC($L$8,$L$9,$L$6,$L$7,$L$10,$G$5,$G$6,$S49,T49,$R49,$G$4,$C$8)</f>
        <v>150.15000596642494</v>
      </c>
      <c r="W49" s="82"/>
    </row>
    <row r="50" spans="7:33" x14ac:dyDescent="0.35">
      <c r="G50" s="59"/>
      <c r="H50" s="7"/>
      <c r="I50" s="66"/>
      <c r="J50" s="66"/>
      <c r="K50" s="66"/>
      <c r="L50" s="66"/>
      <c r="M50" s="66"/>
      <c r="N50" s="78"/>
      <c r="O50" s="78"/>
      <c r="P50" s="78"/>
      <c r="Q50" s="78"/>
    </row>
    <row r="51" spans="7:33" x14ac:dyDescent="0.35">
      <c r="G51" s="59"/>
      <c r="H51" s="7"/>
      <c r="I51" s="66"/>
      <c r="J51" s="66"/>
      <c r="K51" s="66"/>
      <c r="L51" s="66"/>
      <c r="M51" s="66"/>
      <c r="N51" s="78"/>
      <c r="O51" s="78"/>
      <c r="P51" s="78"/>
      <c r="Q51" s="78"/>
    </row>
    <row r="52" spans="7:33" ht="15" thickBot="1" x14ac:dyDescent="0.4">
      <c r="G52" s="59"/>
      <c r="H52" s="7"/>
      <c r="I52" s="66"/>
      <c r="J52" s="66"/>
      <c r="K52" s="66"/>
      <c r="L52" s="66"/>
      <c r="M52" s="66"/>
      <c r="N52" s="78"/>
      <c r="O52" s="78"/>
      <c r="P52" s="78"/>
      <c r="Q52" s="78"/>
    </row>
    <row r="53" spans="7:33" x14ac:dyDescent="0.35">
      <c r="G53" s="59"/>
      <c r="H53" s="7"/>
      <c r="I53" s="66"/>
      <c r="J53" s="66"/>
      <c r="K53" s="66"/>
      <c r="L53" s="66"/>
      <c r="M53" s="66"/>
      <c r="N53" s="14"/>
      <c r="O53" s="14"/>
      <c r="P53" s="14"/>
      <c r="Q53" s="14"/>
      <c r="R53" s="72" t="s">
        <v>85</v>
      </c>
      <c r="S53" s="73"/>
      <c r="T53" s="73"/>
      <c r="U53" s="73"/>
      <c r="V53" s="73"/>
      <c r="W53" s="73"/>
      <c r="X53" s="74"/>
      <c r="Y53" s="74"/>
      <c r="Z53" s="74"/>
      <c r="AC53" s="67" t="s">
        <v>87</v>
      </c>
      <c r="AD53" s="68"/>
      <c r="AE53" s="69"/>
      <c r="AF53" s="74"/>
    </row>
    <row r="54" spans="7:33" x14ac:dyDescent="0.35">
      <c r="G54" s="59"/>
      <c r="H54" s="7"/>
      <c r="I54" s="66"/>
      <c r="J54" s="66"/>
      <c r="K54" s="66"/>
      <c r="L54" s="66"/>
      <c r="M54" s="66"/>
      <c r="R54" s="3"/>
      <c r="S54" s="3"/>
      <c r="T54" s="3"/>
      <c r="U54" s="3"/>
      <c r="V54" s="26"/>
      <c r="W54" s="75"/>
      <c r="X54" s="14"/>
      <c r="Y54" s="14"/>
      <c r="Z54" s="14"/>
      <c r="AC54" s="3"/>
      <c r="AD54" s="3"/>
      <c r="AE54" s="3"/>
      <c r="AF54" s="75"/>
      <c r="AG54" s="42"/>
    </row>
    <row r="55" spans="7:33" ht="58" x14ac:dyDescent="0.35">
      <c r="G55" s="59"/>
      <c r="H55" s="7"/>
      <c r="I55" s="66"/>
      <c r="J55" s="66"/>
      <c r="K55" s="66"/>
      <c r="L55" s="66"/>
      <c r="M55" s="66"/>
      <c r="R55" s="28" t="s">
        <v>86</v>
      </c>
      <c r="S55" s="28" t="s">
        <v>95</v>
      </c>
      <c r="T55" s="28" t="s">
        <v>127</v>
      </c>
      <c r="U55" s="28" t="s">
        <v>126</v>
      </c>
      <c r="V55" s="76" t="s">
        <v>128</v>
      </c>
      <c r="W55" s="76"/>
      <c r="X55" s="28" t="s">
        <v>88</v>
      </c>
      <c r="Y55" s="28" t="s">
        <v>116</v>
      </c>
      <c r="Z55" s="28" t="s">
        <v>117</v>
      </c>
      <c r="AA55" s="28" t="s">
        <v>95</v>
      </c>
      <c r="AB55" s="28" t="s">
        <v>101</v>
      </c>
      <c r="AC55" s="28" t="s">
        <v>82</v>
      </c>
      <c r="AD55" s="58" t="s">
        <v>83</v>
      </c>
    </row>
    <row r="56" spans="7:33" x14ac:dyDescent="0.35">
      <c r="G56" s="59"/>
      <c r="H56" s="7"/>
      <c r="I56" s="66"/>
      <c r="J56" s="66"/>
      <c r="K56" s="66"/>
      <c r="L56" s="66"/>
      <c r="M56" s="66"/>
      <c r="R56" s="59">
        <v>0.5</v>
      </c>
      <c r="S56" s="64" cm="1">
        <f t="array" ref="S56">drivePower($C$4,$C$5,R56,$C$10,$C$11)</f>
        <v>39.207599999999999</v>
      </c>
      <c r="T56" s="84">
        <v>10</v>
      </c>
      <c r="U56" s="84">
        <f t="shared" ref="U56:U69" si="10">S56+T56</f>
        <v>49.207599999999999</v>
      </c>
      <c r="V56" s="65" cm="1">
        <f t="array" ref="V56">maxDepthToMinSOC($L$8,$L$9,$L$6,$L$7,$L$10,$G$5,$G$6,$S56,T56,$R56,$G$4,$C$8)</f>
        <v>715.50002843141556</v>
      </c>
      <c r="W56" s="83"/>
      <c r="X56" s="60">
        <v>2200</v>
      </c>
      <c r="Y56" s="59">
        <f t="shared" ref="Y56:Y64" si="11">(X56-4400)*(5*0.048)/4400</f>
        <v>-0.12</v>
      </c>
      <c r="Z56" s="64">
        <f t="shared" ref="Z56:Z64" si="12">$C$5+Y56</f>
        <v>9.8800000000000008</v>
      </c>
      <c r="AA56" s="64" cm="1">
        <f t="array" ref="AA56">drivePower($C$4,Z56,$C$9,$C$10,$C$11)</f>
        <v>19.380554400000001</v>
      </c>
      <c r="AB56" s="60">
        <f t="shared" ref="AB56:AB64" si="13">X56*3.6/1000*$L$4</f>
        <v>146.52000000000001</v>
      </c>
      <c r="AC56" s="65" cm="1">
        <f t="array" ref="AC56">maxDepthToMinSOC($L$8,0,$L$6,$L$7,AB56,$G$5,$G$6,AA56,$C$7,$C$9,$G$4,$C$8)</f>
        <v>204.60000813007355</v>
      </c>
      <c r="AD56" s="65" cm="1">
        <f t="array" ref="AD56">maxDepthToMinSOC($L$8,$L$9,$L$6,$L$7,AB56,$G$5,$G$6,AA56,$C$7,$C$9,$G$4,$C$8)</f>
        <v>118.95000472664833</v>
      </c>
    </row>
    <row r="57" spans="7:33" x14ac:dyDescent="0.35">
      <c r="G57" s="59"/>
      <c r="H57" s="7"/>
      <c r="I57" s="66"/>
      <c r="J57" s="66"/>
      <c r="K57" s="66"/>
      <c r="L57" s="66"/>
      <c r="M57" s="66"/>
      <c r="R57" s="59">
        <v>0.5</v>
      </c>
      <c r="S57" s="64" cm="1">
        <f t="array" ref="S57">drivePower($C$4,$C$5,R57,$C$10,$C$11)</f>
        <v>39.207599999999999</v>
      </c>
      <c r="T57" s="84">
        <v>12.5</v>
      </c>
      <c r="U57" s="84">
        <f t="shared" si="10"/>
        <v>51.707599999999999</v>
      </c>
      <c r="V57" s="65" cm="1">
        <f t="array" ref="V57">maxDepthToMinSOC($L$8,$L$9,$L$6,$L$7,$L$10,$G$5,$G$6,$S57,T57,$R57,$G$4,$C$8)</f>
        <v>666.30002647638321</v>
      </c>
      <c r="W57" s="83"/>
      <c r="X57" s="60">
        <v>4400</v>
      </c>
      <c r="Y57" s="59">
        <f t="shared" si="11"/>
        <v>0</v>
      </c>
      <c r="Z57" s="64">
        <f t="shared" si="12"/>
        <v>10</v>
      </c>
      <c r="AA57" s="64" cm="1">
        <f t="array" ref="AA57">drivePower($C$4,Z57,$C$9,$C$10,$C$11)</f>
        <v>19.6038</v>
      </c>
      <c r="AB57" s="60">
        <f t="shared" si="13"/>
        <v>293.04000000000002</v>
      </c>
      <c r="AC57" s="65" cm="1">
        <f t="array" ref="AC57">maxDepthToMinSOC($L$8,0,$L$6,$L$7,AB57,$G$5,$G$6,AA57,$C$7,$C$9,$G$4,$C$8)</f>
        <v>509.40002024173737</v>
      </c>
      <c r="AD57" s="65" cm="1">
        <f t="array" ref="AD57">maxDepthToMinSOC($L$8,$L$9,$L$6,$L$7,AB57,$G$5,$G$6,AA57,$C$7,$C$9,$G$4,$C$8)</f>
        <v>363.00001442432404</v>
      </c>
    </row>
    <row r="58" spans="7:33" x14ac:dyDescent="0.35">
      <c r="G58" s="59"/>
      <c r="H58" s="7"/>
      <c r="I58" s="66"/>
      <c r="J58" s="66"/>
      <c r="K58" s="66"/>
      <c r="L58" s="66"/>
      <c r="M58" s="66"/>
      <c r="R58" s="59">
        <v>0.5</v>
      </c>
      <c r="S58" s="64" cm="1">
        <f t="array" ref="S58">drivePower($C$4,$C$5,R58,$C$10,$C$11)</f>
        <v>39.207599999999999</v>
      </c>
      <c r="T58" s="84">
        <v>15</v>
      </c>
      <c r="U58" s="84">
        <f t="shared" si="10"/>
        <v>54.207599999999999</v>
      </c>
      <c r="V58" s="65" cm="1">
        <f t="array" ref="V58">maxDepthToMinSOC($L$8,$L$9,$L$6,$L$7,$L$10,$G$5,$G$6,$S58,T58,$R58,$G$4,$C$8)</f>
        <v>620.70002466440201</v>
      </c>
      <c r="W58" s="83"/>
      <c r="X58" s="60">
        <v>6600</v>
      </c>
      <c r="Y58" s="59">
        <f t="shared" si="11"/>
        <v>0.12</v>
      </c>
      <c r="Z58" s="64">
        <f t="shared" si="12"/>
        <v>10.119999999999999</v>
      </c>
      <c r="AA58" s="64" cm="1">
        <f t="array" ref="AA58">drivePower($C$4,Z58,$C$9,$C$10,$C$11)</f>
        <v>19.827045599999998</v>
      </c>
      <c r="AB58" s="60">
        <f t="shared" si="13"/>
        <v>439.56</v>
      </c>
      <c r="AC58" s="65" cm="1">
        <f t="array" ref="AC58">maxDepthToMinSOC($L$8,0,$L$6,$L$7,AB58,$G$5,$G$6,AA58,$C$7,$C$9,$G$4,$C$8)</f>
        <v>765.30003041028976</v>
      </c>
      <c r="AD58" s="65" cm="1">
        <f t="array" ref="AD58">maxDepthToMinSOC($L$8,$L$9,$L$6,$L$7,AB58,$G$5,$G$6,AA58,$C$7,$C$9,$G$4,$C$8)</f>
        <v>575.5500228703022</v>
      </c>
    </row>
    <row r="59" spans="7:33" x14ac:dyDescent="0.35">
      <c r="R59" s="59">
        <v>0.5</v>
      </c>
      <c r="S59" s="64" cm="1">
        <f t="array" ref="S59">drivePower($C$4,$C$5,R59,$C$10,$C$11)</f>
        <v>39.207599999999999</v>
      </c>
      <c r="T59" s="84">
        <v>17.5</v>
      </c>
      <c r="U59" s="84">
        <f t="shared" si="10"/>
        <v>56.707599999999999</v>
      </c>
      <c r="V59" s="65" cm="1">
        <f t="array" ref="V59">maxDepthToMinSOC($L$8,$L$9,$L$6,$L$7,$L$10,$G$5,$G$6,$S59,T59,$R59,$G$4,$C$8)</f>
        <v>578.40002298355103</v>
      </c>
      <c r="W59" s="83"/>
      <c r="X59" s="60">
        <v>8800</v>
      </c>
      <c r="Y59" s="59">
        <f t="shared" si="11"/>
        <v>0.24</v>
      </c>
      <c r="Z59" s="64">
        <f t="shared" si="12"/>
        <v>10.24</v>
      </c>
      <c r="AA59" s="64" cm="1">
        <f t="array" ref="AA59">drivePower($C$4,Z59,$C$9,$C$10,$C$11)</f>
        <v>20.0502912</v>
      </c>
      <c r="AB59" s="60">
        <f t="shared" si="13"/>
        <v>586.08000000000004</v>
      </c>
      <c r="AC59" s="65" cm="1">
        <f t="array" ref="AC59">maxDepthToMinSOC($L$8,0,$L$6,$L$7,AB59,$G$5,$G$6,AA59,$C$7,$C$9,$G$4,$C$8)</f>
        <v>983.40003907680511</v>
      </c>
      <c r="AD59" s="65" cm="1">
        <f t="array" ref="AD59">maxDepthToMinSOC($L$8,$L$9,$L$6,$L$7,AB59,$G$5,$G$6,AA59,$C$7,$C$9,$G$4,$C$8)</f>
        <v>762.30003029108047</v>
      </c>
    </row>
    <row r="60" spans="7:33" x14ac:dyDescent="0.35">
      <c r="R60" s="59">
        <v>0.5</v>
      </c>
      <c r="S60" s="64" cm="1">
        <f t="array" ref="S60">drivePower($C$4,$C$5,R60,$C$10,$C$11)</f>
        <v>39.207599999999999</v>
      </c>
      <c r="T60" s="84">
        <v>20</v>
      </c>
      <c r="U60" s="84">
        <f t="shared" si="10"/>
        <v>59.207599999999999</v>
      </c>
      <c r="V60" s="65" cm="1">
        <f t="array" ref="V60">maxDepthToMinSOC($L$8,$L$9,$L$6,$L$7,$L$10,$G$5,$G$6,$S60,T60,$R60,$G$4,$C$8)</f>
        <v>538.95002141594887</v>
      </c>
      <c r="W60" s="83"/>
      <c r="X60" s="60">
        <f>X59+2200</f>
        <v>11000</v>
      </c>
      <c r="Y60" s="59">
        <f t="shared" si="11"/>
        <v>0.36</v>
      </c>
      <c r="Z60" s="64">
        <f t="shared" si="12"/>
        <v>10.36</v>
      </c>
      <c r="AA60" s="64" cm="1">
        <f t="array" ref="AA60">drivePower($C$4,Z60,$C$9,$C$10,$C$11)</f>
        <v>20.273536799999999</v>
      </c>
      <c r="AB60" s="60">
        <f t="shared" si="13"/>
        <v>732.6</v>
      </c>
      <c r="AC60" s="65" cm="1">
        <f t="array" ref="AC60">maxDepthToMinSOC($L$8,0,$L$6,$L$7,AB60,$G$5,$G$6,AA60,$C$7,$C$9,$G$4,$C$8)</f>
        <v>1171.3500465452671</v>
      </c>
      <c r="AD60" s="65" cm="1">
        <f t="array" ref="AD60">maxDepthToMinSOC($L$8,$L$9,$L$6,$L$7,AB60,$G$5,$G$6,AA60,$C$7,$C$9,$G$4,$C$8)</f>
        <v>927.60003685951233</v>
      </c>
    </row>
    <row r="61" spans="7:33" x14ac:dyDescent="0.35">
      <c r="R61" s="59">
        <v>0.5</v>
      </c>
      <c r="S61" s="64" cm="1">
        <f t="array" ref="S61">drivePower($C$4,$C$5,R61,$C$10,$C$11)</f>
        <v>39.207599999999999</v>
      </c>
      <c r="T61" s="84">
        <v>22.5</v>
      </c>
      <c r="U61" s="84">
        <f t="shared" si="10"/>
        <v>61.707599999999999</v>
      </c>
      <c r="V61" s="65" cm="1">
        <f t="array" ref="V61">maxDepthToMinSOC($L$8,$L$9,$L$6,$L$7,$L$10,$G$5,$G$6,$S61,T61,$R61,$G$4,$C$8)</f>
        <v>502.20001995563507</v>
      </c>
      <c r="W61" s="83"/>
      <c r="X61" s="60">
        <f>X60+2200</f>
        <v>13200</v>
      </c>
      <c r="Y61" s="59">
        <f t="shared" si="11"/>
        <v>0.48</v>
      </c>
      <c r="Z61" s="64">
        <f t="shared" si="12"/>
        <v>10.48</v>
      </c>
      <c r="AA61" s="64" cm="1">
        <f t="array" ref="AA61">drivePower($C$4,Z61,$C$9,$C$10,$C$11)</f>
        <v>20.496782400000001</v>
      </c>
      <c r="AB61" s="60">
        <f t="shared" si="13"/>
        <v>879.12</v>
      </c>
      <c r="AC61" s="65" cm="1">
        <f t="array" ref="AC61">maxDepthToMinSOC($L$8,0,$L$6,$L$7,AB61,$G$5,$G$6,AA61,$C$7,$C$9,$G$4,$C$8)</f>
        <v>1335.0000530481339</v>
      </c>
      <c r="AD61" s="65" cm="1">
        <f t="array" ref="AD61">maxDepthToMinSOC($L$8,$L$9,$L$6,$L$7,AB61,$G$5,$G$6,AA61,$C$7,$C$9,$G$4,$C$8)</f>
        <v>1075.0500427186489</v>
      </c>
    </row>
    <row r="62" spans="7:33" x14ac:dyDescent="0.35">
      <c r="R62" s="59">
        <v>0.5</v>
      </c>
      <c r="S62" s="64" cm="1">
        <f t="array" ref="S62">drivePower($C$4,$C$5,R62,$C$10,$C$11)</f>
        <v>39.207599999999999</v>
      </c>
      <c r="T62" s="84">
        <v>25</v>
      </c>
      <c r="U62" s="84">
        <f t="shared" si="10"/>
        <v>64.207599999999999</v>
      </c>
      <c r="V62" s="65" cm="1">
        <f t="array" ref="V62">maxDepthToMinSOC($L$8,$L$9,$L$6,$L$7,$L$10,$G$5,$G$6,$S62,T62,$R62,$G$4,$C$8)</f>
        <v>467.85001859068871</v>
      </c>
      <c r="W62" s="83"/>
      <c r="X62" s="60">
        <f>X61+2200</f>
        <v>15400</v>
      </c>
      <c r="Y62" s="59">
        <f t="shared" si="11"/>
        <v>0.6</v>
      </c>
      <c r="Z62" s="64">
        <f t="shared" si="12"/>
        <v>10.6</v>
      </c>
      <c r="AA62" s="64" cm="1">
        <f t="array" ref="AA62">drivePower($C$4,Z62,$C$9,$C$10,$C$11)</f>
        <v>20.720027999999999</v>
      </c>
      <c r="AB62" s="60">
        <f t="shared" si="13"/>
        <v>1025.6399999999999</v>
      </c>
      <c r="AC62" s="65" cm="1">
        <f t="array" ref="AC62">maxDepthToMinSOC($L$8,0,$L$6,$L$7,AB62,$G$5,$G$6,AA62,$C$7,$C$9,$G$4,$C$8)</f>
        <v>1478.8500587642193</v>
      </c>
      <c r="AD62" s="65" cm="1">
        <f t="array" ref="AD62">maxDepthToMinSOC($L$8,$L$9,$L$6,$L$7,AB62,$G$5,$G$6,AA62,$C$7,$C$9,$G$4,$C$8)</f>
        <v>1207.3500479757786</v>
      </c>
    </row>
    <row r="63" spans="7:33" x14ac:dyDescent="0.35">
      <c r="R63" s="59">
        <v>0.5</v>
      </c>
      <c r="S63" s="64" cm="1">
        <f t="array" ref="S63">drivePower($C$4,$C$5,R63,$C$10,$C$11)</f>
        <v>39.207599999999999</v>
      </c>
      <c r="T63" s="84">
        <v>27.5</v>
      </c>
      <c r="U63" s="84">
        <f t="shared" si="10"/>
        <v>66.707599999999999</v>
      </c>
      <c r="V63" s="65" cm="1">
        <f t="array" ref="V63">maxDepthToMinSOC($L$8,$L$9,$L$6,$L$7,$L$10,$G$5,$G$6,$S63,T63,$R63,$G$4,$C$8)</f>
        <v>435.60001730918884</v>
      </c>
      <c r="W63" s="83"/>
      <c r="X63" s="60">
        <f>X62+2200</f>
        <v>17600</v>
      </c>
      <c r="Y63" s="59">
        <f t="shared" si="11"/>
        <v>0.72</v>
      </c>
      <c r="Z63" s="64">
        <f t="shared" si="12"/>
        <v>10.72</v>
      </c>
      <c r="AA63" s="64" cm="1">
        <f t="array" ref="AA63">drivePower($C$4,Z63,$C$9,$C$10,$C$11)</f>
        <v>20.943273600000001</v>
      </c>
      <c r="AB63" s="60">
        <f t="shared" si="13"/>
        <v>1172.1600000000001</v>
      </c>
      <c r="AC63" s="65" cm="1">
        <f t="array" ref="AC63">maxDepthToMinSOC($L$8,0,$L$6,$L$7,AB63,$G$5,$G$6,AA63,$C$7,$C$9,$G$4,$C$8)</f>
        <v>1606.2000638246536</v>
      </c>
      <c r="AD63" s="65" cm="1">
        <f t="array" ref="AD63">maxDepthToMinSOC($L$8,$L$9,$L$6,$L$7,AB63,$G$5,$G$6,AA63,$C$7,$C$9,$G$4,$C$8)</f>
        <v>1326.6000527143478</v>
      </c>
    </row>
    <row r="64" spans="7:33" x14ac:dyDescent="0.35">
      <c r="R64" s="59">
        <v>0.5</v>
      </c>
      <c r="S64" s="64" cm="1">
        <f t="array" ref="S64">drivePower($C$4,$C$5,R64,$C$10,$C$11)</f>
        <v>39.207599999999999</v>
      </c>
      <c r="T64" s="84">
        <v>30</v>
      </c>
      <c r="U64" s="84">
        <f t="shared" si="10"/>
        <v>69.207599999999999</v>
      </c>
      <c r="V64" s="65" cm="1">
        <f t="array" ref="V64">maxDepthToMinSOC($L$8,$L$9,$L$6,$L$7,$L$10,$G$5,$G$6,$S64,T64,$R64,$G$4,$C$8)</f>
        <v>405.30001610517502</v>
      </c>
      <c r="W64" s="83"/>
      <c r="X64" s="60">
        <f>X63+2200</f>
        <v>19800</v>
      </c>
      <c r="Y64" s="59">
        <f t="shared" si="11"/>
        <v>0.84</v>
      </c>
      <c r="Z64" s="64">
        <f t="shared" si="12"/>
        <v>10.84</v>
      </c>
      <c r="AA64" s="64" cm="1">
        <f t="array" ref="AA64">drivePower($C$4,Z64,$C$9,$C$10,$C$11)</f>
        <v>21.1665192</v>
      </c>
      <c r="AB64" s="60">
        <f t="shared" si="13"/>
        <v>1318.68</v>
      </c>
      <c r="AC64" s="65" cm="1">
        <f t="array" ref="AC64">maxDepthToMinSOC($L$8,0,$L$6,$L$7,AB64,$G$5,$G$6,AA64,$C$7,$C$9,$G$4,$C$8)</f>
        <v>1719.9000683426857</v>
      </c>
      <c r="AD64" s="65" cm="1">
        <f t="array" ref="AD64">maxDepthToMinSOC($L$8,$L$9,$L$6,$L$7,AB64,$G$5,$G$6,AA64,$C$7,$C$9,$G$4,$C$8)</f>
        <v>1434.9000570178032</v>
      </c>
    </row>
    <row r="65" spans="18:23" x14ac:dyDescent="0.35">
      <c r="R65" s="59">
        <v>0.5</v>
      </c>
      <c r="S65" s="64" cm="1">
        <f t="array" ref="S65">drivePower($C$4,$C$5,R65,$C$10,$C$11)</f>
        <v>39.207599999999999</v>
      </c>
      <c r="T65" s="84">
        <v>32.5</v>
      </c>
      <c r="U65" s="84">
        <f t="shared" si="10"/>
        <v>71.707599999999999</v>
      </c>
      <c r="V65" s="65" cm="1">
        <f t="array" ref="V65">maxDepthToMinSOC($L$8,$L$9,$L$6,$L$7,$L$10,$G$5,$G$6,$S65,T65,$R65,$G$4,$C$8)</f>
        <v>376.80001497268677</v>
      </c>
      <c r="W65" s="82"/>
    </row>
    <row r="66" spans="18:23" x14ac:dyDescent="0.35">
      <c r="R66" s="59">
        <v>0.5</v>
      </c>
      <c r="S66" s="64" cm="1">
        <f t="array" ref="S66">drivePower($C$4,$C$5,R66,$C$10,$C$11)</f>
        <v>39.207599999999999</v>
      </c>
      <c r="T66" s="84">
        <v>35</v>
      </c>
      <c r="U66" s="84">
        <f t="shared" si="10"/>
        <v>74.207599999999999</v>
      </c>
      <c r="V66" s="65" cm="1">
        <f t="array" ref="V66">maxDepthToMinSOC($L$8,$L$9,$L$6,$L$7,$L$10,$G$5,$G$6,$S66,T66,$R66,$G$4,$C$8)</f>
        <v>349.95001390576363</v>
      </c>
      <c r="W66" s="82"/>
    </row>
    <row r="67" spans="18:23" x14ac:dyDescent="0.35">
      <c r="R67" s="59">
        <v>0.5</v>
      </c>
      <c r="S67" s="64" cm="1">
        <f t="array" ref="S67">drivePower($C$4,$C$5,R67,$C$10,$C$11)</f>
        <v>39.207599999999999</v>
      </c>
      <c r="T67" s="84">
        <v>37.5</v>
      </c>
      <c r="U67" s="84">
        <f t="shared" si="10"/>
        <v>76.707599999999999</v>
      </c>
      <c r="V67" s="65" cm="1">
        <f t="array" ref="V67">maxDepthToMinSOC($L$8,$L$9,$L$6,$L$7,$L$10,$G$5,$G$6,$S67,T67,$R67,$G$4,$C$8)</f>
        <v>324.60001289844513</v>
      </c>
      <c r="W67" s="82"/>
    </row>
    <row r="68" spans="18:23" x14ac:dyDescent="0.35">
      <c r="R68" s="59">
        <v>0.5</v>
      </c>
      <c r="S68" s="64" cm="1">
        <f t="array" ref="S68">drivePower($C$4,$C$5,R68,$C$10,$C$11)</f>
        <v>39.207599999999999</v>
      </c>
      <c r="T68" s="84">
        <v>40</v>
      </c>
      <c r="U68" s="84">
        <f t="shared" si="10"/>
        <v>79.207599999999999</v>
      </c>
      <c r="V68" s="65" cm="1">
        <f t="array" ref="V68">maxDepthToMinSOC($L$8,$L$9,$L$6,$L$7,$L$10,$G$5,$G$6,$S68,T68,$R68,$G$4,$C$8)</f>
        <v>300.60001194477081</v>
      </c>
      <c r="W68" s="82"/>
    </row>
    <row r="69" spans="18:23" x14ac:dyDescent="0.35">
      <c r="R69" s="59">
        <v>0.5</v>
      </c>
      <c r="S69" s="64" cm="1">
        <f t="array" ref="S69">drivePower($C$4,$C$5,R69,$C$10,$C$11)</f>
        <v>39.207599999999999</v>
      </c>
      <c r="T69" s="84">
        <v>42.5</v>
      </c>
      <c r="U69" s="84">
        <f t="shared" si="10"/>
        <v>81.707599999999999</v>
      </c>
      <c r="V69" s="65" cm="1">
        <f t="array" ref="V69">maxDepthToMinSOC($L$8,$L$9,$L$6,$L$7,$L$10,$G$5,$G$6,$S69,T69,$R69,$G$4,$C$8)</f>
        <v>277.80001103878021</v>
      </c>
      <c r="W69" s="82"/>
    </row>
  </sheetData>
  <mergeCells count="1">
    <mergeCell ref="B2:F2"/>
  </mergeCells>
  <conditionalFormatting sqref="C12">
    <cfRule type="cellIs" dxfId="3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C2:M44"/>
  <sheetViews>
    <sheetView workbookViewId="0">
      <selection activeCell="E18" sqref="E18"/>
    </sheetView>
  </sheetViews>
  <sheetFormatPr defaultRowHeight="14.5" x14ac:dyDescent="0.35"/>
  <cols>
    <col min="1" max="2" width="11.81640625" customWidth="1"/>
    <col min="3" max="3" width="25.7265625" customWidth="1"/>
    <col min="4" max="4" width="9.453125" customWidth="1"/>
    <col min="11" max="11" width="15" customWidth="1"/>
    <col min="13" max="13" width="12.453125" customWidth="1"/>
  </cols>
  <sheetData>
    <row r="2" spans="3:13" x14ac:dyDescent="0.35">
      <c r="J2" t="s">
        <v>136</v>
      </c>
      <c r="K2" t="s">
        <v>137</v>
      </c>
      <c r="L2" t="s">
        <v>13</v>
      </c>
      <c r="M2" t="s">
        <v>138</v>
      </c>
    </row>
    <row r="3" spans="3:13" x14ac:dyDescent="0.35">
      <c r="D3" t="s">
        <v>133</v>
      </c>
      <c r="E3" t="s">
        <v>134</v>
      </c>
      <c r="F3" t="s">
        <v>135</v>
      </c>
      <c r="J3">
        <v>1</v>
      </c>
      <c r="K3">
        <v>4400</v>
      </c>
      <c r="L3">
        <f>5*3.7</f>
        <v>18.5</v>
      </c>
      <c r="M3" s="66">
        <f>K3*L3*3.6/1000</f>
        <v>293.04000000000002</v>
      </c>
    </row>
    <row r="4" spans="3:13" x14ac:dyDescent="0.35">
      <c r="C4" t="s">
        <v>86</v>
      </c>
      <c r="D4">
        <v>0.25</v>
      </c>
      <c r="E4">
        <v>0.35</v>
      </c>
      <c r="F4">
        <v>0.5</v>
      </c>
      <c r="J4">
        <v>2</v>
      </c>
      <c r="K4">
        <v>6600</v>
      </c>
      <c r="L4">
        <f t="shared" ref="L4:L8" si="0">5*3.7</f>
        <v>18.5</v>
      </c>
      <c r="M4" s="66">
        <f t="shared" ref="M4:M8" si="1">K4*L4*3.6/1000</f>
        <v>439.56</v>
      </c>
    </row>
    <row r="5" spans="3:13" x14ac:dyDescent="0.35">
      <c r="C5" t="s">
        <v>139</v>
      </c>
      <c r="D5">
        <v>2250</v>
      </c>
      <c r="E5">
        <v>2250</v>
      </c>
      <c r="F5">
        <v>2250</v>
      </c>
      <c r="J5">
        <v>3</v>
      </c>
      <c r="K5">
        <v>8800</v>
      </c>
      <c r="L5">
        <f t="shared" si="0"/>
        <v>18.5</v>
      </c>
      <c r="M5" s="66">
        <f t="shared" si="1"/>
        <v>586.08000000000004</v>
      </c>
    </row>
    <row r="6" spans="3:13" x14ac:dyDescent="0.35">
      <c r="J6">
        <v>4</v>
      </c>
      <c r="K6">
        <v>11000</v>
      </c>
      <c r="L6">
        <f t="shared" si="0"/>
        <v>18.5</v>
      </c>
      <c r="M6" s="66">
        <f t="shared" si="1"/>
        <v>732.6</v>
      </c>
    </row>
    <row r="7" spans="3:13" x14ac:dyDescent="0.35">
      <c r="J7">
        <v>5</v>
      </c>
      <c r="K7">
        <f>K6+2200</f>
        <v>13200</v>
      </c>
      <c r="L7">
        <f t="shared" si="0"/>
        <v>18.5</v>
      </c>
      <c r="M7" s="66">
        <f t="shared" si="1"/>
        <v>879.12</v>
      </c>
    </row>
    <row r="8" spans="3:13" x14ac:dyDescent="0.35">
      <c r="J8">
        <v>6</v>
      </c>
      <c r="K8">
        <f>K7+2200</f>
        <v>15400</v>
      </c>
      <c r="L8">
        <f t="shared" si="0"/>
        <v>18.5</v>
      </c>
      <c r="M8" s="66">
        <f t="shared" si="1"/>
        <v>1025.6400000000001</v>
      </c>
    </row>
    <row r="13" spans="3:13" ht="43.5" x14ac:dyDescent="0.35">
      <c r="C13" t="s">
        <v>133</v>
      </c>
      <c r="D13" s="6" t="s">
        <v>146</v>
      </c>
      <c r="E13" s="6" t="s">
        <v>140</v>
      </c>
      <c r="F13" s="6" t="s">
        <v>141</v>
      </c>
      <c r="G13" s="6" t="s">
        <v>142</v>
      </c>
      <c r="H13" s="6" t="s">
        <v>143</v>
      </c>
      <c r="I13" s="6" t="s">
        <v>144</v>
      </c>
      <c r="J13" s="6" t="s">
        <v>145</v>
      </c>
      <c r="K13" s="6"/>
      <c r="L13" s="6"/>
    </row>
    <row r="14" spans="3:13" x14ac:dyDescent="0.35">
      <c r="D14">
        <v>50</v>
      </c>
      <c r="E14" s="66">
        <f>($M$3/D14*1000-$D$5)/2*$D$4</f>
        <v>451.35</v>
      </c>
      <c r="F14" s="66">
        <f>($M$4/$D14*1000-$D$5)/2*$D$4</f>
        <v>817.65000000000009</v>
      </c>
      <c r="G14" s="66">
        <f>($M$5/$D14*1000-$D$5)/2*$D$4</f>
        <v>1183.95</v>
      </c>
      <c r="H14" s="66">
        <f>($M$6/$D14*1000-$D$5)/2*$D$4</f>
        <v>1550.2500000000002</v>
      </c>
      <c r="I14" s="66">
        <f>($M$7/$D14*1000-$D$5)/2*$D$4</f>
        <v>1916.5500000000002</v>
      </c>
      <c r="J14" s="66">
        <f>($M$8/$D14*1000-$D$5)/2*$D$4</f>
        <v>2282.8500000000004</v>
      </c>
    </row>
    <row r="15" spans="3:13" x14ac:dyDescent="0.35">
      <c r="D15">
        <v>55</v>
      </c>
      <c r="E15" s="66">
        <f t="shared" ref="E15:E22" si="2">($M$3/D15*1000-$D$5)/2*$D$4</f>
        <v>384.75</v>
      </c>
      <c r="F15" s="66">
        <f t="shared" ref="F15:F22" si="3">($M$4/$D15*1000-$D$5)/2*$D$4</f>
        <v>717.75</v>
      </c>
      <c r="G15" s="66">
        <f t="shared" ref="G15:G22" si="4">($M$5/$D15*1000-$D$5)/2*$D$4</f>
        <v>1050.75</v>
      </c>
      <c r="H15" s="66">
        <f t="shared" ref="H15:H22" si="5">($M$6/$D15*1000-$D$5)/2*$D$4</f>
        <v>1383.75</v>
      </c>
      <c r="I15" s="66">
        <f t="shared" ref="I15:I22" si="6">($M$7/$D15*1000-$D$5)/2*$D$4</f>
        <v>1716.75</v>
      </c>
      <c r="J15" s="66">
        <f t="shared" ref="J15:J22" si="7">($M$8/$D15*1000-$D$5)/2*$D$4</f>
        <v>2049.7500000000005</v>
      </c>
    </row>
    <row r="16" spans="3:13" x14ac:dyDescent="0.35">
      <c r="D16">
        <v>60</v>
      </c>
      <c r="E16" s="66">
        <f t="shared" si="2"/>
        <v>329.25</v>
      </c>
      <c r="F16" s="66">
        <f t="shared" si="3"/>
        <v>634.5</v>
      </c>
      <c r="G16" s="66">
        <f t="shared" si="4"/>
        <v>939.75</v>
      </c>
      <c r="H16" s="66">
        <f t="shared" si="5"/>
        <v>1245</v>
      </c>
      <c r="I16" s="66">
        <f t="shared" si="6"/>
        <v>1550.25</v>
      </c>
      <c r="J16" s="66">
        <f t="shared" si="7"/>
        <v>1855.5</v>
      </c>
    </row>
    <row r="17" spans="3:10" x14ac:dyDescent="0.35">
      <c r="D17">
        <v>65</v>
      </c>
      <c r="E17" s="66">
        <f t="shared" si="2"/>
        <v>282.28846153846155</v>
      </c>
      <c r="F17" s="66">
        <f t="shared" si="3"/>
        <v>564.05769230769226</v>
      </c>
      <c r="G17" s="66">
        <f t="shared" si="4"/>
        <v>845.82692307692309</v>
      </c>
      <c r="H17" s="66">
        <f t="shared" si="5"/>
        <v>1127.5961538461538</v>
      </c>
      <c r="I17" s="66">
        <f t="shared" si="6"/>
        <v>1409.3653846153845</v>
      </c>
      <c r="J17" s="66">
        <f t="shared" si="7"/>
        <v>1691.1346153846157</v>
      </c>
    </row>
    <row r="18" spans="3:10" x14ac:dyDescent="0.35">
      <c r="D18">
        <v>70</v>
      </c>
      <c r="E18" s="66">
        <f t="shared" si="2"/>
        <v>242.03571428571433</v>
      </c>
      <c r="F18" s="66">
        <f t="shared" si="3"/>
        <v>503.67857142857144</v>
      </c>
      <c r="G18" s="66">
        <f t="shared" si="4"/>
        <v>765.32142857142867</v>
      </c>
      <c r="H18" s="66">
        <f t="shared" si="5"/>
        <v>1026.9642857142858</v>
      </c>
      <c r="I18" s="66">
        <f t="shared" si="6"/>
        <v>1288.6071428571429</v>
      </c>
      <c r="J18" s="66">
        <f t="shared" si="7"/>
        <v>1550.2500000000002</v>
      </c>
    </row>
    <row r="19" spans="3:10" x14ac:dyDescent="0.35">
      <c r="D19">
        <v>80</v>
      </c>
      <c r="E19" s="66">
        <f t="shared" si="2"/>
        <v>176.62500000000006</v>
      </c>
      <c r="F19" s="66">
        <f t="shared" si="3"/>
        <v>405.5625</v>
      </c>
      <c r="G19" s="66">
        <f t="shared" si="4"/>
        <v>634.50000000000011</v>
      </c>
      <c r="H19" s="66">
        <f t="shared" si="5"/>
        <v>863.4375</v>
      </c>
      <c r="I19" s="66">
        <f t="shared" si="6"/>
        <v>1092.375</v>
      </c>
      <c r="J19" s="66">
        <f t="shared" si="7"/>
        <v>1321.3125</v>
      </c>
    </row>
    <row r="20" spans="3:10" x14ac:dyDescent="0.35">
      <c r="D20">
        <v>90</v>
      </c>
      <c r="E20" s="66">
        <f t="shared" si="2"/>
        <v>125.75</v>
      </c>
      <c r="F20" s="66">
        <f t="shared" si="3"/>
        <v>329.25</v>
      </c>
      <c r="G20" s="66">
        <f t="shared" si="4"/>
        <v>532.75</v>
      </c>
      <c r="H20" s="66">
        <f t="shared" si="5"/>
        <v>736.25000000000011</v>
      </c>
      <c r="I20" s="66">
        <f t="shared" si="6"/>
        <v>939.75</v>
      </c>
      <c r="J20" s="66">
        <f t="shared" si="7"/>
        <v>1143.25</v>
      </c>
    </row>
    <row r="21" spans="3:10" x14ac:dyDescent="0.35">
      <c r="D21">
        <v>100</v>
      </c>
      <c r="E21" s="66">
        <f t="shared" si="2"/>
        <v>85.050000000000011</v>
      </c>
      <c r="F21" s="66">
        <f t="shared" si="3"/>
        <v>268.20000000000005</v>
      </c>
      <c r="G21" s="66">
        <f t="shared" si="4"/>
        <v>451.35</v>
      </c>
      <c r="H21" s="66">
        <f t="shared" si="5"/>
        <v>634.50000000000011</v>
      </c>
      <c r="I21" s="66">
        <f t="shared" si="6"/>
        <v>817.65000000000009</v>
      </c>
      <c r="J21" s="66">
        <f t="shared" si="7"/>
        <v>1000.8000000000002</v>
      </c>
    </row>
    <row r="22" spans="3:10" x14ac:dyDescent="0.35">
      <c r="D22">
        <v>110</v>
      </c>
      <c r="E22" s="66">
        <f t="shared" si="2"/>
        <v>51.75</v>
      </c>
      <c r="F22" s="66">
        <f t="shared" si="3"/>
        <v>218.25</v>
      </c>
      <c r="G22" s="66">
        <f t="shared" si="4"/>
        <v>384.75</v>
      </c>
      <c r="H22" s="66">
        <f t="shared" si="5"/>
        <v>551.25</v>
      </c>
      <c r="I22" s="66">
        <f t="shared" si="6"/>
        <v>717.75</v>
      </c>
      <c r="J22" s="66">
        <f t="shared" si="7"/>
        <v>884.25000000000023</v>
      </c>
    </row>
    <row r="24" spans="3:10" ht="43.5" x14ac:dyDescent="0.35">
      <c r="C24" t="s">
        <v>134</v>
      </c>
      <c r="D24" s="6" t="s">
        <v>146</v>
      </c>
      <c r="E24" s="6" t="s">
        <v>140</v>
      </c>
      <c r="F24" s="6" t="s">
        <v>141</v>
      </c>
      <c r="G24" s="6" t="s">
        <v>142</v>
      </c>
      <c r="H24" s="6" t="s">
        <v>143</v>
      </c>
      <c r="I24" s="6" t="s">
        <v>144</v>
      </c>
      <c r="J24" s="6" t="s">
        <v>145</v>
      </c>
    </row>
    <row r="25" spans="3:10" x14ac:dyDescent="0.35">
      <c r="D25">
        <v>50</v>
      </c>
      <c r="E25" s="66">
        <f>($M$3/D25*1000-$D$5)/2*$E$4</f>
        <v>631.89</v>
      </c>
      <c r="F25" s="66">
        <f>($M$4/$D25*1000-$D$5)/2*$E$4</f>
        <v>1144.71</v>
      </c>
      <c r="G25" s="66">
        <f>($M$5/$D25*1000-$D$5)/2*$E$4</f>
        <v>1657.53</v>
      </c>
      <c r="H25" s="66">
        <f>($M$6/$D25*1000-$D$5)/2*$E$4</f>
        <v>2170.3500000000004</v>
      </c>
      <c r="I25" s="66">
        <f>($M$7/$D25*1000-$D$5)/2*$E$4</f>
        <v>2683.17</v>
      </c>
      <c r="J25" s="66">
        <f>($M$8/$D25*1000-$D$5)/2*$E$4</f>
        <v>3195.9900000000002</v>
      </c>
    </row>
    <row r="26" spans="3:10" x14ac:dyDescent="0.35">
      <c r="D26">
        <v>55</v>
      </c>
      <c r="E26" s="66">
        <f t="shared" ref="E26:E33" si="8">($M$3/D26*1000-$D$5)/2*$E$4</f>
        <v>538.65</v>
      </c>
      <c r="F26" s="66">
        <f t="shared" ref="F26:F33" si="9">($M$4/$D26*1000-$D$5)/2*$E$4</f>
        <v>1004.8499999999999</v>
      </c>
      <c r="G26" s="66">
        <f t="shared" ref="G26:G33" si="10">($M$5/$D26*1000-$D$5)/2*$E$4</f>
        <v>1471.05</v>
      </c>
      <c r="H26" s="66">
        <f t="shared" ref="H26:H33" si="11">($M$6/$D26*1000-$D$5)/2*$E$4</f>
        <v>1937.2499999999998</v>
      </c>
      <c r="I26" s="66">
        <f t="shared" ref="I26:I33" si="12">($M$7/$D26*1000-$D$5)/2*$E$4</f>
        <v>2403.4499999999998</v>
      </c>
      <c r="J26" s="66">
        <f t="shared" ref="J26:J33" si="13">($M$8/$D26*1000-$D$5)/2*$E$4</f>
        <v>2869.6500000000005</v>
      </c>
    </row>
    <row r="27" spans="3:10" x14ac:dyDescent="0.35">
      <c r="D27">
        <v>60</v>
      </c>
      <c r="E27" s="66">
        <f t="shared" si="8"/>
        <v>460.95</v>
      </c>
      <c r="F27" s="66">
        <f t="shared" si="9"/>
        <v>888.3</v>
      </c>
      <c r="G27" s="66">
        <f t="shared" si="10"/>
        <v>1315.6499999999999</v>
      </c>
      <c r="H27" s="66">
        <f t="shared" si="11"/>
        <v>1743</v>
      </c>
      <c r="I27" s="66">
        <f t="shared" si="12"/>
        <v>2170.35</v>
      </c>
      <c r="J27" s="66">
        <f t="shared" si="13"/>
        <v>2597.6999999999998</v>
      </c>
    </row>
    <row r="28" spans="3:10" x14ac:dyDescent="0.35">
      <c r="D28">
        <v>65</v>
      </c>
      <c r="E28" s="66">
        <f t="shared" si="8"/>
        <v>395.20384615384614</v>
      </c>
      <c r="F28" s="66">
        <f t="shared" si="9"/>
        <v>789.6807692307691</v>
      </c>
      <c r="G28" s="66">
        <f t="shared" si="10"/>
        <v>1184.1576923076923</v>
      </c>
      <c r="H28" s="66">
        <f t="shared" si="11"/>
        <v>1578.6346153846152</v>
      </c>
      <c r="I28" s="66">
        <f t="shared" si="12"/>
        <v>1973.1115384615382</v>
      </c>
      <c r="J28" s="66">
        <f t="shared" si="13"/>
        <v>2367.5884615384616</v>
      </c>
    </row>
    <row r="29" spans="3:10" x14ac:dyDescent="0.35">
      <c r="D29">
        <v>70</v>
      </c>
      <c r="E29" s="66">
        <f t="shared" si="8"/>
        <v>338.85</v>
      </c>
      <c r="F29" s="66">
        <f t="shared" si="9"/>
        <v>705.15</v>
      </c>
      <c r="G29" s="66">
        <f t="shared" si="10"/>
        <v>1071.45</v>
      </c>
      <c r="H29" s="66">
        <f t="shared" si="11"/>
        <v>1437.75</v>
      </c>
      <c r="I29" s="66">
        <f t="shared" si="12"/>
        <v>1804.05</v>
      </c>
      <c r="J29" s="66">
        <f t="shared" si="13"/>
        <v>2170.3500000000004</v>
      </c>
    </row>
    <row r="30" spans="3:10" x14ac:dyDescent="0.35">
      <c r="D30">
        <v>80</v>
      </c>
      <c r="E30" s="66">
        <f t="shared" si="8"/>
        <v>247.27500000000006</v>
      </c>
      <c r="F30" s="66">
        <f t="shared" si="9"/>
        <v>567.78749999999991</v>
      </c>
      <c r="G30" s="66">
        <f t="shared" si="10"/>
        <v>888.30000000000007</v>
      </c>
      <c r="H30" s="66">
        <f t="shared" si="11"/>
        <v>1208.8125</v>
      </c>
      <c r="I30" s="66">
        <f t="shared" si="12"/>
        <v>1529.3249999999998</v>
      </c>
      <c r="J30" s="66">
        <f t="shared" si="13"/>
        <v>1849.8374999999999</v>
      </c>
    </row>
    <row r="31" spans="3:10" x14ac:dyDescent="0.35">
      <c r="D31">
        <v>90</v>
      </c>
      <c r="E31" s="66">
        <f t="shared" si="8"/>
        <v>176.04999999999998</v>
      </c>
      <c r="F31" s="66">
        <f t="shared" si="9"/>
        <v>460.95</v>
      </c>
      <c r="G31" s="66">
        <f t="shared" si="10"/>
        <v>745.84999999999991</v>
      </c>
      <c r="H31" s="66">
        <f t="shared" si="11"/>
        <v>1030.75</v>
      </c>
      <c r="I31" s="66">
        <f t="shared" si="12"/>
        <v>1315.6499999999999</v>
      </c>
      <c r="J31" s="66">
        <f t="shared" si="13"/>
        <v>1600.55</v>
      </c>
    </row>
    <row r="32" spans="3:10" x14ac:dyDescent="0.35">
      <c r="D32">
        <v>100</v>
      </c>
      <c r="E32" s="66">
        <f t="shared" si="8"/>
        <v>119.07000000000001</v>
      </c>
      <c r="F32" s="66">
        <f t="shared" si="9"/>
        <v>375.48</v>
      </c>
      <c r="G32" s="66">
        <f t="shared" si="10"/>
        <v>631.89</v>
      </c>
      <c r="H32" s="66">
        <f t="shared" si="11"/>
        <v>888.30000000000007</v>
      </c>
      <c r="I32" s="66">
        <f t="shared" si="12"/>
        <v>1144.71</v>
      </c>
      <c r="J32" s="66">
        <f t="shared" si="13"/>
        <v>1401.1200000000001</v>
      </c>
    </row>
    <row r="33" spans="3:10" x14ac:dyDescent="0.35">
      <c r="D33">
        <v>110</v>
      </c>
      <c r="E33" s="66">
        <f t="shared" si="8"/>
        <v>72.449999999999989</v>
      </c>
      <c r="F33" s="66">
        <f t="shared" si="9"/>
        <v>305.54999999999995</v>
      </c>
      <c r="G33" s="66">
        <f t="shared" si="10"/>
        <v>538.65</v>
      </c>
      <c r="H33" s="66">
        <f t="shared" si="11"/>
        <v>771.75</v>
      </c>
      <c r="I33" s="66">
        <f t="shared" si="12"/>
        <v>1004.8499999999999</v>
      </c>
      <c r="J33" s="66">
        <f t="shared" si="13"/>
        <v>1237.9500000000003</v>
      </c>
    </row>
    <row r="35" spans="3:10" ht="43.5" x14ac:dyDescent="0.35">
      <c r="C35" t="s">
        <v>135</v>
      </c>
      <c r="D35" s="6" t="s">
        <v>146</v>
      </c>
      <c r="E35" s="6" t="s">
        <v>140</v>
      </c>
      <c r="F35" s="6" t="s">
        <v>141</v>
      </c>
      <c r="G35" s="6" t="s">
        <v>142</v>
      </c>
      <c r="H35" s="6" t="s">
        <v>143</v>
      </c>
      <c r="I35" s="6" t="s">
        <v>144</v>
      </c>
      <c r="J35" s="6" t="s">
        <v>145</v>
      </c>
    </row>
    <row r="36" spans="3:10" x14ac:dyDescent="0.35">
      <c r="D36">
        <v>50</v>
      </c>
      <c r="E36" s="66">
        <f>($M$3/D36*1000-$D$5)/2*$F$4</f>
        <v>902.7</v>
      </c>
      <c r="F36" s="66">
        <f>($M$4/$D36*1000-$D$5)/2*$F$4</f>
        <v>1635.3000000000002</v>
      </c>
      <c r="G36" s="66">
        <f>($M$5/$D36*1000-$D$5)/2*$F$4</f>
        <v>2367.9</v>
      </c>
      <c r="H36" s="66">
        <f>($M$6/$D36*1000-$D$5)/2*$F$4</f>
        <v>3100.5000000000005</v>
      </c>
      <c r="I36" s="66">
        <f>($M$7/$D36*1000-$D$5)/2*$F$4</f>
        <v>3833.1000000000004</v>
      </c>
      <c r="J36" s="66">
        <f>($M$8/$D36*1000-$D$5)/2*$F$4</f>
        <v>4565.7000000000007</v>
      </c>
    </row>
    <row r="37" spans="3:10" x14ac:dyDescent="0.35">
      <c r="D37">
        <v>55</v>
      </c>
      <c r="E37" s="66">
        <f t="shared" ref="E37:E44" si="14">($M$3/D37*1000-$D$5)/2*$F$4</f>
        <v>769.5</v>
      </c>
      <c r="F37" s="66">
        <f t="shared" ref="F37:F44" si="15">($M$4/$D37*1000-$D$5)/2*$F$4</f>
        <v>1435.5</v>
      </c>
      <c r="G37" s="66">
        <f t="shared" ref="G37:G44" si="16">($M$5/$D37*1000-$D$5)/2*$F$4</f>
        <v>2101.5</v>
      </c>
      <c r="H37" s="66">
        <f t="shared" ref="H37:H44" si="17">($M$6/$D37*1000-$D$5)/2*$F$4</f>
        <v>2767.5</v>
      </c>
      <c r="I37" s="66">
        <f t="shared" ref="I37:I44" si="18">($M$7/$D37*1000-$D$5)/2*$F$4</f>
        <v>3433.5</v>
      </c>
      <c r="J37" s="66">
        <f t="shared" ref="J37:J44" si="19">($M$8/$D37*1000-$D$5)/2*$F$4</f>
        <v>4099.5000000000009</v>
      </c>
    </row>
    <row r="38" spans="3:10" x14ac:dyDescent="0.35">
      <c r="D38">
        <v>60</v>
      </c>
      <c r="E38" s="66">
        <f t="shared" si="14"/>
        <v>658.5</v>
      </c>
      <c r="F38" s="66">
        <f t="shared" si="15"/>
        <v>1269</v>
      </c>
      <c r="G38" s="66">
        <f t="shared" si="16"/>
        <v>1879.5</v>
      </c>
      <c r="H38" s="66">
        <f t="shared" si="17"/>
        <v>2490</v>
      </c>
      <c r="I38" s="66">
        <f t="shared" si="18"/>
        <v>3100.5</v>
      </c>
      <c r="J38" s="66">
        <f t="shared" si="19"/>
        <v>3711</v>
      </c>
    </row>
    <row r="39" spans="3:10" x14ac:dyDescent="0.35">
      <c r="D39">
        <v>65</v>
      </c>
      <c r="E39" s="66">
        <f t="shared" si="14"/>
        <v>564.57692307692309</v>
      </c>
      <c r="F39" s="66">
        <f t="shared" si="15"/>
        <v>1128.1153846153845</v>
      </c>
      <c r="G39" s="66">
        <f t="shared" si="16"/>
        <v>1691.6538461538462</v>
      </c>
      <c r="H39" s="66">
        <f t="shared" si="17"/>
        <v>2255.1923076923076</v>
      </c>
      <c r="I39" s="66">
        <f t="shared" si="18"/>
        <v>2818.7307692307691</v>
      </c>
      <c r="J39" s="66">
        <f t="shared" si="19"/>
        <v>3382.2692307692314</v>
      </c>
    </row>
    <row r="40" spans="3:10" x14ac:dyDescent="0.35">
      <c r="D40">
        <v>70</v>
      </c>
      <c r="E40" s="66">
        <f t="shared" si="14"/>
        <v>484.07142857142867</v>
      </c>
      <c r="F40" s="66">
        <f t="shared" si="15"/>
        <v>1007.3571428571429</v>
      </c>
      <c r="G40" s="66">
        <f t="shared" si="16"/>
        <v>1530.6428571428573</v>
      </c>
      <c r="H40" s="66">
        <f t="shared" si="17"/>
        <v>2053.9285714285716</v>
      </c>
      <c r="I40" s="66">
        <f t="shared" si="18"/>
        <v>2577.2142857142858</v>
      </c>
      <c r="J40" s="66">
        <f t="shared" si="19"/>
        <v>3100.5000000000005</v>
      </c>
    </row>
    <row r="41" spans="3:10" x14ac:dyDescent="0.35">
      <c r="D41">
        <v>80</v>
      </c>
      <c r="E41" s="66">
        <f t="shared" si="14"/>
        <v>353.25000000000011</v>
      </c>
      <c r="F41" s="66">
        <f t="shared" si="15"/>
        <v>811.125</v>
      </c>
      <c r="G41" s="66">
        <f t="shared" si="16"/>
        <v>1269.0000000000002</v>
      </c>
      <c r="H41" s="66">
        <f t="shared" si="17"/>
        <v>1726.875</v>
      </c>
      <c r="I41" s="66">
        <f t="shared" si="18"/>
        <v>2184.75</v>
      </c>
      <c r="J41" s="66">
        <f t="shared" si="19"/>
        <v>2642.625</v>
      </c>
    </row>
    <row r="42" spans="3:10" x14ac:dyDescent="0.35">
      <c r="D42">
        <v>90</v>
      </c>
      <c r="E42" s="66">
        <f t="shared" si="14"/>
        <v>251.5</v>
      </c>
      <c r="F42" s="66">
        <f t="shared" si="15"/>
        <v>658.5</v>
      </c>
      <c r="G42" s="66">
        <f t="shared" si="16"/>
        <v>1065.5</v>
      </c>
      <c r="H42" s="66">
        <f t="shared" si="17"/>
        <v>1472.5000000000002</v>
      </c>
      <c r="I42" s="66">
        <f t="shared" si="18"/>
        <v>1879.5</v>
      </c>
      <c r="J42" s="66">
        <f t="shared" si="19"/>
        <v>2286.5</v>
      </c>
    </row>
    <row r="43" spans="3:10" x14ac:dyDescent="0.35">
      <c r="D43">
        <v>100</v>
      </c>
      <c r="E43" s="66">
        <f t="shared" si="14"/>
        <v>170.10000000000002</v>
      </c>
      <c r="F43" s="66">
        <f t="shared" si="15"/>
        <v>536.40000000000009</v>
      </c>
      <c r="G43" s="66">
        <f t="shared" si="16"/>
        <v>902.7</v>
      </c>
      <c r="H43" s="66">
        <f t="shared" si="17"/>
        <v>1269.0000000000002</v>
      </c>
      <c r="I43" s="66">
        <f t="shared" si="18"/>
        <v>1635.3000000000002</v>
      </c>
      <c r="J43" s="66">
        <f t="shared" si="19"/>
        <v>2001.6000000000004</v>
      </c>
    </row>
    <row r="44" spans="3:10" x14ac:dyDescent="0.35">
      <c r="D44">
        <v>110</v>
      </c>
      <c r="E44" s="66">
        <f t="shared" si="14"/>
        <v>103.5</v>
      </c>
      <c r="F44" s="66">
        <f t="shared" si="15"/>
        <v>436.5</v>
      </c>
      <c r="G44" s="66">
        <f t="shared" si="16"/>
        <v>769.5</v>
      </c>
      <c r="H44" s="66">
        <f t="shared" si="17"/>
        <v>1102.5</v>
      </c>
      <c r="I44" s="66">
        <f t="shared" si="18"/>
        <v>1435.5</v>
      </c>
      <c r="J44" s="66">
        <f t="shared" si="19"/>
        <v>1768.5000000000005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212"/>
  <sheetViews>
    <sheetView topLeftCell="J191"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-5.0000000000000002E-5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66.679160600000003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>
        <v>20</v>
      </c>
      <c r="D12" s="55" t="s">
        <v>7</v>
      </c>
      <c r="E12" s="15"/>
      <c r="F12" s="55" t="s">
        <v>119</v>
      </c>
      <c r="G12" s="80">
        <f>C12+C7</f>
        <v>44.679160600000003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15032.250597327948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0.25</v>
      </c>
      <c r="H18" s="64" cm="1">
        <f t="array" ref="H18">drivePower($C$4,$C$5,G18,$C$10,$C$11)</f>
        <v>19.6038</v>
      </c>
      <c r="I18" s="84">
        <f>C7</f>
        <v>24.679160599999999</v>
      </c>
      <c r="J18" s="84">
        <f>H18+I18</f>
        <v>44.282960599999996</v>
      </c>
      <c r="K18" s="60">
        <v>2200</v>
      </c>
      <c r="L18" s="59">
        <f>(K18-4400)*(5*0.048)/4400</f>
        <v>-0.12</v>
      </c>
      <c r="M18" s="64">
        <f>$C$5+L18*1.1</f>
        <v>9.8680000000000003</v>
      </c>
      <c r="N18" s="64" cm="1">
        <f t="array" ref="N18">drivePower($C$4,M18,$C$9,$C$10,$C$11)</f>
        <v>19.35822984</v>
      </c>
      <c r="O18" s="86">
        <f t="shared" ref="O18:O29" si="0">K18*3.6/1000*$L$4</f>
        <v>146.52000000000001</v>
      </c>
      <c r="P18" s="90">
        <f>$L$6*3</f>
        <v>-1.5000000000000001E-4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126.75000503659248</v>
      </c>
      <c r="U18" s="12" cm="1">
        <f t="array" ref="U18">maxDepthToMinSOC($L$8,$L$9,P18,Q18,$O18,$G$5,$G$6,drivePower($C$4,$M18,$G18,$C$10,$C$11),$I18,$G18,$G$4,$C$8)</f>
        <v>90.45000359416008</v>
      </c>
      <c r="V18" s="93">
        <f>AVERAGE(T18:U18)</f>
        <v>108.60000431537628</v>
      </c>
    </row>
    <row r="19" spans="7:22" x14ac:dyDescent="0.35">
      <c r="G19" s="59">
        <f t="shared" ref="G19:G212" si="1">$C$9</f>
        <v>0.25</v>
      </c>
      <c r="H19" s="64" cm="1">
        <f t="array" ref="H19">drivePower($C$4,$C$5,G19,$C$10,$C$11)</f>
        <v>19.6038</v>
      </c>
      <c r="I19" s="84">
        <f>I18</f>
        <v>24.679160599999999</v>
      </c>
      <c r="J19" s="84">
        <f t="shared" ref="J19:J29" si="2">H19+I19</f>
        <v>44.282960599999996</v>
      </c>
      <c r="K19" s="60">
        <v>4400</v>
      </c>
      <c r="L19" s="59">
        <f t="shared" ref="L19:L29" si="3">(K19-4400)*(5*0.048)/4400</f>
        <v>0</v>
      </c>
      <c r="M19" s="64">
        <f t="shared" ref="M19" si="4">$C$5+L19</f>
        <v>10</v>
      </c>
      <c r="N19" s="64" cm="1">
        <f t="array" ref="N19">drivePower($C$4,M19,$C$9,$C$10,$C$11)</f>
        <v>19.6038</v>
      </c>
      <c r="O19" s="86">
        <f t="shared" si="0"/>
        <v>293.04000000000002</v>
      </c>
      <c r="P19" s="90">
        <f t="shared" ref="P19:P212" si="5">$L$6*3</f>
        <v>-1.5000000000000001E-4</v>
      </c>
      <c r="Q19" s="91">
        <f t="shared" ref="Q19:Q212" si="6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410.10001629590988</v>
      </c>
      <c r="U19" s="12" cm="1">
        <f t="array" ref="U19">maxDepthToMinSOC($L$8,$L$9,P19,Q19,$O19,$G$5,$G$6,drivePower($C$4,$M19,$G19,$C$10,$C$11),$I19,$G19,$G$4,$C$8)</f>
        <v>330.45001313090324</v>
      </c>
      <c r="V19" s="93">
        <f t="shared" ref="V19:V82" si="7">AVERAGE(T19:U19)</f>
        <v>370.27501471340656</v>
      </c>
    </row>
    <row r="20" spans="7:22" x14ac:dyDescent="0.35">
      <c r="G20" s="59">
        <f t="shared" si="1"/>
        <v>0.25</v>
      </c>
      <c r="H20" s="64" cm="1">
        <f t="array" ref="H20">drivePower($C$4,$C$5,G20,$C$10,$C$11)</f>
        <v>19.6038</v>
      </c>
      <c r="I20" s="84">
        <f t="shared" ref="I20:I44" si="8">I19</f>
        <v>24.679160599999999</v>
      </c>
      <c r="J20" s="84">
        <f t="shared" si="2"/>
        <v>44.282960599999996</v>
      </c>
      <c r="K20" s="60">
        <v>6600</v>
      </c>
      <c r="L20" s="59">
        <f t="shared" si="3"/>
        <v>0.12</v>
      </c>
      <c r="M20" s="64">
        <f>$C$5+L20*1.1</f>
        <v>10.132</v>
      </c>
      <c r="N20" s="64" cm="1">
        <f t="array" ref="N20">drivePower($C$4,M20,$C$9,$C$10,$C$11)</f>
        <v>19.849370159999999</v>
      </c>
      <c r="O20" s="86">
        <f t="shared" si="0"/>
        <v>439.56</v>
      </c>
      <c r="P20" s="90">
        <f t="shared" si="5"/>
        <v>-1.5000000000000001E-4</v>
      </c>
      <c r="Q20" s="91">
        <f t="shared" si="6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685.50002723932266</v>
      </c>
      <c r="U20" s="12" cm="1">
        <f t="array" ref="U20">maxDepthToMinSOC($L$8,$L$9,P20,Q20,$O20,$G$5,$G$6,drivePower($C$4,$M20,$G20,$C$10,$C$11),$I20,$G20,$G$4,$C$8)</f>
        <v>556.35002210736275</v>
      </c>
      <c r="V20" s="93">
        <f t="shared" si="7"/>
        <v>620.9250246733427</v>
      </c>
    </row>
    <row r="21" spans="7:22" x14ac:dyDescent="0.35">
      <c r="G21" s="59">
        <f t="shared" si="1"/>
        <v>0.25</v>
      </c>
      <c r="H21" s="64" cm="1">
        <f t="array" ref="H21">drivePower($C$4,$C$5,G21,$C$10,$C$11)</f>
        <v>19.6038</v>
      </c>
      <c r="I21" s="84">
        <f t="shared" si="8"/>
        <v>24.679160599999999</v>
      </c>
      <c r="J21" s="84">
        <f t="shared" si="2"/>
        <v>44.282960599999996</v>
      </c>
      <c r="K21" s="60">
        <v>8800</v>
      </c>
      <c r="L21" s="59">
        <f t="shared" si="3"/>
        <v>0.24</v>
      </c>
      <c r="M21" s="64">
        <f t="shared" ref="M21:M84" si="9">$C$5+L21*1.1</f>
        <v>10.263999999999999</v>
      </c>
      <c r="N21" s="64" cm="1">
        <f t="array" ref="N21">drivePower($C$4,M21,$C$9,$C$10,$C$11)</f>
        <v>20.094940319999999</v>
      </c>
      <c r="O21" s="86">
        <f t="shared" si="0"/>
        <v>586.08000000000004</v>
      </c>
      <c r="P21" s="90">
        <f t="shared" si="5"/>
        <v>-1.5000000000000001E-4</v>
      </c>
      <c r="Q21" s="91">
        <f t="shared" si="6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953.55003789067268</v>
      </c>
      <c r="U21" s="12" cm="1">
        <f t="array" ref="U21">maxDepthToMinSOC($L$8,$L$9,P21,Q21,$O21,$G$5,$G$6,drivePower($C$4,$M21,$G21,$C$10,$C$11),$I21,$G21,$G$4,$C$8)</f>
        <v>769.65003058314323</v>
      </c>
      <c r="V21" s="93">
        <f t="shared" si="7"/>
        <v>861.60003423690796</v>
      </c>
    </row>
    <row r="22" spans="7:22" x14ac:dyDescent="0.35">
      <c r="G22" s="59">
        <f t="shared" si="1"/>
        <v>0.25</v>
      </c>
      <c r="H22" s="64" cm="1">
        <f t="array" ref="H22">drivePower($C$4,$C$5,G22,$C$10,$C$11)</f>
        <v>19.6038</v>
      </c>
      <c r="I22" s="84">
        <f t="shared" si="8"/>
        <v>24.679160599999999</v>
      </c>
      <c r="J22" s="84">
        <f t="shared" si="2"/>
        <v>44.282960599999996</v>
      </c>
      <c r="K22" s="60">
        <f>K21+2200</f>
        <v>11000</v>
      </c>
      <c r="L22" s="59">
        <f t="shared" si="3"/>
        <v>0.36</v>
      </c>
      <c r="M22" s="64">
        <f t="shared" si="9"/>
        <v>10.396000000000001</v>
      </c>
      <c r="N22" s="64" cm="1">
        <f t="array" ref="N22">drivePower($C$4,M22,$C$9,$C$10,$C$11)</f>
        <v>20.340510479999999</v>
      </c>
      <c r="O22" s="86">
        <f t="shared" si="0"/>
        <v>732.6</v>
      </c>
      <c r="P22" s="90">
        <f t="shared" si="5"/>
        <v>-1.5000000000000001E-4</v>
      </c>
      <c r="Q22" s="91">
        <f t="shared" si="6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1214.4000482559204</v>
      </c>
      <c r="U22" s="12" cm="1">
        <f t="array" ref="U22">maxDepthToMinSOC($L$8,$L$9,P22,Q22,$O22,$G$5,$G$6,drivePower($C$4,$M22,$G22,$C$10,$C$11),$I22,$G22,$G$4,$C$8)</f>
        <v>971.25003859400749</v>
      </c>
      <c r="V22" s="93">
        <f t="shared" si="7"/>
        <v>1092.825043424964</v>
      </c>
    </row>
    <row r="23" spans="7:22" x14ac:dyDescent="0.35">
      <c r="G23" s="59">
        <f t="shared" si="1"/>
        <v>0.25</v>
      </c>
      <c r="H23" s="64" cm="1">
        <f t="array" ref="H23">drivePower($C$4,$C$5,G23,$C$10,$C$11)</f>
        <v>19.6038</v>
      </c>
      <c r="I23" s="84">
        <f t="shared" si="8"/>
        <v>24.679160599999999</v>
      </c>
      <c r="J23" s="84">
        <f t="shared" si="2"/>
        <v>44.282960599999996</v>
      </c>
      <c r="K23" s="60">
        <f t="shared" ref="K23:K212" si="10">K22+2200</f>
        <v>13200</v>
      </c>
      <c r="L23" s="59">
        <f t="shared" si="3"/>
        <v>0.48</v>
      </c>
      <c r="M23" s="64">
        <f t="shared" si="9"/>
        <v>10.528</v>
      </c>
      <c r="N23" s="64" cm="1">
        <f t="array" ref="N23">drivePower($C$4,M23,$C$9,$C$10,$C$11)</f>
        <v>20.586080639999999</v>
      </c>
      <c r="O23" s="86">
        <f t="shared" si="0"/>
        <v>879.12</v>
      </c>
      <c r="P23" s="90">
        <f t="shared" si="5"/>
        <v>-1.5000000000000001E-4</v>
      </c>
      <c r="Q23" s="91">
        <f t="shared" si="6"/>
        <v>0.82280000000000009</v>
      </c>
      <c r="R23" s="98">
        <v>0.15</v>
      </c>
      <c r="S23" s="95">
        <f t="shared" ref="S23:S212" si="11">S22+2200</f>
        <v>13200</v>
      </c>
      <c r="T23" s="92" cm="1">
        <f t="array" ref="T23">maxDepthToMinSOC($L$8,$L$9,$L$6,$L$7,$O23,$G$5,$G$6,drivePower($C$4,$M23,$G23,$C$10,$C$11),$I23,$G23,$G$4,$C$8)</f>
        <v>1468.3500583469868</v>
      </c>
      <c r="U23" s="12" cm="1">
        <f t="array" ref="U23">maxDepthToMinSOC($L$8,$L$9,P23,Q23,$O23,$G$5,$G$6,drivePower($C$4,$M23,$G23,$C$10,$C$11),$I23,$G23,$G$4,$C$8)</f>
        <v>1162.0500461757183</v>
      </c>
      <c r="V23" s="93">
        <f t="shared" si="7"/>
        <v>1315.2000522613525</v>
      </c>
    </row>
    <row r="24" spans="7:22" x14ac:dyDescent="0.35">
      <c r="G24" s="59">
        <f t="shared" si="1"/>
        <v>0.25</v>
      </c>
      <c r="H24" s="64" cm="1">
        <f t="array" ref="H24">drivePower($C$4,$C$5,G24,$C$10,$C$11)</f>
        <v>19.6038</v>
      </c>
      <c r="I24" s="84">
        <f t="shared" si="8"/>
        <v>24.679160599999999</v>
      </c>
      <c r="J24" s="84">
        <f t="shared" si="2"/>
        <v>44.282960599999996</v>
      </c>
      <c r="K24" s="60">
        <f t="shared" si="10"/>
        <v>15400</v>
      </c>
      <c r="L24" s="59">
        <f t="shared" si="3"/>
        <v>0.6</v>
      </c>
      <c r="M24" s="64">
        <f t="shared" si="9"/>
        <v>10.66</v>
      </c>
      <c r="N24" s="64" cm="1">
        <f t="array" ref="N24">drivePower($C$4,M24,$C$9,$C$10,$C$11)</f>
        <v>20.831650799999998</v>
      </c>
      <c r="O24" s="86">
        <f t="shared" si="0"/>
        <v>1025.6399999999999</v>
      </c>
      <c r="P24" s="90">
        <f t="shared" si="5"/>
        <v>-1.5000000000000001E-4</v>
      </c>
      <c r="Q24" s="91">
        <f t="shared" si="6"/>
        <v>0.82280000000000009</v>
      </c>
      <c r="R24" s="98">
        <v>0.15</v>
      </c>
      <c r="S24" s="95">
        <f t="shared" si="11"/>
        <v>15400</v>
      </c>
      <c r="T24" s="92" cm="1">
        <f t="array" ref="T24">maxDepthToMinSOC($L$8,$L$9,$L$6,$L$7,$O24,$G$5,$G$6,drivePower($C$4,$M24,$G24,$C$10,$C$11),$I24,$G24,$G$4,$C$8)</f>
        <v>1715.8500681817532</v>
      </c>
      <c r="U24" s="12" cm="1">
        <f t="array" ref="U24">maxDepthToMinSOC($L$8,$L$9,P24,Q24,$O24,$G$5,$G$6,drivePower($C$4,$M24,$G24,$C$10,$C$11),$I24,$G24,$G$4,$C$8)</f>
        <v>1342.9500533640385</v>
      </c>
      <c r="V24" s="93">
        <f t="shared" si="7"/>
        <v>1529.4000607728958</v>
      </c>
    </row>
    <row r="25" spans="7:22" x14ac:dyDescent="0.35">
      <c r="G25" s="59">
        <f t="shared" si="1"/>
        <v>0.25</v>
      </c>
      <c r="H25" s="64" cm="1">
        <f t="array" ref="H25">drivePower($C$4,$C$5,G25,$C$10,$C$11)</f>
        <v>19.6038</v>
      </c>
      <c r="I25" s="84">
        <f t="shared" si="8"/>
        <v>24.679160599999999</v>
      </c>
      <c r="J25" s="84">
        <f t="shared" si="2"/>
        <v>44.282960599999996</v>
      </c>
      <c r="K25" s="60">
        <f t="shared" si="10"/>
        <v>17600</v>
      </c>
      <c r="L25" s="59">
        <f t="shared" si="3"/>
        <v>0.72</v>
      </c>
      <c r="M25" s="64">
        <f t="shared" si="9"/>
        <v>10.792</v>
      </c>
      <c r="N25" s="64" cm="1">
        <f t="array" ref="N25">drivePower($C$4,M25,$C$9,$C$10,$C$11)</f>
        <v>21.077220959999998</v>
      </c>
      <c r="O25" s="86">
        <f t="shared" si="0"/>
        <v>1172.1600000000001</v>
      </c>
      <c r="P25" s="90">
        <f t="shared" si="5"/>
        <v>-1.5000000000000001E-4</v>
      </c>
      <c r="Q25" s="91">
        <f t="shared" si="6"/>
        <v>0.82280000000000009</v>
      </c>
      <c r="R25" s="98">
        <v>0.15</v>
      </c>
      <c r="S25" s="95">
        <f t="shared" si="11"/>
        <v>17600</v>
      </c>
      <c r="T25" s="92" cm="1">
        <f t="array" ref="T25">maxDepthToMinSOC($L$8,$L$9,$L$6,$L$7,$O25,$G$5,$G$6,drivePower($C$4,$M25,$G25,$C$10,$C$11),$I25,$G25,$G$4,$C$8)</f>
        <v>1956.7500777542591</v>
      </c>
      <c r="U25" s="12" cm="1">
        <f t="array" ref="U25">maxDepthToMinSOC($L$8,$L$9,P25,Q25,$O25,$G$5,$G$6,drivePower($C$4,$M25,$G25,$C$10,$C$11),$I25,$G25,$G$4,$C$8)</f>
        <v>1514.7000601887703</v>
      </c>
      <c r="V25" s="93">
        <f t="shared" si="7"/>
        <v>1735.7250689715147</v>
      </c>
    </row>
    <row r="26" spans="7:22" x14ac:dyDescent="0.35">
      <c r="G26" s="59">
        <f t="shared" si="1"/>
        <v>0.25</v>
      </c>
      <c r="H26" s="64" cm="1">
        <f t="array" ref="H26">drivePower($C$4,$C$5,G26,$C$10,$C$11)</f>
        <v>19.6038</v>
      </c>
      <c r="I26" s="84">
        <f t="shared" si="8"/>
        <v>24.679160599999999</v>
      </c>
      <c r="J26" s="84">
        <f t="shared" si="2"/>
        <v>44.282960599999996</v>
      </c>
      <c r="K26" s="60">
        <f t="shared" si="10"/>
        <v>19800</v>
      </c>
      <c r="L26" s="59">
        <f t="shared" si="3"/>
        <v>0.84</v>
      </c>
      <c r="M26" s="64">
        <f t="shared" si="9"/>
        <v>10.923999999999999</v>
      </c>
      <c r="N26" s="64" cm="1">
        <f t="array" ref="N26">drivePower($C$4,M26,$C$9,$C$10,$C$11)</f>
        <v>21.322791119999998</v>
      </c>
      <c r="O26" s="86">
        <f t="shared" si="0"/>
        <v>1318.68</v>
      </c>
      <c r="P26" s="90">
        <f t="shared" si="5"/>
        <v>-1.5000000000000001E-4</v>
      </c>
      <c r="Q26" s="91">
        <f t="shared" si="6"/>
        <v>0.82280000000000009</v>
      </c>
      <c r="R26" s="98">
        <v>0.15</v>
      </c>
      <c r="S26" s="95">
        <f t="shared" si="11"/>
        <v>19800</v>
      </c>
      <c r="T26" s="92" cm="1">
        <f t="array" ref="T26">maxDepthToMinSOC($L$8,$L$9,$L$6,$L$7,$O26,$G$5,$G$6,drivePower($C$4,$M26,$G26,$C$10,$C$11),$I26,$G26,$G$4,$C$8)</f>
        <v>2191.6500870883465</v>
      </c>
      <c r="U26" s="12" cm="1">
        <f t="array" ref="U26">maxDepthToMinSOC($L$8,$L$9,P26,Q26,$O26,$G$5,$G$6,drivePower($C$4,$M26,$G26,$C$10,$C$11),$I26,$G26,$G$4,$C$8)</f>
        <v>1678.0500666797161</v>
      </c>
      <c r="V26" s="93">
        <f t="shared" si="7"/>
        <v>1934.8500768840313</v>
      </c>
    </row>
    <row r="27" spans="7:22" x14ac:dyDescent="0.35">
      <c r="G27" s="59">
        <f t="shared" si="1"/>
        <v>0.25</v>
      </c>
      <c r="H27" s="64" cm="1">
        <f t="array" ref="H27">drivePower($C$4,$C$5,G27,$C$10,$C$11)</f>
        <v>19.6038</v>
      </c>
      <c r="I27" s="84">
        <f t="shared" si="8"/>
        <v>24.679160599999999</v>
      </c>
      <c r="J27" s="84">
        <f t="shared" si="2"/>
        <v>44.282960599999996</v>
      </c>
      <c r="K27" s="60">
        <f t="shared" si="10"/>
        <v>22000</v>
      </c>
      <c r="L27" s="59">
        <f t="shared" si="3"/>
        <v>0.96</v>
      </c>
      <c r="M27" s="64">
        <f t="shared" si="9"/>
        <v>11.056000000000001</v>
      </c>
      <c r="N27" s="64" cm="1">
        <f t="array" ref="N27">drivePower($C$4,M27,$C$9,$C$10,$C$11)</f>
        <v>21.568361280000001</v>
      </c>
      <c r="O27" s="86">
        <f t="shared" si="0"/>
        <v>1465.2</v>
      </c>
      <c r="P27" s="90">
        <f t="shared" si="5"/>
        <v>-1.5000000000000001E-4</v>
      </c>
      <c r="Q27" s="91">
        <f t="shared" si="6"/>
        <v>0.82280000000000009</v>
      </c>
      <c r="R27" s="98">
        <v>0.15</v>
      </c>
      <c r="S27" s="95">
        <f t="shared" si="11"/>
        <v>22000</v>
      </c>
      <c r="T27" s="92" cm="1">
        <f t="array" ref="T27">maxDepthToMinSOC($L$8,$L$9,$L$6,$L$7,$O27,$G$5,$G$6,drivePower($C$4,$M27,$G27,$C$10,$C$11),$I27,$G27,$G$4,$C$8)</f>
        <v>2420.7000961899757</v>
      </c>
      <c r="U27" s="12" cm="1">
        <f t="array" ref="U27">maxDepthToMinSOC($L$8,$L$9,P27,Q27,$O27,$G$5,$G$6,drivePower($C$4,$M27,$G27,$C$10,$C$11),$I27,$G27,$G$4,$C$8)</f>
        <v>1833.4500728547573</v>
      </c>
      <c r="V27" s="93">
        <f t="shared" si="7"/>
        <v>2127.0750845223665</v>
      </c>
    </row>
    <row r="28" spans="7:22" x14ac:dyDescent="0.35">
      <c r="G28" s="59">
        <f t="shared" si="1"/>
        <v>0.25</v>
      </c>
      <c r="H28" s="64" cm="1">
        <f t="array" ref="H28">drivePower($C$4,$C$5,G28,$C$10,$C$11)</f>
        <v>19.6038</v>
      </c>
      <c r="I28" s="84">
        <f t="shared" si="8"/>
        <v>24.679160599999999</v>
      </c>
      <c r="J28" s="84">
        <f t="shared" si="2"/>
        <v>44.282960599999996</v>
      </c>
      <c r="K28" s="60">
        <f t="shared" si="10"/>
        <v>24200</v>
      </c>
      <c r="L28" s="59">
        <f t="shared" si="3"/>
        <v>1.08</v>
      </c>
      <c r="M28" s="64">
        <f t="shared" si="9"/>
        <v>11.188000000000001</v>
      </c>
      <c r="N28" s="64" cm="1">
        <f t="array" ref="N28">drivePower($C$4,M28,$C$9,$C$10,$C$11)</f>
        <v>21.813931440000001</v>
      </c>
      <c r="O28" s="86">
        <f t="shared" si="0"/>
        <v>1611.72</v>
      </c>
      <c r="P28" s="90">
        <f t="shared" si="5"/>
        <v>-1.5000000000000001E-4</v>
      </c>
      <c r="Q28" s="91">
        <f t="shared" si="6"/>
        <v>0.82280000000000009</v>
      </c>
      <c r="R28" s="98">
        <v>0.15</v>
      </c>
      <c r="S28" s="95">
        <f t="shared" si="11"/>
        <v>24200</v>
      </c>
      <c r="T28" s="92" cm="1">
        <f t="array" ref="T28">maxDepthToMinSOC($L$8,$L$9,$L$6,$L$7,$O28,$G$5,$G$6,drivePower($C$4,$M28,$G28,$C$10,$C$11),$I28,$G28,$G$4,$C$8)</f>
        <v>2644.0501050651073</v>
      </c>
      <c r="U28" s="12" cm="1">
        <f t="array" ref="U28">maxDepthToMinSOC($L$8,$L$9,P28,Q28,$O28,$G$5,$G$6,drivePower($C$4,$M28,$G28,$C$10,$C$11),$I28,$G28,$G$4,$C$8)</f>
        <v>1981.5000787377357</v>
      </c>
      <c r="V28" s="93">
        <f t="shared" si="7"/>
        <v>2312.7750919014215</v>
      </c>
    </row>
    <row r="29" spans="7:22" x14ac:dyDescent="0.35">
      <c r="G29" s="59">
        <f t="shared" si="1"/>
        <v>0.25</v>
      </c>
      <c r="H29" s="64" cm="1">
        <f t="array" ref="H29">drivePower($C$4,$C$5,G29,$C$10,$C$11)</f>
        <v>19.6038</v>
      </c>
      <c r="I29" s="84">
        <f t="shared" si="8"/>
        <v>24.679160599999999</v>
      </c>
      <c r="J29" s="84">
        <f t="shared" si="2"/>
        <v>44.282960599999996</v>
      </c>
      <c r="K29" s="60">
        <f t="shared" si="10"/>
        <v>26400</v>
      </c>
      <c r="L29" s="59">
        <f t="shared" si="3"/>
        <v>1.2</v>
      </c>
      <c r="M29" s="64">
        <f t="shared" si="9"/>
        <v>11.32</v>
      </c>
      <c r="N29" s="64" cm="1">
        <f t="array" ref="N29">drivePower($C$4,M29,$C$9,$C$10,$C$11)</f>
        <v>22.059501600000001</v>
      </c>
      <c r="O29" s="86">
        <f t="shared" si="0"/>
        <v>1758.24</v>
      </c>
      <c r="P29" s="90">
        <f t="shared" si="5"/>
        <v>-1.5000000000000001E-4</v>
      </c>
      <c r="Q29" s="91">
        <f t="shared" si="6"/>
        <v>0.82280000000000009</v>
      </c>
      <c r="R29" s="98">
        <v>0.15</v>
      </c>
      <c r="S29" s="95">
        <f t="shared" si="11"/>
        <v>26400</v>
      </c>
      <c r="T29" s="92" cm="1">
        <f t="array" ref="T29">maxDepthToMinSOC($L$8,$L$9,$L$6,$L$7,$O29,$G$5,$G$6,drivePower($C$4,$M29,$G29,$C$10,$C$11),$I29,$G29,$G$4,$C$8)</f>
        <v>2862.0001137256622</v>
      </c>
      <c r="U29" s="12" cm="1">
        <f t="array" ref="U29">maxDepthToMinSOC($L$8,$L$9,P29,Q29,$O29,$G$5,$G$6,drivePower($C$4,$M29,$G29,$C$10,$C$11),$I29,$G29,$G$4,$C$8)</f>
        <v>2122.8000843524933</v>
      </c>
      <c r="V29" s="93">
        <f t="shared" si="7"/>
        <v>2492.4000990390778</v>
      </c>
    </row>
    <row r="30" spans="7:22" x14ac:dyDescent="0.35">
      <c r="G30" s="59">
        <f t="shared" si="1"/>
        <v>0.25</v>
      </c>
      <c r="H30" s="64" cm="1">
        <f t="array" ref="H30">drivePower($C$4,$C$5,G30,$C$10,$C$11)</f>
        <v>19.6038</v>
      </c>
      <c r="I30" s="84">
        <f t="shared" si="8"/>
        <v>24.679160599999999</v>
      </c>
      <c r="J30" s="84">
        <f t="shared" ref="J30:J44" si="12">H30+I30</f>
        <v>44.282960599999996</v>
      </c>
      <c r="K30" s="60">
        <f t="shared" si="10"/>
        <v>28600</v>
      </c>
      <c r="L30" s="59">
        <f t="shared" ref="L30:L44" si="13">(K30-4400)*(5*0.048)/4400</f>
        <v>1.32</v>
      </c>
      <c r="M30" s="64">
        <f t="shared" si="9"/>
        <v>11.452</v>
      </c>
      <c r="N30" s="64" cm="1">
        <f t="array" ref="N30">drivePower($C$4,M30,$C$9,$C$10,$C$11)</f>
        <v>22.305071760000001</v>
      </c>
      <c r="O30" s="86">
        <f t="shared" ref="O30:O44" si="14">K30*3.6/1000*$L$4</f>
        <v>1904.76</v>
      </c>
      <c r="P30" s="90">
        <f t="shared" si="5"/>
        <v>-1.5000000000000001E-4</v>
      </c>
      <c r="Q30" s="91">
        <f t="shared" si="6"/>
        <v>0.82280000000000009</v>
      </c>
      <c r="R30" s="98">
        <v>0.15</v>
      </c>
      <c r="S30" s="95">
        <f t="shared" si="11"/>
        <v>28600</v>
      </c>
      <c r="T30" s="92" cm="1">
        <f t="array" ref="T30">maxDepthToMinSOC($L$8,$L$9,$L$6,$L$7,$O30,$G$5,$G$6,drivePower($C$4,$M30,$G30,$C$10,$C$11),$I30,$G30,$G$4,$C$8)</f>
        <v>3074.5501221716404</v>
      </c>
      <c r="U30" s="12" cm="1">
        <f t="array" ref="U30">maxDepthToMinSOC($L$8,$L$9,P30,Q30,$O30,$G$5,$G$6,drivePower($C$4,$M30,$G30,$C$10,$C$11),$I30,$G30,$G$4,$C$8)</f>
        <v>2257.8000897169113</v>
      </c>
      <c r="V30" s="93">
        <f t="shared" si="7"/>
        <v>2666.1751059442759</v>
      </c>
    </row>
    <row r="31" spans="7:22" x14ac:dyDescent="0.35">
      <c r="G31" s="59">
        <f t="shared" si="1"/>
        <v>0.25</v>
      </c>
      <c r="H31" s="64" cm="1">
        <f t="array" ref="H31">drivePower($C$4,$C$5,G31,$C$10,$C$11)</f>
        <v>19.6038</v>
      </c>
      <c r="I31" s="84">
        <f t="shared" si="8"/>
        <v>24.679160599999999</v>
      </c>
      <c r="J31" s="84">
        <f t="shared" si="12"/>
        <v>44.282960599999996</v>
      </c>
      <c r="K31" s="60">
        <f t="shared" si="10"/>
        <v>30800</v>
      </c>
      <c r="L31" s="59">
        <f t="shared" si="13"/>
        <v>1.44</v>
      </c>
      <c r="M31" s="64">
        <f t="shared" si="9"/>
        <v>11.584</v>
      </c>
      <c r="N31" s="64" cm="1">
        <f t="array" ref="N31">drivePower($C$4,M31,$C$9,$C$10,$C$11)</f>
        <v>22.550641919999997</v>
      </c>
      <c r="O31" s="86">
        <f t="shared" si="14"/>
        <v>2051.2799999999997</v>
      </c>
      <c r="P31" s="90">
        <f t="shared" si="5"/>
        <v>-1.5000000000000001E-4</v>
      </c>
      <c r="Q31" s="91">
        <f t="shared" si="6"/>
        <v>0.82280000000000009</v>
      </c>
      <c r="R31" s="98">
        <v>0.15</v>
      </c>
      <c r="S31" s="95">
        <f t="shared" si="11"/>
        <v>30800</v>
      </c>
      <c r="T31" s="92" cm="1">
        <f t="array" ref="T31">maxDepthToMinSOC($L$8,$L$9,$L$6,$L$7,$O31,$G$5,$G$6,drivePower($C$4,$M31,$G31,$C$10,$C$11),$I31,$G31,$G$4,$C$8)</f>
        <v>3282.1501304209232</v>
      </c>
      <c r="U31" s="12" cm="1">
        <f t="array" ref="U31">maxDepthToMinSOC($L$8,$L$9,P31,Q31,$O31,$G$5,$G$6,drivePower($C$4,$M31,$G31,$C$10,$C$11),$I31,$G31,$G$4,$C$8)</f>
        <v>2386.8000948429108</v>
      </c>
      <c r="V31" s="93">
        <f t="shared" si="7"/>
        <v>2834.475112631917</v>
      </c>
    </row>
    <row r="32" spans="7:22" x14ac:dyDescent="0.35">
      <c r="G32" s="59">
        <f t="shared" si="1"/>
        <v>0.25</v>
      </c>
      <c r="H32" s="64" cm="1">
        <f t="array" ref="H32">drivePower($C$4,$C$5,G32,$C$10,$C$11)</f>
        <v>19.6038</v>
      </c>
      <c r="I32" s="84">
        <f t="shared" si="8"/>
        <v>24.679160599999999</v>
      </c>
      <c r="J32" s="84">
        <f t="shared" si="12"/>
        <v>44.282960599999996</v>
      </c>
      <c r="K32" s="60">
        <f t="shared" si="10"/>
        <v>33000</v>
      </c>
      <c r="L32" s="59">
        <f t="shared" si="13"/>
        <v>1.56</v>
      </c>
      <c r="M32" s="64">
        <f t="shared" si="9"/>
        <v>11.716000000000001</v>
      </c>
      <c r="N32" s="64" cm="1">
        <f t="array" ref="N32">drivePower($C$4,M32,$C$9,$C$10,$C$11)</f>
        <v>22.79621208</v>
      </c>
      <c r="O32" s="86">
        <f t="shared" si="14"/>
        <v>2197.7999999999997</v>
      </c>
      <c r="P32" s="90">
        <f t="shared" si="5"/>
        <v>-1.5000000000000001E-4</v>
      </c>
      <c r="Q32" s="91">
        <f t="shared" si="6"/>
        <v>0.82280000000000009</v>
      </c>
      <c r="R32" s="98">
        <v>0.15</v>
      </c>
      <c r="S32" s="95">
        <f t="shared" si="11"/>
        <v>33000</v>
      </c>
      <c r="T32" s="92" cm="1">
        <f t="array" ref="T32">maxDepthToMinSOC($L$8,$L$9,$L$6,$L$7,$O32,$G$5,$G$6,drivePower($C$4,$M32,$G32,$C$10,$C$11),$I32,$G32,$G$4,$C$8)</f>
        <v>3484.8001384735107</v>
      </c>
      <c r="U32" s="12" cm="1">
        <f t="array" ref="U32">maxDepthToMinSOC($L$8,$L$9,P32,Q32,$O32,$G$5,$G$6,drivePower($C$4,$M32,$G32,$C$10,$C$11),$I32,$G32,$G$4,$C$8)</f>
        <v>2510.250099748373</v>
      </c>
      <c r="V32" s="93">
        <f t="shared" si="7"/>
        <v>2997.5251191109419</v>
      </c>
    </row>
    <row r="33" spans="7:22" x14ac:dyDescent="0.35">
      <c r="G33" s="59">
        <f t="shared" si="1"/>
        <v>0.25</v>
      </c>
      <c r="H33" s="64" cm="1">
        <f t="array" ref="H33">drivePower($C$4,$C$5,G33,$C$10,$C$11)</f>
        <v>19.6038</v>
      </c>
      <c r="I33" s="84">
        <f t="shared" si="8"/>
        <v>24.679160599999999</v>
      </c>
      <c r="J33" s="84">
        <f t="shared" si="12"/>
        <v>44.282960599999996</v>
      </c>
      <c r="K33" s="60">
        <f t="shared" si="10"/>
        <v>35200</v>
      </c>
      <c r="L33" s="59">
        <f t="shared" si="13"/>
        <v>1.68</v>
      </c>
      <c r="M33" s="64">
        <f t="shared" si="9"/>
        <v>11.848000000000001</v>
      </c>
      <c r="N33" s="64" cm="1">
        <f t="array" ref="N33">drivePower($C$4,M33,$C$9,$C$10,$C$11)</f>
        <v>23.04178224</v>
      </c>
      <c r="O33" s="86">
        <f t="shared" si="14"/>
        <v>2344.3200000000002</v>
      </c>
      <c r="P33" s="90">
        <f t="shared" si="5"/>
        <v>-1.5000000000000001E-4</v>
      </c>
      <c r="Q33" s="91">
        <f t="shared" si="6"/>
        <v>0.82280000000000009</v>
      </c>
      <c r="R33" s="98">
        <v>0.15</v>
      </c>
      <c r="S33" s="95">
        <f t="shared" si="11"/>
        <v>35200</v>
      </c>
      <c r="T33" s="92" cm="1">
        <f t="array" ref="T33">maxDepthToMinSOC($L$8,$L$9,$L$6,$L$7,$O33,$G$5,$G$6,drivePower($C$4,$M33,$G33,$C$10,$C$11),$I33,$G33,$G$4,$C$8)</f>
        <v>3682.8001463413239</v>
      </c>
      <c r="U33" s="12" cm="1">
        <f t="array" ref="U33">maxDepthToMinSOC($L$8,$L$9,P33,Q33,$O33,$G$5,$G$6,drivePower($C$4,$M33,$G33,$C$10,$C$11),$I33,$G33,$G$4,$C$8)</f>
        <v>2628.450104445219</v>
      </c>
      <c r="V33" s="93">
        <f t="shared" si="7"/>
        <v>3155.6251253932714</v>
      </c>
    </row>
    <row r="34" spans="7:22" x14ac:dyDescent="0.35">
      <c r="G34" s="59">
        <f t="shared" si="1"/>
        <v>0.25</v>
      </c>
      <c r="H34" s="64" cm="1">
        <f t="array" ref="H34">drivePower($C$4,$C$5,G34,$C$10,$C$11)</f>
        <v>19.6038</v>
      </c>
      <c r="I34" s="84">
        <f t="shared" si="8"/>
        <v>24.679160599999999</v>
      </c>
      <c r="J34" s="84">
        <f t="shared" si="12"/>
        <v>44.282960599999996</v>
      </c>
      <c r="K34" s="60">
        <f t="shared" si="10"/>
        <v>37400</v>
      </c>
      <c r="L34" s="59">
        <f t="shared" si="13"/>
        <v>1.8</v>
      </c>
      <c r="M34" s="64">
        <f t="shared" si="9"/>
        <v>11.98</v>
      </c>
      <c r="N34" s="64" cm="1">
        <f t="array" ref="N34">drivePower($C$4,M34,$C$9,$C$10,$C$11)</f>
        <v>23.2873524</v>
      </c>
      <c r="O34" s="86">
        <f t="shared" si="14"/>
        <v>2490.8399999999997</v>
      </c>
      <c r="P34" s="90">
        <f t="shared" si="5"/>
        <v>-1.5000000000000001E-4</v>
      </c>
      <c r="Q34" s="91">
        <f t="shared" si="6"/>
        <v>0.82280000000000009</v>
      </c>
      <c r="R34" s="98">
        <v>0.15</v>
      </c>
      <c r="S34" s="95">
        <f t="shared" si="11"/>
        <v>37400</v>
      </c>
      <c r="T34" s="92" cm="1">
        <f t="array" ref="T34">maxDepthToMinSOC($L$8,$L$9,$L$6,$L$7,$O34,$G$5,$G$6,drivePower($C$4,$M34,$G34,$C$10,$C$11),$I34,$G34,$G$4,$C$8)</f>
        <v>3876.1501540243626</v>
      </c>
      <c r="U34" s="12" cm="1">
        <f t="array" ref="U34">maxDepthToMinSOC($L$8,$L$9,P34,Q34,$O34,$G$5,$G$6,drivePower($C$4,$M34,$G34,$C$10,$C$11),$I34,$G34,$G$4,$C$8)</f>
        <v>2741.8501089513302</v>
      </c>
      <c r="V34" s="93">
        <f t="shared" si="7"/>
        <v>3309.0001314878464</v>
      </c>
    </row>
    <row r="35" spans="7:22" x14ac:dyDescent="0.35">
      <c r="G35" s="59">
        <f t="shared" si="1"/>
        <v>0.25</v>
      </c>
      <c r="H35" s="64" cm="1">
        <f t="array" ref="H35">drivePower($C$4,$C$5,G35,$C$10,$C$11)</f>
        <v>19.6038</v>
      </c>
      <c r="I35" s="84">
        <f t="shared" si="8"/>
        <v>24.679160599999999</v>
      </c>
      <c r="J35" s="84">
        <f t="shared" si="12"/>
        <v>44.282960599999996</v>
      </c>
      <c r="K35" s="60">
        <f t="shared" si="10"/>
        <v>39600</v>
      </c>
      <c r="L35" s="59">
        <f t="shared" si="13"/>
        <v>1.92</v>
      </c>
      <c r="M35" s="64">
        <f t="shared" si="9"/>
        <v>12.112</v>
      </c>
      <c r="N35" s="64" cm="1">
        <f t="array" ref="N35">drivePower($C$4,M35,$C$9,$C$10,$C$11)</f>
        <v>23.532922559999999</v>
      </c>
      <c r="O35" s="86">
        <f t="shared" si="14"/>
        <v>2637.36</v>
      </c>
      <c r="P35" s="90">
        <f t="shared" si="5"/>
        <v>-1.5000000000000001E-4</v>
      </c>
      <c r="Q35" s="91">
        <f t="shared" si="6"/>
        <v>0.82280000000000009</v>
      </c>
      <c r="R35" s="98">
        <v>0.15</v>
      </c>
      <c r="S35" s="95">
        <f t="shared" si="11"/>
        <v>39600</v>
      </c>
      <c r="T35" s="92" cm="1">
        <f t="array" ref="T35">maxDepthToMinSOC($L$8,$L$9,$L$6,$L$7,$O35,$G$5,$G$6,drivePower($C$4,$M35,$G35,$C$10,$C$11),$I35,$G35,$G$4,$C$8)</f>
        <v>4065.1501615345478</v>
      </c>
      <c r="U35" s="12" cm="1">
        <f t="array" ref="U35">maxDepthToMinSOC($L$8,$L$9,P35,Q35,$O35,$G$5,$G$6,drivePower($C$4,$M35,$G35,$C$10,$C$11),$I35,$G35,$G$4,$C$8)</f>
        <v>2850.6001132726669</v>
      </c>
      <c r="V35" s="93">
        <f t="shared" si="7"/>
        <v>3457.8751374036074</v>
      </c>
    </row>
    <row r="36" spans="7:22" x14ac:dyDescent="0.35">
      <c r="G36" s="59">
        <f t="shared" si="1"/>
        <v>0.25</v>
      </c>
      <c r="H36" s="64" cm="1">
        <f t="array" ref="H36">drivePower($C$4,$C$5,G36,$C$10,$C$11)</f>
        <v>19.6038</v>
      </c>
      <c r="I36" s="84">
        <f t="shared" si="8"/>
        <v>24.679160599999999</v>
      </c>
      <c r="J36" s="84">
        <f t="shared" si="12"/>
        <v>44.282960599999996</v>
      </c>
      <c r="K36" s="60">
        <f t="shared" si="10"/>
        <v>41800</v>
      </c>
      <c r="L36" s="59">
        <f t="shared" si="13"/>
        <v>2.04</v>
      </c>
      <c r="M36" s="64">
        <f t="shared" si="9"/>
        <v>12.244</v>
      </c>
      <c r="N36" s="64" cm="1">
        <f t="array" ref="N36">drivePower($C$4,M36,$C$9,$C$10,$C$11)</f>
        <v>23.778492719999999</v>
      </c>
      <c r="O36" s="86">
        <f t="shared" si="14"/>
        <v>2783.8799999999997</v>
      </c>
      <c r="P36" s="90">
        <f t="shared" si="5"/>
        <v>-1.5000000000000001E-4</v>
      </c>
      <c r="Q36" s="91">
        <f t="shared" si="6"/>
        <v>0.82280000000000009</v>
      </c>
      <c r="R36" s="98">
        <v>0.15</v>
      </c>
      <c r="S36" s="95">
        <f t="shared" si="11"/>
        <v>41800</v>
      </c>
      <c r="T36" s="92" cm="1">
        <f t="array" ref="T36">maxDepthToMinSOC($L$8,$L$9,$L$6,$L$7,$O36,$G$5,$G$6,drivePower($C$4,$M36,$G36,$C$10,$C$11),$I36,$G36,$G$4,$C$8)</f>
        <v>4249.95016887784</v>
      </c>
      <c r="U36" s="12" cm="1">
        <f t="array" ref="U36">maxDepthToMinSOC($L$8,$L$9,P36,Q36,$O36,$G$5,$G$6,drivePower($C$4,$M36,$G36,$C$10,$C$11),$I36,$G36,$G$4,$C$8)</f>
        <v>2955.1501174271107</v>
      </c>
      <c r="V36" s="93">
        <f t="shared" si="7"/>
        <v>3602.5501431524754</v>
      </c>
    </row>
    <row r="37" spans="7:22" x14ac:dyDescent="0.35">
      <c r="G37" s="59">
        <f t="shared" si="1"/>
        <v>0.25</v>
      </c>
      <c r="H37" s="64" cm="1">
        <f t="array" ref="H37">drivePower($C$4,$C$5,G37,$C$10,$C$11)</f>
        <v>19.6038</v>
      </c>
      <c r="I37" s="84">
        <f t="shared" si="8"/>
        <v>24.679160599999999</v>
      </c>
      <c r="J37" s="84">
        <f t="shared" si="12"/>
        <v>44.282960599999996</v>
      </c>
      <c r="K37" s="60">
        <f t="shared" si="10"/>
        <v>44000</v>
      </c>
      <c r="L37" s="59">
        <f t="shared" si="13"/>
        <v>2.16</v>
      </c>
      <c r="M37" s="64">
        <f t="shared" si="9"/>
        <v>12.376000000000001</v>
      </c>
      <c r="N37" s="64" cm="1">
        <f t="array" ref="N37">drivePower($C$4,M37,$C$9,$C$10,$C$11)</f>
        <v>24.024062880000002</v>
      </c>
      <c r="O37" s="86">
        <f t="shared" si="14"/>
        <v>2930.4</v>
      </c>
      <c r="P37" s="90">
        <f t="shared" si="5"/>
        <v>-1.5000000000000001E-4</v>
      </c>
      <c r="Q37" s="91">
        <f t="shared" si="6"/>
        <v>0.82280000000000009</v>
      </c>
      <c r="R37" s="98">
        <v>0.15</v>
      </c>
      <c r="S37" s="95">
        <f t="shared" si="11"/>
        <v>44000</v>
      </c>
      <c r="T37" s="92" cm="1">
        <f t="array" ref="T37">maxDepthToMinSOC($L$8,$L$9,$L$6,$L$7,$O37,$G$5,$G$6,drivePower($C$4,$M37,$G37,$C$10,$C$11),$I37,$G37,$G$4,$C$8)</f>
        <v>4430.5501760542393</v>
      </c>
      <c r="U37" s="12" cm="1">
        <f t="array" ref="U37">maxDepthToMinSOC($L$8,$L$9,P37,Q37,$O37,$G$5,$G$6,drivePower($C$4,$M37,$G37,$C$10,$C$11),$I37,$G37,$G$4,$C$8)</f>
        <v>3055.5001214146614</v>
      </c>
      <c r="V37" s="93">
        <f t="shared" si="7"/>
        <v>3743.0251487344503</v>
      </c>
    </row>
    <row r="38" spans="7:22" x14ac:dyDescent="0.35">
      <c r="G38" s="59">
        <f t="shared" si="1"/>
        <v>0.25</v>
      </c>
      <c r="H38" s="64" cm="1">
        <f t="array" ref="H38">drivePower($C$4,$C$5,G38,$C$10,$C$11)</f>
        <v>19.6038</v>
      </c>
      <c r="I38" s="84">
        <f t="shared" si="8"/>
        <v>24.679160599999999</v>
      </c>
      <c r="J38" s="84">
        <f t="shared" si="12"/>
        <v>44.282960599999996</v>
      </c>
      <c r="K38" s="60">
        <f t="shared" si="10"/>
        <v>46200</v>
      </c>
      <c r="L38" s="59">
        <f t="shared" si="13"/>
        <v>2.2799999999999998</v>
      </c>
      <c r="M38" s="64">
        <f t="shared" si="9"/>
        <v>12.507999999999999</v>
      </c>
      <c r="N38" s="64" cm="1">
        <f t="array" ref="N38">drivePower($C$4,M38,$C$9,$C$10,$C$11)</f>
        <v>24.269633039999999</v>
      </c>
      <c r="O38" s="86">
        <f t="shared" si="14"/>
        <v>3076.92</v>
      </c>
      <c r="P38" s="90">
        <f t="shared" si="5"/>
        <v>-1.5000000000000001E-4</v>
      </c>
      <c r="Q38" s="91">
        <f t="shared" si="6"/>
        <v>0.82280000000000009</v>
      </c>
      <c r="R38" s="98">
        <v>0.15</v>
      </c>
      <c r="S38" s="95">
        <f t="shared" si="11"/>
        <v>46200</v>
      </c>
      <c r="T38" s="92" cm="1">
        <f t="array" ref="T38">maxDepthToMinSOC($L$8,$L$9,$L$6,$L$7,$O38,$G$5,$G$6,drivePower($C$4,$M38,$G38,$C$10,$C$11),$I38,$G38,$G$4,$C$8)</f>
        <v>4607.100183069706</v>
      </c>
      <c r="U38" s="12" cm="1">
        <f t="array" ref="U38">maxDepthToMinSOC($L$8,$L$9,P38,Q38,$O38,$G$5,$G$6,drivePower($C$4,$M38,$G38,$C$10,$C$11),$I38,$G38,$G$4,$C$8)</f>
        <v>3152.1001252532005</v>
      </c>
      <c r="V38" s="93">
        <f t="shared" si="7"/>
        <v>3879.6001541614532</v>
      </c>
    </row>
    <row r="39" spans="7:22" x14ac:dyDescent="0.35">
      <c r="G39" s="59">
        <f t="shared" si="1"/>
        <v>0.25</v>
      </c>
      <c r="H39" s="64" cm="1">
        <f t="array" ref="H39">drivePower($C$4,$C$5,G39,$C$10,$C$11)</f>
        <v>19.6038</v>
      </c>
      <c r="I39" s="84">
        <f t="shared" si="8"/>
        <v>24.679160599999999</v>
      </c>
      <c r="J39" s="84">
        <f t="shared" si="12"/>
        <v>44.282960599999996</v>
      </c>
      <c r="K39" s="60">
        <f t="shared" si="10"/>
        <v>48400</v>
      </c>
      <c r="L39" s="59">
        <f t="shared" si="13"/>
        <v>2.4</v>
      </c>
      <c r="M39" s="64">
        <f t="shared" si="9"/>
        <v>12.64</v>
      </c>
      <c r="N39" s="64" cm="1">
        <f t="array" ref="N39">drivePower($C$4,M39,$C$9,$C$10,$C$11)</f>
        <v>24.515203199999998</v>
      </c>
      <c r="O39" s="86">
        <f t="shared" si="14"/>
        <v>3223.44</v>
      </c>
      <c r="P39" s="90">
        <f t="shared" si="5"/>
        <v>-1.5000000000000001E-4</v>
      </c>
      <c r="Q39" s="91">
        <f t="shared" si="6"/>
        <v>0.82280000000000009</v>
      </c>
      <c r="R39" s="98">
        <v>0.15</v>
      </c>
      <c r="S39" s="95">
        <f t="shared" si="11"/>
        <v>48400</v>
      </c>
      <c r="T39" s="92" cm="1">
        <f t="array" ref="T39">maxDepthToMinSOC($L$8,$L$9,$L$6,$L$7,$O39,$G$5,$G$6,drivePower($C$4,$M39,$G39,$C$10,$C$11),$I39,$G39,$G$4,$C$8)</f>
        <v>4779.900189936161</v>
      </c>
      <c r="U39" s="12" cm="1">
        <f t="array" ref="U39">maxDepthToMinSOC($L$8,$L$9,P39,Q39,$O39,$G$5,$G$6,drivePower($C$4,$M39,$G39,$C$10,$C$11),$I39,$G39,$G$4,$C$8)</f>
        <v>3245.1001289486885</v>
      </c>
      <c r="V39" s="93">
        <f t="shared" si="7"/>
        <v>4012.5001594424248</v>
      </c>
    </row>
    <row r="40" spans="7:22" x14ac:dyDescent="0.35">
      <c r="G40" s="59">
        <f t="shared" si="1"/>
        <v>0.25</v>
      </c>
      <c r="H40" s="64" cm="1">
        <f t="array" ref="H40">drivePower($C$4,$C$5,G40,$C$10,$C$11)</f>
        <v>19.6038</v>
      </c>
      <c r="I40" s="84">
        <f t="shared" si="8"/>
        <v>24.679160599999999</v>
      </c>
      <c r="J40" s="84">
        <f t="shared" si="12"/>
        <v>44.282960599999996</v>
      </c>
      <c r="K40" s="60">
        <f t="shared" si="10"/>
        <v>50600</v>
      </c>
      <c r="L40" s="59">
        <f t="shared" si="13"/>
        <v>2.52</v>
      </c>
      <c r="M40" s="64">
        <f t="shared" si="9"/>
        <v>12.772</v>
      </c>
      <c r="N40" s="64" cm="1">
        <f t="array" ref="N40">drivePower($C$4,M40,$C$9,$C$10,$C$11)</f>
        <v>24.760773359999998</v>
      </c>
      <c r="O40" s="86">
        <f t="shared" si="14"/>
        <v>3369.96</v>
      </c>
      <c r="P40" s="90">
        <f t="shared" si="5"/>
        <v>-1.5000000000000001E-4</v>
      </c>
      <c r="Q40" s="91">
        <f t="shared" si="6"/>
        <v>0.82280000000000009</v>
      </c>
      <c r="R40" s="98">
        <v>0.15</v>
      </c>
      <c r="S40" s="95">
        <f t="shared" si="11"/>
        <v>50600</v>
      </c>
      <c r="T40" s="92" cm="1">
        <f t="array" ref="T40">maxDepthToMinSOC($L$8,$L$9,$L$6,$L$7,$O40,$G$5,$G$6,drivePower($C$4,$M40,$G40,$C$10,$C$11),$I40,$G40,$G$4,$C$8)</f>
        <v>4948.9501966536045</v>
      </c>
      <c r="U40" s="12" cm="1">
        <f t="array" ref="U40">maxDepthToMinSOC($L$8,$L$9,P40,Q40,$O40,$G$5,$G$6,drivePower($C$4,$M40,$G40,$C$10,$C$11),$I40,$G40,$G$4,$C$8)</f>
        <v>3334.6501325070858</v>
      </c>
      <c r="V40" s="93">
        <f t="shared" si="7"/>
        <v>4141.8001645803452</v>
      </c>
    </row>
    <row r="41" spans="7:22" x14ac:dyDescent="0.35">
      <c r="G41" s="59">
        <f t="shared" si="1"/>
        <v>0.25</v>
      </c>
      <c r="H41" s="64" cm="1">
        <f t="array" ref="H41">drivePower($C$4,$C$5,G41,$C$10,$C$11)</f>
        <v>19.6038</v>
      </c>
      <c r="I41" s="84">
        <f t="shared" si="8"/>
        <v>24.679160599999999</v>
      </c>
      <c r="J41" s="84">
        <f t="shared" si="12"/>
        <v>44.282960599999996</v>
      </c>
      <c r="K41" s="60">
        <f t="shared" si="10"/>
        <v>52800</v>
      </c>
      <c r="L41" s="59">
        <f t="shared" si="13"/>
        <v>2.64</v>
      </c>
      <c r="M41" s="64">
        <f t="shared" si="9"/>
        <v>12.904</v>
      </c>
      <c r="N41" s="64" cm="1">
        <f t="array" ref="N41">drivePower($C$4,M41,$C$9,$C$10,$C$11)</f>
        <v>25.006343519999998</v>
      </c>
      <c r="O41" s="86">
        <f t="shared" si="14"/>
        <v>3516.48</v>
      </c>
      <c r="P41" s="90">
        <f t="shared" si="5"/>
        <v>-1.5000000000000001E-4</v>
      </c>
      <c r="Q41" s="91">
        <f t="shared" si="6"/>
        <v>0.82280000000000009</v>
      </c>
      <c r="R41" s="98">
        <v>0.15</v>
      </c>
      <c r="S41" s="95">
        <f t="shared" si="11"/>
        <v>52800</v>
      </c>
      <c r="T41" s="92" cm="1">
        <f t="array" ref="T41">maxDepthToMinSOC($L$8,$L$9,$L$6,$L$7,$O41,$G$5,$G$6,drivePower($C$4,$M41,$G41,$C$10,$C$11),$I41,$G41,$G$4,$C$8)</f>
        <v>5114.4002032279968</v>
      </c>
      <c r="U41" s="12" cm="1">
        <f t="array" ref="U41">maxDepthToMinSOC($L$8,$L$9,P41,Q41,$O41,$G$5,$G$6,drivePower($C$4,$M41,$G41,$C$10,$C$11),$I41,$G41,$G$4,$C$8)</f>
        <v>3421.0501359403133</v>
      </c>
      <c r="V41" s="93">
        <f t="shared" si="7"/>
        <v>4267.7251695841551</v>
      </c>
    </row>
    <row r="42" spans="7:22" x14ac:dyDescent="0.35">
      <c r="G42" s="59">
        <f t="shared" si="1"/>
        <v>0.25</v>
      </c>
      <c r="H42" s="64" cm="1">
        <f t="array" ref="H42">drivePower($C$4,$C$5,G42,$C$10,$C$11)</f>
        <v>19.6038</v>
      </c>
      <c r="I42" s="84">
        <f t="shared" si="8"/>
        <v>24.679160599999999</v>
      </c>
      <c r="J42" s="84">
        <f t="shared" si="12"/>
        <v>44.282960599999996</v>
      </c>
      <c r="K42" s="60">
        <f t="shared" si="10"/>
        <v>55000</v>
      </c>
      <c r="L42" s="59">
        <f t="shared" si="13"/>
        <v>2.76</v>
      </c>
      <c r="M42" s="64">
        <f t="shared" si="9"/>
        <v>13.036</v>
      </c>
      <c r="N42" s="64" cm="1">
        <f t="array" ref="N42">drivePower($C$4,M42,$C$9,$C$10,$C$11)</f>
        <v>25.251913679999998</v>
      </c>
      <c r="O42" s="86">
        <f t="shared" si="14"/>
        <v>3663</v>
      </c>
      <c r="P42" s="90">
        <f t="shared" si="5"/>
        <v>-1.5000000000000001E-4</v>
      </c>
      <c r="Q42" s="91">
        <f t="shared" si="6"/>
        <v>0.82280000000000009</v>
      </c>
      <c r="R42" s="98">
        <v>0.15</v>
      </c>
      <c r="S42" s="95">
        <f t="shared" si="11"/>
        <v>55000</v>
      </c>
      <c r="T42" s="92" cm="1">
        <f t="array" ref="T42">maxDepthToMinSOC($L$8,$L$9,$L$6,$L$7,$O42,$G$5,$G$6,drivePower($C$4,$M42,$G42,$C$10,$C$11),$I42,$G42,$G$4,$C$8)</f>
        <v>5276.4002096652985</v>
      </c>
      <c r="U42" s="12" cm="1">
        <f t="array" ref="U42">maxDepthToMinSOC($L$8,$L$9,P42,Q42,$O42,$G$5,$G$6,drivePower($C$4,$M42,$G42,$C$10,$C$11),$I42,$G42,$G$4,$C$8)</f>
        <v>3504.3001392483711</v>
      </c>
      <c r="V42" s="93">
        <f t="shared" si="7"/>
        <v>4390.3501744568348</v>
      </c>
    </row>
    <row r="43" spans="7:22" x14ac:dyDescent="0.35">
      <c r="G43" s="59">
        <f t="shared" si="1"/>
        <v>0.25</v>
      </c>
      <c r="H43" s="64" cm="1">
        <f t="array" ref="H43">drivePower($C$4,$C$5,G43,$C$10,$C$11)</f>
        <v>19.6038</v>
      </c>
      <c r="I43" s="84">
        <f t="shared" si="8"/>
        <v>24.679160599999999</v>
      </c>
      <c r="J43" s="84">
        <f t="shared" si="12"/>
        <v>44.282960599999996</v>
      </c>
      <c r="K43" s="60">
        <f t="shared" si="10"/>
        <v>57200</v>
      </c>
      <c r="L43" s="59">
        <f t="shared" si="13"/>
        <v>2.88</v>
      </c>
      <c r="M43" s="64">
        <f t="shared" si="9"/>
        <v>13.167999999999999</v>
      </c>
      <c r="N43" s="64" cm="1">
        <f t="array" ref="N43">drivePower($C$4,M43,$C$9,$C$10,$C$11)</f>
        <v>25.497483839999997</v>
      </c>
      <c r="O43" s="86">
        <f t="shared" si="14"/>
        <v>3809.52</v>
      </c>
      <c r="P43" s="90">
        <f t="shared" si="5"/>
        <v>-1.5000000000000001E-4</v>
      </c>
      <c r="Q43" s="91">
        <f t="shared" si="6"/>
        <v>0.82280000000000009</v>
      </c>
      <c r="R43" s="98">
        <v>0.15</v>
      </c>
      <c r="S43" s="95">
        <f t="shared" si="11"/>
        <v>57200</v>
      </c>
      <c r="T43" s="92" cm="1">
        <f t="array" ref="T43">maxDepthToMinSOC($L$8,$L$9,$L$6,$L$7,$O43,$G$5,$G$6,drivePower($C$4,$M43,$G43,$C$10,$C$11),$I43,$G43,$G$4,$C$8)</f>
        <v>5434.9502159655094</v>
      </c>
      <c r="U43" s="12" cm="1">
        <f t="array" ref="U43">maxDepthToMinSOC($L$8,$L$9,P43,Q43,$O43,$G$5,$G$6,drivePower($C$4,$M43,$G43,$C$10,$C$11),$I43,$G43,$G$4,$C$8)</f>
        <v>3584.7001424431801</v>
      </c>
      <c r="V43" s="93">
        <f t="shared" si="7"/>
        <v>4509.8251792043447</v>
      </c>
    </row>
    <row r="44" spans="7:22" x14ac:dyDescent="0.35">
      <c r="G44" s="59">
        <f t="shared" si="1"/>
        <v>0.25</v>
      </c>
      <c r="H44" s="64" cm="1">
        <f t="array" ref="H44">drivePower($C$4,$C$5,G44,$C$10,$C$11)</f>
        <v>19.6038</v>
      </c>
      <c r="I44" s="84">
        <f t="shared" si="8"/>
        <v>24.679160599999999</v>
      </c>
      <c r="J44" s="84">
        <f t="shared" si="12"/>
        <v>44.282960599999996</v>
      </c>
      <c r="K44" s="60">
        <f t="shared" si="10"/>
        <v>59400</v>
      </c>
      <c r="L44" s="59">
        <f t="shared" si="13"/>
        <v>3</v>
      </c>
      <c r="M44" s="64">
        <f t="shared" si="9"/>
        <v>13.3</v>
      </c>
      <c r="N44" s="64" cm="1">
        <f t="array" ref="N44">drivePower($C$4,M44,$C$9,$C$10,$C$11)</f>
        <v>25.743054000000001</v>
      </c>
      <c r="O44" s="86">
        <f t="shared" si="14"/>
        <v>3956.04</v>
      </c>
      <c r="P44" s="90">
        <f t="shared" si="5"/>
        <v>-1.5000000000000001E-4</v>
      </c>
      <c r="Q44" s="91">
        <f t="shared" si="6"/>
        <v>0.82280000000000009</v>
      </c>
      <c r="R44" s="98">
        <v>0.15</v>
      </c>
      <c r="S44" s="95">
        <f t="shared" si="11"/>
        <v>59400</v>
      </c>
      <c r="T44" s="92" cm="1">
        <f t="array" ref="T44">maxDepthToMinSOC($L$8,$L$9,$L$6,$L$7,$O44,$G$5,$G$6,drivePower($C$4,$M44,$G44,$C$10,$C$11),$I44,$G44,$G$4,$C$8)</f>
        <v>5590.3502221405506</v>
      </c>
      <c r="U44" s="12" cm="1">
        <f t="array" ref="U44">maxDepthToMinSOC($L$8,$L$9,P44,Q44,$O44,$G$5,$G$6,drivePower($C$4,$M44,$G44,$C$10,$C$11),$I44,$G44,$G$4,$C$8)</f>
        <v>3662.4001455307007</v>
      </c>
      <c r="V44" s="93">
        <f t="shared" si="7"/>
        <v>4626.3751838356256</v>
      </c>
    </row>
    <row r="45" spans="7:22" x14ac:dyDescent="0.35">
      <c r="G45" s="59">
        <f t="shared" si="1"/>
        <v>0.25</v>
      </c>
      <c r="H45" s="64" cm="1">
        <f t="array" ref="H45">drivePower($C$4,$C$5,G45,$C$10,$C$11)</f>
        <v>19.6038</v>
      </c>
      <c r="I45" s="84">
        <f t="shared" ref="I45:I108" si="15">I44</f>
        <v>24.679160599999999</v>
      </c>
      <c r="J45" s="84">
        <f t="shared" ref="J45:J108" si="16">H45+I45</f>
        <v>44.282960599999996</v>
      </c>
      <c r="K45" s="60">
        <f t="shared" si="10"/>
        <v>61600</v>
      </c>
      <c r="L45" s="59">
        <f t="shared" ref="L45:L108" si="17">(K45-4400)*(5*0.048)/4400</f>
        <v>3.12</v>
      </c>
      <c r="M45" s="64">
        <f t="shared" si="9"/>
        <v>13.432</v>
      </c>
      <c r="N45" s="64" cm="1">
        <f t="array" ref="N45">drivePower($C$4,M45,$C$9,$C$10,$C$11)</f>
        <v>25.988624160000001</v>
      </c>
      <c r="O45" s="86">
        <f t="shared" ref="O45:O108" si="18">K45*3.6/1000*$L$4</f>
        <v>4102.5599999999995</v>
      </c>
      <c r="P45" s="90">
        <f t="shared" si="5"/>
        <v>-1.5000000000000001E-4</v>
      </c>
      <c r="Q45" s="91">
        <f t="shared" si="6"/>
        <v>0.82280000000000009</v>
      </c>
      <c r="R45" s="98">
        <v>0.15</v>
      </c>
      <c r="S45" s="95">
        <f t="shared" si="11"/>
        <v>61600</v>
      </c>
      <c r="T45" s="92" cm="1">
        <f t="array" ref="T45">maxDepthToMinSOC($L$8,$L$9,$L$6,$L$7,$O45,$G$5,$G$6,drivePower($C$4,$M45,$G45,$C$10,$C$11),$I45,$G45,$G$4,$C$8)</f>
        <v>5742.4502281844616</v>
      </c>
      <c r="U45" s="12" cm="1">
        <f t="array" ref="U45">maxDepthToMinSOC($L$8,$L$9,P45,Q45,$O45,$G$5,$G$6,drivePower($C$4,$M45,$G45,$C$10,$C$11),$I45,$G45,$G$4,$C$8)</f>
        <v>3737.4001485109329</v>
      </c>
      <c r="V45" s="93">
        <f t="shared" si="7"/>
        <v>4739.9251883476973</v>
      </c>
    </row>
    <row r="46" spans="7:22" x14ac:dyDescent="0.35">
      <c r="G46" s="59">
        <f t="shared" si="1"/>
        <v>0.25</v>
      </c>
      <c r="H46" s="64" cm="1">
        <f t="array" ref="H46">drivePower($C$4,$C$5,G46,$C$10,$C$11)</f>
        <v>19.6038</v>
      </c>
      <c r="I46" s="84">
        <f t="shared" si="15"/>
        <v>24.679160599999999</v>
      </c>
      <c r="J46" s="84">
        <f t="shared" si="16"/>
        <v>44.282960599999996</v>
      </c>
      <c r="K46" s="60">
        <f t="shared" si="10"/>
        <v>63800</v>
      </c>
      <c r="L46" s="59">
        <f t="shared" si="17"/>
        <v>3.24</v>
      </c>
      <c r="M46" s="64">
        <f t="shared" si="9"/>
        <v>13.564</v>
      </c>
      <c r="N46" s="64" cm="1">
        <f t="array" ref="N46">drivePower($C$4,M46,$C$9,$C$10,$C$11)</f>
        <v>26.23419432</v>
      </c>
      <c r="O46" s="86">
        <f t="shared" si="18"/>
        <v>4249.08</v>
      </c>
      <c r="P46" s="90">
        <f t="shared" si="5"/>
        <v>-1.5000000000000001E-4</v>
      </c>
      <c r="Q46" s="91">
        <f t="shared" si="6"/>
        <v>0.82280000000000009</v>
      </c>
      <c r="R46" s="98">
        <v>0.15</v>
      </c>
      <c r="S46" s="95">
        <f t="shared" si="11"/>
        <v>63800</v>
      </c>
      <c r="T46" s="92" cm="1">
        <f t="array" ref="T46">maxDepthToMinSOC($L$8,$L$9,$L$6,$L$7,$O46,$G$5,$G$6,drivePower($C$4,$M46,$G46,$C$10,$C$11),$I46,$G46,$G$4,$C$8)</f>
        <v>5891.5502341091633</v>
      </c>
      <c r="U46" s="12" cm="1">
        <f t="array" ref="U46">maxDepthToMinSOC($L$8,$L$9,P46,Q46,$O46,$G$5,$G$6,drivePower($C$4,$M46,$G46,$C$10,$C$11),$I46,$G46,$G$4,$C$8)</f>
        <v>3810.0001513957977</v>
      </c>
      <c r="V46" s="93">
        <f t="shared" si="7"/>
        <v>4850.7751927524805</v>
      </c>
    </row>
    <row r="47" spans="7:22" x14ac:dyDescent="0.35">
      <c r="G47" s="59">
        <f t="shared" si="1"/>
        <v>0.25</v>
      </c>
      <c r="H47" s="64" cm="1">
        <f t="array" ref="H47">drivePower($C$4,$C$5,G47,$C$10,$C$11)</f>
        <v>19.6038</v>
      </c>
      <c r="I47" s="84">
        <f t="shared" si="15"/>
        <v>24.679160599999999</v>
      </c>
      <c r="J47" s="84">
        <f t="shared" si="16"/>
        <v>44.282960599999996</v>
      </c>
      <c r="K47" s="60">
        <f t="shared" si="10"/>
        <v>66000</v>
      </c>
      <c r="L47" s="59">
        <f t="shared" si="17"/>
        <v>3.36</v>
      </c>
      <c r="M47" s="64">
        <f t="shared" si="9"/>
        <v>13.696</v>
      </c>
      <c r="N47" s="64" cm="1">
        <f t="array" ref="N47">drivePower($C$4,M47,$C$9,$C$10,$C$11)</f>
        <v>26.47976448</v>
      </c>
      <c r="O47" s="86">
        <f t="shared" si="18"/>
        <v>4395.5999999999995</v>
      </c>
      <c r="P47" s="90">
        <f t="shared" si="5"/>
        <v>-1.5000000000000001E-4</v>
      </c>
      <c r="Q47" s="91">
        <f t="shared" si="6"/>
        <v>0.82280000000000009</v>
      </c>
      <c r="R47" s="98">
        <v>0.15</v>
      </c>
      <c r="S47" s="95">
        <f t="shared" si="11"/>
        <v>66000</v>
      </c>
      <c r="T47" s="92" cm="1">
        <f t="array" ref="T47">maxDepthToMinSOC($L$8,$L$9,$L$6,$L$7,$O47,$G$5,$G$6,drivePower($C$4,$M47,$G47,$C$10,$C$11),$I47,$G47,$G$4,$C$8)</f>
        <v>6037.6502399146557</v>
      </c>
      <c r="U47" s="12" cm="1">
        <f t="array" ref="U47">maxDepthToMinSOC($L$8,$L$9,P47,Q47,$O47,$G$5,$G$6,drivePower($C$4,$M47,$G47,$C$10,$C$11),$I47,$G47,$G$4,$C$8)</f>
        <v>3880.2001541852951</v>
      </c>
      <c r="V47" s="93">
        <f t="shared" si="7"/>
        <v>4958.9251970499754</v>
      </c>
    </row>
    <row r="48" spans="7:22" x14ac:dyDescent="0.35">
      <c r="G48" s="59">
        <f t="shared" si="1"/>
        <v>0.25</v>
      </c>
      <c r="H48" s="64" cm="1">
        <f t="array" ref="H48">drivePower($C$4,$C$5,G48,$C$10,$C$11)</f>
        <v>19.6038</v>
      </c>
      <c r="I48" s="84">
        <f t="shared" si="15"/>
        <v>24.679160599999999</v>
      </c>
      <c r="J48" s="84">
        <f t="shared" si="16"/>
        <v>44.282960599999996</v>
      </c>
      <c r="K48" s="60">
        <f t="shared" si="10"/>
        <v>68200</v>
      </c>
      <c r="L48" s="59">
        <f t="shared" si="17"/>
        <v>3.48</v>
      </c>
      <c r="M48" s="64">
        <f t="shared" si="9"/>
        <v>13.827999999999999</v>
      </c>
      <c r="N48" s="64" cm="1">
        <f t="array" ref="N48">drivePower($C$4,M48,$C$9,$C$10,$C$11)</f>
        <v>26.725334639999996</v>
      </c>
      <c r="O48" s="86">
        <f t="shared" si="18"/>
        <v>4542.12</v>
      </c>
      <c r="P48" s="90">
        <f t="shared" si="5"/>
        <v>-1.5000000000000001E-4</v>
      </c>
      <c r="Q48" s="91">
        <f t="shared" si="6"/>
        <v>0.82280000000000009</v>
      </c>
      <c r="R48" s="98">
        <v>0.15</v>
      </c>
      <c r="S48" s="95">
        <f t="shared" si="11"/>
        <v>68200</v>
      </c>
      <c r="T48" s="92" cm="1">
        <f t="array" ref="T48">maxDepthToMinSOC($L$8,$L$9,$L$6,$L$7,$O48,$G$5,$G$6,drivePower($C$4,$M48,$G48,$C$10,$C$11),$I48,$G48,$G$4,$C$8)</f>
        <v>6180.7502456009388</v>
      </c>
      <c r="U48" s="12" cm="1">
        <f t="array" ref="U48">maxDepthToMinSOC($L$8,$L$9,P48,Q48,$O48,$G$5,$G$6,drivePower($C$4,$M48,$G48,$C$10,$C$11),$I48,$G48,$G$4,$C$8)</f>
        <v>3948.1501568853855</v>
      </c>
      <c r="V48" s="93">
        <f t="shared" si="7"/>
        <v>5064.4502012431622</v>
      </c>
    </row>
    <row r="49" spans="7:22" x14ac:dyDescent="0.35">
      <c r="G49" s="59">
        <f t="shared" si="1"/>
        <v>0.25</v>
      </c>
      <c r="H49" s="64" cm="1">
        <f t="array" ref="H49">drivePower($C$4,$C$5,G49,$C$10,$C$11)</f>
        <v>19.6038</v>
      </c>
      <c r="I49" s="84">
        <f t="shared" si="15"/>
        <v>24.679160599999999</v>
      </c>
      <c r="J49" s="84">
        <f t="shared" si="16"/>
        <v>44.282960599999996</v>
      </c>
      <c r="K49" s="60">
        <f t="shared" si="10"/>
        <v>70400</v>
      </c>
      <c r="L49" s="59">
        <f t="shared" si="17"/>
        <v>3.6</v>
      </c>
      <c r="M49" s="64">
        <f t="shared" si="9"/>
        <v>13.96</v>
      </c>
      <c r="N49" s="64" cm="1">
        <f t="array" ref="N49">drivePower($C$4,M49,$C$9,$C$10,$C$11)</f>
        <v>26.9709048</v>
      </c>
      <c r="O49" s="86">
        <f t="shared" si="18"/>
        <v>4688.6400000000003</v>
      </c>
      <c r="P49" s="90">
        <f t="shared" si="5"/>
        <v>-1.5000000000000001E-4</v>
      </c>
      <c r="Q49" s="91">
        <f t="shared" si="6"/>
        <v>0.82280000000000009</v>
      </c>
      <c r="R49" s="98">
        <v>0.15</v>
      </c>
      <c r="S49" s="95">
        <f t="shared" si="11"/>
        <v>70400</v>
      </c>
      <c r="T49" s="92" cm="1">
        <f t="array" ref="T49">maxDepthToMinSOC($L$8,$L$9,$L$6,$L$7,$O49,$G$5,$G$6,drivePower($C$4,$M49,$G49,$C$10,$C$11),$I49,$G49,$G$4,$C$8)</f>
        <v>6321.1502511799335</v>
      </c>
      <c r="U49" s="12" cm="1">
        <f t="array" ref="U49">maxDepthToMinSOC($L$8,$L$9,P49,Q49,$O49,$G$5,$G$6,drivePower($C$4,$M49,$G49,$C$10,$C$11),$I49,$G49,$G$4,$C$8)</f>
        <v>4014.0001595020294</v>
      </c>
      <c r="V49" s="93">
        <f t="shared" si="7"/>
        <v>5167.5752053409815</v>
      </c>
    </row>
    <row r="50" spans="7:22" x14ac:dyDescent="0.35">
      <c r="G50" s="59">
        <f t="shared" si="1"/>
        <v>0.25</v>
      </c>
      <c r="H50" s="64" cm="1">
        <f t="array" ref="H50">drivePower($C$4,$C$5,G50,$C$10,$C$11)</f>
        <v>19.6038</v>
      </c>
      <c r="I50" s="84">
        <f t="shared" si="15"/>
        <v>24.679160599999999</v>
      </c>
      <c r="J50" s="84">
        <f t="shared" si="16"/>
        <v>44.282960599999996</v>
      </c>
      <c r="K50" s="60">
        <f t="shared" si="10"/>
        <v>72600</v>
      </c>
      <c r="L50" s="59">
        <f t="shared" si="17"/>
        <v>3.72</v>
      </c>
      <c r="M50" s="64">
        <f t="shared" si="9"/>
        <v>14.092000000000001</v>
      </c>
      <c r="N50" s="64" cm="1">
        <f t="array" ref="N50">drivePower($C$4,M50,$C$9,$C$10,$C$11)</f>
        <v>27.216474959999999</v>
      </c>
      <c r="O50" s="86">
        <f t="shared" si="18"/>
        <v>4835.16</v>
      </c>
      <c r="P50" s="90">
        <f t="shared" si="5"/>
        <v>-1.5000000000000001E-4</v>
      </c>
      <c r="Q50" s="91">
        <f t="shared" si="6"/>
        <v>0.82280000000000009</v>
      </c>
      <c r="R50" s="98">
        <v>0.15</v>
      </c>
      <c r="S50" s="95">
        <f t="shared" si="11"/>
        <v>72600</v>
      </c>
      <c r="T50" s="92" cm="1">
        <f t="array" ref="T50">maxDepthToMinSOC($L$8,$L$9,$L$6,$L$7,$O50,$G$5,$G$6,drivePower($C$4,$M50,$G50,$C$10,$C$11),$I50,$G50,$G$4,$C$8)</f>
        <v>6458.8502566516399</v>
      </c>
      <c r="U50" s="12" cm="1">
        <f t="array" ref="U50">maxDepthToMinSOC($L$8,$L$9,P50,Q50,$O50,$G$5,$G$6,drivePower($C$4,$M50,$G50,$C$10,$C$11),$I50,$G50,$G$4,$C$8)</f>
        <v>4077.7501620352268</v>
      </c>
      <c r="V50" s="93">
        <f t="shared" si="7"/>
        <v>5268.3002093434334</v>
      </c>
    </row>
    <row r="51" spans="7:22" x14ac:dyDescent="0.35">
      <c r="G51" s="59">
        <f t="shared" si="1"/>
        <v>0.25</v>
      </c>
      <c r="H51" s="64" cm="1">
        <f t="array" ref="H51">drivePower($C$4,$C$5,G51,$C$10,$C$11)</f>
        <v>19.6038</v>
      </c>
      <c r="I51" s="84">
        <f t="shared" si="15"/>
        <v>24.679160599999999</v>
      </c>
      <c r="J51" s="84">
        <f t="shared" si="16"/>
        <v>44.282960599999996</v>
      </c>
      <c r="K51" s="60">
        <f t="shared" si="10"/>
        <v>74800</v>
      </c>
      <c r="L51" s="59">
        <f t="shared" si="17"/>
        <v>3.84</v>
      </c>
      <c r="M51" s="64">
        <f t="shared" si="9"/>
        <v>14.224</v>
      </c>
      <c r="N51" s="64" cm="1">
        <f t="array" ref="N51">drivePower($C$4,M51,$C$9,$C$10,$C$11)</f>
        <v>27.462045119999999</v>
      </c>
      <c r="O51" s="86">
        <f t="shared" si="18"/>
        <v>4981.6799999999994</v>
      </c>
      <c r="P51" s="90">
        <f t="shared" si="5"/>
        <v>-1.5000000000000001E-4</v>
      </c>
      <c r="Q51" s="91">
        <f t="shared" si="6"/>
        <v>0.82280000000000009</v>
      </c>
      <c r="R51" s="98">
        <v>0.15</v>
      </c>
      <c r="S51" s="95">
        <f t="shared" si="11"/>
        <v>74800</v>
      </c>
      <c r="T51" s="92" cm="1">
        <f t="array" ref="T51">maxDepthToMinSOC($L$8,$L$9,$L$6,$L$7,$O51,$G$5,$G$6,drivePower($C$4,$M51,$G51,$C$10,$C$11),$I51,$G51,$G$4,$C$8)</f>
        <v>6593.7002620100975</v>
      </c>
      <c r="U51" s="12" cm="1">
        <f t="array" ref="U51">maxDepthToMinSOC($L$8,$L$9,P51,Q51,$O51,$G$5,$G$6,drivePower($C$4,$M51,$G51,$C$10,$C$11),$I51,$G51,$G$4,$C$8)</f>
        <v>4139.5501644909382</v>
      </c>
      <c r="V51" s="93">
        <f t="shared" si="7"/>
        <v>5366.6252132505178</v>
      </c>
    </row>
    <row r="52" spans="7:22" x14ac:dyDescent="0.35">
      <c r="G52" s="59">
        <f t="shared" si="1"/>
        <v>0.25</v>
      </c>
      <c r="H52" s="64" cm="1">
        <f t="array" ref="H52">drivePower($C$4,$C$5,G52,$C$10,$C$11)</f>
        <v>19.6038</v>
      </c>
      <c r="I52" s="84">
        <f t="shared" si="15"/>
        <v>24.679160599999999</v>
      </c>
      <c r="J52" s="84">
        <f t="shared" si="16"/>
        <v>44.282960599999996</v>
      </c>
      <c r="K52" s="60">
        <f t="shared" si="10"/>
        <v>77000</v>
      </c>
      <c r="L52" s="59">
        <f t="shared" si="17"/>
        <v>3.96</v>
      </c>
      <c r="M52" s="64">
        <f t="shared" si="9"/>
        <v>14.356</v>
      </c>
      <c r="N52" s="64" cm="1">
        <f t="array" ref="N52">drivePower($C$4,M52,$C$9,$C$10,$C$11)</f>
        <v>27.707615279999999</v>
      </c>
      <c r="O52" s="86">
        <f t="shared" si="18"/>
        <v>5128.2</v>
      </c>
      <c r="P52" s="90">
        <f t="shared" si="5"/>
        <v>-1.5000000000000001E-4</v>
      </c>
      <c r="Q52" s="91">
        <f t="shared" si="6"/>
        <v>0.82280000000000009</v>
      </c>
      <c r="R52" s="98">
        <v>0.15</v>
      </c>
      <c r="S52" s="95">
        <f t="shared" si="11"/>
        <v>77000</v>
      </c>
      <c r="T52" s="92" cm="1">
        <f t="array" ref="T52">maxDepthToMinSOC($L$8,$L$9,$L$6,$L$7,$O52,$G$5,$G$6,drivePower($C$4,$M52,$G52,$C$10,$C$11),$I52,$G52,$G$4,$C$8)</f>
        <v>6726.1502672731876</v>
      </c>
      <c r="U52" s="12" cm="1">
        <f t="array" ref="U52">maxDepthToMinSOC($L$8,$L$9,P52,Q52,$O52,$G$5,$G$6,drivePower($C$4,$M52,$G52,$C$10,$C$11),$I52,$G52,$G$4,$C$8)</f>
        <v>4199.550166875124</v>
      </c>
      <c r="V52" s="93">
        <f t="shared" si="7"/>
        <v>5462.8502170741558</v>
      </c>
    </row>
    <row r="53" spans="7:22" x14ac:dyDescent="0.35">
      <c r="G53" s="59">
        <f t="shared" si="1"/>
        <v>0.25</v>
      </c>
      <c r="H53" s="64" cm="1">
        <f t="array" ref="H53">drivePower($C$4,$C$5,G53,$C$10,$C$11)</f>
        <v>19.6038</v>
      </c>
      <c r="I53" s="84">
        <f t="shared" si="15"/>
        <v>24.679160599999999</v>
      </c>
      <c r="J53" s="84">
        <f t="shared" si="16"/>
        <v>44.282960599999996</v>
      </c>
      <c r="K53" s="60">
        <f t="shared" si="10"/>
        <v>79200</v>
      </c>
      <c r="L53" s="59">
        <f t="shared" si="17"/>
        <v>4.08</v>
      </c>
      <c r="M53" s="64">
        <f t="shared" si="9"/>
        <v>14.488</v>
      </c>
      <c r="N53" s="64" cm="1">
        <f t="array" ref="N53">drivePower($C$4,M53,$C$9,$C$10,$C$11)</f>
        <v>27.953185439999999</v>
      </c>
      <c r="O53" s="86">
        <f t="shared" si="18"/>
        <v>5274.72</v>
      </c>
      <c r="P53" s="90">
        <f t="shared" si="5"/>
        <v>-1.5000000000000001E-4</v>
      </c>
      <c r="Q53" s="91">
        <f t="shared" si="6"/>
        <v>0.82280000000000009</v>
      </c>
      <c r="R53" s="98">
        <v>0.15</v>
      </c>
      <c r="S53" s="95">
        <f t="shared" si="11"/>
        <v>79200</v>
      </c>
      <c r="T53" s="92" cm="1">
        <f t="array" ref="T53">maxDepthToMinSOC($L$8,$L$9,$L$6,$L$7,$O53,$G$5,$G$6,drivePower($C$4,$M53,$G53,$C$10,$C$11),$I53,$G53,$G$4,$C$8)</f>
        <v>6856.0502724349499</v>
      </c>
      <c r="U53" s="12" cm="1">
        <f t="array" ref="U53">maxDepthToMinSOC($L$8,$L$9,P53,Q53,$O53,$G$5,$G$6,drivePower($C$4,$M53,$G53,$C$10,$C$11),$I53,$G53,$G$4,$C$8)</f>
        <v>4257.7501691877842</v>
      </c>
      <c r="V53" s="93">
        <f t="shared" si="7"/>
        <v>5556.900220811367</v>
      </c>
    </row>
    <row r="54" spans="7:22" x14ac:dyDescent="0.35">
      <c r="G54" s="59">
        <f t="shared" si="1"/>
        <v>0.25</v>
      </c>
      <c r="H54" s="64" cm="1">
        <f t="array" ref="H54">drivePower($C$4,$C$5,G54,$C$10,$C$11)</f>
        <v>19.6038</v>
      </c>
      <c r="I54" s="84">
        <f t="shared" si="15"/>
        <v>24.679160599999999</v>
      </c>
      <c r="J54" s="84">
        <f t="shared" si="16"/>
        <v>44.282960599999996</v>
      </c>
      <c r="K54" s="60">
        <f t="shared" si="10"/>
        <v>81400</v>
      </c>
      <c r="L54" s="59">
        <f t="shared" si="17"/>
        <v>4.2</v>
      </c>
      <c r="M54" s="64">
        <f t="shared" si="9"/>
        <v>14.620000000000001</v>
      </c>
      <c r="N54" s="64" cm="1">
        <f t="array" ref="N54">drivePower($C$4,M54,$C$9,$C$10,$C$11)</f>
        <v>28.198755600000002</v>
      </c>
      <c r="O54" s="86">
        <f t="shared" si="18"/>
        <v>5421.2400000000007</v>
      </c>
      <c r="P54" s="90">
        <f t="shared" si="5"/>
        <v>-1.5000000000000001E-4</v>
      </c>
      <c r="Q54" s="91">
        <f t="shared" si="6"/>
        <v>0.82280000000000009</v>
      </c>
      <c r="R54" s="98">
        <v>0.15</v>
      </c>
      <c r="S54" s="95">
        <f t="shared" si="11"/>
        <v>81400</v>
      </c>
      <c r="T54" s="92" cm="1">
        <f t="array" ref="T54">maxDepthToMinSOC($L$8,$L$9,$L$6,$L$7,$O54,$G$5,$G$6,drivePower($C$4,$M54,$G54,$C$10,$C$11),$I54,$G54,$G$4,$C$8)</f>
        <v>6983.5502775013447</v>
      </c>
      <c r="U54" s="12" cm="1">
        <f t="array" ref="U54">maxDepthToMinSOC($L$8,$L$9,P54,Q54,$O54,$G$5,$G$6,drivePower($C$4,$M54,$G54,$C$10,$C$11),$I54,$G54,$G$4,$C$8)</f>
        <v>4314.1501714289188</v>
      </c>
      <c r="V54" s="93">
        <f t="shared" si="7"/>
        <v>5648.8502244651318</v>
      </c>
    </row>
    <row r="55" spans="7:22" x14ac:dyDescent="0.35">
      <c r="G55" s="59">
        <f t="shared" si="1"/>
        <v>0.25</v>
      </c>
      <c r="H55" s="64" cm="1">
        <f t="array" ref="H55">drivePower($C$4,$C$5,G55,$C$10,$C$11)</f>
        <v>19.6038</v>
      </c>
      <c r="I55" s="84">
        <f t="shared" si="15"/>
        <v>24.679160599999999</v>
      </c>
      <c r="J55" s="84">
        <f t="shared" si="16"/>
        <v>44.282960599999996</v>
      </c>
      <c r="K55" s="60">
        <f t="shared" si="10"/>
        <v>83600</v>
      </c>
      <c r="L55" s="59">
        <f t="shared" si="17"/>
        <v>4.32</v>
      </c>
      <c r="M55" s="64">
        <f t="shared" si="9"/>
        <v>14.752000000000001</v>
      </c>
      <c r="N55" s="64" cm="1">
        <f t="array" ref="N55">drivePower($C$4,M55,$C$9,$C$10,$C$11)</f>
        <v>28.444325760000002</v>
      </c>
      <c r="O55" s="86">
        <f t="shared" si="18"/>
        <v>5567.7599999999993</v>
      </c>
      <c r="P55" s="90">
        <f t="shared" si="5"/>
        <v>-1.5000000000000001E-4</v>
      </c>
      <c r="Q55" s="91">
        <f t="shared" si="6"/>
        <v>0.82280000000000009</v>
      </c>
      <c r="R55" s="98">
        <v>0.15</v>
      </c>
      <c r="S55" s="95">
        <f t="shared" si="11"/>
        <v>83600</v>
      </c>
      <c r="T55" s="92" cm="1">
        <f t="array" ref="T55">maxDepthToMinSOC($L$8,$L$9,$L$6,$L$7,$O55,$G$5,$G$6,drivePower($C$4,$M55,$G55,$C$10,$C$11),$I55,$G55,$G$4,$C$8)</f>
        <v>7108.6502824723721</v>
      </c>
      <c r="U55" s="12" cm="1">
        <f t="array" ref="U55">maxDepthToMinSOC($L$8,$L$9,P55,Q55,$O55,$G$5,$G$6,drivePower($C$4,$M55,$G55,$C$10,$C$11),$I55,$G55,$G$4,$C$8)</f>
        <v>4369.0501736104488</v>
      </c>
      <c r="V55" s="93">
        <f t="shared" si="7"/>
        <v>5738.8502280414104</v>
      </c>
    </row>
    <row r="56" spans="7:22" x14ac:dyDescent="0.35">
      <c r="G56" s="59">
        <f t="shared" si="1"/>
        <v>0.25</v>
      </c>
      <c r="H56" s="64" cm="1">
        <f t="array" ref="H56">drivePower($C$4,$C$5,G56,$C$10,$C$11)</f>
        <v>19.6038</v>
      </c>
      <c r="I56" s="84">
        <f t="shared" si="15"/>
        <v>24.679160599999999</v>
      </c>
      <c r="J56" s="84">
        <f t="shared" si="16"/>
        <v>44.282960599999996</v>
      </c>
      <c r="K56" s="60">
        <f t="shared" si="10"/>
        <v>85800</v>
      </c>
      <c r="L56" s="59">
        <f t="shared" si="17"/>
        <v>4.4400000000000004</v>
      </c>
      <c r="M56" s="64">
        <f t="shared" si="9"/>
        <v>14.884</v>
      </c>
      <c r="N56" s="64" cm="1">
        <f t="array" ref="N56">drivePower($C$4,M56,$C$9,$C$10,$C$11)</f>
        <v>28.689895919999998</v>
      </c>
      <c r="O56" s="86">
        <f t="shared" si="18"/>
        <v>5714.28</v>
      </c>
      <c r="P56" s="90">
        <f t="shared" si="5"/>
        <v>-1.5000000000000001E-4</v>
      </c>
      <c r="Q56" s="91">
        <f t="shared" si="6"/>
        <v>0.82280000000000009</v>
      </c>
      <c r="R56" s="98">
        <v>0.15</v>
      </c>
      <c r="S56" s="95">
        <f t="shared" si="11"/>
        <v>85800</v>
      </c>
      <c r="T56" s="92" cm="1">
        <f t="array" ref="T56">maxDepthToMinSOC($L$8,$L$9,$L$6,$L$7,$O56,$G$5,$G$6,drivePower($C$4,$M56,$G56,$C$10,$C$11),$I56,$G56,$G$4,$C$8)</f>
        <v>7231.5002873539925</v>
      </c>
      <c r="U56" s="12" cm="1">
        <f t="array" ref="U56">maxDepthToMinSOC($L$8,$L$9,P56,Q56,$O56,$G$5,$G$6,drivePower($C$4,$M56,$G56,$C$10,$C$11),$I56,$G56,$G$4,$C$8)</f>
        <v>4422.3001757264137</v>
      </c>
      <c r="V56" s="93">
        <f t="shared" si="7"/>
        <v>5826.9002315402031</v>
      </c>
    </row>
    <row r="57" spans="7:22" x14ac:dyDescent="0.35">
      <c r="G57" s="59">
        <f t="shared" si="1"/>
        <v>0.25</v>
      </c>
      <c r="H57" s="64" cm="1">
        <f t="array" ref="H57">drivePower($C$4,$C$5,G57,$C$10,$C$11)</f>
        <v>19.6038</v>
      </c>
      <c r="I57" s="84">
        <f t="shared" si="15"/>
        <v>24.679160599999999</v>
      </c>
      <c r="J57" s="84">
        <f t="shared" si="16"/>
        <v>44.282960599999996</v>
      </c>
      <c r="K57" s="60">
        <f t="shared" si="10"/>
        <v>88000</v>
      </c>
      <c r="L57" s="59">
        <f t="shared" si="17"/>
        <v>4.5599999999999996</v>
      </c>
      <c r="M57" s="64">
        <f t="shared" si="9"/>
        <v>15.016</v>
      </c>
      <c r="N57" s="64" cm="1">
        <f t="array" ref="N57">drivePower($C$4,M57,$C$9,$C$10,$C$11)</f>
        <v>28.935466079999998</v>
      </c>
      <c r="O57" s="86">
        <f t="shared" si="18"/>
        <v>5860.8</v>
      </c>
      <c r="P57" s="90">
        <f t="shared" si="5"/>
        <v>-1.5000000000000001E-4</v>
      </c>
      <c r="Q57" s="91">
        <f t="shared" si="6"/>
        <v>0.82280000000000009</v>
      </c>
      <c r="R57" s="98">
        <v>0.15</v>
      </c>
      <c r="S57" s="95">
        <f t="shared" si="11"/>
        <v>88000</v>
      </c>
      <c r="T57" s="92" cm="1">
        <f t="array" ref="T57">maxDepthToMinSOC($L$8,$L$9,$L$6,$L$7,$O57,$G$5,$G$6,drivePower($C$4,$M57,$G57,$C$10,$C$11),$I57,$G57,$G$4,$C$8)</f>
        <v>7352.1002921462059</v>
      </c>
      <c r="U57" s="12" cm="1">
        <f t="array" ref="U57">maxDepthToMinSOC($L$8,$L$9,P57,Q57,$O57,$G$5,$G$6,drivePower($C$4,$M57,$G57,$C$10,$C$11),$I57,$G57,$G$4,$C$8)</f>
        <v>4474.2001777887344</v>
      </c>
      <c r="V57" s="93">
        <f t="shared" si="7"/>
        <v>5913.1502349674702</v>
      </c>
    </row>
    <row r="58" spans="7:22" x14ac:dyDescent="0.35">
      <c r="G58" s="59">
        <f t="shared" si="1"/>
        <v>0.25</v>
      </c>
      <c r="H58" s="64" cm="1">
        <f t="array" ref="H58">drivePower($C$4,$C$5,G58,$C$10,$C$11)</f>
        <v>19.6038</v>
      </c>
      <c r="I58" s="84">
        <f t="shared" si="15"/>
        <v>24.679160599999999</v>
      </c>
      <c r="J58" s="84">
        <f t="shared" si="16"/>
        <v>44.282960599999996</v>
      </c>
      <c r="K58" s="60">
        <f t="shared" si="10"/>
        <v>90200</v>
      </c>
      <c r="L58" s="59">
        <f t="shared" si="17"/>
        <v>4.68</v>
      </c>
      <c r="M58" s="64">
        <f t="shared" si="9"/>
        <v>15.148</v>
      </c>
      <c r="N58" s="64" cm="1">
        <f t="array" ref="N58">drivePower($C$4,M58,$C$9,$C$10,$C$11)</f>
        <v>29.181036239999997</v>
      </c>
      <c r="O58" s="86">
        <f t="shared" si="18"/>
        <v>6007.3200000000006</v>
      </c>
      <c r="P58" s="90">
        <f t="shared" si="5"/>
        <v>-1.5000000000000001E-4</v>
      </c>
      <c r="Q58" s="91">
        <f t="shared" si="6"/>
        <v>0.82280000000000009</v>
      </c>
      <c r="R58" s="98">
        <v>0.15</v>
      </c>
      <c r="S58" s="95">
        <f t="shared" si="11"/>
        <v>90200</v>
      </c>
      <c r="T58" s="92" cm="1">
        <f t="array" ref="T58">maxDepthToMinSOC($L$8,$L$9,$L$6,$L$7,$O58,$G$5,$G$6,drivePower($C$4,$M58,$G58,$C$10,$C$11),$I58,$G58,$G$4,$C$8)</f>
        <v>7470.4502968490124</v>
      </c>
      <c r="U58" s="12" cm="1">
        <f t="array" ref="U58">maxDepthToMinSOC($L$8,$L$9,P58,Q58,$O58,$G$5,$G$6,drivePower($C$4,$M58,$G58,$C$10,$C$11),$I58,$G58,$G$4,$C$8)</f>
        <v>4524.6001797914505</v>
      </c>
      <c r="V58" s="93">
        <f t="shared" si="7"/>
        <v>5997.5252383202314</v>
      </c>
    </row>
    <row r="59" spans="7:22" x14ac:dyDescent="0.35">
      <c r="G59" s="59">
        <f t="shared" si="1"/>
        <v>0.25</v>
      </c>
      <c r="H59" s="64" cm="1">
        <f t="array" ref="H59">drivePower($C$4,$C$5,G59,$C$10,$C$11)</f>
        <v>19.6038</v>
      </c>
      <c r="I59" s="84">
        <f t="shared" si="15"/>
        <v>24.679160599999999</v>
      </c>
      <c r="J59" s="84">
        <f t="shared" si="16"/>
        <v>44.282960599999996</v>
      </c>
      <c r="K59" s="60">
        <f t="shared" si="10"/>
        <v>92400</v>
      </c>
      <c r="L59" s="59">
        <f t="shared" si="17"/>
        <v>4.8</v>
      </c>
      <c r="M59" s="64">
        <f t="shared" si="9"/>
        <v>15.280000000000001</v>
      </c>
      <c r="N59" s="64" cm="1">
        <f t="array" ref="N59">drivePower($C$4,M59,$C$9,$C$10,$C$11)</f>
        <v>29.426606400000001</v>
      </c>
      <c r="O59" s="86">
        <f t="shared" si="18"/>
        <v>6153.84</v>
      </c>
      <c r="P59" s="90">
        <f t="shared" si="5"/>
        <v>-1.5000000000000001E-4</v>
      </c>
      <c r="Q59" s="91">
        <f t="shared" si="6"/>
        <v>0.82280000000000009</v>
      </c>
      <c r="R59" s="98">
        <v>0.15</v>
      </c>
      <c r="S59" s="95">
        <f t="shared" si="11"/>
        <v>92400</v>
      </c>
      <c r="T59" s="92" cm="1">
        <f t="array" ref="T59">maxDepthToMinSOC($L$8,$L$9,$L$6,$L$7,$O59,$G$5,$G$6,drivePower($C$4,$M59,$G59,$C$10,$C$11),$I59,$G59,$G$4,$C$8)</f>
        <v>7586.7003014683723</v>
      </c>
      <c r="U59" s="12" cm="1">
        <f t="array" ref="U59">maxDepthToMinSOC($L$8,$L$9,P59,Q59,$O59,$G$5,$G$6,drivePower($C$4,$M59,$G59,$C$10,$C$11),$I59,$G59,$G$4,$C$8)</f>
        <v>4573.6501817405224</v>
      </c>
      <c r="V59" s="93">
        <f t="shared" si="7"/>
        <v>6080.1752416044474</v>
      </c>
    </row>
    <row r="60" spans="7:22" x14ac:dyDescent="0.35">
      <c r="G60" s="59">
        <f t="shared" si="1"/>
        <v>0.25</v>
      </c>
      <c r="H60" s="64" cm="1">
        <f t="array" ref="H60">drivePower($C$4,$C$5,G60,$C$10,$C$11)</f>
        <v>19.6038</v>
      </c>
      <c r="I60" s="84">
        <f t="shared" si="15"/>
        <v>24.679160599999999</v>
      </c>
      <c r="J60" s="84">
        <f t="shared" si="16"/>
        <v>44.282960599999996</v>
      </c>
      <c r="K60" s="60">
        <f t="shared" si="10"/>
        <v>94600</v>
      </c>
      <c r="L60" s="59">
        <f t="shared" si="17"/>
        <v>4.92</v>
      </c>
      <c r="M60" s="64">
        <f t="shared" si="9"/>
        <v>15.411999999999999</v>
      </c>
      <c r="N60" s="64" cm="1">
        <f t="array" ref="N60">drivePower($C$4,M60,$C$9,$C$10,$C$11)</f>
        <v>29.672176559999997</v>
      </c>
      <c r="O60" s="86">
        <f t="shared" si="18"/>
        <v>6300.36</v>
      </c>
      <c r="P60" s="90">
        <f t="shared" si="5"/>
        <v>-1.5000000000000001E-4</v>
      </c>
      <c r="Q60" s="91">
        <f t="shared" si="6"/>
        <v>0.82280000000000009</v>
      </c>
      <c r="R60" s="98">
        <v>0.15</v>
      </c>
      <c r="S60" s="95">
        <f t="shared" si="11"/>
        <v>94600</v>
      </c>
      <c r="T60" s="92" cm="1">
        <f t="array" ref="T60">maxDepthToMinSOC($L$8,$L$9,$L$6,$L$7,$O60,$G$5,$G$6,drivePower($C$4,$M60,$G60,$C$10,$C$11),$I60,$G60,$G$4,$C$8)</f>
        <v>7701.0003060102463</v>
      </c>
      <c r="U60" s="12" cm="1">
        <f t="array" ref="U60">maxDepthToMinSOC($L$8,$L$9,P60,Q60,$O60,$G$5,$G$6,drivePower($C$4,$M60,$G60,$C$10,$C$11),$I60,$G60,$G$4,$C$8)</f>
        <v>4621.3501836359501</v>
      </c>
      <c r="V60" s="93">
        <f t="shared" si="7"/>
        <v>6161.1752448230982</v>
      </c>
    </row>
    <row r="61" spans="7:22" x14ac:dyDescent="0.35">
      <c r="G61" s="59">
        <f t="shared" si="1"/>
        <v>0.25</v>
      </c>
      <c r="H61" s="64" cm="1">
        <f t="array" ref="H61">drivePower($C$4,$C$5,G61,$C$10,$C$11)</f>
        <v>19.6038</v>
      </c>
      <c r="I61" s="84">
        <f t="shared" si="15"/>
        <v>24.679160599999999</v>
      </c>
      <c r="J61" s="84">
        <f t="shared" si="16"/>
        <v>44.282960599999996</v>
      </c>
      <c r="K61" s="60">
        <f t="shared" si="10"/>
        <v>96800</v>
      </c>
      <c r="L61" s="59">
        <f t="shared" si="17"/>
        <v>5.04</v>
      </c>
      <c r="M61" s="64">
        <f t="shared" si="9"/>
        <v>15.544</v>
      </c>
      <c r="N61" s="64" cm="1">
        <f t="array" ref="N61">drivePower($C$4,M61,$C$9,$C$10,$C$11)</f>
        <v>29.91774672</v>
      </c>
      <c r="O61" s="86">
        <f t="shared" si="18"/>
        <v>6446.88</v>
      </c>
      <c r="P61" s="90">
        <f t="shared" si="5"/>
        <v>-1.5000000000000001E-4</v>
      </c>
      <c r="Q61" s="91">
        <f t="shared" si="6"/>
        <v>0.82280000000000009</v>
      </c>
      <c r="R61" s="98">
        <v>0.15</v>
      </c>
      <c r="S61" s="95">
        <f t="shared" si="11"/>
        <v>96800</v>
      </c>
      <c r="T61" s="92" cm="1">
        <f t="array" ref="T61">maxDepthToMinSOC($L$8,$L$9,$L$6,$L$7,$O61,$G$5,$G$6,drivePower($C$4,$M61,$G61,$C$10,$C$11),$I61,$G61,$G$4,$C$8)</f>
        <v>7813.2003104686737</v>
      </c>
      <c r="U61" s="12" cm="1">
        <f t="array" ref="U61">maxDepthToMinSOC($L$8,$L$9,P61,Q61,$O61,$G$5,$G$6,drivePower($C$4,$M61,$G61,$C$10,$C$11),$I61,$G61,$G$4,$C$8)</f>
        <v>4667.7001854777336</v>
      </c>
      <c r="V61" s="93">
        <f t="shared" si="7"/>
        <v>6240.4502479732037</v>
      </c>
    </row>
    <row r="62" spans="7:22" x14ac:dyDescent="0.35">
      <c r="G62" s="59">
        <f t="shared" si="1"/>
        <v>0.25</v>
      </c>
      <c r="H62" s="64" cm="1">
        <f t="array" ref="H62">drivePower($C$4,$C$5,G62,$C$10,$C$11)</f>
        <v>19.6038</v>
      </c>
      <c r="I62" s="84">
        <f t="shared" si="15"/>
        <v>24.679160599999999</v>
      </c>
      <c r="J62" s="84">
        <f t="shared" si="16"/>
        <v>44.282960599999996</v>
      </c>
      <c r="K62" s="60">
        <f t="shared" si="10"/>
        <v>99000</v>
      </c>
      <c r="L62" s="59">
        <f t="shared" si="17"/>
        <v>5.16</v>
      </c>
      <c r="M62" s="64">
        <f t="shared" si="9"/>
        <v>15.676000000000002</v>
      </c>
      <c r="N62" s="64" cm="1">
        <f t="array" ref="N62">drivePower($C$4,M62,$C$9,$C$10,$C$11)</f>
        <v>30.163316880000004</v>
      </c>
      <c r="O62" s="86">
        <f t="shared" si="18"/>
        <v>6593.4</v>
      </c>
      <c r="P62" s="90">
        <f t="shared" si="5"/>
        <v>-1.5000000000000001E-4</v>
      </c>
      <c r="Q62" s="91">
        <f t="shared" si="6"/>
        <v>0.82280000000000009</v>
      </c>
      <c r="R62" s="98">
        <v>0.15</v>
      </c>
      <c r="S62" s="95">
        <f t="shared" si="11"/>
        <v>99000</v>
      </c>
      <c r="T62" s="92" cm="1">
        <f t="array" ref="T62">maxDepthToMinSOC($L$8,$L$9,$L$6,$L$7,$O62,$G$5,$G$6,drivePower($C$4,$M62,$G62,$C$10,$C$11),$I62,$G62,$G$4,$C$8)</f>
        <v>7923.4503148496151</v>
      </c>
      <c r="U62" s="12" cm="1">
        <f t="array" ref="U62">maxDepthToMinSOC($L$8,$L$9,P62,Q62,$O62,$G$5,$G$6,drivePower($C$4,$M62,$G62,$C$10,$C$11),$I62,$G62,$G$4,$C$8)</f>
        <v>4713.0001872777939</v>
      </c>
      <c r="V62" s="93">
        <f t="shared" si="7"/>
        <v>6318.2252510637045</v>
      </c>
    </row>
    <row r="63" spans="7:22" x14ac:dyDescent="0.35">
      <c r="G63" s="59">
        <f t="shared" si="1"/>
        <v>0.25</v>
      </c>
      <c r="H63" s="64" cm="1">
        <f t="array" ref="H63">drivePower($C$4,$C$5,G63,$C$10,$C$11)</f>
        <v>19.6038</v>
      </c>
      <c r="I63" s="84">
        <f t="shared" si="15"/>
        <v>24.679160599999999</v>
      </c>
      <c r="J63" s="84">
        <f t="shared" si="16"/>
        <v>44.282960599999996</v>
      </c>
      <c r="K63" s="60">
        <f t="shared" si="10"/>
        <v>101200</v>
      </c>
      <c r="L63" s="59">
        <f t="shared" si="17"/>
        <v>5.28</v>
      </c>
      <c r="M63" s="64">
        <f t="shared" si="9"/>
        <v>15.808</v>
      </c>
      <c r="N63" s="64" cm="1">
        <f t="array" ref="N63">drivePower($C$4,M63,$C$9,$C$10,$C$11)</f>
        <v>30.40888704</v>
      </c>
      <c r="O63" s="86">
        <f t="shared" si="18"/>
        <v>6739.92</v>
      </c>
      <c r="P63" s="90">
        <f t="shared" si="5"/>
        <v>-1.5000000000000001E-4</v>
      </c>
      <c r="Q63" s="91">
        <f t="shared" si="6"/>
        <v>0.82280000000000009</v>
      </c>
      <c r="R63" s="98">
        <v>0.15</v>
      </c>
      <c r="S63" s="95">
        <f t="shared" si="11"/>
        <v>101200</v>
      </c>
      <c r="T63" s="92" cm="1">
        <f t="array" ref="T63">maxDepthToMinSOC($L$8,$L$9,$L$6,$L$7,$O63,$G$5,$G$6,drivePower($C$4,$M63,$G63,$C$10,$C$11),$I63,$G63,$G$4,$C$8)</f>
        <v>8031.7503191530704</v>
      </c>
      <c r="U63" s="12" cm="1">
        <f t="array" ref="U63">maxDepthToMinSOC($L$8,$L$9,P63,Q63,$O63,$G$5,$G$6,drivePower($C$4,$M63,$G63,$C$10,$C$11),$I63,$G63,$G$4,$C$8)</f>
        <v>4756.95018902421</v>
      </c>
      <c r="V63" s="93">
        <f t="shared" si="7"/>
        <v>6394.3502540886402</v>
      </c>
    </row>
    <row r="64" spans="7:22" x14ac:dyDescent="0.35">
      <c r="G64" s="59">
        <f t="shared" si="1"/>
        <v>0.25</v>
      </c>
      <c r="H64" s="64" cm="1">
        <f t="array" ref="H64">drivePower($C$4,$C$5,G64,$C$10,$C$11)</f>
        <v>19.6038</v>
      </c>
      <c r="I64" s="84">
        <f t="shared" si="15"/>
        <v>24.679160599999999</v>
      </c>
      <c r="J64" s="84">
        <f t="shared" si="16"/>
        <v>44.282960599999996</v>
      </c>
      <c r="K64" s="60">
        <f t="shared" si="10"/>
        <v>103400</v>
      </c>
      <c r="L64" s="59">
        <f t="shared" si="17"/>
        <v>5.4</v>
      </c>
      <c r="M64" s="64">
        <f t="shared" si="9"/>
        <v>15.940000000000001</v>
      </c>
      <c r="N64" s="64" cm="1">
        <f t="array" ref="N64">drivePower($C$4,M64,$C$9,$C$10,$C$11)</f>
        <v>30.6544572</v>
      </c>
      <c r="O64" s="86">
        <f t="shared" si="18"/>
        <v>6886.4400000000005</v>
      </c>
      <c r="P64" s="90">
        <f t="shared" si="5"/>
        <v>-1.5000000000000001E-4</v>
      </c>
      <c r="Q64" s="91">
        <f t="shared" si="6"/>
        <v>0.82280000000000009</v>
      </c>
      <c r="R64" s="98">
        <v>0.15</v>
      </c>
      <c r="S64" s="95">
        <f t="shared" si="11"/>
        <v>103400</v>
      </c>
      <c r="T64" s="92" cm="1">
        <f t="array" ref="T64">maxDepthToMinSOC($L$8,$L$9,$L$6,$L$7,$O64,$G$5,$G$6,drivePower($C$4,$M64,$G64,$C$10,$C$11),$I64,$G64,$G$4,$C$8)</f>
        <v>8138.2503233850002</v>
      </c>
      <c r="U64" s="12" cm="1">
        <f t="array" ref="U64">maxDepthToMinSOC($L$8,$L$9,P64,Q64,$O64,$G$5,$G$6,drivePower($C$4,$M64,$G64,$C$10,$C$11),$I64,$G64,$G$4,$C$8)</f>
        <v>4800.0001907348633</v>
      </c>
      <c r="V64" s="93">
        <f t="shared" si="7"/>
        <v>6469.1252570599318</v>
      </c>
    </row>
    <row r="65" spans="7:22" x14ac:dyDescent="0.35">
      <c r="G65" s="59">
        <f t="shared" si="1"/>
        <v>0.25</v>
      </c>
      <c r="H65" s="64" cm="1">
        <f t="array" ref="H65">drivePower($C$4,$C$5,G65,$C$10,$C$11)</f>
        <v>19.6038</v>
      </c>
      <c r="I65" s="84">
        <f t="shared" si="15"/>
        <v>24.679160599999999</v>
      </c>
      <c r="J65" s="84">
        <f t="shared" si="16"/>
        <v>44.282960599999996</v>
      </c>
      <c r="K65" s="60">
        <f t="shared" si="10"/>
        <v>105600</v>
      </c>
      <c r="L65" s="59">
        <f t="shared" si="17"/>
        <v>5.52</v>
      </c>
      <c r="M65" s="64">
        <f t="shared" si="9"/>
        <v>16.071999999999999</v>
      </c>
      <c r="N65" s="64" cm="1">
        <f t="array" ref="N65">drivePower($C$4,M65,$C$9,$C$10,$C$11)</f>
        <v>30.900027359999996</v>
      </c>
      <c r="O65" s="86">
        <f t="shared" si="18"/>
        <v>7032.96</v>
      </c>
      <c r="P65" s="90">
        <f t="shared" si="5"/>
        <v>-1.5000000000000001E-4</v>
      </c>
      <c r="Q65" s="91">
        <f t="shared" si="6"/>
        <v>0.82280000000000009</v>
      </c>
      <c r="R65" s="98">
        <v>0.15</v>
      </c>
      <c r="S65" s="95">
        <f t="shared" si="11"/>
        <v>105600</v>
      </c>
      <c r="T65" s="92" cm="1">
        <f t="array" ref="T65">maxDepthToMinSOC($L$8,$L$9,$L$6,$L$7,$O65,$G$5,$G$6,drivePower($C$4,$M65,$G65,$C$10,$C$11),$I65,$G65,$G$4,$C$8)</f>
        <v>8242.9503275454044</v>
      </c>
      <c r="U65" s="12" cm="1">
        <f t="array" ref="U65">maxDepthToMinSOC($L$8,$L$9,P65,Q65,$O65,$G$5,$G$6,drivePower($C$4,$M65,$G65,$C$10,$C$11),$I65,$G65,$G$4,$C$8)</f>
        <v>4841.8501923978329</v>
      </c>
      <c r="V65" s="93">
        <f t="shared" si="7"/>
        <v>6542.4002599716187</v>
      </c>
    </row>
    <row r="66" spans="7:22" x14ac:dyDescent="0.35">
      <c r="G66" s="59">
        <f t="shared" si="1"/>
        <v>0.25</v>
      </c>
      <c r="H66" s="64" cm="1">
        <f t="array" ref="H66">drivePower($C$4,$C$5,G66,$C$10,$C$11)</f>
        <v>19.6038</v>
      </c>
      <c r="I66" s="84">
        <f t="shared" si="15"/>
        <v>24.679160599999999</v>
      </c>
      <c r="J66" s="84">
        <f t="shared" si="16"/>
        <v>44.282960599999996</v>
      </c>
      <c r="K66" s="60">
        <f t="shared" si="10"/>
        <v>107800</v>
      </c>
      <c r="L66" s="59">
        <f t="shared" si="17"/>
        <v>5.64</v>
      </c>
      <c r="M66" s="64">
        <f t="shared" si="9"/>
        <v>16.204000000000001</v>
      </c>
      <c r="N66" s="64" cm="1">
        <f t="array" ref="N66">drivePower($C$4,M66,$C$9,$C$10,$C$11)</f>
        <v>31.145597519999999</v>
      </c>
      <c r="O66" s="86">
        <f t="shared" si="18"/>
        <v>7179.48</v>
      </c>
      <c r="P66" s="90">
        <f t="shared" si="5"/>
        <v>-1.5000000000000001E-4</v>
      </c>
      <c r="Q66" s="91">
        <f t="shared" si="6"/>
        <v>0.82280000000000009</v>
      </c>
      <c r="R66" s="98">
        <v>0.15</v>
      </c>
      <c r="S66" s="95">
        <f t="shared" si="11"/>
        <v>107800</v>
      </c>
      <c r="T66" s="92" cm="1">
        <f t="array" ref="T66">maxDepthToMinSOC($L$8,$L$9,$L$6,$L$7,$O66,$G$5,$G$6,drivePower($C$4,$M66,$G66,$C$10,$C$11),$I66,$G66,$G$4,$C$8)</f>
        <v>8345.8503316342831</v>
      </c>
      <c r="U66" s="12" cm="1">
        <f t="array" ref="U66">maxDepthToMinSOC($L$8,$L$9,P66,Q66,$O66,$G$5,$G$6,drivePower($C$4,$M66,$G66,$C$10,$C$11),$I66,$G66,$G$4,$C$8)</f>
        <v>4882.6501940190792</v>
      </c>
      <c r="V66" s="93">
        <f t="shared" si="7"/>
        <v>6614.2502628266811</v>
      </c>
    </row>
    <row r="67" spans="7:22" x14ac:dyDescent="0.35">
      <c r="G67" s="59">
        <f t="shared" si="1"/>
        <v>0.25</v>
      </c>
      <c r="H67" s="64" cm="1">
        <f t="array" ref="H67">drivePower($C$4,$C$5,G67,$C$10,$C$11)</f>
        <v>19.6038</v>
      </c>
      <c r="I67" s="84">
        <f t="shared" si="15"/>
        <v>24.679160599999999</v>
      </c>
      <c r="J67" s="84">
        <f t="shared" si="16"/>
        <v>44.282960599999996</v>
      </c>
      <c r="K67" s="60">
        <f t="shared" si="10"/>
        <v>110000</v>
      </c>
      <c r="L67" s="59">
        <f t="shared" si="17"/>
        <v>5.76</v>
      </c>
      <c r="M67" s="64">
        <f t="shared" si="9"/>
        <v>16.335999999999999</v>
      </c>
      <c r="N67" s="64" cm="1">
        <f t="array" ref="N67">drivePower($C$4,M67,$C$9,$C$10,$C$11)</f>
        <v>31.391167679999995</v>
      </c>
      <c r="O67" s="86">
        <f t="shared" si="18"/>
        <v>7326</v>
      </c>
      <c r="P67" s="90">
        <f t="shared" si="5"/>
        <v>-1.5000000000000001E-4</v>
      </c>
      <c r="Q67" s="91">
        <f t="shared" si="6"/>
        <v>0.82280000000000009</v>
      </c>
      <c r="R67" s="98">
        <v>0.15</v>
      </c>
      <c r="S67" s="95">
        <f t="shared" si="11"/>
        <v>110000</v>
      </c>
      <c r="T67" s="92" cm="1">
        <f t="array" ref="T67">maxDepthToMinSOC($L$8,$L$9,$L$6,$L$7,$O67,$G$5,$G$6,drivePower($C$4,$M67,$G67,$C$10,$C$11),$I67,$G67,$G$4,$C$8)</f>
        <v>8447.1003356575966</v>
      </c>
      <c r="U67" s="12" cm="1">
        <f t="array" ref="U67">maxDepthToMinSOC($L$8,$L$9,P67,Q67,$O67,$G$5,$G$6,drivePower($C$4,$M67,$G67,$C$10,$C$11),$I67,$G67,$G$4,$C$8)</f>
        <v>4922.4001955986023</v>
      </c>
      <c r="V67" s="93">
        <f t="shared" si="7"/>
        <v>6684.7502656280994</v>
      </c>
    </row>
    <row r="68" spans="7:22" x14ac:dyDescent="0.35">
      <c r="G68" s="59">
        <f t="shared" si="1"/>
        <v>0.25</v>
      </c>
      <c r="H68" s="64" cm="1">
        <f t="array" ref="H68">drivePower($C$4,$C$5,G68,$C$10,$C$11)</f>
        <v>19.6038</v>
      </c>
      <c r="I68" s="84">
        <f t="shared" si="15"/>
        <v>24.679160599999999</v>
      </c>
      <c r="J68" s="84">
        <f t="shared" si="16"/>
        <v>44.282960599999996</v>
      </c>
      <c r="K68" s="60">
        <f t="shared" si="10"/>
        <v>112200</v>
      </c>
      <c r="L68" s="59">
        <f t="shared" si="17"/>
        <v>5.88</v>
      </c>
      <c r="M68" s="64">
        <f t="shared" si="9"/>
        <v>16.468</v>
      </c>
      <c r="N68" s="64" cm="1">
        <f t="array" ref="N68">drivePower($C$4,M68,$C$9,$C$10,$C$11)</f>
        <v>31.636737839999999</v>
      </c>
      <c r="O68" s="86">
        <f t="shared" si="18"/>
        <v>7472.52</v>
      </c>
      <c r="P68" s="90">
        <f t="shared" si="5"/>
        <v>-1.5000000000000001E-4</v>
      </c>
      <c r="Q68" s="91">
        <f t="shared" si="6"/>
        <v>0.82280000000000009</v>
      </c>
      <c r="R68" s="98">
        <v>0.15</v>
      </c>
      <c r="S68" s="95">
        <f t="shared" si="11"/>
        <v>112200</v>
      </c>
      <c r="T68" s="92" cm="1">
        <f t="array" ref="T68">maxDepthToMinSOC($L$8,$L$9,$L$6,$L$7,$O68,$G$5,$G$6,drivePower($C$4,$M68,$G68,$C$10,$C$11),$I68,$G68,$G$4,$C$8)</f>
        <v>8546.700339615345</v>
      </c>
      <c r="U68" s="12" cm="1">
        <f t="array" ref="U68">maxDepthToMinSOC($L$8,$L$9,P68,Q68,$O68,$G$5,$G$6,drivePower($C$4,$M68,$G68,$C$10,$C$11),$I68,$G68,$G$4,$C$8)</f>
        <v>4961.2501971423626</v>
      </c>
      <c r="V68" s="93">
        <f t="shared" si="7"/>
        <v>6753.9752683788538</v>
      </c>
    </row>
    <row r="69" spans="7:22" x14ac:dyDescent="0.35">
      <c r="G69" s="59">
        <f t="shared" si="1"/>
        <v>0.25</v>
      </c>
      <c r="H69" s="64" cm="1">
        <f t="array" ref="H69">drivePower($C$4,$C$5,G69,$C$10,$C$11)</f>
        <v>19.6038</v>
      </c>
      <c r="I69" s="84">
        <f t="shared" si="15"/>
        <v>24.679160599999999</v>
      </c>
      <c r="J69" s="84">
        <f t="shared" si="16"/>
        <v>44.282960599999996</v>
      </c>
      <c r="K69" s="60">
        <f t="shared" si="10"/>
        <v>114400</v>
      </c>
      <c r="L69" s="59">
        <f t="shared" si="17"/>
        <v>6</v>
      </c>
      <c r="M69" s="64">
        <f t="shared" si="9"/>
        <v>16.600000000000001</v>
      </c>
      <c r="N69" s="64" cm="1">
        <f t="array" ref="N69">drivePower($C$4,M69,$C$9,$C$10,$C$11)</f>
        <v>31.882308000000002</v>
      </c>
      <c r="O69" s="86">
        <f t="shared" si="18"/>
        <v>7619.04</v>
      </c>
      <c r="P69" s="90">
        <f t="shared" si="5"/>
        <v>-1.5000000000000001E-4</v>
      </c>
      <c r="Q69" s="91">
        <f t="shared" si="6"/>
        <v>0.82280000000000009</v>
      </c>
      <c r="R69" s="98">
        <v>0.15</v>
      </c>
      <c r="S69" s="95">
        <f t="shared" si="11"/>
        <v>114400</v>
      </c>
      <c r="T69" s="92" cm="1">
        <f t="array" ref="T69">maxDepthToMinSOC($L$8,$L$9,$L$6,$L$7,$O69,$G$5,$G$6,drivePower($C$4,$M69,$G69,$C$10,$C$11),$I69,$G69,$G$4,$C$8)</f>
        <v>8644.5003435015678</v>
      </c>
      <c r="U69" s="12" cm="1">
        <f t="array" ref="U69">maxDepthToMinSOC($L$8,$L$9,P69,Q69,$O69,$G$5,$G$6,drivePower($C$4,$M69,$G69,$C$10,$C$11),$I69,$G69,$G$4,$C$8)</f>
        <v>4999.2001986503601</v>
      </c>
      <c r="V69" s="93">
        <f t="shared" si="7"/>
        <v>6821.850271075964</v>
      </c>
    </row>
    <row r="70" spans="7:22" x14ac:dyDescent="0.35">
      <c r="G70" s="59">
        <f t="shared" si="1"/>
        <v>0.25</v>
      </c>
      <c r="H70" s="64" cm="1">
        <f t="array" ref="H70">drivePower($C$4,$C$5,G70,$C$10,$C$11)</f>
        <v>19.6038</v>
      </c>
      <c r="I70" s="84">
        <f t="shared" si="15"/>
        <v>24.679160599999999</v>
      </c>
      <c r="J70" s="84">
        <f t="shared" si="16"/>
        <v>44.282960599999996</v>
      </c>
      <c r="K70" s="60">
        <f t="shared" si="10"/>
        <v>116600</v>
      </c>
      <c r="L70" s="59">
        <f t="shared" si="17"/>
        <v>6.12</v>
      </c>
      <c r="M70" s="64">
        <f t="shared" si="9"/>
        <v>16.731999999999999</v>
      </c>
      <c r="N70" s="64" cm="1">
        <f t="array" ref="N70">drivePower($C$4,M70,$C$9,$C$10,$C$11)</f>
        <v>32.127878159999995</v>
      </c>
      <c r="O70" s="86">
        <f t="shared" si="18"/>
        <v>7765.5599999999995</v>
      </c>
      <c r="P70" s="90">
        <f t="shared" si="5"/>
        <v>-1.5000000000000001E-4</v>
      </c>
      <c r="Q70" s="91">
        <f t="shared" si="6"/>
        <v>0.82280000000000009</v>
      </c>
      <c r="R70" s="98">
        <v>0.15</v>
      </c>
      <c r="S70" s="95">
        <f t="shared" si="11"/>
        <v>116600</v>
      </c>
      <c r="T70" s="92" cm="1">
        <f t="array" ref="T70">maxDepthToMinSOC($L$8,$L$9,$L$6,$L$7,$O70,$G$5,$G$6,drivePower($C$4,$M70,$G70,$C$10,$C$11),$I70,$G70,$G$4,$C$8)</f>
        <v>8740.9503473341465</v>
      </c>
      <c r="U70" s="12" cm="1">
        <f t="array" ref="U70">maxDepthToMinSOC($L$8,$L$9,P70,Q70,$O70,$G$5,$G$6,drivePower($C$4,$M70,$G70,$C$10,$C$11),$I70,$G70,$G$4,$C$8)</f>
        <v>5036.2502001225948</v>
      </c>
      <c r="V70" s="93">
        <f t="shared" si="7"/>
        <v>6888.6002737283707</v>
      </c>
    </row>
    <row r="71" spans="7:22" x14ac:dyDescent="0.35">
      <c r="G71" s="59">
        <f t="shared" si="1"/>
        <v>0.25</v>
      </c>
      <c r="H71" s="64" cm="1">
        <f t="array" ref="H71">drivePower($C$4,$C$5,G71,$C$10,$C$11)</f>
        <v>19.6038</v>
      </c>
      <c r="I71" s="84">
        <f t="shared" si="15"/>
        <v>24.679160599999999</v>
      </c>
      <c r="J71" s="84">
        <f t="shared" si="16"/>
        <v>44.282960599999996</v>
      </c>
      <c r="K71" s="60">
        <f t="shared" si="10"/>
        <v>118800</v>
      </c>
      <c r="L71" s="59">
        <f t="shared" si="17"/>
        <v>6.24</v>
      </c>
      <c r="M71" s="64">
        <f t="shared" si="9"/>
        <v>16.864000000000001</v>
      </c>
      <c r="N71" s="64" cm="1">
        <f t="array" ref="N71">drivePower($C$4,M71,$C$9,$C$10,$C$11)</f>
        <v>32.373448320000001</v>
      </c>
      <c r="O71" s="86">
        <f t="shared" si="18"/>
        <v>7912.08</v>
      </c>
      <c r="P71" s="90">
        <f t="shared" si="5"/>
        <v>-1.5000000000000001E-4</v>
      </c>
      <c r="Q71" s="91">
        <f t="shared" si="6"/>
        <v>0.82280000000000009</v>
      </c>
      <c r="R71" s="98">
        <v>0.15</v>
      </c>
      <c r="S71" s="95">
        <f t="shared" si="11"/>
        <v>118800</v>
      </c>
      <c r="T71" s="92" cm="1">
        <f t="array" ref="T71">maxDepthToMinSOC($L$8,$L$9,$L$6,$L$7,$O71,$G$5,$G$6,drivePower($C$4,$M71,$G71,$C$10,$C$11),$I71,$G71,$G$4,$C$8)</f>
        <v>8835.6003510951996</v>
      </c>
      <c r="U71" s="12" cm="1">
        <f t="array" ref="U71">maxDepthToMinSOC($L$8,$L$9,P71,Q71,$O71,$G$5,$G$6,drivePower($C$4,$M71,$G71,$C$10,$C$11),$I71,$G71,$G$4,$C$8)</f>
        <v>5072.4002015590668</v>
      </c>
      <c r="V71" s="93">
        <f t="shared" si="7"/>
        <v>6954.0002763271332</v>
      </c>
    </row>
    <row r="72" spans="7:22" x14ac:dyDescent="0.35">
      <c r="G72" s="59">
        <f t="shared" si="1"/>
        <v>0.25</v>
      </c>
      <c r="H72" s="64" cm="1">
        <f t="array" ref="H72">drivePower($C$4,$C$5,G72,$C$10,$C$11)</f>
        <v>19.6038</v>
      </c>
      <c r="I72" s="84">
        <f t="shared" si="15"/>
        <v>24.679160599999999</v>
      </c>
      <c r="J72" s="84">
        <f t="shared" si="16"/>
        <v>44.282960599999996</v>
      </c>
      <c r="K72" s="60">
        <f t="shared" si="10"/>
        <v>121000</v>
      </c>
      <c r="L72" s="59">
        <f t="shared" si="17"/>
        <v>6.36</v>
      </c>
      <c r="M72" s="64">
        <f t="shared" si="9"/>
        <v>16.996000000000002</v>
      </c>
      <c r="N72" s="64" cm="1">
        <f t="array" ref="N72">drivePower($C$4,M72,$C$9,$C$10,$C$11)</f>
        <v>32.619018480000001</v>
      </c>
      <c r="O72" s="86">
        <f t="shared" si="18"/>
        <v>8058.6</v>
      </c>
      <c r="P72" s="90">
        <f t="shared" si="5"/>
        <v>-1.5000000000000001E-4</v>
      </c>
      <c r="Q72" s="91">
        <f t="shared" si="6"/>
        <v>0.82280000000000009</v>
      </c>
      <c r="R72" s="98">
        <v>0.15</v>
      </c>
      <c r="S72" s="95">
        <f t="shared" si="11"/>
        <v>121000</v>
      </c>
      <c r="T72" s="92" cm="1">
        <f t="array" ref="T72">maxDepthToMinSOC($L$8,$L$9,$L$6,$L$7,$O72,$G$5,$G$6,drivePower($C$4,$M72,$G72,$C$10,$C$11),$I72,$G72,$G$4,$C$8)</f>
        <v>8928.9003548026085</v>
      </c>
      <c r="U72" s="12" cm="1">
        <f t="array" ref="U72">maxDepthToMinSOC($L$8,$L$9,P72,Q72,$O72,$G$5,$G$6,drivePower($C$4,$M72,$G72,$C$10,$C$11),$I72,$G72,$G$4,$C$8)</f>
        <v>5107.6502029597759</v>
      </c>
      <c r="V72" s="93">
        <f t="shared" si="7"/>
        <v>7018.2752788811922</v>
      </c>
    </row>
    <row r="73" spans="7:22" x14ac:dyDescent="0.35">
      <c r="G73" s="59">
        <f t="shared" si="1"/>
        <v>0.25</v>
      </c>
      <c r="H73" s="64" cm="1">
        <f t="array" ref="H73">drivePower($C$4,$C$5,G73,$C$10,$C$11)</f>
        <v>19.6038</v>
      </c>
      <c r="I73" s="84">
        <f t="shared" si="15"/>
        <v>24.679160599999999</v>
      </c>
      <c r="J73" s="84">
        <f t="shared" si="16"/>
        <v>44.282960599999996</v>
      </c>
      <c r="K73" s="60">
        <f t="shared" si="10"/>
        <v>123200</v>
      </c>
      <c r="L73" s="59">
        <f t="shared" si="17"/>
        <v>6.48</v>
      </c>
      <c r="M73" s="64">
        <f t="shared" si="9"/>
        <v>17.128</v>
      </c>
      <c r="N73" s="64" cm="1">
        <f t="array" ref="N73">drivePower($C$4,M73,$C$9,$C$10,$C$11)</f>
        <v>32.864588639999994</v>
      </c>
      <c r="O73" s="86">
        <f t="shared" si="18"/>
        <v>8205.119999999999</v>
      </c>
      <c r="P73" s="90">
        <f t="shared" si="5"/>
        <v>-1.5000000000000001E-4</v>
      </c>
      <c r="Q73" s="91">
        <f t="shared" si="6"/>
        <v>0.82280000000000009</v>
      </c>
      <c r="R73" s="98">
        <v>0.15</v>
      </c>
      <c r="S73" s="95">
        <f t="shared" si="11"/>
        <v>123200</v>
      </c>
      <c r="T73" s="92" cm="1">
        <f t="array" ref="T73">maxDepthToMinSOC($L$8,$L$9,$L$6,$L$7,$O73,$G$5,$G$6,drivePower($C$4,$M73,$G73,$C$10,$C$11),$I73,$G73,$G$4,$C$8)</f>
        <v>9020.5503584444523</v>
      </c>
      <c r="U73" s="12" cm="1">
        <f t="array" ref="U73">maxDepthToMinSOC($L$8,$L$9,P73,Q73,$O73,$G$5,$G$6,drivePower($C$4,$M73,$G73,$C$10,$C$11),$I73,$G73,$G$4,$C$8)</f>
        <v>5142.1502043306828</v>
      </c>
      <c r="V73" s="93">
        <f t="shared" si="7"/>
        <v>7081.3502813875675</v>
      </c>
    </row>
    <row r="74" spans="7:22" x14ac:dyDescent="0.35">
      <c r="G74" s="59">
        <f t="shared" si="1"/>
        <v>0.25</v>
      </c>
      <c r="H74" s="64" cm="1">
        <f t="array" ref="H74">drivePower($C$4,$C$5,G74,$C$10,$C$11)</f>
        <v>19.6038</v>
      </c>
      <c r="I74" s="84">
        <f t="shared" si="15"/>
        <v>24.679160599999999</v>
      </c>
      <c r="J74" s="84">
        <f t="shared" si="16"/>
        <v>44.282960599999996</v>
      </c>
      <c r="K74" s="60">
        <f t="shared" si="10"/>
        <v>125400</v>
      </c>
      <c r="L74" s="59">
        <f t="shared" si="17"/>
        <v>6.6</v>
      </c>
      <c r="M74" s="64">
        <f t="shared" si="9"/>
        <v>17.259999999999998</v>
      </c>
      <c r="N74" s="64" cm="1">
        <f t="array" ref="N74">drivePower($C$4,M74,$C$9,$C$10,$C$11)</f>
        <v>33.110158799999994</v>
      </c>
      <c r="O74" s="86">
        <f t="shared" si="18"/>
        <v>8351.64</v>
      </c>
      <c r="P74" s="90">
        <f t="shared" si="5"/>
        <v>-1.5000000000000001E-4</v>
      </c>
      <c r="Q74" s="91">
        <f t="shared" si="6"/>
        <v>0.82280000000000009</v>
      </c>
      <c r="R74" s="98">
        <v>0.15</v>
      </c>
      <c r="S74" s="95">
        <f t="shared" si="11"/>
        <v>125400</v>
      </c>
      <c r="T74" s="92" cm="1">
        <f t="array" ref="T74">maxDepthToMinSOC($L$8,$L$9,$L$6,$L$7,$O74,$G$5,$G$6,drivePower($C$4,$M74,$G74,$C$10,$C$11),$I74,$G74,$G$4,$C$8)</f>
        <v>9111.0003620386124</v>
      </c>
      <c r="U74" s="12" cm="1">
        <f t="array" ref="U74">maxDepthToMinSOC($L$8,$L$9,P74,Q74,$O74,$G$5,$G$6,drivePower($C$4,$M74,$G74,$C$10,$C$11),$I74,$G74,$G$4,$C$8)</f>
        <v>5175.9002056717873</v>
      </c>
      <c r="V74" s="93">
        <f t="shared" si="7"/>
        <v>7143.4502838551998</v>
      </c>
    </row>
    <row r="75" spans="7:22" x14ac:dyDescent="0.35">
      <c r="G75" s="59">
        <f t="shared" si="1"/>
        <v>0.25</v>
      </c>
      <c r="H75" s="64" cm="1">
        <f t="array" ref="H75">drivePower($C$4,$C$5,G75,$C$10,$C$11)</f>
        <v>19.6038</v>
      </c>
      <c r="I75" s="84">
        <f t="shared" si="15"/>
        <v>24.679160599999999</v>
      </c>
      <c r="J75" s="84">
        <f t="shared" si="16"/>
        <v>44.282960599999996</v>
      </c>
      <c r="K75" s="60">
        <f t="shared" si="10"/>
        <v>127600</v>
      </c>
      <c r="L75" s="59">
        <f t="shared" si="17"/>
        <v>6.72</v>
      </c>
      <c r="M75" s="64">
        <f t="shared" si="9"/>
        <v>17.391999999999999</v>
      </c>
      <c r="N75" s="64" cm="1">
        <f t="array" ref="N75">drivePower($C$4,M75,$C$9,$C$10,$C$11)</f>
        <v>33.35572896</v>
      </c>
      <c r="O75" s="86">
        <f t="shared" si="18"/>
        <v>8498.16</v>
      </c>
      <c r="P75" s="90">
        <f t="shared" si="5"/>
        <v>-1.5000000000000001E-4</v>
      </c>
      <c r="Q75" s="91">
        <f t="shared" si="6"/>
        <v>0.82280000000000009</v>
      </c>
      <c r="R75" s="98">
        <v>0.15</v>
      </c>
      <c r="S75" s="95">
        <f t="shared" si="11"/>
        <v>127600</v>
      </c>
      <c r="T75" s="92" cm="1">
        <f t="array" ref="T75">maxDepthToMinSOC($L$8,$L$9,$L$6,$L$7,$O75,$G$5,$G$6,drivePower($C$4,$M75,$G75,$C$10,$C$11),$I75,$G75,$G$4,$C$8)</f>
        <v>9199.8003655672073</v>
      </c>
      <c r="U75" s="12" cm="1">
        <f t="array" ref="U75">maxDepthToMinSOC($L$8,$L$9,P75,Q75,$O75,$G$5,$G$6,drivePower($C$4,$M75,$G75,$C$10,$C$11),$I75,$G75,$G$4,$C$8)</f>
        <v>5208.9002069830894</v>
      </c>
      <c r="V75" s="93">
        <f t="shared" si="7"/>
        <v>7204.3502862751484</v>
      </c>
    </row>
    <row r="76" spans="7:22" x14ac:dyDescent="0.35">
      <c r="G76" s="59">
        <f t="shared" si="1"/>
        <v>0.25</v>
      </c>
      <c r="H76" s="64" cm="1">
        <f t="array" ref="H76">drivePower($C$4,$C$5,G76,$C$10,$C$11)</f>
        <v>19.6038</v>
      </c>
      <c r="I76" s="84">
        <f t="shared" si="15"/>
        <v>24.679160599999999</v>
      </c>
      <c r="J76" s="84">
        <f t="shared" si="16"/>
        <v>44.282960599999996</v>
      </c>
      <c r="K76" s="60">
        <f t="shared" si="10"/>
        <v>129800</v>
      </c>
      <c r="L76" s="59">
        <f t="shared" si="17"/>
        <v>6.84</v>
      </c>
      <c r="M76" s="64">
        <f t="shared" si="9"/>
        <v>17.524000000000001</v>
      </c>
      <c r="N76" s="64" cm="1">
        <f t="array" ref="N76">drivePower($C$4,M76,$C$9,$C$10,$C$11)</f>
        <v>33.60129912</v>
      </c>
      <c r="O76" s="86">
        <f t="shared" si="18"/>
        <v>8644.68</v>
      </c>
      <c r="P76" s="90">
        <f t="shared" si="5"/>
        <v>-1.5000000000000001E-4</v>
      </c>
      <c r="Q76" s="91">
        <f t="shared" si="6"/>
        <v>0.82280000000000009</v>
      </c>
      <c r="R76" s="98">
        <v>0.15</v>
      </c>
      <c r="S76" s="95">
        <f t="shared" si="11"/>
        <v>129800</v>
      </c>
      <c r="T76" s="92" cm="1">
        <f t="array" ref="T76">maxDepthToMinSOC($L$8,$L$9,$L$6,$L$7,$O76,$G$5,$G$6,drivePower($C$4,$M76,$G76,$C$10,$C$11),$I76,$G76,$G$4,$C$8)</f>
        <v>9287.4003690481186</v>
      </c>
      <c r="U76" s="12" cm="1">
        <f t="array" ref="U76">maxDepthToMinSOC($L$8,$L$9,P76,Q76,$O76,$G$5,$G$6,drivePower($C$4,$M76,$G76,$C$10,$C$11),$I76,$G76,$G$4,$C$8)</f>
        <v>5241.1502082645893</v>
      </c>
      <c r="V76" s="93">
        <f t="shared" si="7"/>
        <v>7264.275288656354</v>
      </c>
    </row>
    <row r="77" spans="7:22" x14ac:dyDescent="0.35">
      <c r="G77" s="59">
        <f t="shared" si="1"/>
        <v>0.25</v>
      </c>
      <c r="H77" s="64" cm="1">
        <f t="array" ref="H77">drivePower($C$4,$C$5,G77,$C$10,$C$11)</f>
        <v>19.6038</v>
      </c>
      <c r="I77" s="84">
        <f t="shared" si="15"/>
        <v>24.679160599999999</v>
      </c>
      <c r="J77" s="84">
        <f t="shared" si="16"/>
        <v>44.282960599999996</v>
      </c>
      <c r="K77" s="60">
        <f t="shared" si="10"/>
        <v>132000</v>
      </c>
      <c r="L77" s="59">
        <f t="shared" si="17"/>
        <v>6.96</v>
      </c>
      <c r="M77" s="64">
        <f t="shared" si="9"/>
        <v>17.655999999999999</v>
      </c>
      <c r="N77" s="64" cm="1">
        <f t="array" ref="N77">drivePower($C$4,M77,$C$9,$C$10,$C$11)</f>
        <v>33.84686928</v>
      </c>
      <c r="O77" s="86">
        <f t="shared" si="18"/>
        <v>8791.1999999999989</v>
      </c>
      <c r="P77" s="90">
        <f t="shared" si="5"/>
        <v>-1.5000000000000001E-4</v>
      </c>
      <c r="Q77" s="91">
        <f t="shared" si="6"/>
        <v>0.82280000000000009</v>
      </c>
      <c r="R77" s="98">
        <v>0.15</v>
      </c>
      <c r="S77" s="95">
        <f t="shared" si="11"/>
        <v>132000</v>
      </c>
      <c r="T77" s="92" cm="1">
        <f t="array" ref="T77">maxDepthToMinSOC($L$8,$L$9,$L$6,$L$7,$O77,$G$5,$G$6,drivePower($C$4,$M77,$G77,$C$10,$C$11),$I77,$G77,$G$4,$C$8)</f>
        <v>9373.5003724694252</v>
      </c>
      <c r="U77" s="12" cm="1">
        <f t="array" ref="U77">maxDepthToMinSOC($L$8,$L$9,P77,Q77,$O77,$G$5,$G$6,drivePower($C$4,$M77,$G77,$C$10,$C$11),$I77,$G77,$G$4,$C$8)</f>
        <v>5272.6502095162868</v>
      </c>
      <c r="V77" s="93">
        <f t="shared" si="7"/>
        <v>7323.075290992856</v>
      </c>
    </row>
    <row r="78" spans="7:22" x14ac:dyDescent="0.35">
      <c r="G78" s="59">
        <f t="shared" si="1"/>
        <v>0.25</v>
      </c>
      <c r="H78" s="64" cm="1">
        <f t="array" ref="H78">drivePower($C$4,$C$5,G78,$C$10,$C$11)</f>
        <v>19.6038</v>
      </c>
      <c r="I78" s="84">
        <f t="shared" si="15"/>
        <v>24.679160599999999</v>
      </c>
      <c r="J78" s="84">
        <f t="shared" si="16"/>
        <v>44.282960599999996</v>
      </c>
      <c r="K78" s="60">
        <f t="shared" si="10"/>
        <v>134200</v>
      </c>
      <c r="L78" s="59">
        <f t="shared" si="17"/>
        <v>7.08</v>
      </c>
      <c r="M78" s="64">
        <f t="shared" si="9"/>
        <v>17.788</v>
      </c>
      <c r="N78" s="64" cm="1">
        <f t="array" ref="N78">drivePower($C$4,M78,$C$9,$C$10,$C$11)</f>
        <v>34.09243944</v>
      </c>
      <c r="O78" s="86">
        <f t="shared" si="18"/>
        <v>8937.7199999999993</v>
      </c>
      <c r="P78" s="90">
        <f t="shared" si="5"/>
        <v>-1.5000000000000001E-4</v>
      </c>
      <c r="Q78" s="91">
        <f t="shared" si="6"/>
        <v>0.82280000000000009</v>
      </c>
      <c r="R78" s="98">
        <v>0.15</v>
      </c>
      <c r="S78" s="95">
        <f t="shared" si="11"/>
        <v>134200</v>
      </c>
      <c r="T78" s="92" cm="1">
        <f t="array" ref="T78">maxDepthToMinSOC($L$8,$L$9,$L$6,$L$7,$O78,$G$5,$G$6,drivePower($C$4,$M78,$G78,$C$10,$C$11),$I78,$G78,$G$4,$C$8)</f>
        <v>9458.4003758430481</v>
      </c>
      <c r="U78" s="12" cm="1">
        <f t="array" ref="U78">maxDepthToMinSOC($L$8,$L$9,P78,Q78,$O78,$G$5,$G$6,drivePower($C$4,$M78,$G78,$C$10,$C$11),$I78,$G78,$G$4,$C$8)</f>
        <v>5303.5502107441425</v>
      </c>
      <c r="V78" s="93">
        <f t="shared" si="7"/>
        <v>7380.9752932935953</v>
      </c>
    </row>
    <row r="79" spans="7:22" x14ac:dyDescent="0.35">
      <c r="G79" s="59">
        <f t="shared" si="1"/>
        <v>0.25</v>
      </c>
      <c r="H79" s="64" cm="1">
        <f t="array" ref="H79">drivePower($C$4,$C$5,G79,$C$10,$C$11)</f>
        <v>19.6038</v>
      </c>
      <c r="I79" s="84">
        <f t="shared" si="15"/>
        <v>24.679160599999999</v>
      </c>
      <c r="J79" s="84">
        <f t="shared" si="16"/>
        <v>44.282960599999996</v>
      </c>
      <c r="K79" s="60">
        <f t="shared" si="10"/>
        <v>136400</v>
      </c>
      <c r="L79" s="59">
        <f t="shared" si="17"/>
        <v>7.2</v>
      </c>
      <c r="M79" s="64">
        <f t="shared" si="9"/>
        <v>17.920000000000002</v>
      </c>
      <c r="N79" s="64" cm="1">
        <f t="array" ref="N79">drivePower($C$4,M79,$C$9,$C$10,$C$11)</f>
        <v>34.338009599999999</v>
      </c>
      <c r="O79" s="86">
        <f t="shared" si="18"/>
        <v>9084.24</v>
      </c>
      <c r="P79" s="90">
        <f t="shared" si="5"/>
        <v>-1.5000000000000001E-4</v>
      </c>
      <c r="Q79" s="91">
        <f t="shared" si="6"/>
        <v>0.82280000000000009</v>
      </c>
      <c r="R79" s="98">
        <v>0.15</v>
      </c>
      <c r="S79" s="95">
        <f t="shared" si="11"/>
        <v>136400</v>
      </c>
      <c r="T79" s="92" cm="1">
        <f t="array" ref="T79">maxDepthToMinSOC($L$8,$L$9,$L$6,$L$7,$O79,$G$5,$G$6,drivePower($C$4,$M79,$G79,$C$10,$C$11),$I79,$G79,$G$4,$C$8)</f>
        <v>9541.9503791630268</v>
      </c>
      <c r="U79" s="12" cm="1">
        <f t="array" ref="U79">maxDepthToMinSOC($L$8,$L$9,P79,Q79,$O79,$G$5,$G$6,drivePower($C$4,$M79,$G79,$C$10,$C$11),$I79,$G79,$G$4,$C$8)</f>
        <v>5333.7002119421959</v>
      </c>
      <c r="V79" s="93">
        <f t="shared" si="7"/>
        <v>7437.8252955526114</v>
      </c>
    </row>
    <row r="80" spans="7:22" x14ac:dyDescent="0.35">
      <c r="G80" s="59">
        <f t="shared" si="1"/>
        <v>0.25</v>
      </c>
      <c r="H80" s="64" cm="1">
        <f t="array" ref="H80">drivePower($C$4,$C$5,G80,$C$10,$C$11)</f>
        <v>19.6038</v>
      </c>
      <c r="I80" s="84">
        <f t="shared" si="15"/>
        <v>24.679160599999999</v>
      </c>
      <c r="J80" s="84">
        <f t="shared" si="16"/>
        <v>44.282960599999996</v>
      </c>
      <c r="K80" s="60">
        <f t="shared" si="10"/>
        <v>138600</v>
      </c>
      <c r="L80" s="59">
        <f t="shared" si="17"/>
        <v>7.32</v>
      </c>
      <c r="M80" s="64">
        <f t="shared" si="9"/>
        <v>18.052</v>
      </c>
      <c r="N80" s="64" cm="1">
        <f t="array" ref="N80">drivePower($C$4,M80,$C$9,$C$10,$C$11)</f>
        <v>34.583579759999999</v>
      </c>
      <c r="O80" s="86">
        <f t="shared" si="18"/>
        <v>9230.76</v>
      </c>
      <c r="P80" s="90">
        <f t="shared" si="5"/>
        <v>-1.5000000000000001E-4</v>
      </c>
      <c r="Q80" s="91">
        <f t="shared" si="6"/>
        <v>0.82280000000000009</v>
      </c>
      <c r="R80" s="98">
        <v>0.15</v>
      </c>
      <c r="S80" s="95">
        <f t="shared" si="11"/>
        <v>138600</v>
      </c>
      <c r="T80" s="92" cm="1">
        <f t="array" ref="T80">maxDepthToMinSOC($L$8,$L$9,$L$6,$L$7,$O80,$G$5,$G$6,drivePower($C$4,$M80,$G80,$C$10,$C$11),$I80,$G80,$G$4,$C$8)</f>
        <v>9624.1503824293613</v>
      </c>
      <c r="U80" s="12" cm="1">
        <f t="array" ref="U80">maxDepthToMinSOC($L$8,$L$9,P80,Q80,$O80,$G$5,$G$6,drivePower($C$4,$M80,$G80,$C$10,$C$11),$I80,$G80,$G$4,$C$8)</f>
        <v>5363.2502131164074</v>
      </c>
      <c r="V80" s="93">
        <f t="shared" si="7"/>
        <v>7493.7002977728844</v>
      </c>
    </row>
    <row r="81" spans="7:22" x14ac:dyDescent="0.35">
      <c r="G81" s="59">
        <f t="shared" si="1"/>
        <v>0.25</v>
      </c>
      <c r="H81" s="64" cm="1">
        <f t="array" ref="H81">drivePower($C$4,$C$5,G81,$C$10,$C$11)</f>
        <v>19.6038</v>
      </c>
      <c r="I81" s="84">
        <f t="shared" si="15"/>
        <v>24.679160599999999</v>
      </c>
      <c r="J81" s="84">
        <f t="shared" si="16"/>
        <v>44.282960599999996</v>
      </c>
      <c r="K81" s="60">
        <f t="shared" si="10"/>
        <v>140800</v>
      </c>
      <c r="L81" s="59">
        <f t="shared" si="17"/>
        <v>7.44</v>
      </c>
      <c r="M81" s="64">
        <f t="shared" si="9"/>
        <v>18.184000000000001</v>
      </c>
      <c r="N81" s="64" cm="1">
        <f t="array" ref="N81">drivePower($C$4,M81,$C$9,$C$10,$C$11)</f>
        <v>34.829149919999999</v>
      </c>
      <c r="O81" s="86">
        <f t="shared" si="18"/>
        <v>9377.2800000000007</v>
      </c>
      <c r="P81" s="90">
        <f t="shared" si="5"/>
        <v>-1.5000000000000001E-4</v>
      </c>
      <c r="Q81" s="91">
        <f t="shared" si="6"/>
        <v>0.82280000000000009</v>
      </c>
      <c r="R81" s="98">
        <v>0.15</v>
      </c>
      <c r="S81" s="95">
        <f t="shared" si="11"/>
        <v>140800</v>
      </c>
      <c r="T81" s="92" cm="1">
        <f t="array" ref="T81">maxDepthToMinSOC($L$8,$L$9,$L$6,$L$7,$O81,$G$5,$G$6,drivePower($C$4,$M81,$G81,$C$10,$C$11),$I81,$G81,$G$4,$C$8)</f>
        <v>9705.3003856539726</v>
      </c>
      <c r="U81" s="12" cm="1">
        <f t="array" ref="U81">maxDepthToMinSOC($L$8,$L$9,P81,Q81,$O81,$G$5,$G$6,drivePower($C$4,$M81,$G81,$C$10,$C$11),$I81,$G81,$G$4,$C$8)</f>
        <v>5392.200214266777</v>
      </c>
      <c r="V81" s="93">
        <f t="shared" si="7"/>
        <v>7548.7502999603748</v>
      </c>
    </row>
    <row r="82" spans="7:22" x14ac:dyDescent="0.35">
      <c r="G82" s="59">
        <f t="shared" si="1"/>
        <v>0.25</v>
      </c>
      <c r="H82" s="64" cm="1">
        <f t="array" ref="H82">drivePower($C$4,$C$5,G82,$C$10,$C$11)</f>
        <v>19.6038</v>
      </c>
      <c r="I82" s="84">
        <f t="shared" si="15"/>
        <v>24.679160599999999</v>
      </c>
      <c r="J82" s="84">
        <f t="shared" si="16"/>
        <v>44.282960599999996</v>
      </c>
      <c r="K82" s="60">
        <f t="shared" si="10"/>
        <v>143000</v>
      </c>
      <c r="L82" s="59">
        <f t="shared" si="17"/>
        <v>7.56</v>
      </c>
      <c r="M82" s="64">
        <f t="shared" si="9"/>
        <v>18.316000000000003</v>
      </c>
      <c r="N82" s="64" cm="1">
        <f t="array" ref="N82">drivePower($C$4,M82,$C$9,$C$10,$C$11)</f>
        <v>35.074720080000006</v>
      </c>
      <c r="O82" s="86">
        <f t="shared" si="18"/>
        <v>9523.7999999999993</v>
      </c>
      <c r="P82" s="90">
        <f t="shared" si="5"/>
        <v>-1.5000000000000001E-4</v>
      </c>
      <c r="Q82" s="91">
        <f t="shared" si="6"/>
        <v>0.82280000000000009</v>
      </c>
      <c r="R82" s="98">
        <v>0.15</v>
      </c>
      <c r="S82" s="95">
        <f t="shared" si="11"/>
        <v>143000</v>
      </c>
      <c r="T82" s="92" cm="1">
        <f t="array" ref="T82">maxDepthToMinSOC($L$8,$L$9,$L$6,$L$7,$O82,$G$5,$G$6,drivePower($C$4,$M82,$G82,$C$10,$C$11),$I82,$G82,$G$4,$C$8)</f>
        <v>9785.1003888249397</v>
      </c>
      <c r="U82" s="12" cm="1">
        <f t="array" ref="U82">maxDepthToMinSOC($L$8,$L$9,P82,Q82,$O82,$G$5,$G$6,drivePower($C$4,$M82,$G82,$C$10,$C$11),$I82,$G82,$G$4,$C$8)</f>
        <v>5420.5502153933048</v>
      </c>
      <c r="V82" s="93">
        <f t="shared" si="7"/>
        <v>7602.8253021091223</v>
      </c>
    </row>
    <row r="83" spans="7:22" x14ac:dyDescent="0.35">
      <c r="G83" s="59">
        <f t="shared" si="1"/>
        <v>0.25</v>
      </c>
      <c r="H83" s="64" cm="1">
        <f t="array" ref="H83">drivePower($C$4,$C$5,G83,$C$10,$C$11)</f>
        <v>19.6038</v>
      </c>
      <c r="I83" s="84">
        <f t="shared" si="15"/>
        <v>24.679160599999999</v>
      </c>
      <c r="J83" s="84">
        <f t="shared" si="16"/>
        <v>44.282960599999996</v>
      </c>
      <c r="K83" s="60">
        <f t="shared" si="10"/>
        <v>145200</v>
      </c>
      <c r="L83" s="59">
        <f t="shared" si="17"/>
        <v>7.68</v>
      </c>
      <c r="M83" s="64">
        <f t="shared" si="9"/>
        <v>18.448</v>
      </c>
      <c r="N83" s="64" cm="1">
        <f t="array" ref="N83">drivePower($C$4,M83,$C$9,$C$10,$C$11)</f>
        <v>35.320290239999999</v>
      </c>
      <c r="O83" s="86">
        <f t="shared" si="18"/>
        <v>9670.32</v>
      </c>
      <c r="P83" s="90">
        <f t="shared" si="5"/>
        <v>-1.5000000000000001E-4</v>
      </c>
      <c r="Q83" s="91">
        <f t="shared" si="6"/>
        <v>0.82280000000000009</v>
      </c>
      <c r="R83" s="98">
        <v>0.15</v>
      </c>
      <c r="S83" s="95">
        <f t="shared" si="11"/>
        <v>145200</v>
      </c>
      <c r="T83" s="92" cm="1">
        <f t="array" ref="T83">maxDepthToMinSOC($L$8,$L$9,$L$6,$L$7,$O83,$G$5,$G$6,drivePower($C$4,$M83,$G83,$C$10,$C$11),$I83,$G83,$G$4,$C$8)</f>
        <v>9863.8503919541836</v>
      </c>
      <c r="U83" s="12" cm="1">
        <f t="array" ref="U83">maxDepthToMinSOC($L$8,$L$9,P83,Q83,$O83,$G$5,$G$6,drivePower($C$4,$M83,$G83,$C$10,$C$11),$I83,$G83,$G$4,$C$8)</f>
        <v>5448.3002164959908</v>
      </c>
      <c r="V83" s="93">
        <f t="shared" ref="V83:V146" si="19">AVERAGE(T83:U83)</f>
        <v>7656.0753042250872</v>
      </c>
    </row>
    <row r="84" spans="7:22" x14ac:dyDescent="0.35">
      <c r="G84" s="59">
        <f t="shared" si="1"/>
        <v>0.25</v>
      </c>
      <c r="H84" s="64" cm="1">
        <f t="array" ref="H84">drivePower($C$4,$C$5,G84,$C$10,$C$11)</f>
        <v>19.6038</v>
      </c>
      <c r="I84" s="84">
        <f t="shared" si="15"/>
        <v>24.679160599999999</v>
      </c>
      <c r="J84" s="84">
        <f t="shared" si="16"/>
        <v>44.282960599999996</v>
      </c>
      <c r="K84" s="60">
        <f t="shared" si="10"/>
        <v>147400</v>
      </c>
      <c r="L84" s="59">
        <f t="shared" si="17"/>
        <v>7.8</v>
      </c>
      <c r="M84" s="64">
        <f t="shared" si="9"/>
        <v>18.579999999999998</v>
      </c>
      <c r="N84" s="64" cm="1">
        <f t="array" ref="N84">drivePower($C$4,M84,$C$9,$C$10,$C$11)</f>
        <v>35.565860399999998</v>
      </c>
      <c r="O84" s="86">
        <f t="shared" si="18"/>
        <v>9816.84</v>
      </c>
      <c r="P84" s="90">
        <f t="shared" si="5"/>
        <v>-1.5000000000000001E-4</v>
      </c>
      <c r="Q84" s="91">
        <f t="shared" si="6"/>
        <v>0.82280000000000009</v>
      </c>
      <c r="R84" s="98">
        <v>0.15</v>
      </c>
      <c r="S84" s="95">
        <f t="shared" si="11"/>
        <v>147400</v>
      </c>
      <c r="T84" s="92" cm="1">
        <f t="array" ref="T84">maxDepthToMinSOC($L$8,$L$9,$L$6,$L$7,$O84,$G$5,$G$6,drivePower($C$4,$M84,$G84,$C$10,$C$11),$I84,$G84,$G$4,$C$8)</f>
        <v>9941.4003950357437</v>
      </c>
      <c r="U84" s="12" cm="1">
        <f t="array" ref="U84">maxDepthToMinSOC($L$8,$L$9,P84,Q84,$O84,$G$5,$G$6,drivePower($C$4,$M84,$G84,$C$10,$C$11),$I84,$G84,$G$4,$C$8)</f>
        <v>5475.4502175748348</v>
      </c>
      <c r="V84" s="93">
        <f t="shared" si="19"/>
        <v>7708.4253063052893</v>
      </c>
    </row>
    <row r="85" spans="7:22" x14ac:dyDescent="0.35">
      <c r="G85" s="59">
        <f t="shared" si="1"/>
        <v>0.25</v>
      </c>
      <c r="H85" s="64" cm="1">
        <f t="array" ref="H85">drivePower($C$4,$C$5,G85,$C$10,$C$11)</f>
        <v>19.6038</v>
      </c>
      <c r="I85" s="84">
        <f t="shared" si="15"/>
        <v>24.679160599999999</v>
      </c>
      <c r="J85" s="84">
        <f t="shared" si="16"/>
        <v>44.282960599999996</v>
      </c>
      <c r="K85" s="60">
        <f t="shared" si="10"/>
        <v>149600</v>
      </c>
      <c r="L85" s="59">
        <f t="shared" si="17"/>
        <v>7.92</v>
      </c>
      <c r="M85" s="64">
        <f t="shared" ref="M85:M148" si="20">$C$5+L85*1.1</f>
        <v>18.712</v>
      </c>
      <c r="N85" s="64" cm="1">
        <f t="array" ref="N85">drivePower($C$4,M85,$C$9,$C$10,$C$11)</f>
        <v>35.811430559999998</v>
      </c>
      <c r="O85" s="86">
        <f t="shared" si="18"/>
        <v>9963.3599999999988</v>
      </c>
      <c r="P85" s="90">
        <f t="shared" si="5"/>
        <v>-1.5000000000000001E-4</v>
      </c>
      <c r="Q85" s="91">
        <f t="shared" si="6"/>
        <v>0.82280000000000009</v>
      </c>
      <c r="R85" s="98">
        <v>0.15</v>
      </c>
      <c r="S85" s="95">
        <f t="shared" si="11"/>
        <v>149600</v>
      </c>
      <c r="T85" s="92" cm="1">
        <f t="array" ref="T85">maxDepthToMinSOC($L$8,$L$9,$L$6,$L$7,$O85,$G$5,$G$6,drivePower($C$4,$M85,$G85,$C$10,$C$11),$I85,$G85,$G$4,$C$8)</f>
        <v>10017.75039806962</v>
      </c>
      <c r="U85" s="12" cm="1">
        <f t="array" ref="U85">maxDepthToMinSOC($L$8,$L$9,P85,Q85,$O85,$G$5,$G$6,drivePower($C$4,$M85,$G85,$C$10,$C$11),$I85,$G85,$G$4,$C$8)</f>
        <v>5502.1502186357975</v>
      </c>
      <c r="V85" s="93">
        <f t="shared" si="19"/>
        <v>7759.9503083527088</v>
      </c>
    </row>
    <row r="86" spans="7:22" x14ac:dyDescent="0.35">
      <c r="G86" s="59">
        <f t="shared" si="1"/>
        <v>0.25</v>
      </c>
      <c r="H86" s="64" cm="1">
        <f t="array" ref="H86">drivePower($C$4,$C$5,G86,$C$10,$C$11)</f>
        <v>19.6038</v>
      </c>
      <c r="I86" s="84">
        <f t="shared" si="15"/>
        <v>24.679160599999999</v>
      </c>
      <c r="J86" s="84">
        <f t="shared" si="16"/>
        <v>44.282960599999996</v>
      </c>
      <c r="K86" s="60">
        <f t="shared" si="10"/>
        <v>151800</v>
      </c>
      <c r="L86" s="59">
        <f t="shared" si="17"/>
        <v>8.0399999999999991</v>
      </c>
      <c r="M86" s="64">
        <f t="shared" si="20"/>
        <v>18.844000000000001</v>
      </c>
      <c r="N86" s="64" cm="1">
        <f t="array" ref="N86">drivePower($C$4,M86,$C$9,$C$10,$C$11)</f>
        <v>36.057000719999998</v>
      </c>
      <c r="O86" s="86">
        <f t="shared" si="18"/>
        <v>10109.880000000001</v>
      </c>
      <c r="P86" s="90">
        <f t="shared" si="5"/>
        <v>-1.5000000000000001E-4</v>
      </c>
      <c r="Q86" s="91">
        <f t="shared" si="6"/>
        <v>0.82280000000000009</v>
      </c>
      <c r="R86" s="98">
        <v>0.15</v>
      </c>
      <c r="S86" s="95">
        <f t="shared" si="11"/>
        <v>151800</v>
      </c>
      <c r="T86" s="92" cm="1">
        <f t="array" ref="T86">maxDepthToMinSOC($L$8,$L$9,$L$6,$L$7,$O86,$G$5,$G$6,drivePower($C$4,$M86,$G86,$C$10,$C$11),$I86,$G86,$G$4,$C$8)</f>
        <v>10093.200401067734</v>
      </c>
      <c r="U86" s="12" cm="1">
        <f t="array" ref="U86">maxDepthToMinSOC($L$8,$L$9,P86,Q86,$O86,$G$5,$G$6,drivePower($C$4,$M86,$G86,$C$10,$C$11),$I86,$G86,$G$4,$C$8)</f>
        <v>5528.2502196729183</v>
      </c>
      <c r="V86" s="93">
        <f t="shared" si="19"/>
        <v>7810.725310370326</v>
      </c>
    </row>
    <row r="87" spans="7:22" x14ac:dyDescent="0.35">
      <c r="G87" s="59">
        <f t="shared" si="1"/>
        <v>0.25</v>
      </c>
      <c r="H87" s="64" cm="1">
        <f t="array" ref="H87">drivePower($C$4,$C$5,G87,$C$10,$C$11)</f>
        <v>19.6038</v>
      </c>
      <c r="I87" s="84">
        <f t="shared" si="15"/>
        <v>24.679160599999999</v>
      </c>
      <c r="J87" s="84">
        <f t="shared" si="16"/>
        <v>44.282960599999996</v>
      </c>
      <c r="K87" s="60">
        <f t="shared" si="10"/>
        <v>154000</v>
      </c>
      <c r="L87" s="59">
        <f t="shared" si="17"/>
        <v>8.16</v>
      </c>
      <c r="M87" s="64">
        <f t="shared" si="20"/>
        <v>18.975999999999999</v>
      </c>
      <c r="N87" s="64" cm="1">
        <f t="array" ref="N87">drivePower($C$4,M87,$C$9,$C$10,$C$11)</f>
        <v>36.302570879999998</v>
      </c>
      <c r="O87" s="86">
        <f t="shared" si="18"/>
        <v>10256.4</v>
      </c>
      <c r="P87" s="90">
        <f t="shared" si="5"/>
        <v>-1.5000000000000001E-4</v>
      </c>
      <c r="Q87" s="91">
        <f t="shared" si="6"/>
        <v>0.82280000000000009</v>
      </c>
      <c r="R87" s="98">
        <v>0.15</v>
      </c>
      <c r="S87" s="95">
        <f t="shared" si="11"/>
        <v>154000</v>
      </c>
      <c r="T87" s="92" cm="1">
        <f t="array" ref="T87">maxDepthToMinSOC($L$8,$L$9,$L$6,$L$7,$O87,$G$5,$G$6,drivePower($C$4,$M87,$G87,$C$10,$C$11),$I87,$G87,$G$4,$C$8)</f>
        <v>10167.300404012203</v>
      </c>
      <c r="U87" s="12" cm="1">
        <f t="array" ref="U87">maxDepthToMinSOC($L$8,$L$9,P87,Q87,$O87,$G$5,$G$6,drivePower($C$4,$M87,$G87,$C$10,$C$11),$I87,$G87,$G$4,$C$8)</f>
        <v>5553.9002206921577</v>
      </c>
      <c r="V87" s="93">
        <f t="shared" si="19"/>
        <v>7860.6003123521805</v>
      </c>
    </row>
    <row r="88" spans="7:22" x14ac:dyDescent="0.35">
      <c r="G88" s="59">
        <f t="shared" si="1"/>
        <v>0.25</v>
      </c>
      <c r="H88" s="64" cm="1">
        <f t="array" ref="H88">drivePower($C$4,$C$5,G88,$C$10,$C$11)</f>
        <v>19.6038</v>
      </c>
      <c r="I88" s="84">
        <f t="shared" si="15"/>
        <v>24.679160599999999</v>
      </c>
      <c r="J88" s="84">
        <f t="shared" si="16"/>
        <v>44.282960599999996</v>
      </c>
      <c r="K88" s="60">
        <f t="shared" si="10"/>
        <v>156200</v>
      </c>
      <c r="L88" s="59">
        <f t="shared" si="17"/>
        <v>8.2799999999999994</v>
      </c>
      <c r="M88" s="64">
        <f t="shared" si="20"/>
        <v>19.108000000000001</v>
      </c>
      <c r="N88" s="64" cm="1">
        <f t="array" ref="N88">drivePower($C$4,M88,$C$9,$C$10,$C$11)</f>
        <v>36.548141039999997</v>
      </c>
      <c r="O88" s="86">
        <f t="shared" si="18"/>
        <v>10402.92</v>
      </c>
      <c r="P88" s="90">
        <f t="shared" si="5"/>
        <v>-1.5000000000000001E-4</v>
      </c>
      <c r="Q88" s="91">
        <f t="shared" si="6"/>
        <v>0.82280000000000009</v>
      </c>
      <c r="R88" s="98">
        <v>0.15</v>
      </c>
      <c r="S88" s="95">
        <f t="shared" si="11"/>
        <v>156200</v>
      </c>
      <c r="T88" s="92" cm="1">
        <f t="array" ref="T88">maxDepthToMinSOC($L$8,$L$9,$L$6,$L$7,$O88,$G$5,$G$6,drivePower($C$4,$M88,$G88,$C$10,$C$11),$I88,$G88,$G$4,$C$8)</f>
        <v>10240.50040692091</v>
      </c>
      <c r="U88" s="12" cm="1">
        <f t="array" ref="U88">maxDepthToMinSOC($L$8,$L$9,P88,Q88,$O88,$G$5,$G$6,drivePower($C$4,$M88,$G88,$C$10,$C$11),$I88,$G88,$G$4,$C$8)</f>
        <v>5578.9502216875553</v>
      </c>
      <c r="V88" s="93">
        <f t="shared" si="19"/>
        <v>7909.7253143042326</v>
      </c>
    </row>
    <row r="89" spans="7:22" x14ac:dyDescent="0.35">
      <c r="G89" s="59">
        <f t="shared" si="1"/>
        <v>0.25</v>
      </c>
      <c r="H89" s="64" cm="1">
        <f t="array" ref="H89">drivePower($C$4,$C$5,G89,$C$10,$C$11)</f>
        <v>19.6038</v>
      </c>
      <c r="I89" s="84">
        <f t="shared" si="15"/>
        <v>24.679160599999999</v>
      </c>
      <c r="J89" s="84">
        <f t="shared" si="16"/>
        <v>44.282960599999996</v>
      </c>
      <c r="K89" s="60">
        <f t="shared" si="10"/>
        <v>158400</v>
      </c>
      <c r="L89" s="59">
        <f t="shared" si="17"/>
        <v>8.4</v>
      </c>
      <c r="M89" s="64">
        <f t="shared" si="20"/>
        <v>19.240000000000002</v>
      </c>
      <c r="N89" s="64" cm="1">
        <f t="array" ref="N89">drivePower($C$4,M89,$C$9,$C$10,$C$11)</f>
        <v>36.793711200000004</v>
      </c>
      <c r="O89" s="86">
        <f t="shared" si="18"/>
        <v>10549.44</v>
      </c>
      <c r="P89" s="90">
        <f t="shared" si="5"/>
        <v>-1.5000000000000001E-4</v>
      </c>
      <c r="Q89" s="91">
        <f t="shared" si="6"/>
        <v>0.82280000000000009</v>
      </c>
      <c r="R89" s="98">
        <v>0.15</v>
      </c>
      <c r="S89" s="95">
        <f t="shared" si="11"/>
        <v>158400</v>
      </c>
      <c r="T89" s="92" cm="1">
        <f t="array" ref="T89">maxDepthToMinSOC($L$8,$L$9,$L$6,$L$7,$O89,$G$5,$G$6,drivePower($C$4,$M89,$G89,$C$10,$C$11),$I89,$G89,$G$4,$C$8)</f>
        <v>10312.650409787893</v>
      </c>
      <c r="U89" s="12" cm="1">
        <f t="array" ref="U89">maxDepthToMinSOC($L$8,$L$9,P89,Q89,$O89,$G$5,$G$6,drivePower($C$4,$M89,$G89,$C$10,$C$11),$I89,$G89,$G$4,$C$8)</f>
        <v>5603.5502226650715</v>
      </c>
      <c r="V89" s="93">
        <f t="shared" si="19"/>
        <v>7958.1003162264824</v>
      </c>
    </row>
    <row r="90" spans="7:22" x14ac:dyDescent="0.35">
      <c r="G90" s="59">
        <f t="shared" si="1"/>
        <v>0.25</v>
      </c>
      <c r="H90" s="64" cm="1">
        <f t="array" ref="H90">drivePower($C$4,$C$5,G90,$C$10,$C$11)</f>
        <v>19.6038</v>
      </c>
      <c r="I90" s="84">
        <f t="shared" si="15"/>
        <v>24.679160599999999</v>
      </c>
      <c r="J90" s="84">
        <f t="shared" si="16"/>
        <v>44.282960599999996</v>
      </c>
      <c r="K90" s="60">
        <f t="shared" si="10"/>
        <v>160600</v>
      </c>
      <c r="L90" s="59">
        <f t="shared" si="17"/>
        <v>8.52</v>
      </c>
      <c r="M90" s="64">
        <f t="shared" si="20"/>
        <v>19.372</v>
      </c>
      <c r="N90" s="64" cm="1">
        <f t="array" ref="N90">drivePower($C$4,M90,$C$9,$C$10,$C$11)</f>
        <v>37.039281359999997</v>
      </c>
      <c r="O90" s="86">
        <f t="shared" si="18"/>
        <v>10695.96</v>
      </c>
      <c r="P90" s="90">
        <f t="shared" si="5"/>
        <v>-1.5000000000000001E-4</v>
      </c>
      <c r="Q90" s="91">
        <f t="shared" si="6"/>
        <v>0.82280000000000009</v>
      </c>
      <c r="R90" s="98">
        <v>0.15</v>
      </c>
      <c r="S90" s="95">
        <f t="shared" si="11"/>
        <v>160600</v>
      </c>
      <c r="T90" s="92" cm="1">
        <f t="array" ref="T90">maxDepthToMinSOC($L$8,$L$9,$L$6,$L$7,$O90,$G$5,$G$6,drivePower($C$4,$M90,$G90,$C$10,$C$11),$I90,$G90,$G$4,$C$8)</f>
        <v>10383.900412619114</v>
      </c>
      <c r="U90" s="12" cm="1">
        <f t="array" ref="U90">maxDepthToMinSOC($L$8,$L$9,P90,Q90,$O90,$G$5,$G$6,drivePower($C$4,$M90,$G90,$C$10,$C$11),$I90,$G90,$G$4,$C$8)</f>
        <v>5627.7002236247063</v>
      </c>
      <c r="V90" s="93">
        <f t="shared" si="19"/>
        <v>8005.8003181219101</v>
      </c>
    </row>
    <row r="91" spans="7:22" x14ac:dyDescent="0.35">
      <c r="G91" s="59">
        <f t="shared" si="1"/>
        <v>0.25</v>
      </c>
      <c r="H91" s="64" cm="1">
        <f t="array" ref="H91">drivePower($C$4,$C$5,G91,$C$10,$C$11)</f>
        <v>19.6038</v>
      </c>
      <c r="I91" s="84">
        <f t="shared" si="15"/>
        <v>24.679160599999999</v>
      </c>
      <c r="J91" s="84">
        <f t="shared" si="16"/>
        <v>44.282960599999996</v>
      </c>
      <c r="K91" s="60">
        <f t="shared" si="10"/>
        <v>162800</v>
      </c>
      <c r="L91" s="59">
        <f t="shared" si="17"/>
        <v>8.64</v>
      </c>
      <c r="M91" s="64">
        <f t="shared" si="20"/>
        <v>19.504000000000001</v>
      </c>
      <c r="N91" s="64" cm="1">
        <f t="array" ref="N91">drivePower($C$4,M91,$C$9,$C$10,$C$11)</f>
        <v>37.284851520000004</v>
      </c>
      <c r="O91" s="86">
        <f t="shared" si="18"/>
        <v>10842.480000000001</v>
      </c>
      <c r="P91" s="90">
        <f t="shared" si="5"/>
        <v>-1.5000000000000001E-4</v>
      </c>
      <c r="Q91" s="91">
        <f t="shared" si="6"/>
        <v>0.82280000000000009</v>
      </c>
      <c r="R91" s="98">
        <v>0.15</v>
      </c>
      <c r="S91" s="95">
        <f t="shared" si="11"/>
        <v>162800</v>
      </c>
      <c r="T91" s="92" cm="1">
        <f t="array" ref="T91">maxDepthToMinSOC($L$8,$L$9,$L$6,$L$7,$O91,$G$5,$G$6,drivePower($C$4,$M91,$G91,$C$10,$C$11),$I91,$G91,$G$4,$C$8)</f>
        <v>10453.950415402651</v>
      </c>
      <c r="U91" s="12" cm="1">
        <f t="array" ref="U91">maxDepthToMinSOC($L$8,$L$9,P91,Q91,$O91,$G$5,$G$6,drivePower($C$4,$M91,$G91,$C$10,$C$11),$I91,$G91,$G$4,$C$8)</f>
        <v>5651.4002245664597</v>
      </c>
      <c r="V91" s="93">
        <f t="shared" si="19"/>
        <v>8052.6753199845552</v>
      </c>
    </row>
    <row r="92" spans="7:22" x14ac:dyDescent="0.35">
      <c r="G92" s="59">
        <f t="shared" si="1"/>
        <v>0.25</v>
      </c>
      <c r="H92" s="64" cm="1">
        <f t="array" ref="H92">drivePower($C$4,$C$5,G92,$C$10,$C$11)</f>
        <v>19.6038</v>
      </c>
      <c r="I92" s="84">
        <f t="shared" si="15"/>
        <v>24.679160599999999</v>
      </c>
      <c r="J92" s="84">
        <f t="shared" si="16"/>
        <v>44.282960599999996</v>
      </c>
      <c r="K92" s="60">
        <f t="shared" si="10"/>
        <v>165000</v>
      </c>
      <c r="L92" s="59">
        <f t="shared" si="17"/>
        <v>8.76</v>
      </c>
      <c r="M92" s="64">
        <f t="shared" si="20"/>
        <v>19.636000000000003</v>
      </c>
      <c r="N92" s="64" cm="1">
        <f t="array" ref="N92">drivePower($C$4,M92,$C$9,$C$10,$C$11)</f>
        <v>37.530421680000003</v>
      </c>
      <c r="O92" s="86">
        <f t="shared" si="18"/>
        <v>10989</v>
      </c>
      <c r="P92" s="90">
        <f t="shared" si="5"/>
        <v>-1.5000000000000001E-4</v>
      </c>
      <c r="Q92" s="91">
        <f t="shared" si="6"/>
        <v>0.82280000000000009</v>
      </c>
      <c r="R92" s="98">
        <v>0.15</v>
      </c>
      <c r="S92" s="95">
        <f t="shared" si="11"/>
        <v>165000</v>
      </c>
      <c r="T92" s="92" cm="1">
        <f t="array" ref="T92">maxDepthToMinSOC($L$8,$L$9,$L$6,$L$7,$O92,$G$5,$G$6,drivePower($C$4,$M92,$G92,$C$10,$C$11),$I92,$G92,$G$4,$C$8)</f>
        <v>10523.250418156385</v>
      </c>
      <c r="U92" s="12" cm="1">
        <f t="array" ref="U92">maxDepthToMinSOC($L$8,$L$9,P92,Q92,$O92,$G$5,$G$6,drivePower($C$4,$M92,$G92,$C$10,$C$11),$I92,$G92,$G$4,$C$8)</f>
        <v>5674.6502254903316</v>
      </c>
      <c r="V92" s="93">
        <f t="shared" si="19"/>
        <v>8098.9503218233585</v>
      </c>
    </row>
    <row r="93" spans="7:22" x14ac:dyDescent="0.35">
      <c r="G93" s="59">
        <f t="shared" si="1"/>
        <v>0.25</v>
      </c>
      <c r="H93" s="64" cm="1">
        <f t="array" ref="H93">drivePower($C$4,$C$5,G93,$C$10,$C$11)</f>
        <v>19.6038</v>
      </c>
      <c r="I93" s="84">
        <f t="shared" si="15"/>
        <v>24.679160599999999</v>
      </c>
      <c r="J93" s="84">
        <f t="shared" si="16"/>
        <v>44.282960599999996</v>
      </c>
      <c r="K93" s="60">
        <f t="shared" si="10"/>
        <v>167200</v>
      </c>
      <c r="L93" s="59">
        <f t="shared" si="17"/>
        <v>8.8800000000000008</v>
      </c>
      <c r="M93" s="64">
        <f t="shared" si="20"/>
        <v>19.768000000000001</v>
      </c>
      <c r="N93" s="64" cm="1">
        <f t="array" ref="N93">drivePower($C$4,M93,$C$9,$C$10,$C$11)</f>
        <v>37.775991840000003</v>
      </c>
      <c r="O93" s="86">
        <f t="shared" si="18"/>
        <v>11135.519999999999</v>
      </c>
      <c r="P93" s="90">
        <f t="shared" si="5"/>
        <v>-1.5000000000000001E-4</v>
      </c>
      <c r="Q93" s="91">
        <f t="shared" si="6"/>
        <v>0.82280000000000009</v>
      </c>
      <c r="R93" s="98">
        <v>0.15</v>
      </c>
      <c r="S93" s="95">
        <f t="shared" si="11"/>
        <v>167200</v>
      </c>
      <c r="T93" s="92" cm="1">
        <f t="array" ref="T93">maxDepthToMinSOC($L$8,$L$9,$L$6,$L$7,$O93,$G$5,$G$6,drivePower($C$4,$M93,$G93,$C$10,$C$11),$I93,$G93,$G$4,$C$8)</f>
        <v>10591.500420868397</v>
      </c>
      <c r="U93" s="12" cm="1">
        <f t="array" ref="U93">maxDepthToMinSOC($L$8,$L$9,P93,Q93,$O93,$G$5,$G$6,drivePower($C$4,$M93,$G93,$C$10,$C$11),$I93,$G93,$G$4,$C$8)</f>
        <v>5697.4502263963223</v>
      </c>
      <c r="V93" s="93">
        <f t="shared" si="19"/>
        <v>8144.4753236323595</v>
      </c>
    </row>
    <row r="94" spans="7:22" x14ac:dyDescent="0.35">
      <c r="G94" s="59">
        <f t="shared" si="1"/>
        <v>0.25</v>
      </c>
      <c r="H94" s="64" cm="1">
        <f t="array" ref="H94">drivePower($C$4,$C$5,G94,$C$10,$C$11)</f>
        <v>19.6038</v>
      </c>
      <c r="I94" s="84">
        <f t="shared" si="15"/>
        <v>24.679160599999999</v>
      </c>
      <c r="J94" s="84">
        <f t="shared" si="16"/>
        <v>44.282960599999996</v>
      </c>
      <c r="K94" s="60">
        <f t="shared" si="10"/>
        <v>169400</v>
      </c>
      <c r="L94" s="59">
        <f t="shared" si="17"/>
        <v>9</v>
      </c>
      <c r="M94" s="64">
        <f t="shared" si="20"/>
        <v>19.899999999999999</v>
      </c>
      <c r="N94" s="64" cm="1">
        <f t="array" ref="N94">drivePower($C$4,M94,$C$9,$C$10,$C$11)</f>
        <v>38.021561999999996</v>
      </c>
      <c r="O94" s="86">
        <f t="shared" si="18"/>
        <v>11282.04</v>
      </c>
      <c r="P94" s="90">
        <f t="shared" si="5"/>
        <v>-1.5000000000000001E-4</v>
      </c>
      <c r="Q94" s="91">
        <f t="shared" si="6"/>
        <v>0.82280000000000009</v>
      </c>
      <c r="R94" s="98">
        <v>0.15</v>
      </c>
      <c r="S94" s="95">
        <f t="shared" si="11"/>
        <v>169400</v>
      </c>
      <c r="T94" s="92" cm="1">
        <f t="array" ref="T94">maxDepthToMinSOC($L$8,$L$9,$L$6,$L$7,$O94,$G$5,$G$6,drivePower($C$4,$M94,$G94,$C$10,$C$11),$I94,$G94,$G$4,$C$8)</f>
        <v>10658.700423538685</v>
      </c>
      <c r="U94" s="12" cm="1">
        <f t="array" ref="U94">maxDepthToMinSOC($L$8,$L$9,P94,Q94,$O94,$G$5,$G$6,drivePower($C$4,$M94,$G94,$C$10,$C$11),$I94,$G94,$G$4,$C$8)</f>
        <v>5719.9502272903919</v>
      </c>
      <c r="V94" s="93">
        <f t="shared" si="19"/>
        <v>8189.3253254145384</v>
      </c>
    </row>
    <row r="95" spans="7:22" x14ac:dyDescent="0.35">
      <c r="G95" s="59">
        <f t="shared" si="1"/>
        <v>0.25</v>
      </c>
      <c r="H95" s="64" cm="1">
        <f t="array" ref="H95">drivePower($C$4,$C$5,G95,$C$10,$C$11)</f>
        <v>19.6038</v>
      </c>
      <c r="I95" s="84">
        <f t="shared" si="15"/>
        <v>24.679160599999999</v>
      </c>
      <c r="J95" s="84">
        <f t="shared" si="16"/>
        <v>44.282960599999996</v>
      </c>
      <c r="K95" s="60">
        <f t="shared" si="10"/>
        <v>171600</v>
      </c>
      <c r="L95" s="59">
        <f t="shared" si="17"/>
        <v>9.1199999999999992</v>
      </c>
      <c r="M95" s="64">
        <f t="shared" si="20"/>
        <v>20.032</v>
      </c>
      <c r="N95" s="64" cm="1">
        <f t="array" ref="N95">drivePower($C$4,M95,$C$9,$C$10,$C$11)</f>
        <v>38.267132159999996</v>
      </c>
      <c r="O95" s="86">
        <f t="shared" si="18"/>
        <v>11428.56</v>
      </c>
      <c r="P95" s="90">
        <f t="shared" si="5"/>
        <v>-1.5000000000000001E-4</v>
      </c>
      <c r="Q95" s="91">
        <f t="shared" si="6"/>
        <v>0.82280000000000009</v>
      </c>
      <c r="R95" s="98">
        <v>0.15</v>
      </c>
      <c r="S95" s="95">
        <f t="shared" si="11"/>
        <v>171600</v>
      </c>
      <c r="T95" s="92" cm="1">
        <f t="array" ref="T95">maxDepthToMinSOC($L$8,$L$9,$L$6,$L$7,$O95,$G$5,$G$6,drivePower($C$4,$M95,$G95,$C$10,$C$11),$I95,$G95,$G$4,$C$8)</f>
        <v>10725.150426179171</v>
      </c>
      <c r="U95" s="12" cm="1">
        <f t="array" ref="U95">maxDepthToMinSOC($L$8,$L$9,P95,Q95,$O95,$G$5,$G$6,drivePower($C$4,$M95,$G95,$C$10,$C$11),$I95,$G95,$G$4,$C$8)</f>
        <v>5741.8502281606197</v>
      </c>
      <c r="V95" s="93">
        <f t="shared" si="19"/>
        <v>8233.5003271698952</v>
      </c>
    </row>
    <row r="96" spans="7:22" x14ac:dyDescent="0.35">
      <c r="G96" s="59">
        <f t="shared" si="1"/>
        <v>0.25</v>
      </c>
      <c r="H96" s="64" cm="1">
        <f t="array" ref="H96">drivePower($C$4,$C$5,G96,$C$10,$C$11)</f>
        <v>19.6038</v>
      </c>
      <c r="I96" s="84">
        <f t="shared" si="15"/>
        <v>24.679160599999999</v>
      </c>
      <c r="J96" s="84">
        <f t="shared" si="16"/>
        <v>44.282960599999996</v>
      </c>
      <c r="K96" s="60">
        <f t="shared" si="10"/>
        <v>173800</v>
      </c>
      <c r="L96" s="59">
        <f t="shared" si="17"/>
        <v>9.24</v>
      </c>
      <c r="M96" s="64">
        <f t="shared" si="20"/>
        <v>20.164000000000001</v>
      </c>
      <c r="N96" s="64" cm="1">
        <f t="array" ref="N96">drivePower($C$4,M96,$C$9,$C$10,$C$11)</f>
        <v>38.512702320000002</v>
      </c>
      <c r="O96" s="86">
        <f t="shared" si="18"/>
        <v>11575.08</v>
      </c>
      <c r="P96" s="90">
        <f t="shared" si="5"/>
        <v>-1.5000000000000001E-4</v>
      </c>
      <c r="Q96" s="91">
        <f t="shared" si="6"/>
        <v>0.82280000000000009</v>
      </c>
      <c r="R96" s="98">
        <v>0.15</v>
      </c>
      <c r="S96" s="95">
        <f t="shared" si="11"/>
        <v>173800</v>
      </c>
      <c r="T96" s="92" cm="1">
        <f t="array" ref="T96">maxDepthToMinSOC($L$8,$L$9,$L$6,$L$7,$O96,$G$5,$G$6,drivePower($C$4,$M96,$G96,$C$10,$C$11),$I96,$G96,$G$4,$C$8)</f>
        <v>10790.700428783894</v>
      </c>
      <c r="U96" s="12" cm="1">
        <f t="array" ref="U96">maxDepthToMinSOC($L$8,$L$9,P96,Q96,$O96,$G$5,$G$6,drivePower($C$4,$M96,$G96,$C$10,$C$11),$I96,$G96,$G$4,$C$8)</f>
        <v>5763.4502290189266</v>
      </c>
      <c r="V96" s="93">
        <f t="shared" si="19"/>
        <v>8277.0753289014101</v>
      </c>
    </row>
    <row r="97" spans="7:22" x14ac:dyDescent="0.35">
      <c r="G97" s="59">
        <f t="shared" si="1"/>
        <v>0.25</v>
      </c>
      <c r="H97" s="64" cm="1">
        <f t="array" ref="H97">drivePower($C$4,$C$5,G97,$C$10,$C$11)</f>
        <v>19.6038</v>
      </c>
      <c r="I97" s="84">
        <f t="shared" si="15"/>
        <v>24.679160599999999</v>
      </c>
      <c r="J97" s="84">
        <f t="shared" si="16"/>
        <v>44.282960599999996</v>
      </c>
      <c r="K97" s="60">
        <f t="shared" si="10"/>
        <v>176000</v>
      </c>
      <c r="L97" s="59">
        <f t="shared" si="17"/>
        <v>9.36</v>
      </c>
      <c r="M97" s="64">
        <f t="shared" si="20"/>
        <v>20.295999999999999</v>
      </c>
      <c r="N97" s="64" cm="1">
        <f t="array" ref="N97">drivePower($C$4,M97,$C$9,$C$10,$C$11)</f>
        <v>38.758272479999995</v>
      </c>
      <c r="O97" s="86">
        <f t="shared" si="18"/>
        <v>11721.6</v>
      </c>
      <c r="P97" s="90">
        <f t="shared" si="5"/>
        <v>-1.5000000000000001E-4</v>
      </c>
      <c r="Q97" s="91">
        <f t="shared" si="6"/>
        <v>0.82280000000000009</v>
      </c>
      <c r="R97" s="98">
        <v>0.15</v>
      </c>
      <c r="S97" s="95">
        <f t="shared" si="11"/>
        <v>176000</v>
      </c>
      <c r="T97" s="92" cm="1">
        <f t="array" ref="T97">maxDepthToMinSOC($L$8,$L$9,$L$6,$L$7,$O97,$G$5,$G$6,drivePower($C$4,$M97,$G97,$C$10,$C$11),$I97,$G97,$G$4,$C$8)</f>
        <v>10855.200431346893</v>
      </c>
      <c r="U97" s="12" cm="1">
        <f t="array" ref="U97">maxDepthToMinSOC($L$8,$L$9,P97,Q97,$O97,$G$5,$G$6,drivePower($C$4,$M97,$G97,$C$10,$C$11),$I97,$G97,$G$4,$C$8)</f>
        <v>5784.6002298593521</v>
      </c>
      <c r="V97" s="93">
        <f t="shared" si="19"/>
        <v>8319.9003306031227</v>
      </c>
    </row>
    <row r="98" spans="7:22" x14ac:dyDescent="0.35">
      <c r="G98" s="59">
        <f t="shared" si="1"/>
        <v>0.25</v>
      </c>
      <c r="H98" s="64" cm="1">
        <f t="array" ref="H98">drivePower($C$4,$C$5,G98,$C$10,$C$11)</f>
        <v>19.6038</v>
      </c>
      <c r="I98" s="84">
        <f t="shared" si="15"/>
        <v>24.679160599999999</v>
      </c>
      <c r="J98" s="84">
        <f t="shared" si="16"/>
        <v>44.282960599999996</v>
      </c>
      <c r="K98" s="60">
        <f t="shared" si="10"/>
        <v>178200</v>
      </c>
      <c r="L98" s="59">
        <f t="shared" si="17"/>
        <v>9.48</v>
      </c>
      <c r="M98" s="64">
        <f t="shared" si="20"/>
        <v>20.428000000000001</v>
      </c>
      <c r="N98" s="64" cm="1">
        <f t="array" ref="N98">drivePower($C$4,M98,$C$9,$C$10,$C$11)</f>
        <v>39.003842640000002</v>
      </c>
      <c r="O98" s="86">
        <f t="shared" si="18"/>
        <v>11868.119999999999</v>
      </c>
      <c r="P98" s="90">
        <f t="shared" si="5"/>
        <v>-1.5000000000000001E-4</v>
      </c>
      <c r="Q98" s="91">
        <f t="shared" si="6"/>
        <v>0.82280000000000009</v>
      </c>
      <c r="R98" s="98">
        <v>0.15</v>
      </c>
      <c r="S98" s="95">
        <f t="shared" si="11"/>
        <v>178200</v>
      </c>
      <c r="T98" s="92" cm="1">
        <f t="array" ref="T98">maxDepthToMinSOC($L$8,$L$9,$L$6,$L$7,$O98,$G$5,$G$6,drivePower($C$4,$M98,$G98,$C$10,$C$11),$I98,$G98,$G$4,$C$8)</f>
        <v>10919.100433886051</v>
      </c>
      <c r="U98" s="12" cm="1">
        <f t="array" ref="U98">maxDepthToMinSOC($L$8,$L$9,P98,Q98,$O98,$G$5,$G$6,drivePower($C$4,$M98,$G98,$C$10,$C$11),$I98,$G98,$G$4,$C$8)</f>
        <v>5805.4502306878567</v>
      </c>
      <c r="V98" s="93">
        <f t="shared" si="19"/>
        <v>8362.2753322869539</v>
      </c>
    </row>
    <row r="99" spans="7:22" x14ac:dyDescent="0.35">
      <c r="G99" s="59">
        <f t="shared" si="1"/>
        <v>0.25</v>
      </c>
      <c r="H99" s="64" cm="1">
        <f t="array" ref="H99">drivePower($C$4,$C$5,G99,$C$10,$C$11)</f>
        <v>19.6038</v>
      </c>
      <c r="I99" s="84">
        <f t="shared" si="15"/>
        <v>24.679160599999999</v>
      </c>
      <c r="J99" s="84">
        <f t="shared" si="16"/>
        <v>44.282960599999996</v>
      </c>
      <c r="K99" s="60">
        <f t="shared" si="10"/>
        <v>180400</v>
      </c>
      <c r="L99" s="59">
        <f t="shared" si="17"/>
        <v>9.6</v>
      </c>
      <c r="M99" s="64">
        <f t="shared" si="20"/>
        <v>20.560000000000002</v>
      </c>
      <c r="N99" s="64" cm="1">
        <f t="array" ref="N99">drivePower($C$4,M99,$C$9,$C$10,$C$11)</f>
        <v>39.249412800000002</v>
      </c>
      <c r="O99" s="86">
        <f t="shared" si="18"/>
        <v>12014.640000000001</v>
      </c>
      <c r="P99" s="90">
        <f t="shared" si="5"/>
        <v>-1.5000000000000001E-4</v>
      </c>
      <c r="Q99" s="91">
        <f t="shared" si="6"/>
        <v>0.82280000000000009</v>
      </c>
      <c r="R99" s="98">
        <v>0.15</v>
      </c>
      <c r="S99" s="95">
        <f t="shared" si="11"/>
        <v>180400</v>
      </c>
      <c r="T99" s="92" cm="1">
        <f t="array" ref="T99">maxDepthToMinSOC($L$8,$L$9,$L$6,$L$7,$O99,$G$5,$G$6,drivePower($C$4,$M99,$G99,$C$10,$C$11),$I99,$G99,$G$4,$C$8)</f>
        <v>10981.950436383486</v>
      </c>
      <c r="U99" s="12" cm="1">
        <f t="array" ref="U99">maxDepthToMinSOC($L$8,$L$9,P99,Q99,$O99,$G$5,$G$6,drivePower($C$4,$M99,$G99,$C$10,$C$11),$I99,$G99,$G$4,$C$8)</f>
        <v>5826.0002315044403</v>
      </c>
      <c r="V99" s="93">
        <f t="shared" si="19"/>
        <v>8403.9753339439631</v>
      </c>
    </row>
    <row r="100" spans="7:22" x14ac:dyDescent="0.35">
      <c r="G100" s="59">
        <f t="shared" si="1"/>
        <v>0.25</v>
      </c>
      <c r="H100" s="64" cm="1">
        <f t="array" ref="H100">drivePower($C$4,$C$5,G100,$C$10,$C$11)</f>
        <v>19.6038</v>
      </c>
      <c r="I100" s="84">
        <f t="shared" si="15"/>
        <v>24.679160599999999</v>
      </c>
      <c r="J100" s="84">
        <f t="shared" si="16"/>
        <v>44.282960599999996</v>
      </c>
      <c r="K100" s="60">
        <f t="shared" si="10"/>
        <v>182600</v>
      </c>
      <c r="L100" s="59">
        <f t="shared" si="17"/>
        <v>9.7200000000000006</v>
      </c>
      <c r="M100" s="64">
        <f t="shared" si="20"/>
        <v>20.692</v>
      </c>
      <c r="N100" s="64" cm="1">
        <f t="array" ref="N100">drivePower($C$4,M100,$C$9,$C$10,$C$11)</f>
        <v>39.494982960000002</v>
      </c>
      <c r="O100" s="86">
        <f t="shared" si="18"/>
        <v>12161.16</v>
      </c>
      <c r="P100" s="90">
        <f t="shared" si="5"/>
        <v>-1.5000000000000001E-4</v>
      </c>
      <c r="Q100" s="91">
        <f t="shared" si="6"/>
        <v>0.82280000000000009</v>
      </c>
      <c r="R100" s="98">
        <v>0.15</v>
      </c>
      <c r="S100" s="95">
        <f t="shared" si="11"/>
        <v>182600</v>
      </c>
      <c r="T100" s="92" cm="1">
        <f t="array" ref="T100">maxDepthToMinSOC($L$8,$L$9,$L$6,$L$7,$O100,$G$5,$G$6,drivePower($C$4,$M100,$G100,$C$10,$C$11),$I100,$G100,$G$4,$C$8)</f>
        <v>11044.050438851118</v>
      </c>
      <c r="U100" s="12" cm="1">
        <f t="array" ref="U100">maxDepthToMinSOC($L$8,$L$9,P100,Q100,$O100,$G$5,$G$6,drivePower($C$4,$M100,$G100,$C$10,$C$11),$I100,$G100,$G$4,$C$8)</f>
        <v>5846.1002323031425</v>
      </c>
      <c r="V100" s="93">
        <f t="shared" si="19"/>
        <v>8445.0753355771303</v>
      </c>
    </row>
    <row r="101" spans="7:22" x14ac:dyDescent="0.35">
      <c r="G101" s="59">
        <f t="shared" si="1"/>
        <v>0.25</v>
      </c>
      <c r="H101" s="64" cm="1">
        <f t="array" ref="H101">drivePower($C$4,$C$5,G101,$C$10,$C$11)</f>
        <v>19.6038</v>
      </c>
      <c r="I101" s="84">
        <f t="shared" si="15"/>
        <v>24.679160599999999</v>
      </c>
      <c r="J101" s="84">
        <f t="shared" si="16"/>
        <v>44.282960599999996</v>
      </c>
      <c r="K101" s="60">
        <f t="shared" si="10"/>
        <v>184800</v>
      </c>
      <c r="L101" s="59">
        <f t="shared" si="17"/>
        <v>9.84</v>
      </c>
      <c r="M101" s="64">
        <f t="shared" si="20"/>
        <v>20.823999999999998</v>
      </c>
      <c r="N101" s="64" cm="1">
        <f t="array" ref="N101">drivePower($C$4,M101,$C$9,$C$10,$C$11)</f>
        <v>39.740553119999994</v>
      </c>
      <c r="O101" s="86">
        <f t="shared" si="18"/>
        <v>12307.68</v>
      </c>
      <c r="P101" s="90">
        <f t="shared" si="5"/>
        <v>-1.5000000000000001E-4</v>
      </c>
      <c r="Q101" s="91">
        <f t="shared" si="6"/>
        <v>0.82280000000000009</v>
      </c>
      <c r="R101" s="98">
        <v>0.15</v>
      </c>
      <c r="S101" s="95">
        <f t="shared" si="11"/>
        <v>184800</v>
      </c>
      <c r="T101" s="92" cm="1">
        <f t="array" ref="T101">maxDepthToMinSOC($L$8,$L$9,$L$6,$L$7,$O101,$G$5,$G$6,drivePower($C$4,$M101,$G101,$C$10,$C$11),$I101,$G101,$G$4,$C$8)</f>
        <v>11105.400441288948</v>
      </c>
      <c r="U101" s="12" cm="1">
        <f t="array" ref="U101">maxDepthToMinSOC($L$8,$L$9,P101,Q101,$O101,$G$5,$G$6,drivePower($C$4,$M101,$G101,$C$10,$C$11),$I101,$G101,$G$4,$C$8)</f>
        <v>5865.7502330839634</v>
      </c>
      <c r="V101" s="93">
        <f t="shared" si="19"/>
        <v>8485.5753371864557</v>
      </c>
    </row>
    <row r="102" spans="7:22" x14ac:dyDescent="0.35">
      <c r="G102" s="59">
        <f t="shared" si="1"/>
        <v>0.25</v>
      </c>
      <c r="H102" s="64" cm="1">
        <f t="array" ref="H102">drivePower($C$4,$C$5,G102,$C$10,$C$11)</f>
        <v>19.6038</v>
      </c>
      <c r="I102" s="84">
        <f t="shared" si="15"/>
        <v>24.679160599999999</v>
      </c>
      <c r="J102" s="84">
        <f t="shared" si="16"/>
        <v>44.282960599999996</v>
      </c>
      <c r="K102" s="60">
        <f t="shared" si="10"/>
        <v>187000</v>
      </c>
      <c r="L102" s="59">
        <f t="shared" si="17"/>
        <v>9.9600000000000009</v>
      </c>
      <c r="M102" s="64">
        <f t="shared" si="20"/>
        <v>20.956000000000003</v>
      </c>
      <c r="N102" s="64" cm="1">
        <f t="array" ref="N102">drivePower($C$4,M102,$C$9,$C$10,$C$11)</f>
        <v>39.986123280000001</v>
      </c>
      <c r="O102" s="86">
        <f t="shared" si="18"/>
        <v>12454.2</v>
      </c>
      <c r="P102" s="90">
        <f t="shared" si="5"/>
        <v>-1.5000000000000001E-4</v>
      </c>
      <c r="Q102" s="91">
        <f t="shared" si="6"/>
        <v>0.82280000000000009</v>
      </c>
      <c r="R102" s="98">
        <v>0.15</v>
      </c>
      <c r="S102" s="95">
        <f t="shared" si="11"/>
        <v>187000</v>
      </c>
      <c r="T102" s="92" cm="1">
        <f t="array" ref="T102">maxDepthToMinSOC($L$8,$L$9,$L$6,$L$7,$O102,$G$5,$G$6,drivePower($C$4,$M102,$G102,$C$10,$C$11),$I102,$G102,$G$4,$C$8)</f>
        <v>11165.850443691015</v>
      </c>
      <c r="U102" s="12" cm="1">
        <f t="array" ref="U102">maxDepthToMinSOC($L$8,$L$9,P102,Q102,$O102,$G$5,$G$6,drivePower($C$4,$M102,$G102,$C$10,$C$11),$I102,$G102,$G$4,$C$8)</f>
        <v>5885.2502338588238</v>
      </c>
      <c r="V102" s="93">
        <f t="shared" si="19"/>
        <v>8525.5503387749195</v>
      </c>
    </row>
    <row r="103" spans="7:22" x14ac:dyDescent="0.35">
      <c r="G103" s="59">
        <f t="shared" si="1"/>
        <v>0.25</v>
      </c>
      <c r="H103" s="64" cm="1">
        <f t="array" ref="H103">drivePower($C$4,$C$5,G103,$C$10,$C$11)</f>
        <v>19.6038</v>
      </c>
      <c r="I103" s="84">
        <f t="shared" si="15"/>
        <v>24.679160599999999</v>
      </c>
      <c r="J103" s="84">
        <f t="shared" si="16"/>
        <v>44.282960599999996</v>
      </c>
      <c r="K103" s="60">
        <f t="shared" si="10"/>
        <v>189200</v>
      </c>
      <c r="L103" s="59">
        <f t="shared" si="17"/>
        <v>10.08</v>
      </c>
      <c r="M103" s="64">
        <f t="shared" si="20"/>
        <v>21.088000000000001</v>
      </c>
      <c r="N103" s="64" cm="1">
        <f t="array" ref="N103">drivePower($C$4,M103,$C$9,$C$10,$C$11)</f>
        <v>40.231693440000001</v>
      </c>
      <c r="O103" s="86">
        <f t="shared" si="18"/>
        <v>12600.72</v>
      </c>
      <c r="P103" s="90">
        <f t="shared" si="5"/>
        <v>-1.5000000000000001E-4</v>
      </c>
      <c r="Q103" s="91">
        <f t="shared" si="6"/>
        <v>0.82280000000000009</v>
      </c>
      <c r="R103" s="98">
        <v>0.15</v>
      </c>
      <c r="S103" s="95">
        <f t="shared" si="11"/>
        <v>189200</v>
      </c>
      <c r="T103" s="92" cm="1">
        <f t="array" ref="T103">maxDepthToMinSOC($L$8,$L$9,$L$6,$L$7,$O103,$G$5,$G$6,drivePower($C$4,$M103,$G103,$C$10,$C$11),$I103,$G103,$G$4,$C$8)</f>
        <v>11225.700446069241</v>
      </c>
      <c r="U103" s="12" cm="1">
        <f t="array" ref="U103">maxDepthToMinSOC($L$8,$L$9,P103,Q103,$O103,$G$5,$G$6,drivePower($C$4,$M103,$G103,$C$10,$C$11),$I103,$G103,$G$4,$C$8)</f>
        <v>5904.3002346158028</v>
      </c>
      <c r="V103" s="93">
        <f t="shared" si="19"/>
        <v>8565.0003403425217</v>
      </c>
    </row>
    <row r="104" spans="7:22" x14ac:dyDescent="0.35">
      <c r="G104" s="59">
        <f t="shared" si="1"/>
        <v>0.25</v>
      </c>
      <c r="H104" s="64" cm="1">
        <f t="array" ref="H104">drivePower($C$4,$C$5,G104,$C$10,$C$11)</f>
        <v>19.6038</v>
      </c>
      <c r="I104" s="84">
        <f t="shared" si="15"/>
        <v>24.679160599999999</v>
      </c>
      <c r="J104" s="84">
        <f t="shared" si="16"/>
        <v>44.282960599999996</v>
      </c>
      <c r="K104" s="60">
        <f t="shared" si="10"/>
        <v>191400</v>
      </c>
      <c r="L104" s="59">
        <f t="shared" si="17"/>
        <v>10.199999999999999</v>
      </c>
      <c r="M104" s="64">
        <f t="shared" si="20"/>
        <v>21.22</v>
      </c>
      <c r="N104" s="64" cm="1">
        <f t="array" ref="N104">drivePower($C$4,M104,$C$9,$C$10,$C$11)</f>
        <v>40.477263599999993</v>
      </c>
      <c r="O104" s="86">
        <f t="shared" si="18"/>
        <v>12747.24</v>
      </c>
      <c r="P104" s="90">
        <f t="shared" si="5"/>
        <v>-1.5000000000000001E-4</v>
      </c>
      <c r="Q104" s="91">
        <f t="shared" si="6"/>
        <v>0.82280000000000009</v>
      </c>
      <c r="R104" s="98">
        <v>0.15</v>
      </c>
      <c r="S104" s="95">
        <f t="shared" si="11"/>
        <v>191400</v>
      </c>
      <c r="T104" s="92" cm="1">
        <f t="array" ref="T104">maxDepthToMinSOC($L$8,$L$9,$L$6,$L$7,$O104,$G$5,$G$6,drivePower($C$4,$M104,$G104,$C$10,$C$11),$I104,$G104,$G$4,$C$8)</f>
        <v>11284.650448411703</v>
      </c>
      <c r="U104" s="12" cm="1">
        <f t="array" ref="U104">maxDepthToMinSOC($L$8,$L$9,P104,Q104,$O104,$G$5,$G$6,drivePower($C$4,$M104,$G104,$C$10,$C$11),$I104,$G104,$G$4,$C$8)</f>
        <v>5923.0502353608608</v>
      </c>
      <c r="V104" s="93">
        <f t="shared" si="19"/>
        <v>8603.850341886282</v>
      </c>
    </row>
    <row r="105" spans="7:22" x14ac:dyDescent="0.35">
      <c r="G105" s="59">
        <f t="shared" si="1"/>
        <v>0.25</v>
      </c>
      <c r="H105" s="64" cm="1">
        <f t="array" ref="H105">drivePower($C$4,$C$5,G105,$C$10,$C$11)</f>
        <v>19.6038</v>
      </c>
      <c r="I105" s="84">
        <f t="shared" si="15"/>
        <v>24.679160599999999</v>
      </c>
      <c r="J105" s="84">
        <f t="shared" si="16"/>
        <v>44.282960599999996</v>
      </c>
      <c r="K105" s="60">
        <f t="shared" si="10"/>
        <v>193600</v>
      </c>
      <c r="L105" s="59">
        <f t="shared" si="17"/>
        <v>10.32</v>
      </c>
      <c r="M105" s="64">
        <f t="shared" si="20"/>
        <v>21.352000000000004</v>
      </c>
      <c r="N105" s="64" cm="1">
        <f t="array" ref="N105">drivePower($C$4,M105,$C$9,$C$10,$C$11)</f>
        <v>40.722833760000007</v>
      </c>
      <c r="O105" s="86">
        <f t="shared" si="18"/>
        <v>12893.76</v>
      </c>
      <c r="P105" s="90">
        <f t="shared" si="5"/>
        <v>-1.5000000000000001E-4</v>
      </c>
      <c r="Q105" s="91">
        <f t="shared" si="6"/>
        <v>0.82280000000000009</v>
      </c>
      <c r="R105" s="98">
        <v>0.15</v>
      </c>
      <c r="S105" s="95">
        <f t="shared" si="11"/>
        <v>193600</v>
      </c>
      <c r="T105" s="92" cm="1">
        <f t="array" ref="T105">maxDepthToMinSOC($L$8,$L$9,$L$6,$L$7,$O105,$G$5,$G$6,drivePower($C$4,$M105,$G105,$C$10,$C$11),$I105,$G105,$G$4,$C$8)</f>
        <v>11342.850450724363</v>
      </c>
      <c r="U105" s="12" cm="1">
        <f t="array" ref="U105">maxDepthToMinSOC($L$8,$L$9,P105,Q105,$O105,$G$5,$G$6,drivePower($C$4,$M105,$G105,$C$10,$C$11),$I105,$G105,$G$4,$C$8)</f>
        <v>5941.500236093998</v>
      </c>
      <c r="V105" s="93">
        <f t="shared" si="19"/>
        <v>8642.1753434091806</v>
      </c>
    </row>
    <row r="106" spans="7:22" x14ac:dyDescent="0.35">
      <c r="G106" s="59">
        <f t="shared" si="1"/>
        <v>0.25</v>
      </c>
      <c r="H106" s="64" cm="1">
        <f t="array" ref="H106">drivePower($C$4,$C$5,G106,$C$10,$C$11)</f>
        <v>19.6038</v>
      </c>
      <c r="I106" s="84">
        <f t="shared" si="15"/>
        <v>24.679160599999999</v>
      </c>
      <c r="J106" s="84">
        <f t="shared" si="16"/>
        <v>44.282960599999996</v>
      </c>
      <c r="K106" s="60">
        <f t="shared" si="10"/>
        <v>195800</v>
      </c>
      <c r="L106" s="59">
        <f t="shared" si="17"/>
        <v>10.44</v>
      </c>
      <c r="M106" s="64">
        <f t="shared" si="20"/>
        <v>21.484000000000002</v>
      </c>
      <c r="N106" s="64" cm="1">
        <f t="array" ref="N106">drivePower($C$4,M106,$C$9,$C$10,$C$11)</f>
        <v>40.96840392</v>
      </c>
      <c r="O106" s="86">
        <f t="shared" si="18"/>
        <v>13040.28</v>
      </c>
      <c r="P106" s="90">
        <f t="shared" si="5"/>
        <v>-1.5000000000000001E-4</v>
      </c>
      <c r="Q106" s="91">
        <f t="shared" si="6"/>
        <v>0.82280000000000009</v>
      </c>
      <c r="R106" s="98">
        <v>0.15</v>
      </c>
      <c r="S106" s="95">
        <f t="shared" si="11"/>
        <v>195800</v>
      </c>
      <c r="T106" s="92" cm="1">
        <f t="array" ref="T106">maxDepthToMinSOC($L$8,$L$9,$L$6,$L$7,$O106,$G$5,$G$6,drivePower($C$4,$M106,$G106,$C$10,$C$11),$I106,$G106,$G$4,$C$8)</f>
        <v>11400.300453007221</v>
      </c>
      <c r="U106" s="12" cm="1">
        <f t="array" ref="U106">maxDepthToMinSOC($L$8,$L$9,P106,Q106,$O106,$G$5,$G$6,drivePower($C$4,$M106,$G106,$C$10,$C$11),$I106,$G106,$G$4,$C$8)</f>
        <v>5959.6502368152142</v>
      </c>
      <c r="V106" s="93">
        <f t="shared" si="19"/>
        <v>8679.9753449112177</v>
      </c>
    </row>
    <row r="107" spans="7:22" x14ac:dyDescent="0.35">
      <c r="G107" s="59">
        <f t="shared" si="1"/>
        <v>0.25</v>
      </c>
      <c r="H107" s="64" cm="1">
        <f t="array" ref="H107">drivePower($C$4,$C$5,G107,$C$10,$C$11)</f>
        <v>19.6038</v>
      </c>
      <c r="I107" s="84">
        <f t="shared" si="15"/>
        <v>24.679160599999999</v>
      </c>
      <c r="J107" s="84">
        <f t="shared" si="16"/>
        <v>44.282960599999996</v>
      </c>
      <c r="K107" s="60">
        <f t="shared" si="10"/>
        <v>198000</v>
      </c>
      <c r="L107" s="59">
        <f t="shared" si="17"/>
        <v>10.56</v>
      </c>
      <c r="M107" s="64">
        <f t="shared" si="20"/>
        <v>21.616</v>
      </c>
      <c r="N107" s="64" cm="1">
        <f t="array" ref="N107">drivePower($C$4,M107,$C$9,$C$10,$C$11)</f>
        <v>41.21397408</v>
      </c>
      <c r="O107" s="86">
        <f t="shared" si="18"/>
        <v>13186.8</v>
      </c>
      <c r="P107" s="90">
        <f t="shared" si="5"/>
        <v>-1.5000000000000001E-4</v>
      </c>
      <c r="Q107" s="91">
        <f t="shared" si="6"/>
        <v>0.82280000000000009</v>
      </c>
      <c r="R107" s="98">
        <v>0.15</v>
      </c>
      <c r="S107" s="95">
        <f t="shared" si="11"/>
        <v>198000</v>
      </c>
      <c r="T107" s="92" cm="1">
        <f t="array" ref="T107">maxDepthToMinSOC($L$8,$L$9,$L$6,$L$7,$O107,$G$5,$G$6,drivePower($C$4,$M107,$G107,$C$10,$C$11),$I107,$G107,$G$4,$C$8)</f>
        <v>11457.150455266237</v>
      </c>
      <c r="U107" s="12" cm="1">
        <f t="array" ref="U107">maxDepthToMinSOC($L$8,$L$9,P107,Q107,$O107,$G$5,$G$6,drivePower($C$4,$M107,$G107,$C$10,$C$11),$I107,$G107,$G$4,$C$8)</f>
        <v>5977.5002375245094</v>
      </c>
      <c r="V107" s="93">
        <f t="shared" si="19"/>
        <v>8717.3253463953733</v>
      </c>
    </row>
    <row r="108" spans="7:22" x14ac:dyDescent="0.35">
      <c r="G108" s="59">
        <f t="shared" si="1"/>
        <v>0.25</v>
      </c>
      <c r="H108" s="64" cm="1">
        <f t="array" ref="H108">drivePower($C$4,$C$5,G108,$C$10,$C$11)</f>
        <v>19.6038</v>
      </c>
      <c r="I108" s="84">
        <f t="shared" si="15"/>
        <v>24.679160599999999</v>
      </c>
      <c r="J108" s="84">
        <f t="shared" si="16"/>
        <v>44.282960599999996</v>
      </c>
      <c r="K108" s="60">
        <f t="shared" si="10"/>
        <v>200200</v>
      </c>
      <c r="L108" s="59">
        <f t="shared" si="17"/>
        <v>10.68</v>
      </c>
      <c r="M108" s="64">
        <f t="shared" si="20"/>
        <v>21.748000000000001</v>
      </c>
      <c r="N108" s="64" cm="1">
        <f t="array" ref="N108">drivePower($C$4,M108,$C$9,$C$10,$C$11)</f>
        <v>41.45954424</v>
      </c>
      <c r="O108" s="86">
        <f t="shared" si="18"/>
        <v>13333.32</v>
      </c>
      <c r="P108" s="90">
        <f t="shared" si="5"/>
        <v>-1.5000000000000001E-4</v>
      </c>
      <c r="Q108" s="91">
        <f t="shared" si="6"/>
        <v>0.82280000000000009</v>
      </c>
      <c r="R108" s="98">
        <v>0.15</v>
      </c>
      <c r="S108" s="95">
        <f t="shared" si="11"/>
        <v>200200</v>
      </c>
      <c r="T108" s="92" cm="1">
        <f t="array" ref="T108">maxDepthToMinSOC($L$8,$L$9,$L$6,$L$7,$O108,$G$5,$G$6,drivePower($C$4,$M108,$G108,$C$10,$C$11),$I108,$G108,$G$4,$C$8)</f>
        <v>11513.100457489491</v>
      </c>
      <c r="U108" s="12" cm="1">
        <f t="array" ref="U108">maxDepthToMinSOC($L$8,$L$9,P108,Q108,$O108,$G$5,$G$6,drivePower($C$4,$M108,$G108,$C$10,$C$11),$I108,$G108,$G$4,$C$8)</f>
        <v>5995.0502382218838</v>
      </c>
      <c r="V108" s="93">
        <f t="shared" si="19"/>
        <v>8754.0753478556871</v>
      </c>
    </row>
    <row r="109" spans="7:22" x14ac:dyDescent="0.35">
      <c r="G109" s="59">
        <f t="shared" si="1"/>
        <v>0.25</v>
      </c>
      <c r="H109" s="64" cm="1">
        <f t="array" ref="H109">drivePower($C$4,$C$5,G109,$C$10,$C$11)</f>
        <v>19.6038</v>
      </c>
      <c r="I109" s="84">
        <f t="shared" ref="I109:I172" si="21">I108</f>
        <v>24.679160599999999</v>
      </c>
      <c r="J109" s="84">
        <f t="shared" ref="J109:J172" si="22">H109+I109</f>
        <v>44.282960599999996</v>
      </c>
      <c r="K109" s="60">
        <f t="shared" si="10"/>
        <v>202400</v>
      </c>
      <c r="L109" s="59">
        <f t="shared" ref="L109:L172" si="23">(K109-4400)*(5*0.048)/4400</f>
        <v>10.8</v>
      </c>
      <c r="M109" s="64">
        <f t="shared" si="20"/>
        <v>21.880000000000003</v>
      </c>
      <c r="N109" s="64" cm="1">
        <f t="array" ref="N109">drivePower($C$4,M109,$C$9,$C$10,$C$11)</f>
        <v>41.705114400000006</v>
      </c>
      <c r="O109" s="86">
        <f t="shared" ref="O109:O172" si="24">K109*3.6/1000*$L$4</f>
        <v>13479.84</v>
      </c>
      <c r="P109" s="90">
        <f t="shared" si="5"/>
        <v>-1.5000000000000001E-4</v>
      </c>
      <c r="Q109" s="91">
        <f t="shared" si="6"/>
        <v>0.82280000000000009</v>
      </c>
      <c r="R109" s="98">
        <v>0.15</v>
      </c>
      <c r="S109" s="95">
        <f t="shared" si="11"/>
        <v>202400</v>
      </c>
      <c r="T109" s="92" cm="1">
        <f t="array" ref="T109">maxDepthToMinSOC($L$8,$L$9,$L$6,$L$7,$O109,$G$5,$G$6,drivePower($C$4,$M109,$G109,$C$10,$C$11),$I109,$G109,$G$4,$C$8)</f>
        <v>11568.600459694862</v>
      </c>
      <c r="U109" s="12" cm="1">
        <f t="array" ref="U109">maxDepthToMinSOC($L$8,$L$9,P109,Q109,$O109,$G$5,$G$6,drivePower($C$4,$M109,$G109,$C$10,$C$11),$I109,$G109,$G$4,$C$8)</f>
        <v>6012.3002389073372</v>
      </c>
      <c r="V109" s="93">
        <f t="shared" si="19"/>
        <v>8790.4503493010998</v>
      </c>
    </row>
    <row r="110" spans="7:22" x14ac:dyDescent="0.35">
      <c r="G110" s="59">
        <f t="shared" si="1"/>
        <v>0.25</v>
      </c>
      <c r="H110" s="64" cm="1">
        <f t="array" ref="H110">drivePower($C$4,$C$5,G110,$C$10,$C$11)</f>
        <v>19.6038</v>
      </c>
      <c r="I110" s="84">
        <f t="shared" si="21"/>
        <v>24.679160599999999</v>
      </c>
      <c r="J110" s="84">
        <f t="shared" si="22"/>
        <v>44.282960599999996</v>
      </c>
      <c r="K110" s="60">
        <f t="shared" si="10"/>
        <v>204600</v>
      </c>
      <c r="L110" s="59">
        <f t="shared" si="23"/>
        <v>10.92</v>
      </c>
      <c r="M110" s="64">
        <f t="shared" si="20"/>
        <v>22.012</v>
      </c>
      <c r="N110" s="64" cm="1">
        <f t="array" ref="N110">drivePower($C$4,M110,$C$9,$C$10,$C$11)</f>
        <v>41.950684559999999</v>
      </c>
      <c r="O110" s="86">
        <f t="shared" si="24"/>
        <v>13626.359999999999</v>
      </c>
      <c r="P110" s="90">
        <f t="shared" si="5"/>
        <v>-1.5000000000000001E-4</v>
      </c>
      <c r="Q110" s="91">
        <f t="shared" si="6"/>
        <v>0.82280000000000009</v>
      </c>
      <c r="R110" s="98">
        <v>0.15</v>
      </c>
      <c r="S110" s="95">
        <f t="shared" si="11"/>
        <v>204600</v>
      </c>
      <c r="T110" s="92" cm="1">
        <f t="array" ref="T110">maxDepthToMinSOC($L$8,$L$9,$L$6,$L$7,$O110,$G$5,$G$6,drivePower($C$4,$M110,$G110,$C$10,$C$11),$I110,$G110,$G$4,$C$8)</f>
        <v>11623.200461864471</v>
      </c>
      <c r="U110" s="12" cm="1">
        <f t="array" ref="U110">maxDepthToMinSOC($L$8,$L$9,P110,Q110,$O110,$G$5,$G$6,drivePower($C$4,$M110,$G110,$C$10,$C$11),$I110,$G110,$G$4,$C$8)</f>
        <v>6029.2502395808697</v>
      </c>
      <c r="V110" s="93">
        <f t="shared" si="19"/>
        <v>8826.2253507226706</v>
      </c>
    </row>
    <row r="111" spans="7:22" x14ac:dyDescent="0.35">
      <c r="G111" s="59">
        <f t="shared" si="1"/>
        <v>0.25</v>
      </c>
      <c r="H111" s="64" cm="1">
        <f t="array" ref="H111">drivePower($C$4,$C$5,G111,$C$10,$C$11)</f>
        <v>19.6038</v>
      </c>
      <c r="I111" s="84">
        <f t="shared" si="21"/>
        <v>24.679160599999999</v>
      </c>
      <c r="J111" s="84">
        <f t="shared" si="22"/>
        <v>44.282960599999996</v>
      </c>
      <c r="K111" s="60">
        <f t="shared" si="10"/>
        <v>206800</v>
      </c>
      <c r="L111" s="59">
        <f t="shared" si="23"/>
        <v>11.04</v>
      </c>
      <c r="M111" s="64">
        <f t="shared" si="20"/>
        <v>22.143999999999998</v>
      </c>
      <c r="N111" s="64" cm="1">
        <f t="array" ref="N111">drivePower($C$4,M111,$C$9,$C$10,$C$11)</f>
        <v>42.196254719999992</v>
      </c>
      <c r="O111" s="86">
        <f t="shared" si="24"/>
        <v>13772.880000000001</v>
      </c>
      <c r="P111" s="90">
        <f t="shared" si="5"/>
        <v>-1.5000000000000001E-4</v>
      </c>
      <c r="Q111" s="91">
        <f t="shared" si="6"/>
        <v>0.82280000000000009</v>
      </c>
      <c r="R111" s="98">
        <v>0.15</v>
      </c>
      <c r="S111" s="95">
        <f t="shared" si="11"/>
        <v>206800</v>
      </c>
      <c r="T111" s="92" cm="1">
        <f t="array" ref="T111">maxDepthToMinSOC($L$8,$L$9,$L$6,$L$7,$O111,$G$5,$G$6,drivePower($C$4,$M111,$G111,$C$10,$C$11),$I111,$G111,$G$4,$C$8)</f>
        <v>11677.200464010239</v>
      </c>
      <c r="U111" s="12" cm="1">
        <f t="array" ref="U111">maxDepthToMinSOC($L$8,$L$9,P111,Q111,$O111,$G$5,$G$6,drivePower($C$4,$M111,$G111,$C$10,$C$11),$I111,$G111,$G$4,$C$8)</f>
        <v>6046.0502402484417</v>
      </c>
      <c r="V111" s="93">
        <f t="shared" si="19"/>
        <v>8861.6253521293402</v>
      </c>
    </row>
    <row r="112" spans="7:22" x14ac:dyDescent="0.35">
      <c r="G112" s="59">
        <f t="shared" si="1"/>
        <v>0.25</v>
      </c>
      <c r="H112" s="64" cm="1">
        <f t="array" ref="H112">drivePower($C$4,$C$5,G112,$C$10,$C$11)</f>
        <v>19.6038</v>
      </c>
      <c r="I112" s="84">
        <f t="shared" si="21"/>
        <v>24.679160599999999</v>
      </c>
      <c r="J112" s="84">
        <f t="shared" si="22"/>
        <v>44.282960599999996</v>
      </c>
      <c r="K112" s="60">
        <f t="shared" si="10"/>
        <v>209000</v>
      </c>
      <c r="L112" s="59">
        <f t="shared" si="23"/>
        <v>11.16</v>
      </c>
      <c r="M112" s="64">
        <f t="shared" si="20"/>
        <v>22.276000000000003</v>
      </c>
      <c r="N112" s="64" cm="1">
        <f t="array" ref="N112">drivePower($C$4,M112,$C$9,$C$10,$C$11)</f>
        <v>42.441824880000006</v>
      </c>
      <c r="O112" s="86">
        <f t="shared" si="24"/>
        <v>13919.4</v>
      </c>
      <c r="P112" s="90">
        <f t="shared" si="5"/>
        <v>-1.5000000000000001E-4</v>
      </c>
      <c r="Q112" s="91">
        <f t="shared" si="6"/>
        <v>0.82280000000000009</v>
      </c>
      <c r="R112" s="98">
        <v>0.15</v>
      </c>
      <c r="S112" s="95">
        <f t="shared" si="11"/>
        <v>209000</v>
      </c>
      <c r="T112" s="92" cm="1">
        <f t="array" ref="T112">maxDepthToMinSOC($L$8,$L$9,$L$6,$L$7,$O112,$G$5,$G$6,drivePower($C$4,$M112,$G112,$C$10,$C$11),$I112,$G112,$G$4,$C$8)</f>
        <v>11730.600466132164</v>
      </c>
      <c r="U112" s="12" cm="1">
        <f t="array" ref="U112">maxDepthToMinSOC($L$8,$L$9,P112,Q112,$O112,$G$5,$G$6,drivePower($C$4,$M112,$G112,$C$10,$C$11),$I112,$G112,$G$4,$C$8)</f>
        <v>6062.4002408981323</v>
      </c>
      <c r="V112" s="93">
        <f t="shared" si="19"/>
        <v>8896.5003535151482</v>
      </c>
    </row>
    <row r="113" spans="7:22" x14ac:dyDescent="0.35">
      <c r="G113" s="59">
        <f t="shared" si="1"/>
        <v>0.25</v>
      </c>
      <c r="H113" s="64" cm="1">
        <f t="array" ref="H113">drivePower($C$4,$C$5,G113,$C$10,$C$11)</f>
        <v>19.6038</v>
      </c>
      <c r="I113" s="84">
        <f t="shared" si="21"/>
        <v>24.679160599999999</v>
      </c>
      <c r="J113" s="84">
        <f t="shared" si="22"/>
        <v>44.282960599999996</v>
      </c>
      <c r="K113" s="60">
        <f t="shared" si="10"/>
        <v>211200</v>
      </c>
      <c r="L113" s="59">
        <f t="shared" si="23"/>
        <v>11.28</v>
      </c>
      <c r="M113" s="64">
        <f t="shared" si="20"/>
        <v>22.408000000000001</v>
      </c>
      <c r="N113" s="64" cm="1">
        <f t="array" ref="N113">drivePower($C$4,M113,$C$9,$C$10,$C$11)</f>
        <v>42.687395039999998</v>
      </c>
      <c r="O113" s="86">
        <f t="shared" si="24"/>
        <v>14065.92</v>
      </c>
      <c r="P113" s="90">
        <f t="shared" si="5"/>
        <v>-1.5000000000000001E-4</v>
      </c>
      <c r="Q113" s="91">
        <f t="shared" si="6"/>
        <v>0.82280000000000009</v>
      </c>
      <c r="R113" s="98">
        <v>0.15</v>
      </c>
      <c r="S113" s="95">
        <f t="shared" si="11"/>
        <v>211200</v>
      </c>
      <c r="T113" s="92" cm="1">
        <f t="array" ref="T113">maxDepthToMinSOC($L$8,$L$9,$L$6,$L$7,$O113,$G$5,$G$6,drivePower($C$4,$M113,$G113,$C$10,$C$11),$I113,$G113,$G$4,$C$8)</f>
        <v>11783.400468230247</v>
      </c>
      <c r="U113" s="12" cm="1">
        <f t="array" ref="U113">maxDepthToMinSOC($L$8,$L$9,P113,Q113,$O113,$G$5,$G$6,drivePower($C$4,$M113,$G113,$C$10,$C$11),$I113,$G113,$G$4,$C$8)</f>
        <v>6078.6002415418625</v>
      </c>
      <c r="V113" s="93">
        <f t="shared" si="19"/>
        <v>8931.000354886055</v>
      </c>
    </row>
    <row r="114" spans="7:22" x14ac:dyDescent="0.35">
      <c r="G114" s="59">
        <f t="shared" si="1"/>
        <v>0.25</v>
      </c>
      <c r="H114" s="64" cm="1">
        <f t="array" ref="H114">drivePower($C$4,$C$5,G114,$C$10,$C$11)</f>
        <v>19.6038</v>
      </c>
      <c r="I114" s="84">
        <f t="shared" si="21"/>
        <v>24.679160599999999</v>
      </c>
      <c r="J114" s="84">
        <f t="shared" si="22"/>
        <v>44.282960599999996</v>
      </c>
      <c r="K114" s="60">
        <f t="shared" si="10"/>
        <v>213400</v>
      </c>
      <c r="L114" s="59">
        <f t="shared" si="23"/>
        <v>11.4</v>
      </c>
      <c r="M114" s="64">
        <f t="shared" si="20"/>
        <v>22.54</v>
      </c>
      <c r="N114" s="64" cm="1">
        <f t="array" ref="N114">drivePower($C$4,M114,$C$9,$C$10,$C$11)</f>
        <v>42.932965199999998</v>
      </c>
      <c r="O114" s="86">
        <f t="shared" si="24"/>
        <v>14212.44</v>
      </c>
      <c r="P114" s="90">
        <f t="shared" si="5"/>
        <v>-1.5000000000000001E-4</v>
      </c>
      <c r="Q114" s="91">
        <f t="shared" si="6"/>
        <v>0.82280000000000009</v>
      </c>
      <c r="R114" s="98">
        <v>0.15</v>
      </c>
      <c r="S114" s="95">
        <f t="shared" si="11"/>
        <v>213400</v>
      </c>
      <c r="T114" s="92" cm="1">
        <f t="array" ref="T114">maxDepthToMinSOC($L$8,$L$9,$L$6,$L$7,$O114,$G$5,$G$6,drivePower($C$4,$M114,$G114,$C$10,$C$11),$I114,$G114,$G$4,$C$8)</f>
        <v>11835.450470298529</v>
      </c>
      <c r="U114" s="12" cm="1">
        <f t="array" ref="U114">maxDepthToMinSOC($L$8,$L$9,P114,Q114,$O114,$G$5,$G$6,drivePower($C$4,$M114,$G114,$C$10,$C$11),$I114,$G114,$G$4,$C$8)</f>
        <v>6094.5002421736717</v>
      </c>
      <c r="V114" s="93">
        <f t="shared" si="19"/>
        <v>8964.9753562361002</v>
      </c>
    </row>
    <row r="115" spans="7:22" x14ac:dyDescent="0.35">
      <c r="G115" s="59">
        <f t="shared" si="1"/>
        <v>0.25</v>
      </c>
      <c r="H115" s="64" cm="1">
        <f t="array" ref="H115">drivePower($C$4,$C$5,G115,$C$10,$C$11)</f>
        <v>19.6038</v>
      </c>
      <c r="I115" s="84">
        <f t="shared" si="21"/>
        <v>24.679160599999999</v>
      </c>
      <c r="J115" s="84">
        <f t="shared" si="22"/>
        <v>44.282960599999996</v>
      </c>
      <c r="K115" s="60">
        <f t="shared" si="10"/>
        <v>215600</v>
      </c>
      <c r="L115" s="59">
        <f t="shared" si="23"/>
        <v>11.52</v>
      </c>
      <c r="M115" s="64">
        <f t="shared" si="20"/>
        <v>22.672000000000001</v>
      </c>
      <c r="N115" s="64" cm="1">
        <f t="array" ref="N115">drivePower($C$4,M115,$C$9,$C$10,$C$11)</f>
        <v>43.178535359999998</v>
      </c>
      <c r="O115" s="86">
        <f t="shared" si="24"/>
        <v>14358.96</v>
      </c>
      <c r="P115" s="90">
        <f t="shared" si="5"/>
        <v>-1.5000000000000001E-4</v>
      </c>
      <c r="Q115" s="91">
        <f t="shared" si="6"/>
        <v>0.82280000000000009</v>
      </c>
      <c r="R115" s="98">
        <v>0.15</v>
      </c>
      <c r="S115" s="95">
        <f t="shared" si="11"/>
        <v>215600</v>
      </c>
      <c r="T115" s="92" cm="1">
        <f t="array" ref="T115">maxDepthToMinSOC($L$8,$L$9,$L$6,$L$7,$O115,$G$5,$G$6,drivePower($C$4,$M115,$G115,$C$10,$C$11),$I115,$G115,$G$4,$C$8)</f>
        <v>11886.900472342968</v>
      </c>
      <c r="U115" s="12" cm="1">
        <f t="array" ref="U115">maxDepthToMinSOC($L$8,$L$9,P115,Q115,$O115,$G$5,$G$6,drivePower($C$4,$M115,$G115,$C$10,$C$11),$I115,$G115,$G$4,$C$8)</f>
        <v>6110.2502427995205</v>
      </c>
      <c r="V115" s="93">
        <f t="shared" si="19"/>
        <v>8998.5753575712442</v>
      </c>
    </row>
    <row r="116" spans="7:22" x14ac:dyDescent="0.35">
      <c r="G116" s="59">
        <f t="shared" si="1"/>
        <v>0.25</v>
      </c>
      <c r="H116" s="64" cm="1">
        <f t="array" ref="H116">drivePower($C$4,$C$5,G116,$C$10,$C$11)</f>
        <v>19.6038</v>
      </c>
      <c r="I116" s="84">
        <f t="shared" si="21"/>
        <v>24.679160599999999</v>
      </c>
      <c r="J116" s="84">
        <f t="shared" si="22"/>
        <v>44.282960599999996</v>
      </c>
      <c r="K116" s="60">
        <f t="shared" si="10"/>
        <v>217800</v>
      </c>
      <c r="L116" s="59">
        <f t="shared" si="23"/>
        <v>11.64</v>
      </c>
      <c r="M116" s="64">
        <f t="shared" si="20"/>
        <v>22.804000000000002</v>
      </c>
      <c r="N116" s="64" cm="1">
        <f t="array" ref="N116">drivePower($C$4,M116,$C$9,$C$10,$C$11)</f>
        <v>43.424105520000005</v>
      </c>
      <c r="O116" s="86">
        <f t="shared" si="24"/>
        <v>14505.480000000001</v>
      </c>
      <c r="P116" s="90">
        <f t="shared" si="5"/>
        <v>-1.5000000000000001E-4</v>
      </c>
      <c r="Q116" s="91">
        <f t="shared" si="6"/>
        <v>0.82280000000000009</v>
      </c>
      <c r="R116" s="98">
        <v>0.15</v>
      </c>
      <c r="S116" s="95">
        <f t="shared" si="11"/>
        <v>217800</v>
      </c>
      <c r="T116" s="92" cm="1">
        <f t="array" ref="T116">maxDepthToMinSOC($L$8,$L$9,$L$6,$L$7,$O116,$G$5,$G$6,drivePower($C$4,$M116,$G116,$C$10,$C$11),$I116,$G116,$G$4,$C$8)</f>
        <v>11937.750474363565</v>
      </c>
      <c r="U116" s="12" cm="1">
        <f t="array" ref="U116">maxDepthToMinSOC($L$8,$L$9,P116,Q116,$O116,$G$5,$G$6,drivePower($C$4,$M116,$G116,$C$10,$C$11),$I116,$G116,$G$4,$C$8)</f>
        <v>6125.7002434134483</v>
      </c>
      <c r="V116" s="93">
        <f t="shared" si="19"/>
        <v>9031.7253588885069</v>
      </c>
    </row>
    <row r="117" spans="7:22" x14ac:dyDescent="0.35">
      <c r="G117" s="59">
        <f t="shared" si="1"/>
        <v>0.25</v>
      </c>
      <c r="H117" s="64" cm="1">
        <f t="array" ref="H117">drivePower($C$4,$C$5,G117,$C$10,$C$11)</f>
        <v>19.6038</v>
      </c>
      <c r="I117" s="84">
        <f t="shared" si="21"/>
        <v>24.679160599999999</v>
      </c>
      <c r="J117" s="84">
        <f t="shared" si="22"/>
        <v>44.282960599999996</v>
      </c>
      <c r="K117" s="60">
        <f t="shared" si="10"/>
        <v>220000</v>
      </c>
      <c r="L117" s="59">
        <f t="shared" si="23"/>
        <v>11.76</v>
      </c>
      <c r="M117" s="64">
        <f t="shared" si="20"/>
        <v>22.936</v>
      </c>
      <c r="N117" s="64" cm="1">
        <f t="array" ref="N117">drivePower($C$4,M117,$C$9,$C$10,$C$11)</f>
        <v>43.669675679999997</v>
      </c>
      <c r="O117" s="86">
        <f t="shared" si="24"/>
        <v>14652</v>
      </c>
      <c r="P117" s="90">
        <f t="shared" si="5"/>
        <v>-1.5000000000000001E-4</v>
      </c>
      <c r="Q117" s="91">
        <f t="shared" si="6"/>
        <v>0.82280000000000009</v>
      </c>
      <c r="R117" s="98">
        <v>0.15</v>
      </c>
      <c r="S117" s="95">
        <f t="shared" si="11"/>
        <v>220000</v>
      </c>
      <c r="T117" s="92" cm="1">
        <f t="array" ref="T117">maxDepthToMinSOC($L$8,$L$9,$L$6,$L$7,$O117,$G$5,$G$6,drivePower($C$4,$M117,$G117,$C$10,$C$11),$I117,$G117,$G$4,$C$8)</f>
        <v>11988.000476360321</v>
      </c>
      <c r="U117" s="12" cm="1">
        <f t="array" ref="U117">maxDepthToMinSOC($L$8,$L$9,P117,Q117,$O117,$G$5,$G$6,drivePower($C$4,$M117,$G117,$C$10,$C$11),$I117,$G117,$G$4,$C$8)</f>
        <v>6141.0002440214157</v>
      </c>
      <c r="V117" s="93">
        <f t="shared" si="19"/>
        <v>9064.5003601908684</v>
      </c>
    </row>
    <row r="118" spans="7:22" x14ac:dyDescent="0.35">
      <c r="G118" s="59">
        <f t="shared" si="1"/>
        <v>0.25</v>
      </c>
      <c r="H118" s="64" cm="1">
        <f t="array" ref="H118">drivePower($C$4,$C$5,G118,$C$10,$C$11)</f>
        <v>19.6038</v>
      </c>
      <c r="I118" s="84">
        <f t="shared" si="21"/>
        <v>24.679160599999999</v>
      </c>
      <c r="J118" s="84">
        <f t="shared" si="22"/>
        <v>44.282960599999996</v>
      </c>
      <c r="K118" s="60">
        <f t="shared" si="10"/>
        <v>222200</v>
      </c>
      <c r="L118" s="59">
        <f t="shared" si="23"/>
        <v>11.88</v>
      </c>
      <c r="M118" s="64">
        <f t="shared" si="20"/>
        <v>23.068000000000001</v>
      </c>
      <c r="N118" s="64" cm="1">
        <f t="array" ref="N118">drivePower($C$4,M118,$C$9,$C$10,$C$11)</f>
        <v>43.915245840000004</v>
      </c>
      <c r="O118" s="86">
        <f t="shared" si="24"/>
        <v>14798.519999999999</v>
      </c>
      <c r="P118" s="90">
        <f t="shared" si="5"/>
        <v>-1.5000000000000001E-4</v>
      </c>
      <c r="Q118" s="91">
        <f t="shared" si="6"/>
        <v>0.82280000000000009</v>
      </c>
      <c r="R118" s="98">
        <v>0.15</v>
      </c>
      <c r="S118" s="95">
        <f t="shared" si="11"/>
        <v>222200</v>
      </c>
      <c r="T118" s="92" cm="1">
        <f t="array" ref="T118">maxDepthToMinSOC($L$8,$L$9,$L$6,$L$7,$O118,$G$5,$G$6,drivePower($C$4,$M118,$G118,$C$10,$C$11),$I118,$G118,$G$4,$C$8)</f>
        <v>12037.650478333235</v>
      </c>
      <c r="U118" s="12" cm="1">
        <f t="array" ref="U118">maxDepthToMinSOC($L$8,$L$9,P118,Q118,$O118,$G$5,$G$6,drivePower($C$4,$M118,$G118,$C$10,$C$11),$I118,$G118,$G$4,$C$8)</f>
        <v>6156.0002446174622</v>
      </c>
      <c r="V118" s="93">
        <f t="shared" si="19"/>
        <v>9096.8253614753485</v>
      </c>
    </row>
    <row r="119" spans="7:22" x14ac:dyDescent="0.35">
      <c r="G119" s="59">
        <f t="shared" si="1"/>
        <v>0.25</v>
      </c>
      <c r="H119" s="64" cm="1">
        <f t="array" ref="H119">drivePower($C$4,$C$5,G119,$C$10,$C$11)</f>
        <v>19.6038</v>
      </c>
      <c r="I119" s="84">
        <f t="shared" si="21"/>
        <v>24.679160599999999</v>
      </c>
      <c r="J119" s="84">
        <f t="shared" si="22"/>
        <v>44.282960599999996</v>
      </c>
      <c r="K119" s="60">
        <f t="shared" si="10"/>
        <v>224400</v>
      </c>
      <c r="L119" s="59">
        <f t="shared" si="23"/>
        <v>12</v>
      </c>
      <c r="M119" s="64">
        <f t="shared" si="20"/>
        <v>23.200000000000003</v>
      </c>
      <c r="N119" s="64" cm="1">
        <f t="array" ref="N119">drivePower($C$4,M119,$C$9,$C$10,$C$11)</f>
        <v>44.160816000000004</v>
      </c>
      <c r="O119" s="86">
        <f t="shared" si="24"/>
        <v>14945.04</v>
      </c>
      <c r="P119" s="90">
        <f t="shared" si="5"/>
        <v>-1.5000000000000001E-4</v>
      </c>
      <c r="Q119" s="91">
        <f t="shared" si="6"/>
        <v>0.82280000000000009</v>
      </c>
      <c r="R119" s="98">
        <v>0.15</v>
      </c>
      <c r="S119" s="95">
        <f t="shared" si="11"/>
        <v>224400</v>
      </c>
      <c r="T119" s="92" cm="1">
        <f t="array" ref="T119">maxDepthToMinSOC($L$8,$L$9,$L$6,$L$7,$O119,$G$5,$G$6,drivePower($C$4,$M119,$G119,$C$10,$C$11),$I119,$G119,$G$4,$C$8)</f>
        <v>12086.850480288267</v>
      </c>
      <c r="U119" s="12" cm="1">
        <f t="array" ref="U119">maxDepthToMinSOC($L$8,$L$9,P119,Q119,$O119,$G$5,$G$6,drivePower($C$4,$M119,$G119,$C$10,$C$11),$I119,$G119,$G$4,$C$8)</f>
        <v>6170.7002452015877</v>
      </c>
      <c r="V119" s="93">
        <f t="shared" si="19"/>
        <v>9128.7753627449274</v>
      </c>
    </row>
    <row r="120" spans="7:22" x14ac:dyDescent="0.35">
      <c r="G120" s="59">
        <f t="shared" si="1"/>
        <v>0.25</v>
      </c>
      <c r="H120" s="64" cm="1">
        <f t="array" ref="H120">drivePower($C$4,$C$5,G120,$C$10,$C$11)</f>
        <v>19.6038</v>
      </c>
      <c r="I120" s="84">
        <f t="shared" si="21"/>
        <v>24.679160599999999</v>
      </c>
      <c r="J120" s="84">
        <f t="shared" si="22"/>
        <v>44.282960599999996</v>
      </c>
      <c r="K120" s="60">
        <f t="shared" si="10"/>
        <v>226600</v>
      </c>
      <c r="L120" s="59">
        <f t="shared" si="23"/>
        <v>12.12</v>
      </c>
      <c r="M120" s="64">
        <f t="shared" si="20"/>
        <v>23.332000000000001</v>
      </c>
      <c r="N120" s="64" cm="1">
        <f t="array" ref="N120">drivePower($C$4,M120,$C$9,$C$10,$C$11)</f>
        <v>44.406386159999997</v>
      </c>
      <c r="O120" s="86">
        <f t="shared" si="24"/>
        <v>15091.56</v>
      </c>
      <c r="P120" s="90">
        <f t="shared" si="5"/>
        <v>-1.5000000000000001E-4</v>
      </c>
      <c r="Q120" s="91">
        <f t="shared" si="6"/>
        <v>0.82280000000000009</v>
      </c>
      <c r="R120" s="98">
        <v>0.15</v>
      </c>
      <c r="S120" s="95">
        <f t="shared" si="11"/>
        <v>226600</v>
      </c>
      <c r="T120" s="92" cm="1">
        <f t="array" ref="T120">maxDepthToMinSOC($L$8,$L$9,$L$6,$L$7,$O120,$G$5,$G$6,drivePower($C$4,$M120,$G120,$C$10,$C$11),$I120,$G120,$G$4,$C$8)</f>
        <v>12135.300482213497</v>
      </c>
      <c r="U120" s="12" cm="1">
        <f t="array" ref="U120">maxDepthToMinSOC($L$8,$L$9,P120,Q120,$O120,$G$5,$G$6,drivePower($C$4,$M120,$G120,$C$10,$C$11),$I120,$G120,$G$4,$C$8)</f>
        <v>6185.2502457797527</v>
      </c>
      <c r="V120" s="93">
        <f t="shared" si="19"/>
        <v>9160.2753639966249</v>
      </c>
    </row>
    <row r="121" spans="7:22" x14ac:dyDescent="0.35">
      <c r="G121" s="59">
        <f t="shared" si="1"/>
        <v>0.25</v>
      </c>
      <c r="H121" s="64" cm="1">
        <f t="array" ref="H121">drivePower($C$4,$C$5,G121,$C$10,$C$11)</f>
        <v>19.6038</v>
      </c>
      <c r="I121" s="84">
        <f t="shared" si="21"/>
        <v>24.679160599999999</v>
      </c>
      <c r="J121" s="84">
        <f t="shared" si="22"/>
        <v>44.282960599999996</v>
      </c>
      <c r="K121" s="60">
        <f t="shared" si="10"/>
        <v>228800</v>
      </c>
      <c r="L121" s="59">
        <f t="shared" si="23"/>
        <v>12.24</v>
      </c>
      <c r="M121" s="64">
        <f t="shared" si="20"/>
        <v>23.464000000000002</v>
      </c>
      <c r="N121" s="64" cm="1">
        <f t="array" ref="N121">drivePower($C$4,M121,$C$9,$C$10,$C$11)</f>
        <v>44.651956320000004</v>
      </c>
      <c r="O121" s="86">
        <f t="shared" si="24"/>
        <v>15238.08</v>
      </c>
      <c r="P121" s="90">
        <f t="shared" si="5"/>
        <v>-1.5000000000000001E-4</v>
      </c>
      <c r="Q121" s="91">
        <f t="shared" si="6"/>
        <v>0.82280000000000009</v>
      </c>
      <c r="R121" s="98">
        <v>0.15</v>
      </c>
      <c r="S121" s="95">
        <f t="shared" si="11"/>
        <v>228800</v>
      </c>
      <c r="T121" s="92" cm="1">
        <f t="array" ref="T121">maxDepthToMinSOC($L$8,$L$9,$L$6,$L$7,$O121,$G$5,$G$6,drivePower($C$4,$M121,$G121,$C$10,$C$11),$I121,$G121,$G$4,$C$8)</f>
        <v>12183.300484120846</v>
      </c>
      <c r="U121" s="12" cm="1">
        <f t="array" ref="U121">maxDepthToMinSOC($L$8,$L$9,P121,Q121,$O121,$G$5,$G$6,drivePower($C$4,$M121,$G121,$C$10,$C$11),$I121,$G121,$G$4,$C$8)</f>
        <v>6199.6502463519573</v>
      </c>
      <c r="V121" s="93">
        <f t="shared" si="19"/>
        <v>9191.4753652364016</v>
      </c>
    </row>
    <row r="122" spans="7:22" x14ac:dyDescent="0.35">
      <c r="G122" s="59">
        <f t="shared" si="1"/>
        <v>0.25</v>
      </c>
      <c r="H122" s="64" cm="1">
        <f t="array" ref="H122">drivePower($C$4,$C$5,G122,$C$10,$C$11)</f>
        <v>19.6038</v>
      </c>
      <c r="I122" s="84">
        <f t="shared" si="21"/>
        <v>24.679160599999999</v>
      </c>
      <c r="J122" s="84">
        <f t="shared" si="22"/>
        <v>44.282960599999996</v>
      </c>
      <c r="K122" s="60">
        <f t="shared" si="10"/>
        <v>231000</v>
      </c>
      <c r="L122" s="59">
        <f t="shared" si="23"/>
        <v>12.36</v>
      </c>
      <c r="M122" s="64">
        <f t="shared" si="20"/>
        <v>23.596</v>
      </c>
      <c r="N122" s="64" cm="1">
        <f t="array" ref="N122">drivePower($C$4,M122,$C$9,$C$10,$C$11)</f>
        <v>44.897526479999996</v>
      </c>
      <c r="O122" s="86">
        <f t="shared" si="24"/>
        <v>15384.6</v>
      </c>
      <c r="P122" s="90">
        <f t="shared" si="5"/>
        <v>-1.5000000000000001E-4</v>
      </c>
      <c r="Q122" s="91">
        <f t="shared" si="6"/>
        <v>0.82280000000000009</v>
      </c>
      <c r="R122" s="98">
        <v>0.15</v>
      </c>
      <c r="S122" s="95">
        <f t="shared" si="11"/>
        <v>231000</v>
      </c>
      <c r="T122" s="92" cm="1">
        <f t="array" ref="T122">maxDepthToMinSOC($L$8,$L$9,$L$6,$L$7,$O122,$G$5,$G$6,drivePower($C$4,$M122,$G122,$C$10,$C$11),$I122,$G122,$G$4,$C$8)</f>
        <v>12230.700486004353</v>
      </c>
      <c r="U122" s="12" cm="1">
        <f t="array" ref="U122">maxDepthToMinSOC($L$8,$L$9,P122,Q122,$O122,$G$5,$G$6,drivePower($C$4,$M122,$G122,$C$10,$C$11),$I122,$G122,$G$4,$C$8)</f>
        <v>6213.750246912241</v>
      </c>
      <c r="V122" s="93">
        <f t="shared" si="19"/>
        <v>9222.2253664582968</v>
      </c>
    </row>
    <row r="123" spans="7:22" x14ac:dyDescent="0.35">
      <c r="G123" s="59">
        <f t="shared" si="1"/>
        <v>0.25</v>
      </c>
      <c r="H123" s="64" cm="1">
        <f t="array" ref="H123">drivePower($C$4,$C$5,G123,$C$10,$C$11)</f>
        <v>19.6038</v>
      </c>
      <c r="I123" s="84">
        <f t="shared" si="21"/>
        <v>24.679160599999999</v>
      </c>
      <c r="J123" s="84">
        <f t="shared" si="22"/>
        <v>44.282960599999996</v>
      </c>
      <c r="K123" s="60">
        <f t="shared" si="10"/>
        <v>233200</v>
      </c>
      <c r="L123" s="59">
        <f t="shared" si="23"/>
        <v>12.48</v>
      </c>
      <c r="M123" s="64">
        <f t="shared" si="20"/>
        <v>23.728000000000002</v>
      </c>
      <c r="N123" s="64" cm="1">
        <f t="array" ref="N123">drivePower($C$4,M123,$C$9,$C$10,$C$11)</f>
        <v>45.143096640000003</v>
      </c>
      <c r="O123" s="86">
        <f t="shared" si="24"/>
        <v>15531.119999999999</v>
      </c>
      <c r="P123" s="90">
        <f t="shared" si="5"/>
        <v>-1.5000000000000001E-4</v>
      </c>
      <c r="Q123" s="91">
        <f t="shared" si="6"/>
        <v>0.82280000000000009</v>
      </c>
      <c r="R123" s="98">
        <v>0.15</v>
      </c>
      <c r="S123" s="95">
        <f t="shared" si="11"/>
        <v>233200</v>
      </c>
      <c r="T123" s="92" cm="1">
        <f t="array" ref="T123">maxDepthToMinSOC($L$8,$L$9,$L$6,$L$7,$O123,$G$5,$G$6,drivePower($C$4,$M123,$G123,$C$10,$C$11),$I123,$G123,$G$4,$C$8)</f>
        <v>12277.650487869978</v>
      </c>
      <c r="U123" s="12" cm="1">
        <f t="array" ref="U123">maxDepthToMinSOC($L$8,$L$9,P123,Q123,$O123,$G$5,$G$6,drivePower($C$4,$M123,$G123,$C$10,$C$11),$I123,$G123,$G$4,$C$8)</f>
        <v>6227.5502474606037</v>
      </c>
      <c r="V123" s="93">
        <f t="shared" si="19"/>
        <v>9252.6003676652908</v>
      </c>
    </row>
    <row r="124" spans="7:22" x14ac:dyDescent="0.35">
      <c r="G124" s="59">
        <f t="shared" si="1"/>
        <v>0.25</v>
      </c>
      <c r="H124" s="64" cm="1">
        <f t="array" ref="H124">drivePower($C$4,$C$5,G124,$C$10,$C$11)</f>
        <v>19.6038</v>
      </c>
      <c r="I124" s="84">
        <f t="shared" si="21"/>
        <v>24.679160599999999</v>
      </c>
      <c r="J124" s="84">
        <f t="shared" si="22"/>
        <v>44.282960599999996</v>
      </c>
      <c r="K124" s="60">
        <f t="shared" si="10"/>
        <v>235400</v>
      </c>
      <c r="L124" s="59">
        <f t="shared" si="23"/>
        <v>12.6</v>
      </c>
      <c r="M124" s="64">
        <f t="shared" si="20"/>
        <v>23.86</v>
      </c>
      <c r="N124" s="64" cm="1">
        <f t="array" ref="N124">drivePower($C$4,M124,$C$9,$C$10,$C$11)</f>
        <v>45.388666799999996</v>
      </c>
      <c r="O124" s="86">
        <f t="shared" si="24"/>
        <v>15677.640000000001</v>
      </c>
      <c r="P124" s="90">
        <f t="shared" si="5"/>
        <v>-1.5000000000000001E-4</v>
      </c>
      <c r="Q124" s="91">
        <f t="shared" si="6"/>
        <v>0.82280000000000009</v>
      </c>
      <c r="R124" s="98">
        <v>0.15</v>
      </c>
      <c r="S124" s="95">
        <f t="shared" si="11"/>
        <v>235400</v>
      </c>
      <c r="T124" s="92" cm="1">
        <f t="array" ref="T124">maxDepthToMinSOC($L$8,$L$9,$L$6,$L$7,$O124,$G$5,$G$6,drivePower($C$4,$M124,$G124,$C$10,$C$11),$I124,$G124,$G$4,$C$8)</f>
        <v>12324.000489711761</v>
      </c>
      <c r="U124" s="12" cm="1">
        <f t="array" ref="U124">maxDepthToMinSOC($L$8,$L$9,P124,Q124,$O124,$G$5,$G$6,drivePower($C$4,$M124,$G124,$C$10,$C$11),$I124,$G124,$G$4,$C$8)</f>
        <v>6241.3502480089664</v>
      </c>
      <c r="V124" s="93">
        <f t="shared" si="19"/>
        <v>9282.675368860364</v>
      </c>
    </row>
    <row r="125" spans="7:22" x14ac:dyDescent="0.35">
      <c r="G125" s="59">
        <f t="shared" si="1"/>
        <v>0.25</v>
      </c>
      <c r="H125" s="64" cm="1">
        <f t="array" ref="H125">drivePower($C$4,$C$5,G125,$C$10,$C$11)</f>
        <v>19.6038</v>
      </c>
      <c r="I125" s="84">
        <f t="shared" si="21"/>
        <v>24.679160599999999</v>
      </c>
      <c r="J125" s="84">
        <f t="shared" si="22"/>
        <v>44.282960599999996</v>
      </c>
      <c r="K125" s="60">
        <f t="shared" si="10"/>
        <v>237600</v>
      </c>
      <c r="L125" s="59">
        <f t="shared" si="23"/>
        <v>12.72</v>
      </c>
      <c r="M125" s="64">
        <f t="shared" si="20"/>
        <v>23.992000000000004</v>
      </c>
      <c r="N125" s="64" cm="1">
        <f t="array" ref="N125">drivePower($C$4,M125,$C$9,$C$10,$C$11)</f>
        <v>45.63423696000001</v>
      </c>
      <c r="O125" s="86">
        <f t="shared" si="24"/>
        <v>15824.16</v>
      </c>
      <c r="P125" s="90">
        <f t="shared" si="5"/>
        <v>-1.5000000000000001E-4</v>
      </c>
      <c r="Q125" s="91">
        <f t="shared" si="6"/>
        <v>0.82280000000000009</v>
      </c>
      <c r="R125" s="98">
        <v>0.15</v>
      </c>
      <c r="S125" s="95">
        <f t="shared" si="11"/>
        <v>237600</v>
      </c>
      <c r="T125" s="92" cm="1">
        <f t="array" ref="T125">maxDepthToMinSOC($L$8,$L$9,$L$6,$L$7,$O125,$G$5,$G$6,drivePower($C$4,$M125,$G125,$C$10,$C$11),$I125,$G125,$G$4,$C$8)</f>
        <v>12369.750491529703</v>
      </c>
      <c r="U125" s="12" cm="1">
        <f t="array" ref="U125">maxDepthToMinSOC($L$8,$L$9,P125,Q125,$O125,$G$5,$G$6,drivePower($C$4,$M125,$G125,$C$10,$C$11),$I125,$G125,$G$4,$C$8)</f>
        <v>6254.8502485454082</v>
      </c>
      <c r="V125" s="93">
        <f t="shared" si="19"/>
        <v>9312.3003700375557</v>
      </c>
    </row>
    <row r="126" spans="7:22" x14ac:dyDescent="0.35">
      <c r="G126" s="59">
        <f t="shared" si="1"/>
        <v>0.25</v>
      </c>
      <c r="H126" s="64" cm="1">
        <f t="array" ref="H126">drivePower($C$4,$C$5,G126,$C$10,$C$11)</f>
        <v>19.6038</v>
      </c>
      <c r="I126" s="84">
        <f t="shared" si="21"/>
        <v>24.679160599999999</v>
      </c>
      <c r="J126" s="84">
        <f t="shared" si="22"/>
        <v>44.282960599999996</v>
      </c>
      <c r="K126" s="60">
        <f t="shared" si="10"/>
        <v>239800</v>
      </c>
      <c r="L126" s="59">
        <f t="shared" si="23"/>
        <v>12.84</v>
      </c>
      <c r="M126" s="64">
        <f t="shared" si="20"/>
        <v>24.124000000000002</v>
      </c>
      <c r="N126" s="64" cm="1">
        <f t="array" ref="N126">drivePower($C$4,M126,$C$9,$C$10,$C$11)</f>
        <v>45.879807120000002</v>
      </c>
      <c r="O126" s="86">
        <f t="shared" si="24"/>
        <v>15970.68</v>
      </c>
      <c r="P126" s="90">
        <f t="shared" si="5"/>
        <v>-1.5000000000000001E-4</v>
      </c>
      <c r="Q126" s="91">
        <f t="shared" si="6"/>
        <v>0.82280000000000009</v>
      </c>
      <c r="R126" s="98">
        <v>0.15</v>
      </c>
      <c r="S126" s="95">
        <f t="shared" si="11"/>
        <v>239800</v>
      </c>
      <c r="T126" s="92" cm="1">
        <f t="array" ref="T126">maxDepthToMinSOC($L$8,$L$9,$L$6,$L$7,$O126,$G$5,$G$6,drivePower($C$4,$M126,$G126,$C$10,$C$11),$I126,$G126,$G$4,$C$8)</f>
        <v>12415.050493329763</v>
      </c>
      <c r="U126" s="12" cm="1">
        <f t="array" ref="U126">maxDepthToMinSOC($L$8,$L$9,P126,Q126,$O126,$G$5,$G$6,drivePower($C$4,$M126,$G126,$C$10,$C$11),$I126,$G126,$G$4,$C$8)</f>
        <v>6268.2002490758896</v>
      </c>
      <c r="V126" s="93">
        <f t="shared" si="19"/>
        <v>9341.6253712028265</v>
      </c>
    </row>
    <row r="127" spans="7:22" x14ac:dyDescent="0.35">
      <c r="G127" s="59">
        <f t="shared" si="1"/>
        <v>0.25</v>
      </c>
      <c r="H127" s="64" cm="1">
        <f t="array" ref="H127">drivePower($C$4,$C$5,G127,$C$10,$C$11)</f>
        <v>19.6038</v>
      </c>
      <c r="I127" s="84">
        <f t="shared" si="21"/>
        <v>24.679160599999999</v>
      </c>
      <c r="J127" s="84">
        <f t="shared" si="22"/>
        <v>44.282960599999996</v>
      </c>
      <c r="K127" s="60">
        <f t="shared" si="10"/>
        <v>242000</v>
      </c>
      <c r="L127" s="59">
        <f t="shared" si="23"/>
        <v>12.96</v>
      </c>
      <c r="M127" s="64">
        <f t="shared" si="20"/>
        <v>24.256</v>
      </c>
      <c r="N127" s="64" cm="1">
        <f t="array" ref="N127">drivePower($C$4,M127,$C$9,$C$10,$C$11)</f>
        <v>46.125377279999995</v>
      </c>
      <c r="O127" s="86">
        <f t="shared" si="24"/>
        <v>16117.2</v>
      </c>
      <c r="P127" s="90">
        <f t="shared" si="5"/>
        <v>-1.5000000000000001E-4</v>
      </c>
      <c r="Q127" s="91">
        <f t="shared" si="6"/>
        <v>0.82280000000000009</v>
      </c>
      <c r="R127" s="98">
        <v>0.15</v>
      </c>
      <c r="S127" s="95">
        <f t="shared" si="11"/>
        <v>242000</v>
      </c>
      <c r="T127" s="92" cm="1">
        <f t="array" ref="T127">maxDepthToMinSOC($L$8,$L$9,$L$6,$L$7,$O127,$G$5,$G$6,drivePower($C$4,$M127,$G127,$C$10,$C$11),$I127,$G127,$G$4,$C$8)</f>
        <v>12459.900495111942</v>
      </c>
      <c r="U127" s="12" cm="1">
        <f t="array" ref="U127">maxDepthToMinSOC($L$8,$L$9,P127,Q127,$O127,$G$5,$G$6,drivePower($C$4,$M127,$G127,$C$10,$C$11),$I127,$G127,$G$4,$C$8)</f>
        <v>6281.25024959445</v>
      </c>
      <c r="V127" s="93">
        <f t="shared" si="19"/>
        <v>9370.5753723531961</v>
      </c>
    </row>
    <row r="128" spans="7:22" x14ac:dyDescent="0.35">
      <c r="G128" s="59">
        <f t="shared" si="1"/>
        <v>0.25</v>
      </c>
      <c r="H128" s="64" cm="1">
        <f t="array" ref="H128">drivePower($C$4,$C$5,G128,$C$10,$C$11)</f>
        <v>19.6038</v>
      </c>
      <c r="I128" s="84">
        <f t="shared" si="21"/>
        <v>24.679160599999999</v>
      </c>
      <c r="J128" s="84">
        <f t="shared" si="22"/>
        <v>44.282960599999996</v>
      </c>
      <c r="K128" s="60">
        <f t="shared" si="10"/>
        <v>244200</v>
      </c>
      <c r="L128" s="59">
        <f t="shared" si="23"/>
        <v>13.08</v>
      </c>
      <c r="M128" s="64">
        <f t="shared" si="20"/>
        <v>24.388000000000002</v>
      </c>
      <c r="N128" s="64" cm="1">
        <f t="array" ref="N128">drivePower($C$4,M128,$C$9,$C$10,$C$11)</f>
        <v>46.370947440000002</v>
      </c>
      <c r="O128" s="86">
        <f t="shared" si="24"/>
        <v>16263.72</v>
      </c>
      <c r="P128" s="90">
        <f t="shared" si="5"/>
        <v>-1.5000000000000001E-4</v>
      </c>
      <c r="Q128" s="91">
        <f t="shared" si="6"/>
        <v>0.82280000000000009</v>
      </c>
      <c r="R128" s="98">
        <v>0.15</v>
      </c>
      <c r="S128" s="95">
        <f t="shared" si="11"/>
        <v>244200</v>
      </c>
      <c r="T128" s="92" cm="1">
        <f t="array" ref="T128">maxDepthToMinSOC($L$8,$L$9,$L$6,$L$7,$O128,$G$5,$G$6,drivePower($C$4,$M128,$G128,$C$10,$C$11),$I128,$G128,$G$4,$C$8)</f>
        <v>12504.30049687624</v>
      </c>
      <c r="U128" s="12" cm="1">
        <f t="array" ref="U128">maxDepthToMinSOC($L$8,$L$9,P128,Q128,$O128,$G$5,$G$6,drivePower($C$4,$M128,$G128,$C$10,$C$11),$I128,$G128,$G$4,$C$8)</f>
        <v>6294.3002501130104</v>
      </c>
      <c r="V128" s="93">
        <f t="shared" si="19"/>
        <v>9399.3003734946251</v>
      </c>
    </row>
    <row r="129" spans="7:22" x14ac:dyDescent="0.35">
      <c r="G129" s="59">
        <f t="shared" si="1"/>
        <v>0.25</v>
      </c>
      <c r="H129" s="64" cm="1">
        <f t="array" ref="H129">drivePower($C$4,$C$5,G129,$C$10,$C$11)</f>
        <v>19.6038</v>
      </c>
      <c r="I129" s="84">
        <f t="shared" si="21"/>
        <v>24.679160599999999</v>
      </c>
      <c r="J129" s="84">
        <f t="shared" si="22"/>
        <v>44.282960599999996</v>
      </c>
      <c r="K129" s="60">
        <f t="shared" si="10"/>
        <v>246400</v>
      </c>
      <c r="L129" s="59">
        <f t="shared" si="23"/>
        <v>13.2</v>
      </c>
      <c r="M129" s="64">
        <f t="shared" si="20"/>
        <v>24.52</v>
      </c>
      <c r="N129" s="64" cm="1">
        <f t="array" ref="N129">drivePower($C$4,M129,$C$9,$C$10,$C$11)</f>
        <v>46.616517599999995</v>
      </c>
      <c r="O129" s="86">
        <f t="shared" si="24"/>
        <v>16410.239999999998</v>
      </c>
      <c r="P129" s="90">
        <f t="shared" si="5"/>
        <v>-1.5000000000000001E-4</v>
      </c>
      <c r="Q129" s="91">
        <f t="shared" si="6"/>
        <v>0.82280000000000009</v>
      </c>
      <c r="R129" s="98">
        <v>0.15</v>
      </c>
      <c r="S129" s="95">
        <f t="shared" si="11"/>
        <v>246400</v>
      </c>
      <c r="T129" s="92" cm="1">
        <f t="array" ref="T129">maxDepthToMinSOC($L$8,$L$9,$L$6,$L$7,$O129,$G$5,$G$6,drivePower($C$4,$M129,$G129,$C$10,$C$11),$I129,$G129,$G$4,$C$8)</f>
        <v>12548.100498616695</v>
      </c>
      <c r="U129" s="12" cm="1">
        <f t="array" ref="U129">maxDepthToMinSOC($L$8,$L$9,P129,Q129,$O129,$G$5,$G$6,drivePower($C$4,$M129,$G129,$C$10,$C$11),$I129,$G129,$G$4,$C$8)</f>
        <v>6307.0502506196499</v>
      </c>
      <c r="V129" s="93">
        <f t="shared" si="19"/>
        <v>9427.5753746181726</v>
      </c>
    </row>
    <row r="130" spans="7:22" x14ac:dyDescent="0.35">
      <c r="G130" s="59">
        <f t="shared" si="1"/>
        <v>0.25</v>
      </c>
      <c r="H130" s="64" cm="1">
        <f t="array" ref="H130">drivePower($C$4,$C$5,G130,$C$10,$C$11)</f>
        <v>19.6038</v>
      </c>
      <c r="I130" s="84">
        <f t="shared" si="21"/>
        <v>24.679160599999999</v>
      </c>
      <c r="J130" s="84">
        <f t="shared" si="22"/>
        <v>44.282960599999996</v>
      </c>
      <c r="K130" s="60">
        <f t="shared" si="10"/>
        <v>248600</v>
      </c>
      <c r="L130" s="59">
        <f t="shared" si="23"/>
        <v>13.32</v>
      </c>
      <c r="M130" s="64">
        <f t="shared" si="20"/>
        <v>24.652000000000001</v>
      </c>
      <c r="N130" s="64" cm="1">
        <f t="array" ref="N130">drivePower($C$4,M130,$C$9,$C$10,$C$11)</f>
        <v>46.862087760000001</v>
      </c>
      <c r="O130" s="86">
        <f t="shared" si="24"/>
        <v>16556.760000000002</v>
      </c>
      <c r="P130" s="90">
        <f t="shared" si="5"/>
        <v>-1.5000000000000001E-4</v>
      </c>
      <c r="Q130" s="91">
        <f t="shared" si="6"/>
        <v>0.82280000000000009</v>
      </c>
      <c r="R130" s="98">
        <v>0.15</v>
      </c>
      <c r="S130" s="95">
        <f t="shared" si="11"/>
        <v>248600</v>
      </c>
      <c r="T130" s="92" cm="1">
        <f t="array" ref="T130">maxDepthToMinSOC($L$8,$L$9,$L$6,$L$7,$O130,$G$5,$G$6,drivePower($C$4,$M130,$G130,$C$10,$C$11),$I130,$G130,$G$4,$C$8)</f>
        <v>12591.45050033927</v>
      </c>
      <c r="U130" s="12" cm="1">
        <f t="array" ref="U130">maxDepthToMinSOC($L$8,$L$9,P130,Q130,$O130,$G$5,$G$6,drivePower($C$4,$M130,$G130,$C$10,$C$11),$I130,$G130,$G$4,$C$8)</f>
        <v>6319.6502511203289</v>
      </c>
      <c r="V130" s="93">
        <f t="shared" si="19"/>
        <v>9455.5503757297993</v>
      </c>
    </row>
    <row r="131" spans="7:22" x14ac:dyDescent="0.35">
      <c r="G131" s="59">
        <f t="shared" si="1"/>
        <v>0.25</v>
      </c>
      <c r="H131" s="64" cm="1">
        <f t="array" ref="H131">drivePower($C$4,$C$5,G131,$C$10,$C$11)</f>
        <v>19.6038</v>
      </c>
      <c r="I131" s="84">
        <f t="shared" si="21"/>
        <v>24.679160599999999</v>
      </c>
      <c r="J131" s="84">
        <f t="shared" si="22"/>
        <v>44.282960599999996</v>
      </c>
      <c r="K131" s="60">
        <f t="shared" si="10"/>
        <v>250800</v>
      </c>
      <c r="L131" s="59">
        <f t="shared" si="23"/>
        <v>13.44</v>
      </c>
      <c r="M131" s="64">
        <f t="shared" si="20"/>
        <v>24.783999999999999</v>
      </c>
      <c r="N131" s="64" cm="1">
        <f t="array" ref="N131">drivePower($C$4,M131,$C$9,$C$10,$C$11)</f>
        <v>47.107657919999994</v>
      </c>
      <c r="O131" s="86">
        <f t="shared" si="24"/>
        <v>16703.28</v>
      </c>
      <c r="P131" s="90">
        <f t="shared" si="5"/>
        <v>-1.5000000000000001E-4</v>
      </c>
      <c r="Q131" s="91">
        <f t="shared" si="6"/>
        <v>0.82280000000000009</v>
      </c>
      <c r="R131" s="98">
        <v>0.15</v>
      </c>
      <c r="S131" s="95">
        <f t="shared" si="11"/>
        <v>250800</v>
      </c>
      <c r="T131" s="92" cm="1">
        <f t="array" ref="T131">maxDepthToMinSOC($L$8,$L$9,$L$6,$L$7,$O131,$G$5,$G$6,drivePower($C$4,$M131,$G131,$C$10,$C$11),$I131,$G131,$G$4,$C$8)</f>
        <v>12634.350502043962</v>
      </c>
      <c r="U131" s="12" cm="1">
        <f t="array" ref="U131">maxDepthToMinSOC($L$8,$L$9,P131,Q131,$O131,$G$5,$G$6,drivePower($C$4,$M131,$G131,$C$10,$C$11),$I131,$G131,$G$4,$C$8)</f>
        <v>6332.1002516150475</v>
      </c>
      <c r="V131" s="93">
        <f t="shared" si="19"/>
        <v>9483.225376829505</v>
      </c>
    </row>
    <row r="132" spans="7:22" x14ac:dyDescent="0.35">
      <c r="G132" s="59">
        <f t="shared" si="1"/>
        <v>0.25</v>
      </c>
      <c r="H132" s="64" cm="1">
        <f t="array" ref="H132">drivePower($C$4,$C$5,G132,$C$10,$C$11)</f>
        <v>19.6038</v>
      </c>
      <c r="I132" s="84">
        <f t="shared" si="21"/>
        <v>24.679160599999999</v>
      </c>
      <c r="J132" s="84">
        <f t="shared" si="22"/>
        <v>44.282960599999996</v>
      </c>
      <c r="K132" s="60">
        <f t="shared" si="10"/>
        <v>253000</v>
      </c>
      <c r="L132" s="59">
        <f t="shared" si="23"/>
        <v>13.56</v>
      </c>
      <c r="M132" s="64">
        <f t="shared" si="20"/>
        <v>24.916000000000004</v>
      </c>
      <c r="N132" s="64" cm="1">
        <f t="array" ref="N132">drivePower($C$4,M132,$C$9,$C$10,$C$11)</f>
        <v>47.353228080000008</v>
      </c>
      <c r="O132" s="86">
        <f t="shared" si="24"/>
        <v>16849.8</v>
      </c>
      <c r="P132" s="90">
        <f t="shared" si="5"/>
        <v>-1.5000000000000001E-4</v>
      </c>
      <c r="Q132" s="91">
        <f t="shared" si="6"/>
        <v>0.82280000000000009</v>
      </c>
      <c r="R132" s="98">
        <v>0.15</v>
      </c>
      <c r="S132" s="95">
        <f t="shared" si="11"/>
        <v>253000</v>
      </c>
      <c r="T132" s="92" cm="1">
        <f t="array" ref="T132">maxDepthToMinSOC($L$8,$L$9,$L$6,$L$7,$O132,$G$5,$G$6,drivePower($C$4,$M132,$G132,$C$10,$C$11),$I132,$G132,$G$4,$C$8)</f>
        <v>12676.800503730774</v>
      </c>
      <c r="U132" s="12" cm="1">
        <f t="array" ref="U132">maxDepthToMinSOC($L$8,$L$9,P132,Q132,$O132,$G$5,$G$6,drivePower($C$4,$M132,$G132,$C$10,$C$11),$I132,$G132,$G$4,$C$8)</f>
        <v>6344.2502520978451</v>
      </c>
      <c r="V132" s="93">
        <f t="shared" si="19"/>
        <v>9510.5253779143095</v>
      </c>
    </row>
    <row r="133" spans="7:22" x14ac:dyDescent="0.35">
      <c r="G133" s="59">
        <f t="shared" si="1"/>
        <v>0.25</v>
      </c>
      <c r="H133" s="64" cm="1">
        <f t="array" ref="H133">drivePower($C$4,$C$5,G133,$C$10,$C$11)</f>
        <v>19.6038</v>
      </c>
      <c r="I133" s="84">
        <f t="shared" si="21"/>
        <v>24.679160599999999</v>
      </c>
      <c r="J133" s="84">
        <f t="shared" si="22"/>
        <v>44.282960599999996</v>
      </c>
      <c r="K133" s="60">
        <f t="shared" si="10"/>
        <v>255200</v>
      </c>
      <c r="L133" s="59">
        <f t="shared" si="23"/>
        <v>13.68</v>
      </c>
      <c r="M133" s="64">
        <f t="shared" si="20"/>
        <v>25.048000000000002</v>
      </c>
      <c r="N133" s="64" cm="1">
        <f t="array" ref="N133">drivePower($C$4,M133,$C$9,$C$10,$C$11)</f>
        <v>47.598798240000001</v>
      </c>
      <c r="O133" s="86">
        <f t="shared" si="24"/>
        <v>16996.32</v>
      </c>
      <c r="P133" s="90">
        <f t="shared" si="5"/>
        <v>-1.5000000000000001E-4</v>
      </c>
      <c r="Q133" s="91">
        <f t="shared" si="6"/>
        <v>0.82280000000000009</v>
      </c>
      <c r="R133" s="98">
        <v>0.15</v>
      </c>
      <c r="S133" s="95">
        <f t="shared" si="11"/>
        <v>255200</v>
      </c>
      <c r="T133" s="92" cm="1">
        <f t="array" ref="T133">maxDepthToMinSOC($L$8,$L$9,$L$6,$L$7,$O133,$G$5,$G$6,drivePower($C$4,$M133,$G133,$C$10,$C$11),$I133,$G133,$G$4,$C$8)</f>
        <v>12718.650505393744</v>
      </c>
      <c r="U133" s="12" cm="1">
        <f t="array" ref="U133">maxDepthToMinSOC($L$8,$L$9,P133,Q133,$O133,$G$5,$G$6,drivePower($C$4,$M133,$G133,$C$10,$C$11),$I133,$G133,$G$4,$C$8)</f>
        <v>6356.4002525806427</v>
      </c>
      <c r="V133" s="93">
        <f t="shared" si="19"/>
        <v>9537.5253789871931</v>
      </c>
    </row>
    <row r="134" spans="7:22" x14ac:dyDescent="0.35">
      <c r="G134" s="59">
        <f t="shared" si="1"/>
        <v>0.25</v>
      </c>
      <c r="H134" s="64" cm="1">
        <f t="array" ref="H134">drivePower($C$4,$C$5,G134,$C$10,$C$11)</f>
        <v>19.6038</v>
      </c>
      <c r="I134" s="84">
        <f t="shared" si="21"/>
        <v>24.679160599999999</v>
      </c>
      <c r="J134" s="84">
        <f t="shared" si="22"/>
        <v>44.282960599999996</v>
      </c>
      <c r="K134" s="60">
        <f t="shared" si="10"/>
        <v>257400</v>
      </c>
      <c r="L134" s="59">
        <f t="shared" si="23"/>
        <v>13.8</v>
      </c>
      <c r="M134" s="64">
        <f t="shared" si="20"/>
        <v>25.18</v>
      </c>
      <c r="N134" s="64" cm="1">
        <f t="array" ref="N134">drivePower($C$4,M134,$C$9,$C$10,$C$11)</f>
        <v>47.8443684</v>
      </c>
      <c r="O134" s="86">
        <f t="shared" si="24"/>
        <v>17142.84</v>
      </c>
      <c r="P134" s="90">
        <f t="shared" si="5"/>
        <v>-1.5000000000000001E-4</v>
      </c>
      <c r="Q134" s="91">
        <f t="shared" si="6"/>
        <v>0.82280000000000009</v>
      </c>
      <c r="R134" s="98">
        <v>0.15</v>
      </c>
      <c r="S134" s="95">
        <f t="shared" si="11"/>
        <v>257400</v>
      </c>
      <c r="T134" s="92" cm="1">
        <f t="array" ref="T134">maxDepthToMinSOC($L$8,$L$9,$L$6,$L$7,$O134,$G$5,$G$6,drivePower($C$4,$M134,$G134,$C$10,$C$11),$I134,$G134,$G$4,$C$8)</f>
        <v>12760.200507044792</v>
      </c>
      <c r="U134" s="12" cm="1">
        <f t="array" ref="U134">maxDepthToMinSOC($L$8,$L$9,P134,Q134,$O134,$G$5,$G$6,drivePower($C$4,$M134,$G134,$C$10,$C$11),$I134,$G134,$G$4,$C$8)</f>
        <v>6368.2502530515194</v>
      </c>
      <c r="V134" s="93">
        <f t="shared" si="19"/>
        <v>9564.2253800481558</v>
      </c>
    </row>
    <row r="135" spans="7:22" x14ac:dyDescent="0.35">
      <c r="G135" s="59">
        <f t="shared" si="1"/>
        <v>0.25</v>
      </c>
      <c r="H135" s="64" cm="1">
        <f t="array" ref="H135">drivePower($C$4,$C$5,G135,$C$10,$C$11)</f>
        <v>19.6038</v>
      </c>
      <c r="I135" s="84">
        <f t="shared" si="21"/>
        <v>24.679160599999999</v>
      </c>
      <c r="J135" s="84">
        <f t="shared" si="22"/>
        <v>44.282960599999996</v>
      </c>
      <c r="K135" s="60">
        <f t="shared" si="10"/>
        <v>259600</v>
      </c>
      <c r="L135" s="59">
        <f t="shared" si="23"/>
        <v>13.92</v>
      </c>
      <c r="M135" s="64">
        <f t="shared" si="20"/>
        <v>25.312000000000001</v>
      </c>
      <c r="N135" s="64" cm="1">
        <f t="array" ref="N135">drivePower($C$4,M135,$C$9,$C$10,$C$11)</f>
        <v>48.08993856</v>
      </c>
      <c r="O135" s="86">
        <f t="shared" si="24"/>
        <v>17289.36</v>
      </c>
      <c r="P135" s="90">
        <f t="shared" si="5"/>
        <v>-1.5000000000000001E-4</v>
      </c>
      <c r="Q135" s="91">
        <f t="shared" si="6"/>
        <v>0.82280000000000009</v>
      </c>
      <c r="R135" s="98">
        <v>0.15</v>
      </c>
      <c r="S135" s="95">
        <f t="shared" si="11"/>
        <v>259600</v>
      </c>
      <c r="T135" s="92" cm="1">
        <f t="array" ref="T135">maxDepthToMinSOC($L$8,$L$9,$L$6,$L$7,$O135,$G$5,$G$6,drivePower($C$4,$M135,$G135,$C$10,$C$11),$I135,$G135,$G$4,$C$8)</f>
        <v>12801.300508677959</v>
      </c>
      <c r="U135" s="12" cm="1">
        <f t="array" ref="U135">maxDepthToMinSOC($L$8,$L$9,P135,Q135,$O135,$G$5,$G$6,drivePower($C$4,$M135,$G135,$C$10,$C$11),$I135,$G135,$G$4,$C$8)</f>
        <v>6380.1002535223961</v>
      </c>
      <c r="V135" s="93">
        <f t="shared" si="19"/>
        <v>9590.7003811001778</v>
      </c>
    </row>
    <row r="136" spans="7:22" x14ac:dyDescent="0.35">
      <c r="G136" s="59">
        <f t="shared" si="1"/>
        <v>0.25</v>
      </c>
      <c r="H136" s="64" cm="1">
        <f t="array" ref="H136">drivePower($C$4,$C$5,G136,$C$10,$C$11)</f>
        <v>19.6038</v>
      </c>
      <c r="I136" s="84">
        <f t="shared" si="21"/>
        <v>24.679160599999999</v>
      </c>
      <c r="J136" s="84">
        <f t="shared" si="22"/>
        <v>44.282960599999996</v>
      </c>
      <c r="K136" s="60">
        <f t="shared" si="10"/>
        <v>261800</v>
      </c>
      <c r="L136" s="59">
        <f t="shared" si="23"/>
        <v>14.04</v>
      </c>
      <c r="M136" s="64">
        <f t="shared" si="20"/>
        <v>25.444000000000003</v>
      </c>
      <c r="N136" s="64" cm="1">
        <f t="array" ref="N136">drivePower($C$4,M136,$C$9,$C$10,$C$11)</f>
        <v>48.33550872</v>
      </c>
      <c r="O136" s="86">
        <f t="shared" si="24"/>
        <v>17435.88</v>
      </c>
      <c r="P136" s="90">
        <f t="shared" si="5"/>
        <v>-1.5000000000000001E-4</v>
      </c>
      <c r="Q136" s="91">
        <f t="shared" si="6"/>
        <v>0.82280000000000009</v>
      </c>
      <c r="R136" s="98">
        <v>0.15</v>
      </c>
      <c r="S136" s="95">
        <f t="shared" si="11"/>
        <v>261800</v>
      </c>
      <c r="T136" s="92" cm="1">
        <f t="array" ref="T136">maxDepthToMinSOC($L$8,$L$9,$L$6,$L$7,$O136,$G$5,$G$6,drivePower($C$4,$M136,$G136,$C$10,$C$11),$I136,$G136,$G$4,$C$8)</f>
        <v>12841.950510293245</v>
      </c>
      <c r="U136" s="12" cm="1">
        <f t="array" ref="U136">maxDepthToMinSOC($L$8,$L$9,P136,Q136,$O136,$G$5,$G$6,drivePower($C$4,$M136,$G136,$C$10,$C$11),$I136,$G136,$G$4,$C$8)</f>
        <v>6391.6502539813519</v>
      </c>
      <c r="V136" s="93">
        <f t="shared" si="19"/>
        <v>9616.8003821372986</v>
      </c>
    </row>
    <row r="137" spans="7:22" x14ac:dyDescent="0.35">
      <c r="G137" s="59">
        <f t="shared" si="1"/>
        <v>0.25</v>
      </c>
      <c r="H137" s="64" cm="1">
        <f t="array" ref="H137">drivePower($C$4,$C$5,G137,$C$10,$C$11)</f>
        <v>19.6038</v>
      </c>
      <c r="I137" s="84">
        <f t="shared" si="21"/>
        <v>24.679160599999999</v>
      </c>
      <c r="J137" s="84">
        <f t="shared" si="22"/>
        <v>44.282960599999996</v>
      </c>
      <c r="K137" s="60">
        <f t="shared" si="10"/>
        <v>264000</v>
      </c>
      <c r="L137" s="59">
        <f t="shared" si="23"/>
        <v>14.16</v>
      </c>
      <c r="M137" s="64">
        <f t="shared" si="20"/>
        <v>25.576000000000001</v>
      </c>
      <c r="N137" s="64" cm="1">
        <f t="array" ref="N137">drivePower($C$4,M137,$C$9,$C$10,$C$11)</f>
        <v>48.58107888</v>
      </c>
      <c r="O137" s="86">
        <f t="shared" si="24"/>
        <v>17582.399999999998</v>
      </c>
      <c r="P137" s="90">
        <f t="shared" si="5"/>
        <v>-1.5000000000000001E-4</v>
      </c>
      <c r="Q137" s="91">
        <f t="shared" si="6"/>
        <v>0.82280000000000009</v>
      </c>
      <c r="R137" s="98">
        <v>0.15</v>
      </c>
      <c r="S137" s="95">
        <f t="shared" si="11"/>
        <v>264000</v>
      </c>
      <c r="T137" s="92" cm="1">
        <f t="array" ref="T137">maxDepthToMinSOC($L$8,$L$9,$L$6,$L$7,$O137,$G$5,$G$6,drivePower($C$4,$M137,$G137,$C$10,$C$11),$I137,$G137,$G$4,$C$8)</f>
        <v>12882.15051189065</v>
      </c>
      <c r="U137" s="12" cm="1">
        <f t="array" ref="U137">maxDepthToMinSOC($L$8,$L$9,P137,Q137,$O137,$G$5,$G$6,drivePower($C$4,$M137,$G137,$C$10,$C$11),$I137,$G137,$G$4,$C$8)</f>
        <v>6403.2002544403076</v>
      </c>
      <c r="V137" s="93">
        <f t="shared" si="19"/>
        <v>9642.6753831654787</v>
      </c>
    </row>
    <row r="138" spans="7:22" x14ac:dyDescent="0.35">
      <c r="G138" s="59">
        <f t="shared" si="1"/>
        <v>0.25</v>
      </c>
      <c r="H138" s="64" cm="1">
        <f t="array" ref="H138">drivePower($C$4,$C$5,G138,$C$10,$C$11)</f>
        <v>19.6038</v>
      </c>
      <c r="I138" s="84">
        <f t="shared" si="21"/>
        <v>24.679160599999999</v>
      </c>
      <c r="J138" s="84">
        <f t="shared" si="22"/>
        <v>44.282960599999996</v>
      </c>
      <c r="K138" s="60">
        <f t="shared" si="10"/>
        <v>266200</v>
      </c>
      <c r="L138" s="59">
        <f t="shared" si="23"/>
        <v>14.28</v>
      </c>
      <c r="M138" s="64">
        <f t="shared" si="20"/>
        <v>25.707999999999998</v>
      </c>
      <c r="N138" s="64" cm="1">
        <f t="array" ref="N138">drivePower($C$4,M138,$C$9,$C$10,$C$11)</f>
        <v>48.826649039999992</v>
      </c>
      <c r="O138" s="86">
        <f t="shared" si="24"/>
        <v>17728.920000000002</v>
      </c>
      <c r="P138" s="90">
        <f t="shared" si="5"/>
        <v>-1.5000000000000001E-4</v>
      </c>
      <c r="Q138" s="91">
        <f t="shared" si="6"/>
        <v>0.82280000000000009</v>
      </c>
      <c r="R138" s="98">
        <v>0.15</v>
      </c>
      <c r="S138" s="95">
        <f t="shared" si="11"/>
        <v>266200</v>
      </c>
      <c r="T138" s="92" cm="1">
        <f t="array" ref="T138">maxDepthToMinSOC($L$8,$L$9,$L$6,$L$7,$O138,$G$5,$G$6,drivePower($C$4,$M138,$G138,$C$10,$C$11),$I138,$G138,$G$4,$C$8)</f>
        <v>12921.900513470173</v>
      </c>
      <c r="U138" s="12" cm="1">
        <f t="array" ref="U138">maxDepthToMinSOC($L$8,$L$9,P138,Q138,$O138,$G$5,$G$6,drivePower($C$4,$M138,$G138,$C$10,$C$11),$I138,$G138,$G$4,$C$8)</f>
        <v>6414.4502548873425</v>
      </c>
      <c r="V138" s="93">
        <f t="shared" si="19"/>
        <v>9668.1753841787577</v>
      </c>
    </row>
    <row r="139" spans="7:22" x14ac:dyDescent="0.35">
      <c r="G139" s="59">
        <f t="shared" si="1"/>
        <v>0.25</v>
      </c>
      <c r="H139" s="64" cm="1">
        <f t="array" ref="H139">drivePower($C$4,$C$5,G139,$C$10,$C$11)</f>
        <v>19.6038</v>
      </c>
      <c r="I139" s="84">
        <f t="shared" si="21"/>
        <v>24.679160599999999</v>
      </c>
      <c r="J139" s="84">
        <f t="shared" si="22"/>
        <v>44.282960599999996</v>
      </c>
      <c r="K139" s="60">
        <f t="shared" si="10"/>
        <v>268400</v>
      </c>
      <c r="L139" s="59">
        <f t="shared" si="23"/>
        <v>14.4</v>
      </c>
      <c r="M139" s="64">
        <f t="shared" si="20"/>
        <v>25.840000000000003</v>
      </c>
      <c r="N139" s="64" cm="1">
        <f t="array" ref="N139">drivePower($C$4,M139,$C$9,$C$10,$C$11)</f>
        <v>49.072219200000006</v>
      </c>
      <c r="O139" s="86">
        <f t="shared" si="24"/>
        <v>17875.439999999999</v>
      </c>
      <c r="P139" s="90">
        <f t="shared" si="5"/>
        <v>-1.5000000000000001E-4</v>
      </c>
      <c r="Q139" s="91">
        <f t="shared" si="6"/>
        <v>0.82280000000000009</v>
      </c>
      <c r="R139" s="98">
        <v>0.15</v>
      </c>
      <c r="S139" s="95">
        <f t="shared" si="11"/>
        <v>268400</v>
      </c>
      <c r="T139" s="92" cm="1">
        <f t="array" ref="T139">maxDepthToMinSOC($L$8,$L$9,$L$6,$L$7,$O139,$G$5,$G$6,drivePower($C$4,$M139,$G139,$C$10,$C$11),$I139,$G139,$G$4,$C$8)</f>
        <v>12961.200515031815</v>
      </c>
      <c r="U139" s="12" cm="1">
        <f t="array" ref="U139">maxDepthToMinSOC($L$8,$L$9,P139,Q139,$O139,$G$5,$G$6,drivePower($C$4,$M139,$G139,$C$10,$C$11),$I139,$G139,$G$4,$C$8)</f>
        <v>6425.5502553284168</v>
      </c>
      <c r="V139" s="93">
        <f t="shared" si="19"/>
        <v>9693.3753851801157</v>
      </c>
    </row>
    <row r="140" spans="7:22" x14ac:dyDescent="0.35">
      <c r="G140" s="59">
        <f t="shared" si="1"/>
        <v>0.25</v>
      </c>
      <c r="H140" s="64" cm="1">
        <f t="array" ref="H140">drivePower($C$4,$C$5,G140,$C$10,$C$11)</f>
        <v>19.6038</v>
      </c>
      <c r="I140" s="84">
        <f t="shared" si="21"/>
        <v>24.679160599999999</v>
      </c>
      <c r="J140" s="84">
        <f t="shared" si="22"/>
        <v>44.282960599999996</v>
      </c>
      <c r="K140" s="60">
        <f t="shared" si="10"/>
        <v>270600</v>
      </c>
      <c r="L140" s="59">
        <f t="shared" si="23"/>
        <v>14.52</v>
      </c>
      <c r="M140" s="64">
        <f t="shared" si="20"/>
        <v>25.972000000000001</v>
      </c>
      <c r="N140" s="64" cm="1">
        <f t="array" ref="N140">drivePower($C$4,M140,$C$9,$C$10,$C$11)</f>
        <v>49.317789359999999</v>
      </c>
      <c r="O140" s="86">
        <f t="shared" si="24"/>
        <v>18021.96</v>
      </c>
      <c r="P140" s="90">
        <f t="shared" si="5"/>
        <v>-1.5000000000000001E-4</v>
      </c>
      <c r="Q140" s="91">
        <f t="shared" si="6"/>
        <v>0.82280000000000009</v>
      </c>
      <c r="R140" s="98">
        <v>0.15</v>
      </c>
      <c r="S140" s="95">
        <f t="shared" si="11"/>
        <v>270600</v>
      </c>
      <c r="T140" s="92" cm="1">
        <f t="array" ref="T140">maxDepthToMinSOC($L$8,$L$9,$L$6,$L$7,$O140,$G$5,$G$6,drivePower($C$4,$M140,$G140,$C$10,$C$11),$I140,$G140,$G$4,$C$8)</f>
        <v>13000.200516581535</v>
      </c>
      <c r="U140" s="12" cm="1">
        <f t="array" ref="U140">maxDepthToMinSOC($L$8,$L$9,P140,Q140,$O140,$G$5,$G$6,drivePower($C$4,$M140,$G140,$C$10,$C$11),$I140,$G140,$G$4,$C$8)</f>
        <v>6436.6502557694912</v>
      </c>
      <c r="V140" s="93">
        <f t="shared" si="19"/>
        <v>9718.4253861755133</v>
      </c>
    </row>
    <row r="141" spans="7:22" x14ac:dyDescent="0.35">
      <c r="G141" s="59">
        <f t="shared" si="1"/>
        <v>0.25</v>
      </c>
      <c r="H141" s="64" cm="1">
        <f t="array" ref="H141">drivePower($C$4,$C$5,G141,$C$10,$C$11)</f>
        <v>19.6038</v>
      </c>
      <c r="I141" s="84">
        <f t="shared" si="21"/>
        <v>24.679160599999999</v>
      </c>
      <c r="J141" s="84">
        <f t="shared" si="22"/>
        <v>44.282960599999996</v>
      </c>
      <c r="K141" s="60">
        <f t="shared" si="10"/>
        <v>272800</v>
      </c>
      <c r="L141" s="59">
        <f t="shared" si="23"/>
        <v>14.64</v>
      </c>
      <c r="M141" s="64">
        <f t="shared" si="20"/>
        <v>26.104000000000003</v>
      </c>
      <c r="N141" s="64" cm="1">
        <f t="array" ref="N141">drivePower($C$4,M141,$C$9,$C$10,$C$11)</f>
        <v>49.563359520000006</v>
      </c>
      <c r="O141" s="86">
        <f t="shared" si="24"/>
        <v>18168.48</v>
      </c>
      <c r="P141" s="90">
        <f t="shared" si="5"/>
        <v>-1.5000000000000001E-4</v>
      </c>
      <c r="Q141" s="91">
        <f t="shared" si="6"/>
        <v>0.82280000000000009</v>
      </c>
      <c r="R141" s="98">
        <v>0.15</v>
      </c>
      <c r="S141" s="95">
        <f t="shared" si="11"/>
        <v>272800</v>
      </c>
      <c r="T141" s="92" cm="1">
        <f t="array" ref="T141">maxDepthToMinSOC($L$8,$L$9,$L$6,$L$7,$O141,$G$5,$G$6,drivePower($C$4,$M141,$G141,$C$10,$C$11),$I141,$G141,$G$4,$C$8)</f>
        <v>13038.750518113375</v>
      </c>
      <c r="U141" s="12" cm="1">
        <f t="array" ref="U141">maxDepthToMinSOC($L$8,$L$9,P141,Q141,$O141,$G$5,$G$6,drivePower($C$4,$M141,$G141,$C$10,$C$11),$I141,$G141,$G$4,$C$8)</f>
        <v>6447.4502561986446</v>
      </c>
      <c r="V141" s="93">
        <f t="shared" si="19"/>
        <v>9743.1003871560097</v>
      </c>
    </row>
    <row r="142" spans="7:22" x14ac:dyDescent="0.35">
      <c r="G142" s="59">
        <f t="shared" si="1"/>
        <v>0.25</v>
      </c>
      <c r="H142" s="64" cm="1">
        <f t="array" ref="H142">drivePower($C$4,$C$5,G142,$C$10,$C$11)</f>
        <v>19.6038</v>
      </c>
      <c r="I142" s="84">
        <f t="shared" si="21"/>
        <v>24.679160599999999</v>
      </c>
      <c r="J142" s="84">
        <f t="shared" si="22"/>
        <v>44.282960599999996</v>
      </c>
      <c r="K142" s="60">
        <f t="shared" si="10"/>
        <v>275000</v>
      </c>
      <c r="L142" s="59">
        <f t="shared" si="23"/>
        <v>14.76</v>
      </c>
      <c r="M142" s="64">
        <f t="shared" si="20"/>
        <v>26.236000000000001</v>
      </c>
      <c r="N142" s="64" cm="1">
        <f t="array" ref="N142">drivePower($C$4,M142,$C$9,$C$10,$C$11)</f>
        <v>49.808929679999999</v>
      </c>
      <c r="O142" s="86">
        <f t="shared" si="24"/>
        <v>18315</v>
      </c>
      <c r="P142" s="90">
        <f t="shared" si="5"/>
        <v>-1.5000000000000001E-4</v>
      </c>
      <c r="Q142" s="91">
        <f t="shared" si="6"/>
        <v>0.82280000000000009</v>
      </c>
      <c r="R142" s="98">
        <v>0.15</v>
      </c>
      <c r="S142" s="95">
        <f t="shared" si="11"/>
        <v>275000</v>
      </c>
      <c r="T142" s="92" cm="1">
        <f t="array" ref="T142">maxDepthToMinSOC($L$8,$L$9,$L$6,$L$7,$O142,$G$5,$G$6,drivePower($C$4,$M142,$G142,$C$10,$C$11),$I142,$G142,$G$4,$C$8)</f>
        <v>13077.000519633293</v>
      </c>
      <c r="U142" s="12" cm="1">
        <f t="array" ref="U142">maxDepthToMinSOC($L$8,$L$9,P142,Q142,$O142,$G$5,$G$6,drivePower($C$4,$M142,$G142,$C$10,$C$11),$I142,$G142,$G$4,$C$8)</f>
        <v>6458.2502566277981</v>
      </c>
      <c r="V142" s="93">
        <f t="shared" si="19"/>
        <v>9767.6253881305456</v>
      </c>
    </row>
    <row r="143" spans="7:22" x14ac:dyDescent="0.35">
      <c r="G143" s="59">
        <f t="shared" si="1"/>
        <v>0.25</v>
      </c>
      <c r="H143" s="64" cm="1">
        <f t="array" ref="H143">drivePower($C$4,$C$5,G143,$C$10,$C$11)</f>
        <v>19.6038</v>
      </c>
      <c r="I143" s="84">
        <f t="shared" si="21"/>
        <v>24.679160599999999</v>
      </c>
      <c r="J143" s="84">
        <f t="shared" si="22"/>
        <v>44.282960599999996</v>
      </c>
      <c r="K143" s="60">
        <f t="shared" si="10"/>
        <v>277200</v>
      </c>
      <c r="L143" s="59">
        <f t="shared" si="23"/>
        <v>14.88</v>
      </c>
      <c r="M143" s="64">
        <f t="shared" si="20"/>
        <v>26.368000000000002</v>
      </c>
      <c r="N143" s="64" cm="1">
        <f t="array" ref="N143">drivePower($C$4,M143,$C$9,$C$10,$C$11)</f>
        <v>50.054499840000005</v>
      </c>
      <c r="O143" s="86">
        <f t="shared" si="24"/>
        <v>18461.52</v>
      </c>
      <c r="P143" s="90">
        <f t="shared" si="5"/>
        <v>-1.5000000000000001E-4</v>
      </c>
      <c r="Q143" s="91">
        <f t="shared" si="6"/>
        <v>0.82280000000000009</v>
      </c>
      <c r="R143" s="98">
        <v>0.15</v>
      </c>
      <c r="S143" s="95">
        <f t="shared" si="11"/>
        <v>277200</v>
      </c>
      <c r="T143" s="92" cm="1">
        <f t="array" ref="T143">maxDepthToMinSOC($L$8,$L$9,$L$6,$L$7,$O143,$G$5,$G$6,drivePower($C$4,$M143,$G143,$C$10,$C$11),$I143,$G143,$G$4,$C$8)</f>
        <v>13114.65052112937</v>
      </c>
      <c r="U143" s="12" cm="1">
        <f t="array" ref="U143">maxDepthToMinSOC($L$8,$L$9,P143,Q143,$O143,$G$5,$G$6,drivePower($C$4,$M143,$G143,$C$10,$C$11),$I143,$G143,$G$4,$C$8)</f>
        <v>6468.7502570450306</v>
      </c>
      <c r="V143" s="93">
        <f t="shared" si="19"/>
        <v>9791.7003890872002</v>
      </c>
    </row>
    <row r="144" spans="7:22" x14ac:dyDescent="0.35">
      <c r="G144" s="59">
        <f t="shared" si="1"/>
        <v>0.25</v>
      </c>
      <c r="H144" s="64" cm="1">
        <f t="array" ref="H144">drivePower($C$4,$C$5,G144,$C$10,$C$11)</f>
        <v>19.6038</v>
      </c>
      <c r="I144" s="84">
        <f t="shared" si="21"/>
        <v>24.679160599999999</v>
      </c>
      <c r="J144" s="84">
        <f t="shared" si="22"/>
        <v>44.282960599999996</v>
      </c>
      <c r="K144" s="60">
        <f t="shared" si="10"/>
        <v>279400</v>
      </c>
      <c r="L144" s="59">
        <f t="shared" si="23"/>
        <v>15</v>
      </c>
      <c r="M144" s="64">
        <f t="shared" si="20"/>
        <v>26.5</v>
      </c>
      <c r="N144" s="64" cm="1">
        <f t="array" ref="N144">drivePower($C$4,M144,$C$9,$C$10,$C$11)</f>
        <v>50.300069999999998</v>
      </c>
      <c r="O144" s="86">
        <f t="shared" si="24"/>
        <v>18608.04</v>
      </c>
      <c r="P144" s="90">
        <f t="shared" si="5"/>
        <v>-1.5000000000000001E-4</v>
      </c>
      <c r="Q144" s="91">
        <f t="shared" si="6"/>
        <v>0.82280000000000009</v>
      </c>
      <c r="R144" s="98">
        <v>0.15</v>
      </c>
      <c r="S144" s="95">
        <f t="shared" si="11"/>
        <v>279400</v>
      </c>
      <c r="T144" s="92" cm="1">
        <f t="array" ref="T144">maxDepthToMinSOC($L$8,$L$9,$L$6,$L$7,$O144,$G$5,$G$6,drivePower($C$4,$M144,$G144,$C$10,$C$11),$I144,$G144,$G$4,$C$8)</f>
        <v>13152.150522619486</v>
      </c>
      <c r="U144" s="12" cm="1">
        <f t="array" ref="U144">maxDepthToMinSOC($L$8,$L$9,P144,Q144,$O144,$G$5,$G$6,drivePower($C$4,$M144,$G144,$C$10,$C$11),$I144,$G144,$G$4,$C$8)</f>
        <v>6479.2502574622631</v>
      </c>
      <c r="V144" s="93">
        <f t="shared" si="19"/>
        <v>9815.7003900408745</v>
      </c>
    </row>
    <row r="145" spans="7:22" x14ac:dyDescent="0.35">
      <c r="G145" s="59">
        <f t="shared" si="1"/>
        <v>0.25</v>
      </c>
      <c r="H145" s="64" cm="1">
        <f t="array" ref="H145">drivePower($C$4,$C$5,G145,$C$10,$C$11)</f>
        <v>19.6038</v>
      </c>
      <c r="I145" s="84">
        <f t="shared" si="21"/>
        <v>24.679160599999999</v>
      </c>
      <c r="J145" s="84">
        <f t="shared" si="22"/>
        <v>44.282960599999996</v>
      </c>
      <c r="K145" s="60">
        <f t="shared" si="10"/>
        <v>281600</v>
      </c>
      <c r="L145" s="59">
        <f t="shared" si="23"/>
        <v>15.12</v>
      </c>
      <c r="M145" s="64">
        <f t="shared" si="20"/>
        <v>26.632000000000001</v>
      </c>
      <c r="N145" s="64" cm="1">
        <f t="array" ref="N145">drivePower($C$4,M145,$C$9,$C$10,$C$11)</f>
        <v>50.545640159999998</v>
      </c>
      <c r="O145" s="86">
        <f t="shared" si="24"/>
        <v>18754.560000000001</v>
      </c>
      <c r="P145" s="90">
        <f t="shared" si="5"/>
        <v>-1.5000000000000001E-4</v>
      </c>
      <c r="Q145" s="91">
        <f t="shared" si="6"/>
        <v>0.82280000000000009</v>
      </c>
      <c r="R145" s="98">
        <v>0.15</v>
      </c>
      <c r="S145" s="95">
        <f t="shared" si="11"/>
        <v>281600</v>
      </c>
      <c r="T145" s="92" cm="1">
        <f t="array" ref="T145">maxDepthToMinSOC($L$8,$L$9,$L$6,$L$7,$O145,$G$5,$G$6,drivePower($C$4,$M145,$G145,$C$10,$C$11),$I145,$G145,$G$4,$C$8)</f>
        <v>13189.200524091721</v>
      </c>
      <c r="U145" s="12" cm="1">
        <f t="array" ref="U145">maxDepthToMinSOC($L$8,$L$9,P145,Q145,$O145,$G$5,$G$6,drivePower($C$4,$M145,$G145,$C$10,$C$11),$I145,$G145,$G$4,$C$8)</f>
        <v>6489.6002578735352</v>
      </c>
      <c r="V145" s="93">
        <f t="shared" si="19"/>
        <v>9839.4003909826279</v>
      </c>
    </row>
    <row r="146" spans="7:22" x14ac:dyDescent="0.35">
      <c r="G146" s="59">
        <f t="shared" si="1"/>
        <v>0.25</v>
      </c>
      <c r="H146" s="64" cm="1">
        <f t="array" ref="H146">drivePower($C$4,$C$5,G146,$C$10,$C$11)</f>
        <v>19.6038</v>
      </c>
      <c r="I146" s="84">
        <f t="shared" si="21"/>
        <v>24.679160599999999</v>
      </c>
      <c r="J146" s="84">
        <f t="shared" si="22"/>
        <v>44.282960599999996</v>
      </c>
      <c r="K146" s="60">
        <f t="shared" si="10"/>
        <v>283800</v>
      </c>
      <c r="L146" s="59">
        <f t="shared" si="23"/>
        <v>15.24</v>
      </c>
      <c r="M146" s="64">
        <f t="shared" si="20"/>
        <v>26.764000000000003</v>
      </c>
      <c r="N146" s="64" cm="1">
        <f t="array" ref="N146">drivePower($C$4,M146,$C$9,$C$10,$C$11)</f>
        <v>50.791210320000005</v>
      </c>
      <c r="O146" s="86">
        <f t="shared" si="24"/>
        <v>18901.079999999998</v>
      </c>
      <c r="P146" s="90">
        <f t="shared" si="5"/>
        <v>-1.5000000000000001E-4</v>
      </c>
      <c r="Q146" s="91">
        <f t="shared" si="6"/>
        <v>0.82280000000000009</v>
      </c>
      <c r="R146" s="98">
        <v>0.15</v>
      </c>
      <c r="S146" s="95">
        <f t="shared" si="11"/>
        <v>283800</v>
      </c>
      <c r="T146" s="92" cm="1">
        <f t="array" ref="T146">maxDepthToMinSOC($L$8,$L$9,$L$6,$L$7,$O146,$G$5,$G$6,drivePower($C$4,$M146,$G146,$C$10,$C$11),$I146,$G146,$G$4,$C$8)</f>
        <v>13225.800525546074</v>
      </c>
      <c r="U146" s="12" cm="1">
        <f t="array" ref="U146">maxDepthToMinSOC($L$8,$L$9,P146,Q146,$O146,$G$5,$G$6,drivePower($C$4,$M146,$G146,$C$10,$C$11),$I146,$G146,$G$4,$C$8)</f>
        <v>6499.8002582788467</v>
      </c>
      <c r="V146" s="93">
        <f t="shared" si="19"/>
        <v>9862.8003919124603</v>
      </c>
    </row>
    <row r="147" spans="7:22" x14ac:dyDescent="0.35">
      <c r="G147" s="59">
        <f t="shared" si="1"/>
        <v>0.25</v>
      </c>
      <c r="H147" s="64" cm="1">
        <f t="array" ref="H147">drivePower($C$4,$C$5,G147,$C$10,$C$11)</f>
        <v>19.6038</v>
      </c>
      <c r="I147" s="84">
        <f t="shared" si="21"/>
        <v>24.679160599999999</v>
      </c>
      <c r="J147" s="84">
        <f t="shared" si="22"/>
        <v>44.282960599999996</v>
      </c>
      <c r="K147" s="60">
        <f t="shared" si="10"/>
        <v>286000</v>
      </c>
      <c r="L147" s="59">
        <f t="shared" si="23"/>
        <v>15.36</v>
      </c>
      <c r="M147" s="64">
        <f t="shared" si="20"/>
        <v>26.896000000000001</v>
      </c>
      <c r="N147" s="64" cm="1">
        <f t="array" ref="N147">drivePower($C$4,M147,$C$9,$C$10,$C$11)</f>
        <v>51.036780479999997</v>
      </c>
      <c r="O147" s="86">
        <f t="shared" si="24"/>
        <v>19047.599999999999</v>
      </c>
      <c r="P147" s="90">
        <f t="shared" si="5"/>
        <v>-1.5000000000000001E-4</v>
      </c>
      <c r="Q147" s="91">
        <f t="shared" si="6"/>
        <v>0.82280000000000009</v>
      </c>
      <c r="R147" s="98">
        <v>0.15</v>
      </c>
      <c r="S147" s="95">
        <f t="shared" si="11"/>
        <v>286000</v>
      </c>
      <c r="T147" s="92" cm="1">
        <f t="array" ref="T147">maxDepthToMinSOC($L$8,$L$9,$L$6,$L$7,$O147,$G$5,$G$6,drivePower($C$4,$M147,$G147,$C$10,$C$11),$I147,$G147,$G$4,$C$8)</f>
        <v>13262.100526988506</v>
      </c>
      <c r="U147" s="12" cm="1">
        <f t="array" ref="U147">maxDepthToMinSOC($L$8,$L$9,P147,Q147,$O147,$G$5,$G$6,drivePower($C$4,$M147,$G147,$C$10,$C$11),$I147,$G147,$G$4,$C$8)</f>
        <v>6509.8502586781979</v>
      </c>
      <c r="V147" s="93">
        <f t="shared" ref="V147:V210" si="25">AVERAGE(T147:U147)</f>
        <v>9885.9753928333521</v>
      </c>
    </row>
    <row r="148" spans="7:22" x14ac:dyDescent="0.35">
      <c r="G148" s="59">
        <f t="shared" si="1"/>
        <v>0.25</v>
      </c>
      <c r="H148" s="64" cm="1">
        <f t="array" ref="H148">drivePower($C$4,$C$5,G148,$C$10,$C$11)</f>
        <v>19.6038</v>
      </c>
      <c r="I148" s="84">
        <f t="shared" si="21"/>
        <v>24.679160599999999</v>
      </c>
      <c r="J148" s="84">
        <f t="shared" si="22"/>
        <v>44.282960599999996</v>
      </c>
      <c r="K148" s="60">
        <f t="shared" si="10"/>
        <v>288200</v>
      </c>
      <c r="L148" s="59">
        <f t="shared" si="23"/>
        <v>15.48</v>
      </c>
      <c r="M148" s="64">
        <f t="shared" si="20"/>
        <v>27.028000000000002</v>
      </c>
      <c r="N148" s="64" cm="1">
        <f t="array" ref="N148">drivePower($C$4,M148,$C$9,$C$10,$C$11)</f>
        <v>51.282350640000004</v>
      </c>
      <c r="O148" s="86">
        <f t="shared" si="24"/>
        <v>19194.12</v>
      </c>
      <c r="P148" s="90">
        <f t="shared" si="5"/>
        <v>-1.5000000000000001E-4</v>
      </c>
      <c r="Q148" s="91">
        <f t="shared" si="6"/>
        <v>0.82280000000000009</v>
      </c>
      <c r="R148" s="98">
        <v>0.15</v>
      </c>
      <c r="S148" s="95">
        <f t="shared" si="11"/>
        <v>288200</v>
      </c>
      <c r="T148" s="92" cm="1">
        <f t="array" ref="T148">maxDepthToMinSOC($L$8,$L$9,$L$6,$L$7,$O148,$G$5,$G$6,drivePower($C$4,$M148,$G148,$C$10,$C$11),$I148,$G148,$G$4,$C$8)</f>
        <v>13297.950528413057</v>
      </c>
      <c r="U148" s="12" cm="1">
        <f t="array" ref="U148">maxDepthToMinSOC($L$8,$L$9,P148,Q148,$O148,$G$5,$G$6,drivePower($C$4,$M148,$G148,$C$10,$C$11),$I148,$G148,$G$4,$C$8)</f>
        <v>6519.900259077549</v>
      </c>
      <c r="V148" s="93">
        <f t="shared" si="25"/>
        <v>9908.9253937453032</v>
      </c>
    </row>
    <row r="149" spans="7:22" x14ac:dyDescent="0.35">
      <c r="G149" s="59">
        <f t="shared" si="1"/>
        <v>0.25</v>
      </c>
      <c r="H149" s="64" cm="1">
        <f t="array" ref="H149">drivePower($C$4,$C$5,G149,$C$10,$C$11)</f>
        <v>19.6038</v>
      </c>
      <c r="I149" s="84">
        <f t="shared" si="21"/>
        <v>24.679160599999999</v>
      </c>
      <c r="J149" s="84">
        <f t="shared" si="22"/>
        <v>44.282960599999996</v>
      </c>
      <c r="K149" s="60">
        <f t="shared" si="10"/>
        <v>290400</v>
      </c>
      <c r="L149" s="59">
        <f t="shared" si="23"/>
        <v>15.6</v>
      </c>
      <c r="M149" s="64">
        <f t="shared" ref="M149:M212" si="26">$C$5+L149*1.1</f>
        <v>27.16</v>
      </c>
      <c r="N149" s="64" cm="1">
        <f t="array" ref="N149">drivePower($C$4,M149,$C$9,$C$10,$C$11)</f>
        <v>51.527920799999997</v>
      </c>
      <c r="O149" s="86">
        <f t="shared" si="24"/>
        <v>19340.64</v>
      </c>
      <c r="P149" s="90">
        <f t="shared" si="5"/>
        <v>-1.5000000000000001E-4</v>
      </c>
      <c r="Q149" s="91">
        <f t="shared" si="6"/>
        <v>0.82280000000000009</v>
      </c>
      <c r="R149" s="98">
        <v>0.15</v>
      </c>
      <c r="S149" s="95">
        <f t="shared" si="11"/>
        <v>290400</v>
      </c>
      <c r="T149" s="92" cm="1">
        <f t="array" ref="T149">maxDepthToMinSOC($L$8,$L$9,$L$6,$L$7,$O149,$G$5,$G$6,drivePower($C$4,$M149,$G149,$C$10,$C$11),$I149,$G149,$G$4,$C$8)</f>
        <v>13333.500529825687</v>
      </c>
      <c r="U149" s="12" cm="1">
        <f t="array" ref="U149">maxDepthToMinSOC($L$8,$L$9,P149,Q149,$O149,$G$5,$G$6,drivePower($C$4,$M149,$G149,$C$10,$C$11),$I149,$G149,$G$4,$C$8)</f>
        <v>6529.6502594649792</v>
      </c>
      <c r="V149" s="93">
        <f t="shared" si="25"/>
        <v>9931.5753946453333</v>
      </c>
    </row>
    <row r="150" spans="7:22" x14ac:dyDescent="0.35">
      <c r="G150" s="59">
        <f t="shared" si="1"/>
        <v>0.25</v>
      </c>
      <c r="H150" s="64" cm="1">
        <f t="array" ref="H150">drivePower($C$4,$C$5,G150,$C$10,$C$11)</f>
        <v>19.6038</v>
      </c>
      <c r="I150" s="84">
        <f t="shared" si="21"/>
        <v>24.679160599999999</v>
      </c>
      <c r="J150" s="84">
        <f t="shared" si="22"/>
        <v>44.282960599999996</v>
      </c>
      <c r="K150" s="60">
        <f t="shared" si="10"/>
        <v>292600</v>
      </c>
      <c r="L150" s="59">
        <f t="shared" si="23"/>
        <v>15.72</v>
      </c>
      <c r="M150" s="64">
        <f t="shared" si="26"/>
        <v>27.292000000000002</v>
      </c>
      <c r="N150" s="64" cm="1">
        <f t="array" ref="N150">drivePower($C$4,M150,$C$9,$C$10,$C$11)</f>
        <v>51.773490960000004</v>
      </c>
      <c r="O150" s="86">
        <f t="shared" si="24"/>
        <v>19487.16</v>
      </c>
      <c r="P150" s="90">
        <f t="shared" si="5"/>
        <v>-1.5000000000000001E-4</v>
      </c>
      <c r="Q150" s="91">
        <f t="shared" si="6"/>
        <v>0.82280000000000009</v>
      </c>
      <c r="R150" s="98">
        <v>0.15</v>
      </c>
      <c r="S150" s="95">
        <f t="shared" si="11"/>
        <v>292600</v>
      </c>
      <c r="T150" s="92" cm="1">
        <f t="array" ref="T150">maxDepthToMinSOC($L$8,$L$9,$L$6,$L$7,$O150,$G$5,$G$6,drivePower($C$4,$M150,$G150,$C$10,$C$11),$I150,$G150,$G$4,$C$8)</f>
        <v>13368.750531226397</v>
      </c>
      <c r="U150" s="12" cm="1">
        <f t="array" ref="U150">maxDepthToMinSOC($L$8,$L$9,P150,Q150,$O150,$G$5,$G$6,drivePower($C$4,$M150,$G150,$C$10,$C$11),$I150,$G150,$G$4,$C$8)</f>
        <v>6539.4002598524094</v>
      </c>
      <c r="V150" s="93">
        <f t="shared" si="25"/>
        <v>9954.075395539403</v>
      </c>
    </row>
    <row r="151" spans="7:22" x14ac:dyDescent="0.35">
      <c r="G151" s="59">
        <f t="shared" si="1"/>
        <v>0.25</v>
      </c>
      <c r="H151" s="64" cm="1">
        <f t="array" ref="H151">drivePower($C$4,$C$5,G151,$C$10,$C$11)</f>
        <v>19.6038</v>
      </c>
      <c r="I151" s="84">
        <f t="shared" si="21"/>
        <v>24.679160599999999</v>
      </c>
      <c r="J151" s="84">
        <f t="shared" si="22"/>
        <v>44.282960599999996</v>
      </c>
      <c r="K151" s="60">
        <f t="shared" si="10"/>
        <v>294800</v>
      </c>
      <c r="L151" s="59">
        <f t="shared" si="23"/>
        <v>15.84</v>
      </c>
      <c r="M151" s="64">
        <f t="shared" si="26"/>
        <v>27.423999999999999</v>
      </c>
      <c r="N151" s="64" cm="1">
        <f t="array" ref="N151">drivePower($C$4,M151,$C$9,$C$10,$C$11)</f>
        <v>52.019061119999996</v>
      </c>
      <c r="O151" s="86">
        <f t="shared" si="24"/>
        <v>19633.68</v>
      </c>
      <c r="P151" s="90">
        <f t="shared" si="5"/>
        <v>-1.5000000000000001E-4</v>
      </c>
      <c r="Q151" s="91">
        <f t="shared" si="6"/>
        <v>0.82280000000000009</v>
      </c>
      <c r="R151" s="98">
        <v>0.15</v>
      </c>
      <c r="S151" s="95">
        <f t="shared" si="11"/>
        <v>294800</v>
      </c>
      <c r="T151" s="92" cm="1">
        <f t="array" ref="T151">maxDepthToMinSOC($L$8,$L$9,$L$6,$L$7,$O151,$G$5,$G$6,drivePower($C$4,$M151,$G151,$C$10,$C$11),$I151,$G151,$G$4,$C$8)</f>
        <v>13403.550532609224</v>
      </c>
      <c r="U151" s="12" cm="1">
        <f t="array" ref="U151">maxDepthToMinSOC($L$8,$L$9,P151,Q151,$O151,$G$5,$G$6,drivePower($C$4,$M151,$G151,$C$10,$C$11),$I151,$G151,$G$4,$C$8)</f>
        <v>6549.0002602338791</v>
      </c>
      <c r="V151" s="93">
        <f t="shared" si="25"/>
        <v>9976.2753964215517</v>
      </c>
    </row>
    <row r="152" spans="7:22" x14ac:dyDescent="0.35">
      <c r="G152" s="59">
        <f t="shared" si="1"/>
        <v>0.25</v>
      </c>
      <c r="H152" s="64" cm="1">
        <f t="array" ref="H152">drivePower($C$4,$C$5,G152,$C$10,$C$11)</f>
        <v>19.6038</v>
      </c>
      <c r="I152" s="84">
        <f t="shared" si="21"/>
        <v>24.679160599999999</v>
      </c>
      <c r="J152" s="84">
        <f t="shared" si="22"/>
        <v>44.282960599999996</v>
      </c>
      <c r="K152" s="60">
        <f t="shared" si="10"/>
        <v>297000</v>
      </c>
      <c r="L152" s="59">
        <f t="shared" si="23"/>
        <v>15.96</v>
      </c>
      <c r="M152" s="64">
        <f t="shared" si="26"/>
        <v>27.556000000000001</v>
      </c>
      <c r="N152" s="64" cm="1">
        <f t="array" ref="N152">drivePower($C$4,M152,$C$9,$C$10,$C$11)</f>
        <v>52.264631279999996</v>
      </c>
      <c r="O152" s="86">
        <f t="shared" si="24"/>
        <v>19780.2</v>
      </c>
      <c r="P152" s="90">
        <f t="shared" si="5"/>
        <v>-1.5000000000000001E-4</v>
      </c>
      <c r="Q152" s="91">
        <f t="shared" si="6"/>
        <v>0.82280000000000009</v>
      </c>
      <c r="R152" s="98">
        <v>0.15</v>
      </c>
      <c r="S152" s="95">
        <f t="shared" si="11"/>
        <v>297000</v>
      </c>
      <c r="T152" s="92" cm="1">
        <f t="array" ref="T152">maxDepthToMinSOC($L$8,$L$9,$L$6,$L$7,$O152,$G$5,$G$6,drivePower($C$4,$M152,$G152,$C$10,$C$11),$I152,$G152,$G$4,$C$8)</f>
        <v>13438.050533980131</v>
      </c>
      <c r="U152" s="12" cm="1">
        <f t="array" ref="U152">maxDepthToMinSOC($L$8,$L$9,P152,Q152,$O152,$G$5,$G$6,drivePower($C$4,$M152,$G152,$C$10,$C$11),$I152,$G152,$G$4,$C$8)</f>
        <v>6558.4502606093884</v>
      </c>
      <c r="V152" s="93">
        <f t="shared" si="25"/>
        <v>9998.2503972947598</v>
      </c>
    </row>
    <row r="153" spans="7:22" x14ac:dyDescent="0.35">
      <c r="G153" s="59">
        <f t="shared" si="1"/>
        <v>0.25</v>
      </c>
      <c r="H153" s="64" cm="1">
        <f t="array" ref="H153">drivePower($C$4,$C$5,G153,$C$10,$C$11)</f>
        <v>19.6038</v>
      </c>
      <c r="I153" s="84">
        <f t="shared" si="21"/>
        <v>24.679160599999999</v>
      </c>
      <c r="J153" s="84">
        <f t="shared" si="22"/>
        <v>44.282960599999996</v>
      </c>
      <c r="K153" s="60">
        <f t="shared" si="10"/>
        <v>299200</v>
      </c>
      <c r="L153" s="59">
        <f t="shared" si="23"/>
        <v>16.079999999999998</v>
      </c>
      <c r="M153" s="64">
        <f t="shared" si="26"/>
        <v>27.687999999999999</v>
      </c>
      <c r="N153" s="64" cm="1">
        <f t="array" ref="N153">drivePower($C$4,M153,$C$9,$C$10,$C$11)</f>
        <v>52.510201439999996</v>
      </c>
      <c r="O153" s="86">
        <f t="shared" si="24"/>
        <v>19926.719999999998</v>
      </c>
      <c r="P153" s="90">
        <f t="shared" si="5"/>
        <v>-1.5000000000000001E-4</v>
      </c>
      <c r="Q153" s="91">
        <f t="shared" si="6"/>
        <v>0.82280000000000009</v>
      </c>
      <c r="R153" s="98">
        <v>0.15</v>
      </c>
      <c r="S153" s="95">
        <f t="shared" si="11"/>
        <v>299200</v>
      </c>
      <c r="T153" s="92" cm="1">
        <f t="array" ref="T153">maxDepthToMinSOC($L$8,$L$9,$L$6,$L$7,$O153,$G$5,$G$6,drivePower($C$4,$M153,$G153,$C$10,$C$11),$I153,$G153,$G$4,$C$8)</f>
        <v>13472.250535339117</v>
      </c>
      <c r="U153" s="12" cm="1">
        <f t="array" ref="U153">maxDepthToMinSOC($L$8,$L$9,P153,Q153,$O153,$G$5,$G$6,drivePower($C$4,$M153,$G153,$C$10,$C$11),$I153,$G153,$G$4,$C$8)</f>
        <v>6567.9002609848976</v>
      </c>
      <c r="V153" s="93">
        <f t="shared" si="25"/>
        <v>10020.075398162007</v>
      </c>
    </row>
    <row r="154" spans="7:22" x14ac:dyDescent="0.35">
      <c r="G154" s="59">
        <f t="shared" si="1"/>
        <v>0.25</v>
      </c>
      <c r="H154" s="64" cm="1">
        <f t="array" ref="H154">drivePower($C$4,$C$5,G154,$C$10,$C$11)</f>
        <v>19.6038</v>
      </c>
      <c r="I154" s="84">
        <f t="shared" si="21"/>
        <v>24.679160599999999</v>
      </c>
      <c r="J154" s="84">
        <f t="shared" si="22"/>
        <v>44.282960599999996</v>
      </c>
      <c r="K154" s="60">
        <f t="shared" si="10"/>
        <v>301400</v>
      </c>
      <c r="L154" s="59">
        <f t="shared" si="23"/>
        <v>16.2</v>
      </c>
      <c r="M154" s="64">
        <f t="shared" si="26"/>
        <v>27.82</v>
      </c>
      <c r="N154" s="64" cm="1">
        <f t="array" ref="N154">drivePower($C$4,M154,$C$9,$C$10,$C$11)</f>
        <v>52.755771599999996</v>
      </c>
      <c r="O154" s="86">
        <f t="shared" si="24"/>
        <v>20073.239999999998</v>
      </c>
      <c r="P154" s="90">
        <f t="shared" si="5"/>
        <v>-1.5000000000000001E-4</v>
      </c>
      <c r="Q154" s="91">
        <f t="shared" si="6"/>
        <v>0.82280000000000009</v>
      </c>
      <c r="R154" s="98">
        <v>0.15</v>
      </c>
      <c r="S154" s="95">
        <f t="shared" si="11"/>
        <v>301400</v>
      </c>
      <c r="T154" s="92" cm="1">
        <f t="array" ref="T154">maxDepthToMinSOC($L$8,$L$9,$L$6,$L$7,$O154,$G$5,$G$6,drivePower($C$4,$M154,$G154,$C$10,$C$11),$I154,$G154,$G$4,$C$8)</f>
        <v>13506.150536686182</v>
      </c>
      <c r="U154" s="12" cm="1">
        <f t="array" ref="U154">maxDepthToMinSOC($L$8,$L$9,P154,Q154,$O154,$G$5,$G$6,drivePower($C$4,$M154,$G154,$C$10,$C$11),$I154,$G154,$G$4,$C$8)</f>
        <v>6577.0502613484859</v>
      </c>
      <c r="V154" s="93">
        <f t="shared" si="25"/>
        <v>10041.600399017334</v>
      </c>
    </row>
    <row r="155" spans="7:22" x14ac:dyDescent="0.35">
      <c r="G155" s="59">
        <f t="shared" si="1"/>
        <v>0.25</v>
      </c>
      <c r="H155" s="64" cm="1">
        <f t="array" ref="H155">drivePower($C$4,$C$5,G155,$C$10,$C$11)</f>
        <v>19.6038</v>
      </c>
      <c r="I155" s="84">
        <f t="shared" si="21"/>
        <v>24.679160599999999</v>
      </c>
      <c r="J155" s="84">
        <f t="shared" si="22"/>
        <v>44.282960599999996</v>
      </c>
      <c r="K155" s="60">
        <f t="shared" si="10"/>
        <v>303600</v>
      </c>
      <c r="L155" s="59">
        <f t="shared" si="23"/>
        <v>16.32</v>
      </c>
      <c r="M155" s="64">
        <f t="shared" si="26"/>
        <v>27.952000000000002</v>
      </c>
      <c r="N155" s="64" cm="1">
        <f t="array" ref="N155">drivePower($C$4,M155,$C$9,$C$10,$C$11)</f>
        <v>53.001341760000003</v>
      </c>
      <c r="O155" s="86">
        <f t="shared" si="24"/>
        <v>20219.760000000002</v>
      </c>
      <c r="P155" s="90">
        <f t="shared" si="5"/>
        <v>-1.5000000000000001E-4</v>
      </c>
      <c r="Q155" s="91">
        <f t="shared" si="6"/>
        <v>0.82280000000000009</v>
      </c>
      <c r="R155" s="98">
        <v>0.15</v>
      </c>
      <c r="S155" s="95">
        <f t="shared" si="11"/>
        <v>303600</v>
      </c>
      <c r="T155" s="92" cm="1">
        <f t="array" ref="T155">maxDepthToMinSOC($L$8,$L$9,$L$6,$L$7,$O155,$G$5,$G$6,drivePower($C$4,$M155,$G155,$C$10,$C$11),$I155,$G155,$G$4,$C$8)</f>
        <v>13539.600538015366</v>
      </c>
      <c r="U155" s="12" cm="1">
        <f t="array" ref="U155">maxDepthToMinSOC($L$8,$L$9,P155,Q155,$O155,$G$5,$G$6,drivePower($C$4,$M155,$G155,$C$10,$C$11),$I155,$G155,$G$4,$C$8)</f>
        <v>6586.2002617120743</v>
      </c>
      <c r="V155" s="93">
        <f t="shared" si="25"/>
        <v>10062.90039986372</v>
      </c>
    </row>
    <row r="156" spans="7:22" x14ac:dyDescent="0.35">
      <c r="G156" s="59">
        <f t="shared" si="1"/>
        <v>0.25</v>
      </c>
      <c r="H156" s="64" cm="1">
        <f t="array" ref="H156">drivePower($C$4,$C$5,G156,$C$10,$C$11)</f>
        <v>19.6038</v>
      </c>
      <c r="I156" s="84">
        <f t="shared" si="21"/>
        <v>24.679160599999999</v>
      </c>
      <c r="J156" s="84">
        <f t="shared" si="22"/>
        <v>44.282960599999996</v>
      </c>
      <c r="K156" s="60">
        <f t="shared" si="10"/>
        <v>305800</v>
      </c>
      <c r="L156" s="59">
        <f t="shared" si="23"/>
        <v>16.440000000000001</v>
      </c>
      <c r="M156" s="64">
        <f t="shared" si="26"/>
        <v>28.084000000000003</v>
      </c>
      <c r="N156" s="64" cm="1">
        <f t="array" ref="N156">drivePower($C$4,M156,$C$9,$C$10,$C$11)</f>
        <v>53.246911920000002</v>
      </c>
      <c r="O156" s="86">
        <f t="shared" si="24"/>
        <v>20366.280000000002</v>
      </c>
      <c r="P156" s="90">
        <f t="shared" si="5"/>
        <v>-1.5000000000000001E-4</v>
      </c>
      <c r="Q156" s="91">
        <f t="shared" si="6"/>
        <v>0.82280000000000009</v>
      </c>
      <c r="R156" s="98">
        <v>0.15</v>
      </c>
      <c r="S156" s="95">
        <f t="shared" si="11"/>
        <v>305800</v>
      </c>
      <c r="T156" s="92" cm="1">
        <f t="array" ref="T156">maxDepthToMinSOC($L$8,$L$9,$L$6,$L$7,$O156,$G$5,$G$6,drivePower($C$4,$M156,$G156,$C$10,$C$11),$I156,$G156,$G$4,$C$8)</f>
        <v>13572.900539338589</v>
      </c>
      <c r="U156" s="12" cm="1">
        <f t="array" ref="U156">maxDepthToMinSOC($L$8,$L$9,P156,Q156,$O156,$G$5,$G$6,drivePower($C$4,$M156,$G156,$C$10,$C$11),$I156,$G156,$G$4,$C$8)</f>
        <v>6595.2002620697021</v>
      </c>
      <c r="V156" s="93">
        <f t="shared" si="25"/>
        <v>10084.050400704145</v>
      </c>
    </row>
    <row r="157" spans="7:22" x14ac:dyDescent="0.35">
      <c r="G157" s="59">
        <f t="shared" si="1"/>
        <v>0.25</v>
      </c>
      <c r="H157" s="64" cm="1">
        <f t="array" ref="H157">drivePower($C$4,$C$5,G157,$C$10,$C$11)</f>
        <v>19.6038</v>
      </c>
      <c r="I157" s="84">
        <f t="shared" si="21"/>
        <v>24.679160599999999</v>
      </c>
      <c r="J157" s="84">
        <f t="shared" si="22"/>
        <v>44.282960599999996</v>
      </c>
      <c r="K157" s="60">
        <f t="shared" si="10"/>
        <v>308000</v>
      </c>
      <c r="L157" s="59">
        <f t="shared" si="23"/>
        <v>16.559999999999999</v>
      </c>
      <c r="M157" s="64">
        <f t="shared" si="26"/>
        <v>28.216000000000001</v>
      </c>
      <c r="N157" s="64" cm="1">
        <f t="array" ref="N157">drivePower($C$4,M157,$C$9,$C$10,$C$11)</f>
        <v>53.492482080000002</v>
      </c>
      <c r="O157" s="86">
        <f t="shared" si="24"/>
        <v>20512.8</v>
      </c>
      <c r="P157" s="90">
        <f t="shared" si="5"/>
        <v>-1.5000000000000001E-4</v>
      </c>
      <c r="Q157" s="91">
        <f t="shared" si="6"/>
        <v>0.82280000000000009</v>
      </c>
      <c r="R157" s="98">
        <v>0.15</v>
      </c>
      <c r="S157" s="95">
        <f t="shared" si="11"/>
        <v>308000</v>
      </c>
      <c r="T157" s="92" cm="1">
        <f t="array" ref="T157">maxDepthToMinSOC($L$8,$L$9,$L$6,$L$7,$O157,$G$5,$G$6,drivePower($C$4,$M157,$G157,$C$10,$C$11),$I157,$G157,$G$4,$C$8)</f>
        <v>13605.75054064393</v>
      </c>
      <c r="U157" s="12" cm="1">
        <f t="array" ref="U157">maxDepthToMinSOC($L$8,$L$9,P157,Q157,$O157,$G$5,$G$6,drivePower($C$4,$M157,$G157,$C$10,$C$11),$I157,$G157,$G$4,$C$8)</f>
        <v>6604.20026242733</v>
      </c>
      <c r="V157" s="93">
        <f t="shared" si="25"/>
        <v>10104.97540153563</v>
      </c>
    </row>
    <row r="158" spans="7:22" x14ac:dyDescent="0.35">
      <c r="G158" s="59">
        <f t="shared" si="1"/>
        <v>0.25</v>
      </c>
      <c r="H158" s="64" cm="1">
        <f t="array" ref="H158">drivePower($C$4,$C$5,G158,$C$10,$C$11)</f>
        <v>19.6038</v>
      </c>
      <c r="I158" s="84">
        <f t="shared" si="21"/>
        <v>24.679160599999999</v>
      </c>
      <c r="J158" s="84">
        <f t="shared" si="22"/>
        <v>44.282960599999996</v>
      </c>
      <c r="K158" s="60">
        <f t="shared" si="10"/>
        <v>310200</v>
      </c>
      <c r="L158" s="59">
        <f t="shared" si="23"/>
        <v>16.68</v>
      </c>
      <c r="M158" s="64">
        <f t="shared" si="26"/>
        <v>28.348000000000003</v>
      </c>
      <c r="N158" s="64" cm="1">
        <f t="array" ref="N158">drivePower($C$4,M158,$C$9,$C$10,$C$11)</f>
        <v>53.738052240000002</v>
      </c>
      <c r="O158" s="86">
        <f t="shared" si="24"/>
        <v>20659.32</v>
      </c>
      <c r="P158" s="90">
        <f t="shared" si="5"/>
        <v>-1.5000000000000001E-4</v>
      </c>
      <c r="Q158" s="91">
        <f t="shared" si="6"/>
        <v>0.82280000000000009</v>
      </c>
      <c r="R158" s="98">
        <v>0.15</v>
      </c>
      <c r="S158" s="95">
        <f t="shared" si="11"/>
        <v>310200</v>
      </c>
      <c r="T158" s="92" cm="1">
        <f t="array" ref="T158">maxDepthToMinSOC($L$8,$L$9,$L$6,$L$7,$O158,$G$5,$G$6,drivePower($C$4,$M158,$G158,$C$10,$C$11),$I158,$G158,$G$4,$C$8)</f>
        <v>13638.300541937351</v>
      </c>
      <c r="U158" s="12" cm="1">
        <f t="array" ref="U158">maxDepthToMinSOC($L$8,$L$9,P158,Q158,$O158,$G$5,$G$6,drivePower($C$4,$M158,$G158,$C$10,$C$11),$I158,$G158,$G$4,$C$8)</f>
        <v>6613.0502627789974</v>
      </c>
      <c r="V158" s="93">
        <f t="shared" si="25"/>
        <v>10125.675402358174</v>
      </c>
    </row>
    <row r="159" spans="7:22" x14ac:dyDescent="0.35">
      <c r="G159" s="59">
        <f t="shared" si="1"/>
        <v>0.25</v>
      </c>
      <c r="H159" s="64" cm="1">
        <f t="array" ref="H159">drivePower($C$4,$C$5,G159,$C$10,$C$11)</f>
        <v>19.6038</v>
      </c>
      <c r="I159" s="84">
        <f t="shared" si="21"/>
        <v>24.679160599999999</v>
      </c>
      <c r="J159" s="84">
        <f t="shared" si="22"/>
        <v>44.282960599999996</v>
      </c>
      <c r="K159" s="60">
        <f t="shared" si="10"/>
        <v>312400</v>
      </c>
      <c r="L159" s="59">
        <f t="shared" si="23"/>
        <v>16.8</v>
      </c>
      <c r="M159" s="64">
        <f t="shared" si="26"/>
        <v>28.480000000000004</v>
      </c>
      <c r="N159" s="64" cm="1">
        <f t="array" ref="N159">drivePower($C$4,M159,$C$9,$C$10,$C$11)</f>
        <v>53.983622400000009</v>
      </c>
      <c r="O159" s="86">
        <f t="shared" si="24"/>
        <v>20805.84</v>
      </c>
      <c r="P159" s="90">
        <f t="shared" si="5"/>
        <v>-1.5000000000000001E-4</v>
      </c>
      <c r="Q159" s="91">
        <f t="shared" si="6"/>
        <v>0.82280000000000009</v>
      </c>
      <c r="R159" s="98">
        <v>0.15</v>
      </c>
      <c r="S159" s="95">
        <f t="shared" si="11"/>
        <v>312400</v>
      </c>
      <c r="T159" s="92" cm="1">
        <f t="array" ref="T159">maxDepthToMinSOC($L$8,$L$9,$L$6,$L$7,$O159,$G$5,$G$6,drivePower($C$4,$M159,$G159,$C$10,$C$11),$I159,$G159,$G$4,$C$8)</f>
        <v>13670.550543218851</v>
      </c>
      <c r="U159" s="12" cm="1">
        <f t="array" ref="U159">maxDepthToMinSOC($L$8,$L$9,P159,Q159,$O159,$G$5,$G$6,drivePower($C$4,$M159,$G159,$C$10,$C$11),$I159,$G159,$G$4,$C$8)</f>
        <v>6621.7502631247044</v>
      </c>
      <c r="V159" s="93">
        <f t="shared" si="25"/>
        <v>10146.150403171778</v>
      </c>
    </row>
    <row r="160" spans="7:22" x14ac:dyDescent="0.35">
      <c r="G160" s="59">
        <f t="shared" si="1"/>
        <v>0.25</v>
      </c>
      <c r="H160" s="64" cm="1">
        <f t="array" ref="H160">drivePower($C$4,$C$5,G160,$C$10,$C$11)</f>
        <v>19.6038</v>
      </c>
      <c r="I160" s="84">
        <f t="shared" si="21"/>
        <v>24.679160599999999</v>
      </c>
      <c r="J160" s="84">
        <f t="shared" si="22"/>
        <v>44.282960599999996</v>
      </c>
      <c r="K160" s="60">
        <f t="shared" si="10"/>
        <v>314600</v>
      </c>
      <c r="L160" s="59">
        <f t="shared" si="23"/>
        <v>16.920000000000002</v>
      </c>
      <c r="M160" s="64">
        <f t="shared" si="26"/>
        <v>28.612000000000002</v>
      </c>
      <c r="N160" s="64" cm="1">
        <f t="array" ref="N160">drivePower($C$4,M160,$C$9,$C$10,$C$11)</f>
        <v>54.229192560000001</v>
      </c>
      <c r="O160" s="86">
        <f t="shared" si="24"/>
        <v>20952.36</v>
      </c>
      <c r="P160" s="90">
        <f t="shared" si="5"/>
        <v>-1.5000000000000001E-4</v>
      </c>
      <c r="Q160" s="91">
        <f t="shared" si="6"/>
        <v>0.82280000000000009</v>
      </c>
      <c r="R160" s="98">
        <v>0.15</v>
      </c>
      <c r="S160" s="95">
        <f t="shared" si="11"/>
        <v>314600</v>
      </c>
      <c r="T160" s="92" cm="1">
        <f t="array" ref="T160">maxDepthToMinSOC($L$8,$L$9,$L$6,$L$7,$O160,$G$5,$G$6,drivePower($C$4,$M160,$G160,$C$10,$C$11),$I160,$G160,$G$4,$C$8)</f>
        <v>13702.50054448843</v>
      </c>
      <c r="U160" s="12" cm="1">
        <f t="array" ref="U160">maxDepthToMinSOC($L$8,$L$9,P160,Q160,$O160,$G$5,$G$6,drivePower($C$4,$M160,$G160,$C$10,$C$11),$I160,$G160,$G$4,$C$8)</f>
        <v>6630.4502634704113</v>
      </c>
      <c r="V160" s="93">
        <f t="shared" si="25"/>
        <v>10166.475403979421</v>
      </c>
    </row>
    <row r="161" spans="7:22" x14ac:dyDescent="0.35">
      <c r="G161" s="59">
        <f t="shared" si="1"/>
        <v>0.25</v>
      </c>
      <c r="H161" s="64" cm="1">
        <f t="array" ref="H161">drivePower($C$4,$C$5,G161,$C$10,$C$11)</f>
        <v>19.6038</v>
      </c>
      <c r="I161" s="84">
        <f t="shared" si="21"/>
        <v>24.679160599999999</v>
      </c>
      <c r="J161" s="84">
        <f t="shared" si="22"/>
        <v>44.282960599999996</v>
      </c>
      <c r="K161" s="60">
        <f t="shared" si="10"/>
        <v>316800</v>
      </c>
      <c r="L161" s="59">
        <f t="shared" si="23"/>
        <v>17.04</v>
      </c>
      <c r="M161" s="64">
        <f t="shared" si="26"/>
        <v>28.744</v>
      </c>
      <c r="N161" s="64" cm="1">
        <f t="array" ref="N161">drivePower($C$4,M161,$C$9,$C$10,$C$11)</f>
        <v>54.474762719999994</v>
      </c>
      <c r="O161" s="86">
        <f t="shared" si="24"/>
        <v>21098.880000000001</v>
      </c>
      <c r="P161" s="90">
        <f t="shared" si="5"/>
        <v>-1.5000000000000001E-4</v>
      </c>
      <c r="Q161" s="91">
        <f t="shared" si="6"/>
        <v>0.82280000000000009</v>
      </c>
      <c r="R161" s="98">
        <v>0.15</v>
      </c>
      <c r="S161" s="95">
        <f t="shared" si="11"/>
        <v>316800</v>
      </c>
      <c r="T161" s="92" cm="1">
        <f t="array" ref="T161">maxDepthToMinSOC($L$8,$L$9,$L$6,$L$7,$O161,$G$5,$G$6,drivePower($C$4,$M161,$G161,$C$10,$C$11),$I161,$G161,$G$4,$C$8)</f>
        <v>13734.300545752048</v>
      </c>
      <c r="U161" s="12" cm="1">
        <f t="array" ref="U161">maxDepthToMinSOC($L$8,$L$9,P161,Q161,$O161,$G$5,$G$6,drivePower($C$4,$M161,$G161,$C$10,$C$11),$I161,$G161,$G$4,$C$8)</f>
        <v>6638.8502638041973</v>
      </c>
      <c r="V161" s="93">
        <f t="shared" si="25"/>
        <v>10186.575404778123</v>
      </c>
    </row>
    <row r="162" spans="7:22" x14ac:dyDescent="0.35">
      <c r="G162" s="59">
        <f t="shared" si="1"/>
        <v>0.25</v>
      </c>
      <c r="H162" s="64" cm="1">
        <f t="array" ref="H162">drivePower($C$4,$C$5,G162,$C$10,$C$11)</f>
        <v>19.6038</v>
      </c>
      <c r="I162" s="84">
        <f t="shared" si="21"/>
        <v>24.679160599999999</v>
      </c>
      <c r="J162" s="84">
        <f t="shared" si="22"/>
        <v>44.282960599999996</v>
      </c>
      <c r="K162" s="60">
        <f t="shared" si="10"/>
        <v>319000</v>
      </c>
      <c r="L162" s="59">
        <f t="shared" si="23"/>
        <v>17.16</v>
      </c>
      <c r="M162" s="64">
        <f t="shared" si="26"/>
        <v>28.876000000000001</v>
      </c>
      <c r="N162" s="64" cm="1">
        <f t="array" ref="N162">drivePower($C$4,M162,$C$9,$C$10,$C$11)</f>
        <v>54.720332880000001</v>
      </c>
      <c r="O162" s="86">
        <f t="shared" si="24"/>
        <v>21245.4</v>
      </c>
      <c r="P162" s="90">
        <f t="shared" si="5"/>
        <v>-1.5000000000000001E-4</v>
      </c>
      <c r="Q162" s="91">
        <f t="shared" si="6"/>
        <v>0.82280000000000009</v>
      </c>
      <c r="R162" s="98">
        <v>0.15</v>
      </c>
      <c r="S162" s="95">
        <f t="shared" si="11"/>
        <v>319000</v>
      </c>
      <c r="T162" s="92" cm="1">
        <f t="array" ref="T162">maxDepthToMinSOC($L$8,$L$9,$L$6,$L$7,$O162,$G$5,$G$6,drivePower($C$4,$M162,$G162,$C$10,$C$11),$I162,$G162,$G$4,$C$8)</f>
        <v>13765.650546997786</v>
      </c>
      <c r="U162" s="12" cm="1">
        <f t="array" ref="U162">maxDepthToMinSOC($L$8,$L$9,P162,Q162,$O162,$G$5,$G$6,drivePower($C$4,$M162,$G162,$C$10,$C$11),$I162,$G162,$G$4,$C$8)</f>
        <v>6647.4002641439438</v>
      </c>
      <c r="V162" s="93">
        <f t="shared" si="25"/>
        <v>10206.525405570865</v>
      </c>
    </row>
    <row r="163" spans="7:22" x14ac:dyDescent="0.35">
      <c r="G163" s="59">
        <f t="shared" si="1"/>
        <v>0.25</v>
      </c>
      <c r="H163" s="64" cm="1">
        <f t="array" ref="H163">drivePower($C$4,$C$5,G163,$C$10,$C$11)</f>
        <v>19.6038</v>
      </c>
      <c r="I163" s="84">
        <f t="shared" si="21"/>
        <v>24.679160599999999</v>
      </c>
      <c r="J163" s="84">
        <f t="shared" si="22"/>
        <v>44.282960599999996</v>
      </c>
      <c r="K163" s="60">
        <f t="shared" si="10"/>
        <v>321200</v>
      </c>
      <c r="L163" s="59">
        <f t="shared" si="23"/>
        <v>17.28</v>
      </c>
      <c r="M163" s="64">
        <f t="shared" si="26"/>
        <v>29.008000000000003</v>
      </c>
      <c r="N163" s="64" cm="1">
        <f t="array" ref="N163">drivePower($C$4,M163,$C$9,$C$10,$C$11)</f>
        <v>54.965903040000001</v>
      </c>
      <c r="O163" s="86">
        <f t="shared" si="24"/>
        <v>21391.919999999998</v>
      </c>
      <c r="P163" s="90">
        <f t="shared" si="5"/>
        <v>-1.5000000000000001E-4</v>
      </c>
      <c r="Q163" s="91">
        <f t="shared" si="6"/>
        <v>0.82280000000000009</v>
      </c>
      <c r="R163" s="98">
        <v>0.15</v>
      </c>
      <c r="S163" s="95">
        <f t="shared" si="11"/>
        <v>321200</v>
      </c>
      <c r="T163" s="92" cm="1">
        <f t="array" ref="T163">maxDepthToMinSOC($L$8,$L$9,$L$6,$L$7,$O163,$G$5,$G$6,drivePower($C$4,$M163,$G163,$C$10,$C$11),$I163,$G163,$G$4,$C$8)</f>
        <v>13796.700548231602</v>
      </c>
      <c r="U163" s="12" cm="1">
        <f t="array" ref="U163">maxDepthToMinSOC($L$8,$L$9,P163,Q163,$O163,$G$5,$G$6,drivePower($C$4,$M163,$G163,$C$10,$C$11),$I163,$G163,$G$4,$C$8)</f>
        <v>6655.6502644717693</v>
      </c>
      <c r="V163" s="93">
        <f t="shared" si="25"/>
        <v>10226.175406351686</v>
      </c>
    </row>
    <row r="164" spans="7:22" x14ac:dyDescent="0.35">
      <c r="G164" s="59">
        <f t="shared" si="1"/>
        <v>0.25</v>
      </c>
      <c r="H164" s="64" cm="1">
        <f t="array" ref="H164">drivePower($C$4,$C$5,G164,$C$10,$C$11)</f>
        <v>19.6038</v>
      </c>
      <c r="I164" s="84">
        <f t="shared" si="21"/>
        <v>24.679160599999999</v>
      </c>
      <c r="J164" s="84">
        <f t="shared" si="22"/>
        <v>44.282960599999996</v>
      </c>
      <c r="K164" s="60">
        <f t="shared" si="10"/>
        <v>323400</v>
      </c>
      <c r="L164" s="59">
        <f t="shared" si="23"/>
        <v>17.399999999999999</v>
      </c>
      <c r="M164" s="64">
        <f t="shared" si="26"/>
        <v>29.14</v>
      </c>
      <c r="N164" s="64" cm="1">
        <f t="array" ref="N164">drivePower($C$4,M164,$C$9,$C$10,$C$11)</f>
        <v>55.2114732</v>
      </c>
      <c r="O164" s="86">
        <f t="shared" si="24"/>
        <v>21538.44</v>
      </c>
      <c r="P164" s="90">
        <f t="shared" si="5"/>
        <v>-1.5000000000000001E-4</v>
      </c>
      <c r="Q164" s="91">
        <f t="shared" si="6"/>
        <v>0.82280000000000009</v>
      </c>
      <c r="R164" s="98">
        <v>0.15</v>
      </c>
      <c r="S164" s="95">
        <f t="shared" si="11"/>
        <v>323400</v>
      </c>
      <c r="T164" s="92" cm="1">
        <f t="array" ref="T164">maxDepthToMinSOC($L$8,$L$9,$L$6,$L$7,$O164,$G$5,$G$6,drivePower($C$4,$M164,$G164,$C$10,$C$11),$I164,$G164,$G$4,$C$8)</f>
        <v>13827.450549453497</v>
      </c>
      <c r="U164" s="12" cm="1">
        <f t="array" ref="U164">maxDepthToMinSOC($L$8,$L$9,P164,Q164,$O164,$G$5,$G$6,drivePower($C$4,$M164,$G164,$C$10,$C$11),$I164,$G164,$G$4,$C$8)</f>
        <v>6663.9002647995949</v>
      </c>
      <c r="V164" s="93">
        <f t="shared" si="25"/>
        <v>10245.675407126546</v>
      </c>
    </row>
    <row r="165" spans="7:22" x14ac:dyDescent="0.35">
      <c r="G165" s="59">
        <f t="shared" si="1"/>
        <v>0.25</v>
      </c>
      <c r="H165" s="64" cm="1">
        <f t="array" ref="H165">drivePower($C$4,$C$5,G165,$C$10,$C$11)</f>
        <v>19.6038</v>
      </c>
      <c r="I165" s="84">
        <f t="shared" si="21"/>
        <v>24.679160599999999</v>
      </c>
      <c r="J165" s="84">
        <f t="shared" si="22"/>
        <v>44.282960599999996</v>
      </c>
      <c r="K165" s="60">
        <f t="shared" si="10"/>
        <v>325600</v>
      </c>
      <c r="L165" s="59">
        <f t="shared" si="23"/>
        <v>17.52</v>
      </c>
      <c r="M165" s="64">
        <f t="shared" si="26"/>
        <v>29.272000000000002</v>
      </c>
      <c r="N165" s="64" cm="1">
        <f t="array" ref="N165">drivePower($C$4,M165,$C$9,$C$10,$C$11)</f>
        <v>55.45704336</v>
      </c>
      <c r="O165" s="86">
        <f t="shared" si="24"/>
        <v>21684.960000000003</v>
      </c>
      <c r="P165" s="90">
        <f t="shared" si="5"/>
        <v>-1.5000000000000001E-4</v>
      </c>
      <c r="Q165" s="91">
        <f t="shared" si="6"/>
        <v>0.82280000000000009</v>
      </c>
      <c r="R165" s="98">
        <v>0.15</v>
      </c>
      <c r="S165" s="95">
        <f t="shared" si="11"/>
        <v>325600</v>
      </c>
      <c r="T165" s="92" cm="1">
        <f t="array" ref="T165">maxDepthToMinSOC($L$8,$L$9,$L$6,$L$7,$O165,$G$5,$G$6,drivePower($C$4,$M165,$G165,$C$10,$C$11),$I165,$G165,$G$4,$C$8)</f>
        <v>13858.050550669432</v>
      </c>
      <c r="U165" s="12" cm="1">
        <f t="array" ref="U165">maxDepthToMinSOC($L$8,$L$9,P165,Q165,$O165,$G$5,$G$6,drivePower($C$4,$M165,$G165,$C$10,$C$11),$I165,$G165,$G$4,$C$8)</f>
        <v>6672.00026512146</v>
      </c>
      <c r="V165" s="93">
        <f t="shared" si="25"/>
        <v>10265.025407895446</v>
      </c>
    </row>
    <row r="166" spans="7:22" x14ac:dyDescent="0.35">
      <c r="G166" s="59">
        <f t="shared" si="1"/>
        <v>0.25</v>
      </c>
      <c r="H166" s="64" cm="1">
        <f t="array" ref="H166">drivePower($C$4,$C$5,G166,$C$10,$C$11)</f>
        <v>19.6038</v>
      </c>
      <c r="I166" s="84">
        <f t="shared" si="21"/>
        <v>24.679160599999999</v>
      </c>
      <c r="J166" s="84">
        <f t="shared" si="22"/>
        <v>44.282960599999996</v>
      </c>
      <c r="K166" s="60">
        <f t="shared" si="10"/>
        <v>327800</v>
      </c>
      <c r="L166" s="59">
        <f t="shared" si="23"/>
        <v>17.64</v>
      </c>
      <c r="M166" s="64">
        <f t="shared" si="26"/>
        <v>29.404000000000003</v>
      </c>
      <c r="N166" s="64" cm="1">
        <f t="array" ref="N166">drivePower($C$4,M166,$C$9,$C$10,$C$11)</f>
        <v>55.702613520000007</v>
      </c>
      <c r="O166" s="86">
        <f t="shared" si="24"/>
        <v>21831.48</v>
      </c>
      <c r="P166" s="90">
        <f t="shared" si="5"/>
        <v>-1.5000000000000001E-4</v>
      </c>
      <c r="Q166" s="91">
        <f t="shared" si="6"/>
        <v>0.82280000000000009</v>
      </c>
      <c r="R166" s="98">
        <v>0.15</v>
      </c>
      <c r="S166" s="95">
        <f t="shared" si="11"/>
        <v>327800</v>
      </c>
      <c r="T166" s="92" cm="1">
        <f t="array" ref="T166">maxDepthToMinSOC($L$8,$L$9,$L$6,$L$7,$O166,$G$5,$G$6,drivePower($C$4,$M166,$G166,$C$10,$C$11),$I166,$G166,$G$4,$C$8)</f>
        <v>13888.200551867485</v>
      </c>
      <c r="U166" s="12" cm="1">
        <f t="array" ref="U166">maxDepthToMinSOC($L$8,$L$9,P166,Q166,$O166,$G$5,$G$6,drivePower($C$4,$M166,$G166,$C$10,$C$11),$I166,$G166,$G$4,$C$8)</f>
        <v>6680.100265443325</v>
      </c>
      <c r="V166" s="93">
        <f t="shared" si="25"/>
        <v>10284.150408655405</v>
      </c>
    </row>
    <row r="167" spans="7:22" x14ac:dyDescent="0.35">
      <c r="G167" s="59">
        <f t="shared" si="1"/>
        <v>0.25</v>
      </c>
      <c r="H167" s="64" cm="1">
        <f t="array" ref="H167">drivePower($C$4,$C$5,G167,$C$10,$C$11)</f>
        <v>19.6038</v>
      </c>
      <c r="I167" s="84">
        <f t="shared" si="21"/>
        <v>24.679160599999999</v>
      </c>
      <c r="J167" s="84">
        <f t="shared" si="22"/>
        <v>44.282960599999996</v>
      </c>
      <c r="K167" s="60">
        <f t="shared" si="10"/>
        <v>330000</v>
      </c>
      <c r="L167" s="59">
        <f t="shared" si="23"/>
        <v>17.760000000000002</v>
      </c>
      <c r="M167" s="64">
        <f t="shared" si="26"/>
        <v>29.536000000000005</v>
      </c>
      <c r="N167" s="64" cm="1">
        <f t="array" ref="N167">drivePower($C$4,M167,$C$9,$C$10,$C$11)</f>
        <v>55.948183680000007</v>
      </c>
      <c r="O167" s="86">
        <f t="shared" si="24"/>
        <v>21978</v>
      </c>
      <c r="P167" s="90">
        <f t="shared" si="5"/>
        <v>-1.5000000000000001E-4</v>
      </c>
      <c r="Q167" s="91">
        <f t="shared" si="6"/>
        <v>0.82280000000000009</v>
      </c>
      <c r="R167" s="98">
        <v>0.15</v>
      </c>
      <c r="S167" s="95">
        <f t="shared" si="11"/>
        <v>330000</v>
      </c>
      <c r="T167" s="92" cm="1">
        <f t="array" ref="T167">maxDepthToMinSOC($L$8,$L$9,$L$6,$L$7,$O167,$G$5,$G$6,drivePower($C$4,$M167,$G167,$C$10,$C$11),$I167,$G167,$G$4,$C$8)</f>
        <v>13918.200553059578</v>
      </c>
      <c r="U167" s="12" cm="1">
        <f t="array" ref="U167">maxDepthToMinSOC($L$8,$L$9,P167,Q167,$O167,$G$5,$G$6,drivePower($C$4,$M167,$G167,$C$10,$C$11),$I167,$G167,$G$4,$C$8)</f>
        <v>6688.0502657592297</v>
      </c>
      <c r="V167" s="93">
        <f t="shared" si="25"/>
        <v>10303.125409409404</v>
      </c>
    </row>
    <row r="168" spans="7:22" x14ac:dyDescent="0.35">
      <c r="G168" s="59">
        <f t="shared" si="1"/>
        <v>0.25</v>
      </c>
      <c r="H168" s="64" cm="1">
        <f t="array" ref="H168">drivePower($C$4,$C$5,G168,$C$10,$C$11)</f>
        <v>19.6038</v>
      </c>
      <c r="I168" s="84">
        <f t="shared" si="21"/>
        <v>24.679160599999999</v>
      </c>
      <c r="J168" s="84">
        <f t="shared" si="22"/>
        <v>44.282960599999996</v>
      </c>
      <c r="K168" s="60">
        <f t="shared" si="10"/>
        <v>332200</v>
      </c>
      <c r="L168" s="59">
        <f t="shared" si="23"/>
        <v>17.88</v>
      </c>
      <c r="M168" s="64">
        <f t="shared" si="26"/>
        <v>29.667999999999999</v>
      </c>
      <c r="N168" s="64" cm="1">
        <f t="array" ref="N168">drivePower($C$4,M168,$C$9,$C$10,$C$11)</f>
        <v>56.193753839999999</v>
      </c>
      <c r="O168" s="86">
        <f t="shared" si="24"/>
        <v>22124.52</v>
      </c>
      <c r="P168" s="90">
        <f t="shared" si="5"/>
        <v>-1.5000000000000001E-4</v>
      </c>
      <c r="Q168" s="91">
        <f t="shared" si="6"/>
        <v>0.82280000000000009</v>
      </c>
      <c r="R168" s="98">
        <v>0.15</v>
      </c>
      <c r="S168" s="95">
        <f t="shared" si="11"/>
        <v>332200</v>
      </c>
      <c r="T168" s="92" cm="1">
        <f t="array" ref="T168">maxDepthToMinSOC($L$8,$L$9,$L$6,$L$7,$O168,$G$5,$G$6,drivePower($C$4,$M168,$G168,$C$10,$C$11),$I168,$G168,$G$4,$C$8)</f>
        <v>13947.90055423975</v>
      </c>
      <c r="U168" s="12" cm="1">
        <f t="array" ref="U168">maxDepthToMinSOC($L$8,$L$9,P168,Q168,$O168,$G$5,$G$6,drivePower($C$4,$M168,$G168,$C$10,$C$11),$I168,$G168,$G$4,$C$8)</f>
        <v>6696.0002660751343</v>
      </c>
      <c r="V168" s="93">
        <f t="shared" si="25"/>
        <v>10321.950410157442</v>
      </c>
    </row>
    <row r="169" spans="7:22" x14ac:dyDescent="0.35">
      <c r="G169" s="59">
        <f t="shared" si="1"/>
        <v>0.25</v>
      </c>
      <c r="H169" s="64" cm="1">
        <f t="array" ref="H169">drivePower($C$4,$C$5,G169,$C$10,$C$11)</f>
        <v>19.6038</v>
      </c>
      <c r="I169" s="84">
        <f t="shared" si="21"/>
        <v>24.679160599999999</v>
      </c>
      <c r="J169" s="84">
        <f t="shared" si="22"/>
        <v>44.282960599999996</v>
      </c>
      <c r="K169" s="60">
        <f t="shared" si="10"/>
        <v>334400</v>
      </c>
      <c r="L169" s="59">
        <f t="shared" si="23"/>
        <v>18</v>
      </c>
      <c r="M169" s="64">
        <f t="shared" si="26"/>
        <v>29.8</v>
      </c>
      <c r="N169" s="64" cm="1">
        <f t="array" ref="N169">drivePower($C$4,M169,$C$9,$C$10,$C$11)</f>
        <v>56.439323999999999</v>
      </c>
      <c r="O169" s="86">
        <f t="shared" si="24"/>
        <v>22271.039999999997</v>
      </c>
      <c r="P169" s="90">
        <f t="shared" si="5"/>
        <v>-1.5000000000000001E-4</v>
      </c>
      <c r="Q169" s="91">
        <f t="shared" si="6"/>
        <v>0.82280000000000009</v>
      </c>
      <c r="R169" s="98">
        <v>0.15</v>
      </c>
      <c r="S169" s="95">
        <f t="shared" si="11"/>
        <v>334400</v>
      </c>
      <c r="T169" s="92" cm="1">
        <f t="array" ref="T169">maxDepthToMinSOC($L$8,$L$9,$L$6,$L$7,$O169,$G$5,$G$6,drivePower($C$4,$M169,$G169,$C$10,$C$11),$I169,$G169,$G$4,$C$8)</f>
        <v>13977.300555408001</v>
      </c>
      <c r="U169" s="12" cm="1">
        <f t="array" ref="U169">maxDepthToMinSOC($L$8,$L$9,P169,Q169,$O169,$G$5,$G$6,drivePower($C$4,$M169,$G169,$C$10,$C$11),$I169,$G169,$G$4,$C$8)</f>
        <v>6703.8002663850784</v>
      </c>
      <c r="V169" s="93">
        <f t="shared" si="25"/>
        <v>10340.55041089654</v>
      </c>
    </row>
    <row r="170" spans="7:22" x14ac:dyDescent="0.35">
      <c r="G170" s="59">
        <f t="shared" si="1"/>
        <v>0.25</v>
      </c>
      <c r="H170" s="64" cm="1">
        <f t="array" ref="H170">drivePower($C$4,$C$5,G170,$C$10,$C$11)</f>
        <v>19.6038</v>
      </c>
      <c r="I170" s="84">
        <f t="shared" si="21"/>
        <v>24.679160599999999</v>
      </c>
      <c r="J170" s="84">
        <f t="shared" si="22"/>
        <v>44.282960599999996</v>
      </c>
      <c r="K170" s="60">
        <f t="shared" si="10"/>
        <v>336600</v>
      </c>
      <c r="L170" s="59">
        <f t="shared" si="23"/>
        <v>18.12</v>
      </c>
      <c r="M170" s="64">
        <f t="shared" si="26"/>
        <v>29.932000000000002</v>
      </c>
      <c r="N170" s="64" cm="1">
        <f t="array" ref="N170">drivePower($C$4,M170,$C$9,$C$10,$C$11)</f>
        <v>56.684894159999999</v>
      </c>
      <c r="O170" s="86">
        <f t="shared" si="24"/>
        <v>22417.56</v>
      </c>
      <c r="P170" s="90">
        <f t="shared" si="5"/>
        <v>-1.5000000000000001E-4</v>
      </c>
      <c r="Q170" s="91">
        <f t="shared" si="6"/>
        <v>0.82280000000000009</v>
      </c>
      <c r="R170" s="98">
        <v>0.15</v>
      </c>
      <c r="S170" s="95">
        <f t="shared" si="11"/>
        <v>336600</v>
      </c>
      <c r="T170" s="92" cm="1">
        <f t="array" ref="T170">maxDepthToMinSOC($L$8,$L$9,$L$6,$L$7,$O170,$G$5,$G$6,drivePower($C$4,$M170,$G170,$C$10,$C$11),$I170,$G170,$G$4,$C$8)</f>
        <v>14006.400556564331</v>
      </c>
      <c r="U170" s="12" cm="1">
        <f t="array" ref="U170">maxDepthToMinSOC($L$8,$L$9,P170,Q170,$O170,$G$5,$G$6,drivePower($C$4,$M170,$G170,$C$10,$C$11),$I170,$G170,$G$4,$C$8)</f>
        <v>6711.4502666890621</v>
      </c>
      <c r="V170" s="93">
        <f t="shared" si="25"/>
        <v>10358.925411626697</v>
      </c>
    </row>
    <row r="171" spans="7:22" x14ac:dyDescent="0.35">
      <c r="G171" s="59">
        <f t="shared" si="1"/>
        <v>0.25</v>
      </c>
      <c r="H171" s="64" cm="1">
        <f t="array" ref="H171">drivePower($C$4,$C$5,G171,$C$10,$C$11)</f>
        <v>19.6038</v>
      </c>
      <c r="I171" s="84">
        <f t="shared" si="21"/>
        <v>24.679160599999999</v>
      </c>
      <c r="J171" s="84">
        <f t="shared" si="22"/>
        <v>44.282960599999996</v>
      </c>
      <c r="K171" s="60">
        <f t="shared" si="10"/>
        <v>338800</v>
      </c>
      <c r="L171" s="59">
        <f t="shared" si="23"/>
        <v>18.239999999999998</v>
      </c>
      <c r="M171" s="64">
        <f t="shared" si="26"/>
        <v>30.064</v>
      </c>
      <c r="N171" s="64" cm="1">
        <f t="array" ref="N171">drivePower($C$4,M171,$C$9,$C$10,$C$11)</f>
        <v>56.930464319999999</v>
      </c>
      <c r="O171" s="86">
        <f t="shared" si="24"/>
        <v>22564.080000000002</v>
      </c>
      <c r="P171" s="90">
        <f t="shared" si="5"/>
        <v>-1.5000000000000001E-4</v>
      </c>
      <c r="Q171" s="91">
        <f t="shared" si="6"/>
        <v>0.82280000000000009</v>
      </c>
      <c r="R171" s="98">
        <v>0.15</v>
      </c>
      <c r="S171" s="95">
        <f t="shared" si="11"/>
        <v>338800</v>
      </c>
      <c r="T171" s="92" cm="1">
        <f t="array" ref="T171">maxDepthToMinSOC($L$8,$L$9,$L$6,$L$7,$O171,$G$5,$G$6,drivePower($C$4,$M171,$G171,$C$10,$C$11),$I171,$G171,$G$4,$C$8)</f>
        <v>14035.350557714701</v>
      </c>
      <c r="U171" s="12" cm="1">
        <f t="array" ref="U171">maxDepthToMinSOC($L$8,$L$9,P171,Q171,$O171,$G$5,$G$6,drivePower($C$4,$M171,$G171,$C$10,$C$11),$I171,$G171,$G$4,$C$8)</f>
        <v>6719.1002669930458</v>
      </c>
      <c r="V171" s="93">
        <f t="shared" si="25"/>
        <v>10377.225412353873</v>
      </c>
    </row>
    <row r="172" spans="7:22" x14ac:dyDescent="0.35">
      <c r="G172" s="59">
        <f t="shared" si="1"/>
        <v>0.25</v>
      </c>
      <c r="H172" s="64" cm="1">
        <f t="array" ref="H172">drivePower($C$4,$C$5,G172,$C$10,$C$11)</f>
        <v>19.6038</v>
      </c>
      <c r="I172" s="84">
        <f t="shared" si="21"/>
        <v>24.679160599999999</v>
      </c>
      <c r="J172" s="84">
        <f t="shared" si="22"/>
        <v>44.282960599999996</v>
      </c>
      <c r="K172" s="60">
        <f t="shared" si="10"/>
        <v>341000</v>
      </c>
      <c r="L172" s="59">
        <f t="shared" si="23"/>
        <v>18.36</v>
      </c>
      <c r="M172" s="64">
        <f t="shared" si="26"/>
        <v>30.196000000000002</v>
      </c>
      <c r="N172" s="64" cm="1">
        <f t="array" ref="N172">drivePower($C$4,M172,$C$9,$C$10,$C$11)</f>
        <v>57.176034479999998</v>
      </c>
      <c r="O172" s="86">
        <f t="shared" si="24"/>
        <v>22710.6</v>
      </c>
      <c r="P172" s="90">
        <f t="shared" si="5"/>
        <v>-1.5000000000000001E-4</v>
      </c>
      <c r="Q172" s="91">
        <f t="shared" si="6"/>
        <v>0.82280000000000009</v>
      </c>
      <c r="R172" s="98">
        <v>0.15</v>
      </c>
      <c r="S172" s="95">
        <f t="shared" si="11"/>
        <v>341000</v>
      </c>
      <c r="T172" s="92" cm="1">
        <f t="array" ref="T172">maxDepthToMinSOC($L$8,$L$9,$L$6,$L$7,$O172,$G$5,$G$6,drivePower($C$4,$M172,$G172,$C$10,$C$11),$I172,$G172,$G$4,$C$8)</f>
        <v>14064.000558853149</v>
      </c>
      <c r="U172" s="12" cm="1">
        <f t="array" ref="U172">maxDepthToMinSOC($L$8,$L$9,P172,Q172,$O172,$G$5,$G$6,drivePower($C$4,$M172,$G172,$C$10,$C$11),$I172,$G172,$G$4,$C$8)</f>
        <v>6726.7502672970295</v>
      </c>
      <c r="V172" s="93">
        <f t="shared" si="25"/>
        <v>10395.375413075089</v>
      </c>
    </row>
    <row r="173" spans="7:22" x14ac:dyDescent="0.35">
      <c r="G173" s="59">
        <f t="shared" si="1"/>
        <v>0.25</v>
      </c>
      <c r="H173" s="64" cm="1">
        <f t="array" ref="H173">drivePower($C$4,$C$5,G173,$C$10,$C$11)</f>
        <v>19.6038</v>
      </c>
      <c r="I173" s="84">
        <f t="shared" ref="I173:I212" si="27">I172</f>
        <v>24.679160599999999</v>
      </c>
      <c r="J173" s="84">
        <f t="shared" ref="J173:J212" si="28">H173+I173</f>
        <v>44.282960599999996</v>
      </c>
      <c r="K173" s="60">
        <f t="shared" si="10"/>
        <v>343200</v>
      </c>
      <c r="L173" s="59">
        <f t="shared" ref="L173:L212" si="29">(K173-4400)*(5*0.048)/4400</f>
        <v>18.48</v>
      </c>
      <c r="M173" s="64">
        <f t="shared" si="26"/>
        <v>30.328000000000003</v>
      </c>
      <c r="N173" s="64" cm="1">
        <f t="array" ref="N173">drivePower($C$4,M173,$C$9,$C$10,$C$11)</f>
        <v>57.421604640000005</v>
      </c>
      <c r="O173" s="86">
        <f t="shared" ref="O173:O212" si="30">K173*3.6/1000*$L$4</f>
        <v>22857.119999999999</v>
      </c>
      <c r="P173" s="90">
        <f t="shared" si="5"/>
        <v>-1.5000000000000001E-4</v>
      </c>
      <c r="Q173" s="91">
        <f t="shared" si="6"/>
        <v>0.82280000000000009</v>
      </c>
      <c r="R173" s="98">
        <v>0.15</v>
      </c>
      <c r="S173" s="95">
        <f t="shared" si="11"/>
        <v>343200</v>
      </c>
      <c r="T173" s="92" cm="1">
        <f t="array" ref="T173">maxDepthToMinSOC($L$8,$L$9,$L$6,$L$7,$O173,$G$5,$G$6,drivePower($C$4,$M173,$G173,$C$10,$C$11),$I173,$G173,$G$4,$C$8)</f>
        <v>14092.350559979677</v>
      </c>
      <c r="U173" s="12" cm="1">
        <f t="array" ref="U173">maxDepthToMinSOC($L$8,$L$9,P173,Q173,$O173,$G$5,$G$6,drivePower($C$4,$M173,$G173,$C$10,$C$11),$I173,$G173,$G$4,$C$8)</f>
        <v>6734.1002675890923</v>
      </c>
      <c r="V173" s="93">
        <f t="shared" si="25"/>
        <v>10413.225413784385</v>
      </c>
    </row>
    <row r="174" spans="7:22" x14ac:dyDescent="0.35">
      <c r="G174" s="59">
        <f t="shared" si="1"/>
        <v>0.25</v>
      </c>
      <c r="H174" s="64" cm="1">
        <f t="array" ref="H174">drivePower($C$4,$C$5,G174,$C$10,$C$11)</f>
        <v>19.6038</v>
      </c>
      <c r="I174" s="84">
        <f t="shared" si="27"/>
        <v>24.679160599999999</v>
      </c>
      <c r="J174" s="84">
        <f t="shared" si="28"/>
        <v>44.282960599999996</v>
      </c>
      <c r="K174" s="60">
        <f t="shared" si="10"/>
        <v>345400</v>
      </c>
      <c r="L174" s="59">
        <f t="shared" si="29"/>
        <v>18.600000000000001</v>
      </c>
      <c r="M174" s="64">
        <f t="shared" si="26"/>
        <v>30.460000000000004</v>
      </c>
      <c r="N174" s="64" cm="1">
        <f t="array" ref="N174">drivePower($C$4,M174,$C$9,$C$10,$C$11)</f>
        <v>57.667174800000005</v>
      </c>
      <c r="O174" s="86">
        <f t="shared" si="30"/>
        <v>23003.64</v>
      </c>
      <c r="P174" s="90">
        <f t="shared" si="5"/>
        <v>-1.5000000000000001E-4</v>
      </c>
      <c r="Q174" s="91">
        <f t="shared" si="6"/>
        <v>0.82280000000000009</v>
      </c>
      <c r="R174" s="98">
        <v>0.15</v>
      </c>
      <c r="S174" s="95">
        <f t="shared" si="11"/>
        <v>345400</v>
      </c>
      <c r="T174" s="92" cm="1">
        <f t="array" ref="T174">maxDepthToMinSOC($L$8,$L$9,$L$6,$L$7,$O174,$G$5,$G$6,drivePower($C$4,$M174,$G174,$C$10,$C$11),$I174,$G174,$G$4,$C$8)</f>
        <v>14120.550561100245</v>
      </c>
      <c r="U174" s="12" cm="1">
        <f t="array" ref="U174">maxDepthToMinSOC($L$8,$L$9,P174,Q174,$O174,$G$5,$G$6,drivePower($C$4,$M174,$G174,$C$10,$C$11),$I174,$G174,$G$4,$C$8)</f>
        <v>6741.6002678871155</v>
      </c>
      <c r="V174" s="93">
        <f t="shared" si="25"/>
        <v>10431.07541449368</v>
      </c>
    </row>
    <row r="175" spans="7:22" x14ac:dyDescent="0.35">
      <c r="G175" s="59">
        <f t="shared" si="1"/>
        <v>0.25</v>
      </c>
      <c r="H175" s="64" cm="1">
        <f t="array" ref="H175">drivePower($C$4,$C$5,G175,$C$10,$C$11)</f>
        <v>19.6038</v>
      </c>
      <c r="I175" s="84">
        <f t="shared" si="27"/>
        <v>24.679160599999999</v>
      </c>
      <c r="J175" s="84">
        <f t="shared" si="28"/>
        <v>44.282960599999996</v>
      </c>
      <c r="K175" s="60">
        <f t="shared" si="10"/>
        <v>347600</v>
      </c>
      <c r="L175" s="59">
        <f t="shared" si="29"/>
        <v>18.72</v>
      </c>
      <c r="M175" s="64">
        <f t="shared" si="26"/>
        <v>30.591999999999999</v>
      </c>
      <c r="N175" s="64" cm="1">
        <f t="array" ref="N175">drivePower($C$4,M175,$C$9,$C$10,$C$11)</f>
        <v>57.912744959999998</v>
      </c>
      <c r="O175" s="86">
        <f t="shared" si="30"/>
        <v>23150.16</v>
      </c>
      <c r="P175" s="90">
        <f t="shared" si="5"/>
        <v>-1.5000000000000001E-4</v>
      </c>
      <c r="Q175" s="91">
        <f t="shared" si="6"/>
        <v>0.82280000000000009</v>
      </c>
      <c r="R175" s="98">
        <v>0.15</v>
      </c>
      <c r="S175" s="95">
        <f t="shared" si="11"/>
        <v>347600</v>
      </c>
      <c r="T175" s="92" cm="1">
        <f t="array" ref="T175">maxDepthToMinSOC($L$8,$L$9,$L$6,$L$7,$O175,$G$5,$G$6,drivePower($C$4,$M175,$G175,$C$10,$C$11),$I175,$G175,$G$4,$C$8)</f>
        <v>14148.450562208891</v>
      </c>
      <c r="U175" s="12" cm="1">
        <f t="array" ref="U175">maxDepthToMinSOC($L$8,$L$9,P175,Q175,$O175,$G$5,$G$6,drivePower($C$4,$M175,$G175,$C$10,$C$11),$I175,$G175,$G$4,$C$8)</f>
        <v>6748.8002681732178</v>
      </c>
      <c r="V175" s="93">
        <f t="shared" si="25"/>
        <v>10448.625415191054</v>
      </c>
    </row>
    <row r="176" spans="7:22" x14ac:dyDescent="0.35">
      <c r="G176" s="59">
        <f t="shared" si="1"/>
        <v>0.25</v>
      </c>
      <c r="H176" s="64" cm="1">
        <f t="array" ref="H176">drivePower($C$4,$C$5,G176,$C$10,$C$11)</f>
        <v>19.6038</v>
      </c>
      <c r="I176" s="84">
        <f t="shared" si="27"/>
        <v>24.679160599999999</v>
      </c>
      <c r="J176" s="84">
        <f t="shared" si="28"/>
        <v>44.282960599999996</v>
      </c>
      <c r="K176" s="60">
        <f t="shared" si="10"/>
        <v>349800</v>
      </c>
      <c r="L176" s="59">
        <f t="shared" si="29"/>
        <v>18.84</v>
      </c>
      <c r="M176" s="64">
        <f t="shared" si="26"/>
        <v>30.724</v>
      </c>
      <c r="N176" s="64" cm="1">
        <f t="array" ref="N176">drivePower($C$4,M176,$C$9,$C$10,$C$11)</f>
        <v>58.158315119999997</v>
      </c>
      <c r="O176" s="86">
        <f t="shared" si="30"/>
        <v>23296.68</v>
      </c>
      <c r="P176" s="90">
        <f t="shared" si="5"/>
        <v>-1.5000000000000001E-4</v>
      </c>
      <c r="Q176" s="91">
        <f t="shared" si="6"/>
        <v>0.82280000000000009</v>
      </c>
      <c r="R176" s="98">
        <v>0.15</v>
      </c>
      <c r="S176" s="95">
        <f t="shared" si="11"/>
        <v>349800</v>
      </c>
      <c r="T176" s="92" cm="1">
        <f t="array" ref="T176">maxDepthToMinSOC($L$8,$L$9,$L$6,$L$7,$O176,$G$5,$G$6,drivePower($C$4,$M176,$G176,$C$10,$C$11),$I176,$G176,$G$4,$C$8)</f>
        <v>14176.050563305616</v>
      </c>
      <c r="U176" s="12" cm="1">
        <f t="array" ref="U176">maxDepthToMinSOC($L$8,$L$9,P176,Q176,$O176,$G$5,$G$6,drivePower($C$4,$M176,$G176,$C$10,$C$11),$I176,$G176,$G$4,$C$8)</f>
        <v>6756.1502684652805</v>
      </c>
      <c r="V176" s="93">
        <f t="shared" si="25"/>
        <v>10466.100415885448</v>
      </c>
    </row>
    <row r="177" spans="7:22" x14ac:dyDescent="0.35">
      <c r="G177" s="59">
        <f t="shared" si="1"/>
        <v>0.25</v>
      </c>
      <c r="H177" s="64" cm="1">
        <f t="array" ref="H177">drivePower($C$4,$C$5,G177,$C$10,$C$11)</f>
        <v>19.6038</v>
      </c>
      <c r="I177" s="84">
        <f t="shared" si="27"/>
        <v>24.679160599999999</v>
      </c>
      <c r="J177" s="84">
        <f t="shared" si="28"/>
        <v>44.282960599999996</v>
      </c>
      <c r="K177" s="60">
        <f t="shared" si="10"/>
        <v>352000</v>
      </c>
      <c r="L177" s="59">
        <f t="shared" si="29"/>
        <v>18.96</v>
      </c>
      <c r="M177" s="64">
        <f t="shared" si="26"/>
        <v>30.856000000000002</v>
      </c>
      <c r="N177" s="64" cm="1">
        <f t="array" ref="N177">drivePower($C$4,M177,$C$9,$C$10,$C$11)</f>
        <v>58.403885279999997</v>
      </c>
      <c r="O177" s="86">
        <f t="shared" si="30"/>
        <v>23443.200000000001</v>
      </c>
      <c r="P177" s="90">
        <f t="shared" si="5"/>
        <v>-1.5000000000000001E-4</v>
      </c>
      <c r="Q177" s="91">
        <f t="shared" si="6"/>
        <v>0.82280000000000009</v>
      </c>
      <c r="R177" s="98">
        <v>0.15</v>
      </c>
      <c r="S177" s="95">
        <f t="shared" si="11"/>
        <v>352000</v>
      </c>
      <c r="T177" s="92" cm="1">
        <f t="array" ref="T177">maxDepthToMinSOC($L$8,$L$9,$L$6,$L$7,$O177,$G$5,$G$6,drivePower($C$4,$M177,$G177,$C$10,$C$11),$I177,$G177,$G$4,$C$8)</f>
        <v>14203.500564396381</v>
      </c>
      <c r="U177" s="12" cm="1">
        <f t="array" ref="U177">maxDepthToMinSOC($L$8,$L$9,P177,Q177,$O177,$G$5,$G$6,drivePower($C$4,$M177,$G177,$C$10,$C$11),$I177,$G177,$G$4,$C$8)</f>
        <v>6763.2002687454224</v>
      </c>
      <c r="V177" s="93">
        <f t="shared" si="25"/>
        <v>10483.350416570902</v>
      </c>
    </row>
    <row r="178" spans="7:22" x14ac:dyDescent="0.35">
      <c r="G178" s="59">
        <f t="shared" si="1"/>
        <v>0.25</v>
      </c>
      <c r="H178" s="64" cm="1">
        <f t="array" ref="H178">drivePower($C$4,$C$5,G178,$C$10,$C$11)</f>
        <v>19.6038</v>
      </c>
      <c r="I178" s="84">
        <f t="shared" si="27"/>
        <v>24.679160599999999</v>
      </c>
      <c r="J178" s="84">
        <f t="shared" si="28"/>
        <v>44.282960599999996</v>
      </c>
      <c r="K178" s="60">
        <f t="shared" si="10"/>
        <v>354200</v>
      </c>
      <c r="L178" s="59">
        <f t="shared" si="29"/>
        <v>19.079999999999998</v>
      </c>
      <c r="M178" s="64">
        <f t="shared" si="26"/>
        <v>30.988</v>
      </c>
      <c r="N178" s="64" cm="1">
        <f t="array" ref="N178">drivePower($C$4,M178,$C$9,$C$10,$C$11)</f>
        <v>58.649455439999997</v>
      </c>
      <c r="O178" s="86">
        <f t="shared" si="30"/>
        <v>23589.719999999998</v>
      </c>
      <c r="P178" s="90">
        <f t="shared" si="5"/>
        <v>-1.5000000000000001E-4</v>
      </c>
      <c r="Q178" s="91">
        <f t="shared" si="6"/>
        <v>0.82280000000000009</v>
      </c>
      <c r="R178" s="98">
        <v>0.15</v>
      </c>
      <c r="S178" s="95">
        <f t="shared" si="11"/>
        <v>354200</v>
      </c>
      <c r="T178" s="92" cm="1">
        <f t="array" ref="T178">maxDepthToMinSOC($L$8,$L$9,$L$6,$L$7,$O178,$G$5,$G$6,drivePower($C$4,$M178,$G178,$C$10,$C$11),$I178,$G178,$G$4,$C$8)</f>
        <v>14230.650565475225</v>
      </c>
      <c r="U178" s="12" cm="1">
        <f t="array" ref="U178">maxDepthToMinSOC($L$8,$L$9,P178,Q178,$O178,$G$5,$G$6,drivePower($C$4,$M178,$G178,$C$10,$C$11),$I178,$G178,$G$4,$C$8)</f>
        <v>6770.4002690315247</v>
      </c>
      <c r="V178" s="93">
        <f t="shared" si="25"/>
        <v>10500.525417253375</v>
      </c>
    </row>
    <row r="179" spans="7:22" x14ac:dyDescent="0.35">
      <c r="G179" s="59">
        <f t="shared" si="1"/>
        <v>0.25</v>
      </c>
      <c r="H179" s="64" cm="1">
        <f t="array" ref="H179">drivePower($C$4,$C$5,G179,$C$10,$C$11)</f>
        <v>19.6038</v>
      </c>
      <c r="I179" s="84">
        <f t="shared" si="27"/>
        <v>24.679160599999999</v>
      </c>
      <c r="J179" s="84">
        <f t="shared" si="28"/>
        <v>44.282960599999996</v>
      </c>
      <c r="K179" s="60">
        <f t="shared" si="10"/>
        <v>356400</v>
      </c>
      <c r="L179" s="59">
        <f t="shared" si="29"/>
        <v>19.2</v>
      </c>
      <c r="M179" s="64">
        <f t="shared" si="26"/>
        <v>31.12</v>
      </c>
      <c r="N179" s="64" cm="1">
        <f t="array" ref="N179">drivePower($C$4,M179,$C$9,$C$10,$C$11)</f>
        <v>58.895025599999997</v>
      </c>
      <c r="O179" s="86">
        <f t="shared" si="30"/>
        <v>23736.239999999998</v>
      </c>
      <c r="P179" s="90">
        <f t="shared" si="5"/>
        <v>-1.5000000000000001E-4</v>
      </c>
      <c r="Q179" s="91">
        <f t="shared" si="6"/>
        <v>0.82280000000000009</v>
      </c>
      <c r="R179" s="98">
        <v>0.15</v>
      </c>
      <c r="S179" s="95">
        <f t="shared" si="11"/>
        <v>356400</v>
      </c>
      <c r="T179" s="92" cm="1">
        <f t="array" ref="T179">maxDepthToMinSOC($L$8,$L$9,$L$6,$L$7,$O179,$G$5,$G$6,drivePower($C$4,$M179,$G179,$C$10,$C$11),$I179,$G179,$G$4,$C$8)</f>
        <v>14257.500566542149</v>
      </c>
      <c r="U179" s="12" cm="1">
        <f t="array" ref="U179">maxDepthToMinSOC($L$8,$L$9,P179,Q179,$O179,$G$5,$G$6,drivePower($C$4,$M179,$G179,$C$10,$C$11),$I179,$G179,$G$4,$C$8)</f>
        <v>6777.300269305706</v>
      </c>
      <c r="V179" s="93">
        <f t="shared" si="25"/>
        <v>10517.400417923927</v>
      </c>
    </row>
    <row r="180" spans="7:22" x14ac:dyDescent="0.35">
      <c r="G180" s="59">
        <f t="shared" si="1"/>
        <v>0.25</v>
      </c>
      <c r="H180" s="64" cm="1">
        <f t="array" ref="H180">drivePower($C$4,$C$5,G180,$C$10,$C$11)</f>
        <v>19.6038</v>
      </c>
      <c r="I180" s="84">
        <f t="shared" si="27"/>
        <v>24.679160599999999</v>
      </c>
      <c r="J180" s="84">
        <f t="shared" si="28"/>
        <v>44.282960599999996</v>
      </c>
      <c r="K180" s="60">
        <f t="shared" si="10"/>
        <v>358600</v>
      </c>
      <c r="L180" s="59">
        <f t="shared" si="29"/>
        <v>19.32</v>
      </c>
      <c r="M180" s="64">
        <f t="shared" si="26"/>
        <v>31.252000000000002</v>
      </c>
      <c r="N180" s="64" cm="1">
        <f t="array" ref="N180">drivePower($C$4,M180,$C$9,$C$10,$C$11)</f>
        <v>59.140595760000004</v>
      </c>
      <c r="O180" s="86">
        <f t="shared" si="30"/>
        <v>23882.760000000002</v>
      </c>
      <c r="P180" s="90">
        <f t="shared" si="5"/>
        <v>-1.5000000000000001E-4</v>
      </c>
      <c r="Q180" s="91">
        <f t="shared" si="6"/>
        <v>0.82280000000000009</v>
      </c>
      <c r="R180" s="98">
        <v>0.15</v>
      </c>
      <c r="S180" s="95">
        <f t="shared" si="11"/>
        <v>358600</v>
      </c>
      <c r="T180" s="92" cm="1">
        <f t="array" ref="T180">maxDepthToMinSOC($L$8,$L$9,$L$6,$L$7,$O180,$G$5,$G$6,drivePower($C$4,$M180,$G180,$C$10,$C$11),$I180,$G180,$G$4,$C$8)</f>
        <v>14284.200567603111</v>
      </c>
      <c r="U180" s="12" cm="1">
        <f t="array" ref="U180">maxDepthToMinSOC($L$8,$L$9,P180,Q180,$O180,$G$5,$G$6,drivePower($C$4,$M180,$G180,$C$10,$C$11),$I180,$G180,$G$4,$C$8)</f>
        <v>6784.3502695858479</v>
      </c>
      <c r="V180" s="93">
        <f t="shared" si="25"/>
        <v>10534.27541859448</v>
      </c>
    </row>
    <row r="181" spans="7:22" x14ac:dyDescent="0.35">
      <c r="G181" s="59">
        <f t="shared" si="1"/>
        <v>0.25</v>
      </c>
      <c r="H181" s="64" cm="1">
        <f t="array" ref="H181">drivePower($C$4,$C$5,G181,$C$10,$C$11)</f>
        <v>19.6038</v>
      </c>
      <c r="I181" s="84">
        <f t="shared" si="27"/>
        <v>24.679160599999999</v>
      </c>
      <c r="J181" s="84">
        <f t="shared" si="28"/>
        <v>44.282960599999996</v>
      </c>
      <c r="K181" s="60">
        <f t="shared" si="10"/>
        <v>360800</v>
      </c>
      <c r="L181" s="59">
        <f t="shared" si="29"/>
        <v>19.440000000000001</v>
      </c>
      <c r="M181" s="64">
        <f t="shared" si="26"/>
        <v>31.384000000000004</v>
      </c>
      <c r="N181" s="64" cm="1">
        <f t="array" ref="N181">drivePower($C$4,M181,$C$9,$C$10,$C$11)</f>
        <v>59.386165920000003</v>
      </c>
      <c r="O181" s="86">
        <f t="shared" si="30"/>
        <v>24029.280000000002</v>
      </c>
      <c r="P181" s="90">
        <f t="shared" si="5"/>
        <v>-1.5000000000000001E-4</v>
      </c>
      <c r="Q181" s="91">
        <f t="shared" si="6"/>
        <v>0.82280000000000009</v>
      </c>
      <c r="R181" s="98">
        <v>0.15</v>
      </c>
      <c r="S181" s="95">
        <f t="shared" si="11"/>
        <v>360800</v>
      </c>
      <c r="T181" s="92" cm="1">
        <f t="array" ref="T181">maxDepthToMinSOC($L$8,$L$9,$L$6,$L$7,$O181,$G$5,$G$6,drivePower($C$4,$M181,$G181,$C$10,$C$11),$I181,$G181,$G$4,$C$8)</f>
        <v>14310.750568658113</v>
      </c>
      <c r="U181" s="12" cm="1">
        <f t="array" ref="U181">maxDepthToMinSOC($L$8,$L$9,P181,Q181,$O181,$G$5,$G$6,drivePower($C$4,$M181,$G181,$C$10,$C$11),$I181,$G181,$G$4,$C$8)</f>
        <v>6791.1002698540688</v>
      </c>
      <c r="V181" s="93">
        <f t="shared" si="25"/>
        <v>10550.925419256091</v>
      </c>
    </row>
    <row r="182" spans="7:22" x14ac:dyDescent="0.35">
      <c r="G182" s="59">
        <f t="shared" si="1"/>
        <v>0.25</v>
      </c>
      <c r="H182" s="64" cm="1">
        <f t="array" ref="H182">drivePower($C$4,$C$5,G182,$C$10,$C$11)</f>
        <v>19.6038</v>
      </c>
      <c r="I182" s="84">
        <f t="shared" si="27"/>
        <v>24.679160599999999</v>
      </c>
      <c r="J182" s="84">
        <f t="shared" si="28"/>
        <v>44.282960599999996</v>
      </c>
      <c r="K182" s="60">
        <f t="shared" si="10"/>
        <v>363000</v>
      </c>
      <c r="L182" s="59">
        <f t="shared" si="29"/>
        <v>19.559999999999999</v>
      </c>
      <c r="M182" s="64">
        <f t="shared" si="26"/>
        <v>31.516000000000002</v>
      </c>
      <c r="N182" s="64" cm="1">
        <f t="array" ref="N182">drivePower($C$4,M182,$C$9,$C$10,$C$11)</f>
        <v>59.631736080000003</v>
      </c>
      <c r="O182" s="86">
        <f t="shared" si="30"/>
        <v>24175.8</v>
      </c>
      <c r="P182" s="90">
        <f t="shared" si="5"/>
        <v>-1.5000000000000001E-4</v>
      </c>
      <c r="Q182" s="91">
        <f t="shared" si="6"/>
        <v>0.82280000000000009</v>
      </c>
      <c r="R182" s="98">
        <v>0.15</v>
      </c>
      <c r="S182" s="95">
        <f t="shared" si="11"/>
        <v>363000</v>
      </c>
      <c r="T182" s="92" cm="1">
        <f t="array" ref="T182">maxDepthToMinSOC($L$8,$L$9,$L$6,$L$7,$O182,$G$5,$G$6,drivePower($C$4,$M182,$G182,$C$10,$C$11),$I182,$G182,$G$4,$C$8)</f>
        <v>14337.000569701195</v>
      </c>
      <c r="U182" s="12" cm="1">
        <f t="array" ref="U182">maxDepthToMinSOC($L$8,$L$9,P182,Q182,$O182,$G$5,$G$6,drivePower($C$4,$M182,$G182,$C$10,$C$11),$I182,$G182,$G$4,$C$8)</f>
        <v>6798.0002701282501</v>
      </c>
      <c r="V182" s="93">
        <f t="shared" si="25"/>
        <v>10567.500419914722</v>
      </c>
    </row>
    <row r="183" spans="7:22" x14ac:dyDescent="0.35">
      <c r="G183" s="59">
        <f t="shared" si="1"/>
        <v>0.25</v>
      </c>
      <c r="H183" s="64" cm="1">
        <f t="array" ref="H183">drivePower($C$4,$C$5,G183,$C$10,$C$11)</f>
        <v>19.6038</v>
      </c>
      <c r="I183" s="84">
        <f t="shared" si="27"/>
        <v>24.679160599999999</v>
      </c>
      <c r="J183" s="84">
        <f t="shared" si="28"/>
        <v>44.282960599999996</v>
      </c>
      <c r="K183" s="60">
        <f t="shared" si="10"/>
        <v>365200</v>
      </c>
      <c r="L183" s="59">
        <f t="shared" si="29"/>
        <v>19.68</v>
      </c>
      <c r="M183" s="64">
        <f t="shared" si="26"/>
        <v>31.648</v>
      </c>
      <c r="N183" s="64" cm="1">
        <f t="array" ref="N183">drivePower($C$4,M183,$C$9,$C$10,$C$11)</f>
        <v>59.877306239999996</v>
      </c>
      <c r="O183" s="86">
        <f t="shared" si="30"/>
        <v>24322.32</v>
      </c>
      <c r="P183" s="90">
        <f t="shared" si="5"/>
        <v>-1.5000000000000001E-4</v>
      </c>
      <c r="Q183" s="91">
        <f t="shared" si="6"/>
        <v>0.82280000000000009</v>
      </c>
      <c r="R183" s="98">
        <v>0.15</v>
      </c>
      <c r="S183" s="95">
        <f t="shared" si="11"/>
        <v>365200</v>
      </c>
      <c r="T183" s="92" cm="1">
        <f t="array" ref="T183">maxDepthToMinSOC($L$8,$L$9,$L$6,$L$7,$O183,$G$5,$G$6,drivePower($C$4,$M183,$G183,$C$10,$C$11),$I183,$G183,$G$4,$C$8)</f>
        <v>14362.950570732355</v>
      </c>
      <c r="U183" s="12" cm="1">
        <f t="array" ref="U183">maxDepthToMinSOC($L$8,$L$9,P183,Q183,$O183,$G$5,$G$6,drivePower($C$4,$M183,$G183,$C$10,$C$11),$I183,$G183,$G$4,$C$8)</f>
        <v>6804.750270396471</v>
      </c>
      <c r="V183" s="93">
        <f t="shared" si="25"/>
        <v>10583.850420564413</v>
      </c>
    </row>
    <row r="184" spans="7:22" x14ac:dyDescent="0.35">
      <c r="G184" s="59">
        <f t="shared" si="1"/>
        <v>0.25</v>
      </c>
      <c r="H184" s="64" cm="1">
        <f t="array" ref="H184">drivePower($C$4,$C$5,G184,$C$10,$C$11)</f>
        <v>19.6038</v>
      </c>
      <c r="I184" s="84">
        <f t="shared" si="27"/>
        <v>24.679160599999999</v>
      </c>
      <c r="J184" s="84">
        <f t="shared" si="28"/>
        <v>44.282960599999996</v>
      </c>
      <c r="K184" s="60">
        <f t="shared" si="10"/>
        <v>367400</v>
      </c>
      <c r="L184" s="59">
        <f t="shared" si="29"/>
        <v>19.8</v>
      </c>
      <c r="M184" s="64">
        <f t="shared" si="26"/>
        <v>31.78</v>
      </c>
      <c r="N184" s="64" cm="1">
        <f t="array" ref="N184">drivePower($C$4,M184,$C$9,$C$10,$C$11)</f>
        <v>60.122876400000003</v>
      </c>
      <c r="O184" s="86">
        <f t="shared" si="30"/>
        <v>24468.84</v>
      </c>
      <c r="P184" s="90">
        <f t="shared" si="5"/>
        <v>-1.5000000000000001E-4</v>
      </c>
      <c r="Q184" s="91">
        <f t="shared" si="6"/>
        <v>0.82280000000000009</v>
      </c>
      <c r="R184" s="98">
        <v>0.15</v>
      </c>
      <c r="S184" s="95">
        <f t="shared" si="11"/>
        <v>367400</v>
      </c>
      <c r="T184" s="92" cm="1">
        <f t="array" ref="T184">maxDepthToMinSOC($L$8,$L$9,$L$6,$L$7,$O184,$G$5,$G$6,drivePower($C$4,$M184,$G184,$C$10,$C$11),$I184,$G184,$G$4,$C$8)</f>
        <v>14388.750571757555</v>
      </c>
      <c r="U184" s="12" cm="1">
        <f t="array" ref="U184">maxDepthToMinSOC($L$8,$L$9,P184,Q184,$O184,$G$5,$G$6,drivePower($C$4,$M184,$G184,$C$10,$C$11),$I184,$G184,$G$4,$C$8)</f>
        <v>6811.3502706587315</v>
      </c>
      <c r="V184" s="93">
        <f t="shared" si="25"/>
        <v>10600.050421208143</v>
      </c>
    </row>
    <row r="185" spans="7:22" x14ac:dyDescent="0.35">
      <c r="G185" s="59">
        <f t="shared" si="1"/>
        <v>0.25</v>
      </c>
      <c r="H185" s="64" cm="1">
        <f t="array" ref="H185">drivePower($C$4,$C$5,G185,$C$10,$C$11)</f>
        <v>19.6038</v>
      </c>
      <c r="I185" s="84">
        <f t="shared" si="27"/>
        <v>24.679160599999999</v>
      </c>
      <c r="J185" s="84">
        <f t="shared" si="28"/>
        <v>44.282960599999996</v>
      </c>
      <c r="K185" s="60">
        <f t="shared" si="10"/>
        <v>369600</v>
      </c>
      <c r="L185" s="59">
        <f t="shared" si="29"/>
        <v>19.920000000000002</v>
      </c>
      <c r="M185" s="64">
        <f t="shared" si="26"/>
        <v>31.912000000000003</v>
      </c>
      <c r="N185" s="64" cm="1">
        <f t="array" ref="N185">drivePower($C$4,M185,$C$9,$C$10,$C$11)</f>
        <v>60.368446560000002</v>
      </c>
      <c r="O185" s="86">
        <f t="shared" si="30"/>
        <v>24615.360000000001</v>
      </c>
      <c r="P185" s="90">
        <f t="shared" si="5"/>
        <v>-1.5000000000000001E-4</v>
      </c>
      <c r="Q185" s="91">
        <f t="shared" si="6"/>
        <v>0.82280000000000009</v>
      </c>
      <c r="R185" s="98">
        <v>0.15</v>
      </c>
      <c r="S185" s="95">
        <f t="shared" si="11"/>
        <v>369600</v>
      </c>
      <c r="T185" s="92" cm="1">
        <f t="array" ref="T185">maxDepthToMinSOC($L$8,$L$9,$L$6,$L$7,$O185,$G$5,$G$6,drivePower($C$4,$M185,$G185,$C$10,$C$11),$I185,$G185,$G$4,$C$8)</f>
        <v>14414.400572776794</v>
      </c>
      <c r="U185" s="12" cm="1">
        <f t="array" ref="U185">maxDepthToMinSOC($L$8,$L$9,P185,Q185,$O185,$G$5,$G$6,drivePower($C$4,$M185,$G185,$C$10,$C$11),$I185,$G185,$G$4,$C$8)</f>
        <v>6817.9502709209919</v>
      </c>
      <c r="V185" s="93">
        <f t="shared" si="25"/>
        <v>10616.175421848893</v>
      </c>
    </row>
    <row r="186" spans="7:22" x14ac:dyDescent="0.35">
      <c r="G186" s="59">
        <f t="shared" si="1"/>
        <v>0.25</v>
      </c>
      <c r="H186" s="64" cm="1">
        <f t="array" ref="H186">drivePower($C$4,$C$5,G186,$C$10,$C$11)</f>
        <v>19.6038</v>
      </c>
      <c r="I186" s="84">
        <f t="shared" si="27"/>
        <v>24.679160599999999</v>
      </c>
      <c r="J186" s="84">
        <f t="shared" si="28"/>
        <v>44.282960599999996</v>
      </c>
      <c r="K186" s="60">
        <f t="shared" si="10"/>
        <v>371800</v>
      </c>
      <c r="L186" s="59">
        <f t="shared" si="29"/>
        <v>20.04</v>
      </c>
      <c r="M186" s="64">
        <f t="shared" si="26"/>
        <v>32.043999999999997</v>
      </c>
      <c r="N186" s="64" cm="1">
        <f t="array" ref="N186">drivePower($C$4,M186,$C$9,$C$10,$C$11)</f>
        <v>60.614016719999995</v>
      </c>
      <c r="O186" s="86">
        <f t="shared" si="30"/>
        <v>24761.88</v>
      </c>
      <c r="P186" s="90">
        <f t="shared" si="5"/>
        <v>-1.5000000000000001E-4</v>
      </c>
      <c r="Q186" s="91">
        <f t="shared" si="6"/>
        <v>0.82280000000000009</v>
      </c>
      <c r="R186" s="98">
        <v>0.15</v>
      </c>
      <c r="S186" s="95">
        <f t="shared" si="11"/>
        <v>371800</v>
      </c>
      <c r="T186" s="92" cm="1">
        <f t="array" ref="T186">maxDepthToMinSOC($L$8,$L$9,$L$6,$L$7,$O186,$G$5,$G$6,drivePower($C$4,$M186,$G186,$C$10,$C$11),$I186,$G186,$G$4,$C$8)</f>
        <v>14439.750573784113</v>
      </c>
      <c r="U186" s="12" cm="1">
        <f t="array" ref="U186">maxDepthToMinSOC($L$8,$L$9,P186,Q186,$O186,$G$5,$G$6,drivePower($C$4,$M186,$G186,$C$10,$C$11),$I186,$G186,$G$4,$C$8)</f>
        <v>6824.4002711772919</v>
      </c>
      <c r="V186" s="93">
        <f t="shared" si="25"/>
        <v>10632.075422480702</v>
      </c>
    </row>
    <row r="187" spans="7:22" x14ac:dyDescent="0.35">
      <c r="G187" s="59">
        <f t="shared" si="1"/>
        <v>0.25</v>
      </c>
      <c r="H187" s="64" cm="1">
        <f t="array" ref="H187">drivePower($C$4,$C$5,G187,$C$10,$C$11)</f>
        <v>19.6038</v>
      </c>
      <c r="I187" s="84">
        <f t="shared" si="27"/>
        <v>24.679160599999999</v>
      </c>
      <c r="J187" s="84">
        <f t="shared" si="28"/>
        <v>44.282960599999996</v>
      </c>
      <c r="K187" s="60">
        <f t="shared" si="10"/>
        <v>374000</v>
      </c>
      <c r="L187" s="59">
        <f t="shared" si="29"/>
        <v>20.16</v>
      </c>
      <c r="M187" s="64">
        <f t="shared" si="26"/>
        <v>32.176000000000002</v>
      </c>
      <c r="N187" s="64" cm="1">
        <f t="array" ref="N187">drivePower($C$4,M187,$C$9,$C$10,$C$11)</f>
        <v>60.859586880000002</v>
      </c>
      <c r="O187" s="86">
        <f t="shared" si="30"/>
        <v>24908.400000000001</v>
      </c>
      <c r="P187" s="90">
        <f t="shared" si="5"/>
        <v>-1.5000000000000001E-4</v>
      </c>
      <c r="Q187" s="91">
        <f t="shared" si="6"/>
        <v>0.82280000000000009</v>
      </c>
      <c r="R187" s="98">
        <v>0.15</v>
      </c>
      <c r="S187" s="95">
        <f t="shared" si="11"/>
        <v>374000</v>
      </c>
      <c r="T187" s="92" cm="1">
        <f t="array" ref="T187">maxDepthToMinSOC($L$8,$L$9,$L$6,$L$7,$O187,$G$5,$G$6,drivePower($C$4,$M187,$G187,$C$10,$C$11),$I187,$G187,$G$4,$C$8)</f>
        <v>14464.950574785471</v>
      </c>
      <c r="U187" s="12" cm="1">
        <f t="array" ref="U187">maxDepthToMinSOC($L$8,$L$9,P187,Q187,$O187,$G$5,$G$6,drivePower($C$4,$M187,$G187,$C$10,$C$11),$I187,$G187,$G$4,$C$8)</f>
        <v>6831.0002714395523</v>
      </c>
      <c r="V187" s="93">
        <f t="shared" si="25"/>
        <v>10647.975423112512</v>
      </c>
    </row>
    <row r="188" spans="7:22" x14ac:dyDescent="0.35">
      <c r="G188" s="59">
        <f t="shared" si="1"/>
        <v>0.25</v>
      </c>
      <c r="H188" s="64" cm="1">
        <f t="array" ref="H188">drivePower($C$4,$C$5,G188,$C$10,$C$11)</f>
        <v>19.6038</v>
      </c>
      <c r="I188" s="84">
        <f t="shared" si="27"/>
        <v>24.679160599999999</v>
      </c>
      <c r="J188" s="84">
        <f t="shared" si="28"/>
        <v>44.282960599999996</v>
      </c>
      <c r="K188" s="60">
        <f t="shared" si="10"/>
        <v>376200</v>
      </c>
      <c r="L188" s="59">
        <f t="shared" si="29"/>
        <v>20.28</v>
      </c>
      <c r="M188" s="64">
        <f t="shared" si="26"/>
        <v>32.308000000000007</v>
      </c>
      <c r="N188" s="64" cm="1">
        <f t="array" ref="N188">drivePower($C$4,M188,$C$9,$C$10,$C$11)</f>
        <v>61.105157040000009</v>
      </c>
      <c r="O188" s="86">
        <f t="shared" si="30"/>
        <v>25054.92</v>
      </c>
      <c r="P188" s="90">
        <f t="shared" si="5"/>
        <v>-1.5000000000000001E-4</v>
      </c>
      <c r="Q188" s="91">
        <f t="shared" si="6"/>
        <v>0.82280000000000009</v>
      </c>
      <c r="R188" s="98">
        <v>0.15</v>
      </c>
      <c r="S188" s="95">
        <f t="shared" si="11"/>
        <v>376200</v>
      </c>
      <c r="T188" s="92" cm="1">
        <f t="array" ref="T188">maxDepthToMinSOC($L$8,$L$9,$L$6,$L$7,$O188,$G$5,$G$6,drivePower($C$4,$M188,$G188,$C$10,$C$11),$I188,$G188,$G$4,$C$8)</f>
        <v>14489.850575774908</v>
      </c>
      <c r="U188" s="12" cm="1">
        <f t="array" ref="U188">maxDepthToMinSOC($L$8,$L$9,P188,Q188,$O188,$G$5,$G$6,drivePower($C$4,$M188,$G188,$C$10,$C$11),$I188,$G188,$G$4,$C$8)</f>
        <v>6837.3002716898918</v>
      </c>
      <c r="V188" s="93">
        <f t="shared" si="25"/>
        <v>10663.5754237324</v>
      </c>
    </row>
    <row r="189" spans="7:22" x14ac:dyDescent="0.35">
      <c r="G189" s="59">
        <f t="shared" si="1"/>
        <v>0.25</v>
      </c>
      <c r="H189" s="64" cm="1">
        <f t="array" ref="H189">drivePower($C$4,$C$5,G189,$C$10,$C$11)</f>
        <v>19.6038</v>
      </c>
      <c r="I189" s="84">
        <f t="shared" si="27"/>
        <v>24.679160599999999</v>
      </c>
      <c r="J189" s="84">
        <f t="shared" si="28"/>
        <v>44.282960599999996</v>
      </c>
      <c r="K189" s="60">
        <f t="shared" si="10"/>
        <v>378400</v>
      </c>
      <c r="L189" s="59">
        <f t="shared" si="29"/>
        <v>20.399999999999999</v>
      </c>
      <c r="M189" s="64">
        <f t="shared" si="26"/>
        <v>32.44</v>
      </c>
      <c r="N189" s="64" cm="1">
        <f t="array" ref="N189">drivePower($C$4,M189,$C$9,$C$10,$C$11)</f>
        <v>61.350727199999994</v>
      </c>
      <c r="O189" s="86">
        <f t="shared" si="30"/>
        <v>25201.439999999999</v>
      </c>
      <c r="P189" s="90">
        <f t="shared" si="5"/>
        <v>-1.5000000000000001E-4</v>
      </c>
      <c r="Q189" s="91">
        <f t="shared" si="6"/>
        <v>0.82280000000000009</v>
      </c>
      <c r="R189" s="98">
        <v>0.15</v>
      </c>
      <c r="S189" s="95">
        <f t="shared" si="11"/>
        <v>378400</v>
      </c>
      <c r="T189" s="92" cm="1">
        <f t="array" ref="T189">maxDepthToMinSOC($L$8,$L$9,$L$6,$L$7,$O189,$G$5,$G$6,drivePower($C$4,$M189,$G189,$C$10,$C$11),$I189,$G189,$G$4,$C$8)</f>
        <v>14514.600576758385</v>
      </c>
      <c r="U189" s="12" cm="1">
        <f t="array" ref="U189">maxDepthToMinSOC($L$8,$L$9,P189,Q189,$O189,$G$5,$G$6,drivePower($C$4,$M189,$G189,$C$10,$C$11),$I189,$G189,$G$4,$C$8)</f>
        <v>6843.7502719461918</v>
      </c>
      <c r="V189" s="93">
        <f t="shared" si="25"/>
        <v>10679.175424352288</v>
      </c>
    </row>
    <row r="190" spans="7:22" x14ac:dyDescent="0.35">
      <c r="G190" s="59">
        <f t="shared" si="1"/>
        <v>0.25</v>
      </c>
      <c r="H190" s="64" cm="1">
        <f t="array" ref="H190">drivePower($C$4,$C$5,G190,$C$10,$C$11)</f>
        <v>19.6038</v>
      </c>
      <c r="I190" s="84">
        <f t="shared" si="27"/>
        <v>24.679160599999999</v>
      </c>
      <c r="J190" s="84">
        <f t="shared" si="28"/>
        <v>44.282960599999996</v>
      </c>
      <c r="K190" s="60">
        <f t="shared" si="10"/>
        <v>380600</v>
      </c>
      <c r="L190" s="59">
        <f t="shared" si="29"/>
        <v>20.52</v>
      </c>
      <c r="M190" s="64">
        <f t="shared" si="26"/>
        <v>32.572000000000003</v>
      </c>
      <c r="N190" s="64" cm="1">
        <f t="array" ref="N190">drivePower($C$4,M190,$C$9,$C$10,$C$11)</f>
        <v>61.596297360000001</v>
      </c>
      <c r="O190" s="86">
        <f t="shared" si="30"/>
        <v>25347.960000000003</v>
      </c>
      <c r="P190" s="90">
        <f t="shared" si="5"/>
        <v>-1.5000000000000001E-4</v>
      </c>
      <c r="Q190" s="91">
        <f t="shared" si="6"/>
        <v>0.82280000000000009</v>
      </c>
      <c r="R190" s="98">
        <v>0.15</v>
      </c>
      <c r="S190" s="95">
        <f t="shared" si="11"/>
        <v>380600</v>
      </c>
      <c r="T190" s="92" cm="1">
        <f t="array" ref="T190">maxDepthToMinSOC($L$8,$L$9,$L$6,$L$7,$O190,$G$5,$G$6,drivePower($C$4,$M190,$G190,$C$10,$C$11),$I190,$G190,$G$4,$C$8)</f>
        <v>14539.200577735901</v>
      </c>
      <c r="U190" s="12" cm="1">
        <f t="array" ref="U190">maxDepthToMinSOC($L$8,$L$9,P190,Q190,$O190,$G$5,$G$6,drivePower($C$4,$M190,$G190,$C$10,$C$11),$I190,$G190,$G$4,$C$8)</f>
        <v>6849.9002721905708</v>
      </c>
      <c r="V190" s="93">
        <f t="shared" si="25"/>
        <v>10694.550424963236</v>
      </c>
    </row>
    <row r="191" spans="7:22" x14ac:dyDescent="0.35">
      <c r="G191" s="59">
        <f t="shared" si="1"/>
        <v>0.25</v>
      </c>
      <c r="H191" s="64" cm="1">
        <f t="array" ref="H191">drivePower($C$4,$C$5,G191,$C$10,$C$11)</f>
        <v>19.6038</v>
      </c>
      <c r="I191" s="84">
        <f t="shared" si="27"/>
        <v>24.679160599999999</v>
      </c>
      <c r="J191" s="84">
        <f t="shared" si="28"/>
        <v>44.282960599999996</v>
      </c>
      <c r="K191" s="60">
        <f t="shared" si="10"/>
        <v>382800</v>
      </c>
      <c r="L191" s="59">
        <f t="shared" si="29"/>
        <v>20.64</v>
      </c>
      <c r="M191" s="64">
        <f t="shared" si="26"/>
        <v>32.704000000000008</v>
      </c>
      <c r="N191" s="64" cm="1">
        <f t="array" ref="N191">drivePower($C$4,M191,$C$9,$C$10,$C$11)</f>
        <v>61.841867520000015</v>
      </c>
      <c r="O191" s="86">
        <f t="shared" si="30"/>
        <v>25494.48</v>
      </c>
      <c r="P191" s="90">
        <f t="shared" si="5"/>
        <v>-1.5000000000000001E-4</v>
      </c>
      <c r="Q191" s="91">
        <f t="shared" si="6"/>
        <v>0.82280000000000009</v>
      </c>
      <c r="R191" s="98">
        <v>0.15</v>
      </c>
      <c r="S191" s="95">
        <f t="shared" si="11"/>
        <v>382800</v>
      </c>
      <c r="T191" s="92" cm="1">
        <f t="array" ref="T191">maxDepthToMinSOC($L$8,$L$9,$L$6,$L$7,$O191,$G$5,$G$6,drivePower($C$4,$M191,$G191,$C$10,$C$11),$I191,$G191,$G$4,$C$8)</f>
        <v>14563.500578701496</v>
      </c>
      <c r="U191" s="12" cm="1">
        <f t="array" ref="U191">maxDepthToMinSOC($L$8,$L$9,P191,Q191,$O191,$G$5,$G$6,drivePower($C$4,$M191,$G191,$C$10,$C$11),$I191,$G191,$G$4,$C$8)</f>
        <v>6856.2002724409103</v>
      </c>
      <c r="V191" s="93">
        <f t="shared" si="25"/>
        <v>10709.850425571203</v>
      </c>
    </row>
    <row r="192" spans="7:22" x14ac:dyDescent="0.35">
      <c r="G192" s="59">
        <f t="shared" si="1"/>
        <v>0.25</v>
      </c>
      <c r="H192" s="64" cm="1">
        <f t="array" ref="H192">drivePower($C$4,$C$5,G192,$C$10,$C$11)</f>
        <v>19.6038</v>
      </c>
      <c r="I192" s="84">
        <f t="shared" si="27"/>
        <v>24.679160599999999</v>
      </c>
      <c r="J192" s="84">
        <f t="shared" si="28"/>
        <v>44.282960599999996</v>
      </c>
      <c r="K192" s="60">
        <f t="shared" si="10"/>
        <v>385000</v>
      </c>
      <c r="L192" s="59">
        <f t="shared" si="29"/>
        <v>20.76</v>
      </c>
      <c r="M192" s="64">
        <f t="shared" si="26"/>
        <v>32.835999999999999</v>
      </c>
      <c r="N192" s="64" cm="1">
        <f t="array" ref="N192">drivePower($C$4,M192,$C$9,$C$10,$C$11)</f>
        <v>62.087437679999994</v>
      </c>
      <c r="O192" s="86">
        <f t="shared" si="30"/>
        <v>25641</v>
      </c>
      <c r="P192" s="90">
        <f t="shared" si="5"/>
        <v>-1.5000000000000001E-4</v>
      </c>
      <c r="Q192" s="91">
        <f t="shared" si="6"/>
        <v>0.82280000000000009</v>
      </c>
      <c r="R192" s="98">
        <v>0.15</v>
      </c>
      <c r="S192" s="95">
        <f t="shared" si="11"/>
        <v>385000</v>
      </c>
      <c r="T192" s="92" cm="1">
        <f t="array" ref="T192">maxDepthToMinSOC($L$8,$L$9,$L$6,$L$7,$O192,$G$5,$G$6,drivePower($C$4,$M192,$G192,$C$10,$C$11),$I192,$G192,$G$4,$C$8)</f>
        <v>14587.650579661131</v>
      </c>
      <c r="U192" s="12" cm="1">
        <f t="array" ref="U192">maxDepthToMinSOC($L$8,$L$9,P192,Q192,$O192,$G$5,$G$6,drivePower($C$4,$M192,$G192,$C$10,$C$11),$I192,$G192,$G$4,$C$8)</f>
        <v>6862.3502726852894</v>
      </c>
      <c r="V192" s="93">
        <f t="shared" si="25"/>
        <v>10725.00042617321</v>
      </c>
    </row>
    <row r="193" spans="7:22" x14ac:dyDescent="0.35">
      <c r="G193" s="59">
        <f t="shared" si="1"/>
        <v>0.25</v>
      </c>
      <c r="H193" s="64" cm="1">
        <f t="array" ref="H193">drivePower($C$4,$C$5,G193,$C$10,$C$11)</f>
        <v>19.6038</v>
      </c>
      <c r="I193" s="84">
        <f t="shared" si="27"/>
        <v>24.679160599999999</v>
      </c>
      <c r="J193" s="84">
        <f t="shared" si="28"/>
        <v>44.282960599999996</v>
      </c>
      <c r="K193" s="60">
        <f t="shared" si="10"/>
        <v>387200</v>
      </c>
      <c r="L193" s="59">
        <f t="shared" si="29"/>
        <v>20.88</v>
      </c>
      <c r="M193" s="64">
        <f t="shared" si="26"/>
        <v>32.968000000000004</v>
      </c>
      <c r="N193" s="64" cm="1">
        <f t="array" ref="N193">drivePower($C$4,M193,$C$9,$C$10,$C$11)</f>
        <v>62.33300784</v>
      </c>
      <c r="O193" s="86">
        <f t="shared" si="30"/>
        <v>25787.52</v>
      </c>
      <c r="P193" s="90">
        <f t="shared" si="5"/>
        <v>-1.5000000000000001E-4</v>
      </c>
      <c r="Q193" s="91">
        <f t="shared" si="6"/>
        <v>0.82280000000000009</v>
      </c>
      <c r="R193" s="98">
        <v>0.15</v>
      </c>
      <c r="S193" s="95">
        <f t="shared" si="11"/>
        <v>387200</v>
      </c>
      <c r="T193" s="92" cm="1">
        <f t="array" ref="T193">maxDepthToMinSOC($L$8,$L$9,$L$6,$L$7,$O193,$G$5,$G$6,drivePower($C$4,$M193,$G193,$C$10,$C$11),$I193,$G193,$G$4,$C$8)</f>
        <v>14611.500580608845</v>
      </c>
      <c r="U193" s="12" cm="1">
        <f t="array" ref="U193">maxDepthToMinSOC($L$8,$L$9,P193,Q193,$O193,$G$5,$G$6,drivePower($C$4,$M193,$G193,$C$10,$C$11),$I193,$G193,$G$4,$C$8)</f>
        <v>6868.350272923708</v>
      </c>
      <c r="V193" s="93">
        <f t="shared" si="25"/>
        <v>10739.925426766276</v>
      </c>
    </row>
    <row r="194" spans="7:22" x14ac:dyDescent="0.35">
      <c r="G194" s="59">
        <f t="shared" si="1"/>
        <v>0.25</v>
      </c>
      <c r="H194" s="64" cm="1">
        <f t="array" ref="H194">drivePower($C$4,$C$5,G194,$C$10,$C$11)</f>
        <v>19.6038</v>
      </c>
      <c r="I194" s="84">
        <f t="shared" si="27"/>
        <v>24.679160599999999</v>
      </c>
      <c r="J194" s="84">
        <f t="shared" si="28"/>
        <v>44.282960599999996</v>
      </c>
      <c r="K194" s="60">
        <f t="shared" si="10"/>
        <v>389400</v>
      </c>
      <c r="L194" s="59">
        <f t="shared" si="29"/>
        <v>21</v>
      </c>
      <c r="M194" s="64">
        <f t="shared" si="26"/>
        <v>33.1</v>
      </c>
      <c r="N194" s="64" cm="1">
        <f t="array" ref="N194">drivePower($C$4,M194,$C$9,$C$10,$C$11)</f>
        <v>62.578578</v>
      </c>
      <c r="O194" s="86">
        <f t="shared" si="30"/>
        <v>25934.039999999997</v>
      </c>
      <c r="P194" s="90">
        <f t="shared" si="5"/>
        <v>-1.5000000000000001E-4</v>
      </c>
      <c r="Q194" s="91">
        <f t="shared" si="6"/>
        <v>0.82280000000000009</v>
      </c>
      <c r="R194" s="98">
        <v>0.15</v>
      </c>
      <c r="S194" s="95">
        <f t="shared" si="11"/>
        <v>389400</v>
      </c>
      <c r="T194" s="92" cm="1">
        <f t="array" ref="T194">maxDepthToMinSOC($L$8,$L$9,$L$6,$L$7,$O194,$G$5,$G$6,drivePower($C$4,$M194,$G194,$C$10,$C$11),$I194,$G194,$G$4,$C$8)</f>
        <v>14635.350581556559</v>
      </c>
      <c r="U194" s="12" cm="1">
        <f t="array" ref="U194">maxDepthToMinSOC($L$8,$L$9,P194,Q194,$O194,$G$5,$G$6,drivePower($C$4,$M194,$G194,$C$10,$C$11),$I194,$G194,$G$4,$C$8)</f>
        <v>6874.500273168087</v>
      </c>
      <c r="V194" s="93">
        <f t="shared" si="25"/>
        <v>10754.925427362323</v>
      </c>
    </row>
    <row r="195" spans="7:22" x14ac:dyDescent="0.35">
      <c r="G195" s="59">
        <f t="shared" si="1"/>
        <v>0.25</v>
      </c>
      <c r="H195" s="64" cm="1">
        <f t="array" ref="H195">drivePower($C$4,$C$5,G195,$C$10,$C$11)</f>
        <v>19.6038</v>
      </c>
      <c r="I195" s="84">
        <f t="shared" si="27"/>
        <v>24.679160599999999</v>
      </c>
      <c r="J195" s="84">
        <f t="shared" si="28"/>
        <v>44.282960599999996</v>
      </c>
      <c r="K195" s="60">
        <f t="shared" si="10"/>
        <v>391600</v>
      </c>
      <c r="L195" s="59">
        <f t="shared" si="29"/>
        <v>21.12</v>
      </c>
      <c r="M195" s="64">
        <f t="shared" si="26"/>
        <v>33.231999999999999</v>
      </c>
      <c r="N195" s="64" cm="1">
        <f t="array" ref="N195">drivePower($C$4,M195,$C$9,$C$10,$C$11)</f>
        <v>62.824148159999993</v>
      </c>
      <c r="O195" s="86">
        <f t="shared" si="30"/>
        <v>26080.560000000001</v>
      </c>
      <c r="P195" s="90">
        <f t="shared" si="5"/>
        <v>-1.5000000000000001E-4</v>
      </c>
      <c r="Q195" s="91">
        <f t="shared" si="6"/>
        <v>0.82280000000000009</v>
      </c>
      <c r="R195" s="98">
        <v>0.15</v>
      </c>
      <c r="S195" s="95">
        <f t="shared" si="11"/>
        <v>391600</v>
      </c>
      <c r="T195" s="92" cm="1">
        <f t="array" ref="T195">maxDepthToMinSOC($L$8,$L$9,$L$6,$L$7,$O195,$G$5,$G$6,drivePower($C$4,$M195,$G195,$C$10,$C$11),$I195,$G195,$G$4,$C$8)</f>
        <v>14658.900582492352</v>
      </c>
      <c r="U195" s="12" cm="1">
        <f t="array" ref="U195">maxDepthToMinSOC($L$8,$L$9,P195,Q195,$O195,$G$5,$G$6,drivePower($C$4,$M195,$G195,$C$10,$C$11),$I195,$G195,$G$4,$C$8)</f>
        <v>6880.5002734065056</v>
      </c>
      <c r="V195" s="93">
        <f t="shared" si="25"/>
        <v>10769.700427949429</v>
      </c>
    </row>
    <row r="196" spans="7:22" x14ac:dyDescent="0.35">
      <c r="G196" s="59">
        <f t="shared" si="1"/>
        <v>0.25</v>
      </c>
      <c r="H196" s="64" cm="1">
        <f t="array" ref="H196">drivePower($C$4,$C$5,G196,$C$10,$C$11)</f>
        <v>19.6038</v>
      </c>
      <c r="I196" s="84">
        <f t="shared" si="27"/>
        <v>24.679160599999999</v>
      </c>
      <c r="J196" s="84">
        <f t="shared" si="28"/>
        <v>44.282960599999996</v>
      </c>
      <c r="K196" s="60">
        <f t="shared" si="10"/>
        <v>393800</v>
      </c>
      <c r="L196" s="59">
        <f t="shared" si="29"/>
        <v>21.24</v>
      </c>
      <c r="M196" s="64">
        <f t="shared" si="26"/>
        <v>33.364000000000004</v>
      </c>
      <c r="N196" s="64" cm="1">
        <f t="array" ref="N196">drivePower($C$4,M196,$C$9,$C$10,$C$11)</f>
        <v>63.069718320000007</v>
      </c>
      <c r="O196" s="86">
        <f t="shared" si="30"/>
        <v>26227.08</v>
      </c>
      <c r="P196" s="90">
        <f t="shared" si="5"/>
        <v>-1.5000000000000001E-4</v>
      </c>
      <c r="Q196" s="91">
        <f t="shared" si="6"/>
        <v>0.82280000000000009</v>
      </c>
      <c r="R196" s="98">
        <v>0.15</v>
      </c>
      <c r="S196" s="95">
        <f t="shared" si="11"/>
        <v>393800</v>
      </c>
      <c r="T196" s="92" cm="1">
        <f t="array" ref="T196">maxDepthToMinSOC($L$8,$L$9,$L$6,$L$7,$O196,$G$5,$G$6,drivePower($C$4,$M196,$G196,$C$10,$C$11),$I196,$G196,$G$4,$C$8)</f>
        <v>14682.300583422184</v>
      </c>
      <c r="U196" s="12" cm="1">
        <f t="array" ref="U196">maxDepthToMinSOC($L$8,$L$9,P196,Q196,$O196,$G$5,$G$6,drivePower($C$4,$M196,$G196,$C$10,$C$11),$I196,$G196,$G$4,$C$8)</f>
        <v>6886.3502736389637</v>
      </c>
      <c r="V196" s="93">
        <f t="shared" si="25"/>
        <v>10784.325428530574</v>
      </c>
    </row>
    <row r="197" spans="7:22" x14ac:dyDescent="0.35">
      <c r="G197" s="59">
        <f t="shared" si="1"/>
        <v>0.25</v>
      </c>
      <c r="H197" s="64" cm="1">
        <f t="array" ref="H197">drivePower($C$4,$C$5,G197,$C$10,$C$11)</f>
        <v>19.6038</v>
      </c>
      <c r="I197" s="84">
        <f t="shared" si="27"/>
        <v>24.679160599999999</v>
      </c>
      <c r="J197" s="84">
        <f t="shared" si="28"/>
        <v>44.282960599999996</v>
      </c>
      <c r="K197" s="60">
        <f t="shared" si="10"/>
        <v>396000</v>
      </c>
      <c r="L197" s="59">
        <f t="shared" si="29"/>
        <v>21.36</v>
      </c>
      <c r="M197" s="64">
        <f t="shared" si="26"/>
        <v>33.496000000000002</v>
      </c>
      <c r="N197" s="64" cm="1">
        <f t="array" ref="N197">drivePower($C$4,M197,$C$9,$C$10,$C$11)</f>
        <v>63.31528848</v>
      </c>
      <c r="O197" s="86">
        <f t="shared" si="30"/>
        <v>26373.599999999999</v>
      </c>
      <c r="P197" s="90">
        <f t="shared" si="5"/>
        <v>-1.5000000000000001E-4</v>
      </c>
      <c r="Q197" s="91">
        <f t="shared" si="6"/>
        <v>0.82280000000000009</v>
      </c>
      <c r="R197" s="98">
        <v>0.15</v>
      </c>
      <c r="S197" s="95">
        <f t="shared" si="11"/>
        <v>396000</v>
      </c>
      <c r="T197" s="92" cm="1">
        <f t="array" ref="T197">maxDepthToMinSOC($L$8,$L$9,$L$6,$L$7,$O197,$G$5,$G$6,drivePower($C$4,$M197,$G197,$C$10,$C$11),$I197,$G197,$G$4,$C$8)</f>
        <v>14705.400584340096</v>
      </c>
      <c r="U197" s="12" cm="1">
        <f t="array" ref="U197">maxDepthToMinSOC($L$8,$L$9,P197,Q197,$O197,$G$5,$G$6,drivePower($C$4,$M197,$G197,$C$10,$C$11),$I197,$G197,$G$4,$C$8)</f>
        <v>6892.2002738714218</v>
      </c>
      <c r="V197" s="93">
        <f t="shared" si="25"/>
        <v>10798.800429105759</v>
      </c>
    </row>
    <row r="198" spans="7:22" x14ac:dyDescent="0.35">
      <c r="G198" s="59">
        <f t="shared" si="1"/>
        <v>0.25</v>
      </c>
      <c r="H198" s="64" cm="1">
        <f t="array" ref="H198">drivePower($C$4,$C$5,G198,$C$10,$C$11)</f>
        <v>19.6038</v>
      </c>
      <c r="I198" s="84">
        <f t="shared" si="27"/>
        <v>24.679160599999999</v>
      </c>
      <c r="J198" s="84">
        <f t="shared" si="28"/>
        <v>44.282960599999996</v>
      </c>
      <c r="K198" s="60">
        <f t="shared" si="10"/>
        <v>398200</v>
      </c>
      <c r="L198" s="59">
        <f t="shared" si="29"/>
        <v>21.48</v>
      </c>
      <c r="M198" s="64">
        <f t="shared" si="26"/>
        <v>33.628</v>
      </c>
      <c r="N198" s="64" cm="1">
        <f t="array" ref="N198">drivePower($C$4,M198,$C$9,$C$10,$C$11)</f>
        <v>63.560858639999999</v>
      </c>
      <c r="O198" s="86">
        <f t="shared" si="30"/>
        <v>26520.12</v>
      </c>
      <c r="P198" s="90">
        <f t="shared" si="5"/>
        <v>-1.5000000000000001E-4</v>
      </c>
      <c r="Q198" s="91">
        <f t="shared" si="6"/>
        <v>0.82280000000000009</v>
      </c>
      <c r="R198" s="98">
        <v>0.15</v>
      </c>
      <c r="S198" s="95">
        <f t="shared" si="11"/>
        <v>398200</v>
      </c>
      <c r="T198" s="92" cm="1">
        <f t="array" ref="T198">maxDepthToMinSOC($L$8,$L$9,$L$6,$L$7,$O198,$G$5,$G$6,drivePower($C$4,$M198,$G198,$C$10,$C$11),$I198,$G198,$G$4,$C$8)</f>
        <v>14728.500585258007</v>
      </c>
      <c r="U198" s="12" cm="1">
        <f t="array" ref="U198">maxDepthToMinSOC($L$8,$L$9,P198,Q198,$O198,$G$5,$G$6,drivePower($C$4,$M198,$G198,$C$10,$C$11),$I198,$G198,$G$4,$C$8)</f>
        <v>6898.0502741038799</v>
      </c>
      <c r="V198" s="93">
        <f t="shared" si="25"/>
        <v>10813.275429680943</v>
      </c>
    </row>
    <row r="199" spans="7:22" x14ac:dyDescent="0.35">
      <c r="G199" s="59">
        <f t="shared" si="1"/>
        <v>0.25</v>
      </c>
      <c r="H199" s="64" cm="1">
        <f t="array" ref="H199">drivePower($C$4,$C$5,G199,$C$10,$C$11)</f>
        <v>19.6038</v>
      </c>
      <c r="I199" s="84">
        <f t="shared" si="27"/>
        <v>24.679160599999999</v>
      </c>
      <c r="J199" s="84">
        <f t="shared" si="28"/>
        <v>44.282960599999996</v>
      </c>
      <c r="K199" s="60">
        <f t="shared" si="10"/>
        <v>400400</v>
      </c>
      <c r="L199" s="59">
        <f t="shared" si="29"/>
        <v>21.6</v>
      </c>
      <c r="M199" s="64">
        <f t="shared" si="26"/>
        <v>33.760000000000005</v>
      </c>
      <c r="N199" s="64" cm="1">
        <f t="array" ref="N199">drivePower($C$4,M199,$C$9,$C$10,$C$11)</f>
        <v>63.806428800000006</v>
      </c>
      <c r="O199" s="86">
        <f t="shared" si="30"/>
        <v>26666.639999999999</v>
      </c>
      <c r="P199" s="90">
        <f t="shared" si="5"/>
        <v>-1.5000000000000001E-4</v>
      </c>
      <c r="Q199" s="91">
        <f t="shared" si="6"/>
        <v>0.82280000000000009</v>
      </c>
      <c r="R199" s="98">
        <v>0.15</v>
      </c>
      <c r="S199" s="95">
        <f t="shared" si="11"/>
        <v>400400</v>
      </c>
      <c r="T199" s="92" cm="1">
        <f t="array" ref="T199">maxDepthToMinSOC($L$8,$L$9,$L$6,$L$7,$O199,$G$5,$G$6,drivePower($C$4,$M199,$G199,$C$10,$C$11),$I199,$G199,$G$4,$C$8)</f>
        <v>14751.300586163998</v>
      </c>
      <c r="U199" s="12" cm="1">
        <f t="array" ref="U199">maxDepthToMinSOC($L$8,$L$9,P199,Q199,$O199,$G$5,$G$6,drivePower($C$4,$M199,$G199,$C$10,$C$11),$I199,$G199,$G$4,$C$8)</f>
        <v>6903.7502743303776</v>
      </c>
      <c r="V199" s="93">
        <f t="shared" si="25"/>
        <v>10827.525430247188</v>
      </c>
    </row>
    <row r="200" spans="7:22" x14ac:dyDescent="0.35">
      <c r="G200" s="59">
        <f t="shared" si="1"/>
        <v>0.25</v>
      </c>
      <c r="H200" s="64" cm="1">
        <f t="array" ref="H200">drivePower($C$4,$C$5,G200,$C$10,$C$11)</f>
        <v>19.6038</v>
      </c>
      <c r="I200" s="84">
        <f t="shared" si="27"/>
        <v>24.679160599999999</v>
      </c>
      <c r="J200" s="84">
        <f t="shared" si="28"/>
        <v>44.282960599999996</v>
      </c>
      <c r="K200" s="60">
        <f t="shared" si="10"/>
        <v>402600</v>
      </c>
      <c r="L200" s="59">
        <f t="shared" si="29"/>
        <v>21.72</v>
      </c>
      <c r="M200" s="64">
        <f t="shared" si="26"/>
        <v>33.891999999999996</v>
      </c>
      <c r="N200" s="64" cm="1">
        <f t="array" ref="N200">drivePower($C$4,M200,$C$9,$C$10,$C$11)</f>
        <v>64.051998959999992</v>
      </c>
      <c r="O200" s="86">
        <f t="shared" si="30"/>
        <v>26813.16</v>
      </c>
      <c r="P200" s="90">
        <f t="shared" si="5"/>
        <v>-1.5000000000000001E-4</v>
      </c>
      <c r="Q200" s="91">
        <f t="shared" si="6"/>
        <v>0.82280000000000009</v>
      </c>
      <c r="R200" s="98">
        <v>0.15</v>
      </c>
      <c r="S200" s="95">
        <f t="shared" si="11"/>
        <v>402600</v>
      </c>
      <c r="T200" s="92" cm="1">
        <f t="array" ref="T200">maxDepthToMinSOC($L$8,$L$9,$L$6,$L$7,$O200,$G$5,$G$6,drivePower($C$4,$M200,$G200,$C$10,$C$11),$I200,$G200,$G$4,$C$8)</f>
        <v>14773.950587064028</v>
      </c>
      <c r="U200" s="12" cm="1">
        <f t="array" ref="U200">maxDepthToMinSOC($L$8,$L$9,P200,Q200,$O200,$G$5,$G$6,drivePower($C$4,$M200,$G200,$C$10,$C$11),$I200,$G200,$G$4,$C$8)</f>
        <v>6909.4502745568752</v>
      </c>
      <c r="V200" s="93">
        <f t="shared" si="25"/>
        <v>10841.700430810452</v>
      </c>
    </row>
    <row r="201" spans="7:22" x14ac:dyDescent="0.35">
      <c r="G201" s="59">
        <f t="shared" si="1"/>
        <v>0.25</v>
      </c>
      <c r="H201" s="64" cm="1">
        <f t="array" ref="H201">drivePower($C$4,$C$5,G201,$C$10,$C$11)</f>
        <v>19.6038</v>
      </c>
      <c r="I201" s="84">
        <f t="shared" si="27"/>
        <v>24.679160599999999</v>
      </c>
      <c r="J201" s="84">
        <f t="shared" si="28"/>
        <v>44.282960599999996</v>
      </c>
      <c r="K201" s="60">
        <f t="shared" si="10"/>
        <v>404800</v>
      </c>
      <c r="L201" s="59">
        <f t="shared" si="29"/>
        <v>21.84</v>
      </c>
      <c r="M201" s="64">
        <f t="shared" si="26"/>
        <v>34.024000000000001</v>
      </c>
      <c r="N201" s="64" cm="1">
        <f t="array" ref="N201">drivePower($C$4,M201,$C$9,$C$10,$C$11)</f>
        <v>64.297569119999991</v>
      </c>
      <c r="O201" s="86">
        <f t="shared" si="30"/>
        <v>26959.68</v>
      </c>
      <c r="P201" s="90">
        <f t="shared" si="5"/>
        <v>-1.5000000000000001E-4</v>
      </c>
      <c r="Q201" s="91">
        <f t="shared" si="6"/>
        <v>0.82280000000000009</v>
      </c>
      <c r="R201" s="98">
        <v>0.15</v>
      </c>
      <c r="S201" s="95">
        <f t="shared" si="11"/>
        <v>404800</v>
      </c>
      <c r="T201" s="92" cm="1">
        <f t="array" ref="T201">maxDepthToMinSOC($L$8,$L$9,$L$6,$L$7,$O201,$G$5,$G$6,drivePower($C$4,$M201,$G201,$C$10,$C$11),$I201,$G201,$G$4,$C$8)</f>
        <v>14796.300587952137</v>
      </c>
      <c r="U201" s="12" cm="1">
        <f t="array" ref="U201">maxDepthToMinSOC($L$8,$L$9,P201,Q201,$O201,$G$5,$G$6,drivePower($C$4,$M201,$G201,$C$10,$C$11),$I201,$G201,$G$4,$C$8)</f>
        <v>6915.1502747833729</v>
      </c>
      <c r="V201" s="93">
        <f t="shared" si="25"/>
        <v>10855.725431367755</v>
      </c>
    </row>
    <row r="202" spans="7:22" x14ac:dyDescent="0.35">
      <c r="G202" s="59">
        <f t="shared" si="1"/>
        <v>0.25</v>
      </c>
      <c r="H202" s="64" cm="1">
        <f t="array" ref="H202">drivePower($C$4,$C$5,G202,$C$10,$C$11)</f>
        <v>19.6038</v>
      </c>
      <c r="I202" s="84">
        <f t="shared" si="27"/>
        <v>24.679160599999999</v>
      </c>
      <c r="J202" s="84">
        <f t="shared" si="28"/>
        <v>44.282960599999996</v>
      </c>
      <c r="K202" s="60">
        <f t="shared" si="10"/>
        <v>407000</v>
      </c>
      <c r="L202" s="59">
        <f t="shared" si="29"/>
        <v>21.96</v>
      </c>
      <c r="M202" s="64">
        <f t="shared" si="26"/>
        <v>34.156000000000006</v>
      </c>
      <c r="N202" s="64" cm="1">
        <f t="array" ref="N202">drivePower($C$4,M202,$C$9,$C$10,$C$11)</f>
        <v>64.543139280000005</v>
      </c>
      <c r="O202" s="86">
        <f t="shared" si="30"/>
        <v>27106.2</v>
      </c>
      <c r="P202" s="90">
        <f t="shared" si="5"/>
        <v>-1.5000000000000001E-4</v>
      </c>
      <c r="Q202" s="91">
        <f t="shared" si="6"/>
        <v>0.82280000000000009</v>
      </c>
      <c r="R202" s="98">
        <v>0.15</v>
      </c>
      <c r="S202" s="95">
        <f t="shared" si="11"/>
        <v>407000</v>
      </c>
      <c r="T202" s="92" cm="1">
        <f t="array" ref="T202">maxDepthToMinSOC($L$8,$L$9,$L$6,$L$7,$O202,$G$5,$G$6,drivePower($C$4,$M202,$G202,$C$10,$C$11),$I202,$G202,$G$4,$C$8)</f>
        <v>14818.650588840246</v>
      </c>
      <c r="U202" s="12" cm="1">
        <f t="array" ref="U202">maxDepthToMinSOC($L$8,$L$9,P202,Q202,$O202,$G$5,$G$6,drivePower($C$4,$M202,$G202,$C$10,$C$11),$I202,$G202,$G$4,$C$8)</f>
        <v>6920.7002750039101</v>
      </c>
      <c r="V202" s="93">
        <f t="shared" si="25"/>
        <v>10869.675431922078</v>
      </c>
    </row>
    <row r="203" spans="7:22" x14ac:dyDescent="0.35">
      <c r="G203" s="59">
        <f t="shared" si="1"/>
        <v>0.25</v>
      </c>
      <c r="H203" s="64" cm="1">
        <f t="array" ref="H203">drivePower($C$4,$C$5,G203,$C$10,$C$11)</f>
        <v>19.6038</v>
      </c>
      <c r="I203" s="84">
        <f t="shared" si="27"/>
        <v>24.679160599999999</v>
      </c>
      <c r="J203" s="84">
        <f t="shared" si="28"/>
        <v>44.282960599999996</v>
      </c>
      <c r="K203" s="60">
        <f t="shared" si="10"/>
        <v>409200</v>
      </c>
      <c r="L203" s="59">
        <f t="shared" si="29"/>
        <v>22.08</v>
      </c>
      <c r="M203" s="64">
        <f t="shared" si="26"/>
        <v>34.287999999999997</v>
      </c>
      <c r="N203" s="64" cm="1">
        <f t="array" ref="N203">drivePower($C$4,M203,$C$9,$C$10,$C$11)</f>
        <v>64.788709439999991</v>
      </c>
      <c r="O203" s="86">
        <f t="shared" si="30"/>
        <v>27252.719999999998</v>
      </c>
      <c r="P203" s="90">
        <f t="shared" si="5"/>
        <v>-1.5000000000000001E-4</v>
      </c>
      <c r="Q203" s="91">
        <f t="shared" si="6"/>
        <v>0.82280000000000009</v>
      </c>
      <c r="R203" s="98">
        <v>0.15</v>
      </c>
      <c r="S203" s="95">
        <f t="shared" si="11"/>
        <v>409200</v>
      </c>
      <c r="T203" s="92" cm="1">
        <f t="array" ref="T203">maxDepthToMinSOC($L$8,$L$9,$L$6,$L$7,$O203,$G$5,$G$6,drivePower($C$4,$M203,$G203,$C$10,$C$11),$I203,$G203,$G$4,$C$8)</f>
        <v>14840.700589716434</v>
      </c>
      <c r="U203" s="12" cm="1">
        <f t="array" ref="U203">maxDepthToMinSOC($L$8,$L$9,P203,Q203,$O203,$G$5,$G$6,drivePower($C$4,$M203,$G203,$C$10,$C$11),$I203,$G203,$G$4,$C$8)</f>
        <v>6926.2502752244473</v>
      </c>
      <c r="V203" s="93">
        <f t="shared" si="25"/>
        <v>10883.475432470441</v>
      </c>
    </row>
    <row r="204" spans="7:22" x14ac:dyDescent="0.35">
      <c r="G204" s="59">
        <f t="shared" si="1"/>
        <v>0.25</v>
      </c>
      <c r="H204" s="64" cm="1">
        <f t="array" ref="H204">drivePower($C$4,$C$5,G204,$C$10,$C$11)</f>
        <v>19.6038</v>
      </c>
      <c r="I204" s="84">
        <f t="shared" si="27"/>
        <v>24.679160599999999</v>
      </c>
      <c r="J204" s="84">
        <f t="shared" si="28"/>
        <v>44.282960599999996</v>
      </c>
      <c r="K204" s="60">
        <f t="shared" si="10"/>
        <v>411400</v>
      </c>
      <c r="L204" s="59">
        <f t="shared" si="29"/>
        <v>22.2</v>
      </c>
      <c r="M204" s="64">
        <f t="shared" si="26"/>
        <v>34.42</v>
      </c>
      <c r="N204" s="64" cm="1">
        <f t="array" ref="N204">drivePower($C$4,M204,$C$9,$C$10,$C$11)</f>
        <v>65.034279600000005</v>
      </c>
      <c r="O204" s="86">
        <f t="shared" si="30"/>
        <v>27399.239999999998</v>
      </c>
      <c r="P204" s="90">
        <f t="shared" si="5"/>
        <v>-1.5000000000000001E-4</v>
      </c>
      <c r="Q204" s="91">
        <f t="shared" si="6"/>
        <v>0.82280000000000009</v>
      </c>
      <c r="R204" s="98">
        <v>0.15</v>
      </c>
      <c r="S204" s="95">
        <f t="shared" si="11"/>
        <v>411400</v>
      </c>
      <c r="T204" s="92" cm="1">
        <f t="array" ref="T204">maxDepthToMinSOC($L$8,$L$9,$L$6,$L$7,$O204,$G$5,$G$6,drivePower($C$4,$M204,$G204,$C$10,$C$11),$I204,$G204,$G$4,$C$8)</f>
        <v>14862.600590586662</v>
      </c>
      <c r="U204" s="12" cm="1">
        <f t="array" ref="U204">maxDepthToMinSOC($L$8,$L$9,P204,Q204,$O204,$G$5,$G$6,drivePower($C$4,$M204,$G204,$C$10,$C$11),$I204,$G204,$G$4,$C$8)</f>
        <v>6931.8002754449844</v>
      </c>
      <c r="V204" s="93">
        <f t="shared" si="25"/>
        <v>10897.200433015823</v>
      </c>
    </row>
    <row r="205" spans="7:22" x14ac:dyDescent="0.35">
      <c r="G205" s="59">
        <f t="shared" si="1"/>
        <v>0.25</v>
      </c>
      <c r="H205" s="64" cm="1">
        <f t="array" ref="H205">drivePower($C$4,$C$5,G205,$C$10,$C$11)</f>
        <v>19.6038</v>
      </c>
      <c r="I205" s="84">
        <f t="shared" si="27"/>
        <v>24.679160599999999</v>
      </c>
      <c r="J205" s="84">
        <f t="shared" si="28"/>
        <v>44.282960599999996</v>
      </c>
      <c r="K205" s="60">
        <f t="shared" si="10"/>
        <v>413600</v>
      </c>
      <c r="L205" s="59">
        <f t="shared" si="29"/>
        <v>22.32</v>
      </c>
      <c r="M205" s="64">
        <f t="shared" si="26"/>
        <v>34.552000000000007</v>
      </c>
      <c r="N205" s="64" cm="1">
        <f t="array" ref="N205">drivePower($C$4,M205,$C$9,$C$10,$C$11)</f>
        <v>65.279849760000005</v>
      </c>
      <c r="O205" s="86">
        <f t="shared" si="30"/>
        <v>27545.760000000002</v>
      </c>
      <c r="P205" s="90">
        <f t="shared" si="5"/>
        <v>-1.5000000000000001E-4</v>
      </c>
      <c r="Q205" s="91">
        <f t="shared" si="6"/>
        <v>0.82280000000000009</v>
      </c>
      <c r="R205" s="98">
        <v>0.15</v>
      </c>
      <c r="S205" s="95">
        <f t="shared" si="11"/>
        <v>413600</v>
      </c>
      <c r="T205" s="92" cm="1">
        <f t="array" ref="T205">maxDepthToMinSOC($L$8,$L$9,$L$6,$L$7,$O205,$G$5,$G$6,drivePower($C$4,$M205,$G205,$C$10,$C$11),$I205,$G205,$G$4,$C$8)</f>
        <v>14884.50059145689</v>
      </c>
      <c r="U205" s="12" cm="1">
        <f t="array" ref="U205">maxDepthToMinSOC($L$8,$L$9,P205,Q205,$O205,$G$5,$G$6,drivePower($C$4,$M205,$G205,$C$10,$C$11),$I205,$G205,$G$4,$C$8)</f>
        <v>6937.2002756595612</v>
      </c>
      <c r="V205" s="93">
        <f t="shared" si="25"/>
        <v>10910.850433558226</v>
      </c>
    </row>
    <row r="206" spans="7:22" x14ac:dyDescent="0.35">
      <c r="G206" s="59">
        <f t="shared" si="1"/>
        <v>0.25</v>
      </c>
      <c r="H206" s="64" cm="1">
        <f t="array" ref="H206">drivePower($C$4,$C$5,G206,$C$10,$C$11)</f>
        <v>19.6038</v>
      </c>
      <c r="I206" s="84">
        <f t="shared" si="27"/>
        <v>24.679160599999999</v>
      </c>
      <c r="J206" s="84">
        <f t="shared" si="28"/>
        <v>44.282960599999996</v>
      </c>
      <c r="K206" s="60">
        <f t="shared" si="10"/>
        <v>415800</v>
      </c>
      <c r="L206" s="59">
        <f t="shared" si="29"/>
        <v>22.44</v>
      </c>
      <c r="M206" s="64">
        <f t="shared" si="26"/>
        <v>34.684000000000005</v>
      </c>
      <c r="N206" s="64" cm="1">
        <f t="array" ref="N206">drivePower($C$4,M206,$C$9,$C$10,$C$11)</f>
        <v>65.525419920000004</v>
      </c>
      <c r="O206" s="86">
        <f t="shared" si="30"/>
        <v>27692.280000000002</v>
      </c>
      <c r="P206" s="90">
        <f t="shared" si="5"/>
        <v>-1.5000000000000001E-4</v>
      </c>
      <c r="Q206" s="91">
        <f t="shared" si="6"/>
        <v>0.82280000000000009</v>
      </c>
      <c r="R206" s="98">
        <v>0.15</v>
      </c>
      <c r="S206" s="95">
        <f t="shared" si="11"/>
        <v>415800</v>
      </c>
      <c r="T206" s="92" cm="1">
        <f t="array" ref="T206">maxDepthToMinSOC($L$8,$L$9,$L$6,$L$7,$O206,$G$5,$G$6,drivePower($C$4,$M206,$G206,$C$10,$C$11),$I206,$G206,$G$4,$C$8)</f>
        <v>14905.950592309237</v>
      </c>
      <c r="U206" s="12" cm="1">
        <f t="array" ref="U206">maxDepthToMinSOC($L$8,$L$9,P206,Q206,$O206,$G$5,$G$6,drivePower($C$4,$M206,$G206,$C$10,$C$11),$I206,$G206,$G$4,$C$8)</f>
        <v>6942.6002758741379</v>
      </c>
      <c r="V206" s="93">
        <f t="shared" si="25"/>
        <v>10924.275434091687</v>
      </c>
    </row>
    <row r="207" spans="7:22" x14ac:dyDescent="0.35">
      <c r="G207" s="59">
        <f t="shared" si="1"/>
        <v>0.25</v>
      </c>
      <c r="H207" s="64" cm="1">
        <f t="array" ref="H207">drivePower($C$4,$C$5,G207,$C$10,$C$11)</f>
        <v>19.6038</v>
      </c>
      <c r="I207" s="84">
        <f t="shared" si="27"/>
        <v>24.679160599999999</v>
      </c>
      <c r="J207" s="84">
        <f t="shared" si="28"/>
        <v>44.282960599999996</v>
      </c>
      <c r="K207" s="60">
        <f t="shared" si="10"/>
        <v>418000</v>
      </c>
      <c r="L207" s="59">
        <f t="shared" si="29"/>
        <v>22.56</v>
      </c>
      <c r="M207" s="64">
        <f t="shared" si="26"/>
        <v>34.816000000000003</v>
      </c>
      <c r="N207" s="64" cm="1">
        <f t="array" ref="N207">drivePower($C$4,M207,$C$9,$C$10,$C$11)</f>
        <v>65.770990080000004</v>
      </c>
      <c r="O207" s="86">
        <f t="shared" si="30"/>
        <v>27838.799999999999</v>
      </c>
      <c r="P207" s="90">
        <f t="shared" si="5"/>
        <v>-1.5000000000000001E-4</v>
      </c>
      <c r="Q207" s="91">
        <f t="shared" si="6"/>
        <v>0.82280000000000009</v>
      </c>
      <c r="R207" s="98">
        <v>0.15</v>
      </c>
      <c r="S207" s="95">
        <f t="shared" si="11"/>
        <v>418000</v>
      </c>
      <c r="T207" s="92" cm="1">
        <f t="array" ref="T207">maxDepthToMinSOC($L$8,$L$9,$L$6,$L$7,$O207,$G$5,$G$6,drivePower($C$4,$M207,$G207,$C$10,$C$11),$I207,$G207,$G$4,$C$8)</f>
        <v>14927.400593161583</v>
      </c>
      <c r="U207" s="12" cm="1">
        <f t="array" ref="U207">maxDepthToMinSOC($L$8,$L$9,P207,Q207,$O207,$G$5,$G$6,drivePower($C$4,$M207,$G207,$C$10,$C$11),$I207,$G207,$G$4,$C$8)</f>
        <v>6948.0002760887146</v>
      </c>
      <c r="V207" s="93">
        <f t="shared" si="25"/>
        <v>10937.700434625149</v>
      </c>
    </row>
    <row r="208" spans="7:22" x14ac:dyDescent="0.35">
      <c r="G208" s="59">
        <f t="shared" si="1"/>
        <v>0.25</v>
      </c>
      <c r="H208" s="64" cm="1">
        <f t="array" ref="H208">drivePower($C$4,$C$5,G208,$C$10,$C$11)</f>
        <v>19.6038</v>
      </c>
      <c r="I208" s="84">
        <f t="shared" si="27"/>
        <v>24.679160599999999</v>
      </c>
      <c r="J208" s="84">
        <f t="shared" si="28"/>
        <v>44.282960599999996</v>
      </c>
      <c r="K208" s="60">
        <f t="shared" si="10"/>
        <v>420200</v>
      </c>
      <c r="L208" s="59">
        <f t="shared" si="29"/>
        <v>22.68</v>
      </c>
      <c r="M208" s="64">
        <f t="shared" si="26"/>
        <v>34.948</v>
      </c>
      <c r="N208" s="64" cm="1">
        <f t="array" ref="N208">drivePower($C$4,M208,$C$9,$C$10,$C$11)</f>
        <v>66.016560240000004</v>
      </c>
      <c r="O208" s="86">
        <f t="shared" si="30"/>
        <v>27985.32</v>
      </c>
      <c r="P208" s="90">
        <f t="shared" si="5"/>
        <v>-1.5000000000000001E-4</v>
      </c>
      <c r="Q208" s="91">
        <f t="shared" si="6"/>
        <v>0.82280000000000009</v>
      </c>
      <c r="R208" s="98">
        <v>0.15</v>
      </c>
      <c r="S208" s="95">
        <f t="shared" si="11"/>
        <v>420200</v>
      </c>
      <c r="T208" s="92" cm="1">
        <f t="array" ref="T208">maxDepthToMinSOC($L$8,$L$9,$L$6,$L$7,$O208,$G$5,$G$6,drivePower($C$4,$M208,$G208,$C$10,$C$11),$I208,$G208,$G$4,$C$8)</f>
        <v>14948.700594007969</v>
      </c>
      <c r="U208" s="12" cm="1">
        <f t="array" ref="U208">maxDepthToMinSOC($L$8,$L$9,P208,Q208,$O208,$G$5,$G$6,drivePower($C$4,$M208,$G208,$C$10,$C$11),$I208,$G208,$G$4,$C$8)</f>
        <v>6953.2502762973309</v>
      </c>
      <c r="V208" s="93">
        <f t="shared" si="25"/>
        <v>10950.97543515265</v>
      </c>
    </row>
    <row r="209" spans="7:22" x14ac:dyDescent="0.35">
      <c r="G209" s="59">
        <f t="shared" si="1"/>
        <v>0.25</v>
      </c>
      <c r="H209" s="64" cm="1">
        <f t="array" ref="H209">drivePower($C$4,$C$5,G209,$C$10,$C$11)</f>
        <v>19.6038</v>
      </c>
      <c r="I209" s="84">
        <f t="shared" si="27"/>
        <v>24.679160599999999</v>
      </c>
      <c r="J209" s="84">
        <f t="shared" si="28"/>
        <v>44.282960599999996</v>
      </c>
      <c r="K209" s="60">
        <f t="shared" si="10"/>
        <v>422400</v>
      </c>
      <c r="L209" s="59">
        <f t="shared" si="29"/>
        <v>22.8</v>
      </c>
      <c r="M209" s="64">
        <f t="shared" si="26"/>
        <v>35.08</v>
      </c>
      <c r="N209" s="64" cm="1">
        <f t="array" ref="N209">drivePower($C$4,M209,$C$9,$C$10,$C$11)</f>
        <v>66.26213039999999</v>
      </c>
      <c r="O209" s="86">
        <f t="shared" si="30"/>
        <v>28131.84</v>
      </c>
      <c r="P209" s="90">
        <f t="shared" si="5"/>
        <v>-1.5000000000000001E-4</v>
      </c>
      <c r="Q209" s="91">
        <f t="shared" si="6"/>
        <v>0.82280000000000009</v>
      </c>
      <c r="R209" s="98">
        <v>0.15</v>
      </c>
      <c r="S209" s="95">
        <f t="shared" si="11"/>
        <v>422400</v>
      </c>
      <c r="T209" s="92" cm="1">
        <f t="array" ref="T209">maxDepthToMinSOC($L$8,$L$9,$L$6,$L$7,$O209,$G$5,$G$6,drivePower($C$4,$M209,$G209,$C$10,$C$11),$I209,$G209,$G$4,$C$8)</f>
        <v>14969.850594848394</v>
      </c>
      <c r="U209" s="12" cm="1">
        <f t="array" ref="U209">maxDepthToMinSOC($L$8,$L$9,P209,Q209,$O209,$G$5,$G$6,drivePower($C$4,$M209,$G209,$C$10,$C$11),$I209,$G209,$G$4,$C$8)</f>
        <v>6958.5002765059471</v>
      </c>
      <c r="V209" s="93">
        <f t="shared" si="25"/>
        <v>10964.175435677171</v>
      </c>
    </row>
    <row r="210" spans="7:22" x14ac:dyDescent="0.35">
      <c r="G210" s="59">
        <f t="shared" si="1"/>
        <v>0.25</v>
      </c>
      <c r="H210" s="64" cm="1">
        <f t="array" ref="H210">drivePower($C$4,$C$5,G210,$C$10,$C$11)</f>
        <v>19.6038</v>
      </c>
      <c r="I210" s="84">
        <f t="shared" si="27"/>
        <v>24.679160599999999</v>
      </c>
      <c r="J210" s="84">
        <f t="shared" si="28"/>
        <v>44.282960599999996</v>
      </c>
      <c r="K210" s="60">
        <f t="shared" si="10"/>
        <v>424600</v>
      </c>
      <c r="L210" s="59">
        <f t="shared" si="29"/>
        <v>22.92</v>
      </c>
      <c r="M210" s="64">
        <f t="shared" si="26"/>
        <v>35.212000000000003</v>
      </c>
      <c r="N210" s="64" cm="1">
        <f t="array" ref="N210">drivePower($C$4,M210,$C$9,$C$10,$C$11)</f>
        <v>66.507700560000004</v>
      </c>
      <c r="O210" s="86">
        <f t="shared" si="30"/>
        <v>28278.36</v>
      </c>
      <c r="P210" s="90">
        <f t="shared" si="5"/>
        <v>-1.5000000000000001E-4</v>
      </c>
      <c r="Q210" s="91">
        <f t="shared" si="6"/>
        <v>0.82280000000000009</v>
      </c>
      <c r="R210" s="98">
        <v>0.15</v>
      </c>
      <c r="S210" s="95">
        <f t="shared" si="11"/>
        <v>424600</v>
      </c>
      <c r="T210" s="92" cm="1">
        <f t="array" ref="T210">maxDepthToMinSOC($L$8,$L$9,$L$6,$L$7,$O210,$G$5,$G$6,drivePower($C$4,$M210,$G210,$C$10,$C$11),$I210,$G210,$G$4,$C$8)</f>
        <v>14990.700595676899</v>
      </c>
      <c r="U210" s="12" cm="1">
        <f t="array" ref="U210">maxDepthToMinSOC($L$8,$L$9,P210,Q210,$O210,$G$5,$G$6,drivePower($C$4,$M210,$G210,$C$10,$C$11),$I210,$G210,$G$4,$C$8)</f>
        <v>6963.7502767145634</v>
      </c>
      <c r="V210" s="93">
        <f t="shared" si="25"/>
        <v>10977.225436195731</v>
      </c>
    </row>
    <row r="211" spans="7:22" x14ac:dyDescent="0.35">
      <c r="G211" s="59">
        <f t="shared" si="1"/>
        <v>0.25</v>
      </c>
      <c r="H211" s="64" cm="1">
        <f t="array" ref="H211">drivePower($C$4,$C$5,G211,$C$10,$C$11)</f>
        <v>19.6038</v>
      </c>
      <c r="I211" s="84">
        <f t="shared" si="27"/>
        <v>24.679160599999999</v>
      </c>
      <c r="J211" s="84">
        <f t="shared" si="28"/>
        <v>44.282960599999996</v>
      </c>
      <c r="K211" s="60">
        <f t="shared" si="10"/>
        <v>426800</v>
      </c>
      <c r="L211" s="59">
        <f t="shared" si="29"/>
        <v>23.04</v>
      </c>
      <c r="M211" s="64">
        <f t="shared" si="26"/>
        <v>35.344000000000001</v>
      </c>
      <c r="N211" s="64" cm="1">
        <f t="array" ref="N211">drivePower($C$4,M211,$C$9,$C$10,$C$11)</f>
        <v>66.753270720000003</v>
      </c>
      <c r="O211" s="86">
        <f t="shared" si="30"/>
        <v>28424.880000000001</v>
      </c>
      <c r="P211" s="90">
        <f t="shared" si="5"/>
        <v>-1.5000000000000001E-4</v>
      </c>
      <c r="Q211" s="91">
        <f t="shared" si="6"/>
        <v>0.82280000000000009</v>
      </c>
      <c r="R211" s="98">
        <v>0.15</v>
      </c>
      <c r="S211" s="95">
        <f t="shared" si="11"/>
        <v>426800</v>
      </c>
      <c r="T211" s="92" cm="1">
        <f t="array" ref="T211">maxDepthToMinSOC($L$8,$L$9,$L$6,$L$7,$O211,$G$5,$G$6,drivePower($C$4,$M211,$G211,$C$10,$C$11),$I211,$G211,$G$4,$C$8)</f>
        <v>15011.550596505404</v>
      </c>
      <c r="U211" s="12" cm="1">
        <f t="array" ref="U211">maxDepthToMinSOC($L$8,$L$9,P211,Q211,$O211,$G$5,$G$6,drivePower($C$4,$M211,$G211,$C$10,$C$11),$I211,$G211,$G$4,$C$8)</f>
        <v>6968.8502769172192</v>
      </c>
      <c r="V211" s="93">
        <f t="shared" ref="V211:V212" si="31">AVERAGE(T211:U211)</f>
        <v>10990.200436711311</v>
      </c>
    </row>
    <row r="212" spans="7:22" x14ac:dyDescent="0.35">
      <c r="G212" s="59">
        <f t="shared" si="1"/>
        <v>0.25</v>
      </c>
      <c r="H212" s="64" cm="1">
        <f t="array" ref="H212">drivePower($C$4,$C$5,G212,$C$10,$C$11)</f>
        <v>19.6038</v>
      </c>
      <c r="I212" s="84">
        <f t="shared" si="27"/>
        <v>24.679160599999999</v>
      </c>
      <c r="J212" s="84">
        <f t="shared" si="28"/>
        <v>44.282960599999996</v>
      </c>
      <c r="K212" s="60">
        <f t="shared" si="10"/>
        <v>429000</v>
      </c>
      <c r="L212" s="59">
        <f t="shared" si="29"/>
        <v>23.16</v>
      </c>
      <c r="M212" s="64">
        <f t="shared" si="26"/>
        <v>35.475999999999999</v>
      </c>
      <c r="N212" s="64" cm="1">
        <f t="array" ref="N212">drivePower($C$4,M212,$C$9,$C$10,$C$11)</f>
        <v>66.998840879999989</v>
      </c>
      <c r="O212" s="86">
        <f t="shared" si="30"/>
        <v>28571.4</v>
      </c>
      <c r="P212" s="90">
        <f t="shared" si="5"/>
        <v>-1.5000000000000001E-4</v>
      </c>
      <c r="Q212" s="91">
        <f t="shared" si="6"/>
        <v>0.82280000000000009</v>
      </c>
      <c r="R212" s="98">
        <v>0.15</v>
      </c>
      <c r="S212" s="95">
        <f t="shared" si="11"/>
        <v>429000</v>
      </c>
      <c r="T212" s="92" cm="1">
        <f t="array" ref="T212">maxDepthToMinSOC($L$8,$L$9,$L$6,$L$7,$O212,$G$5,$G$6,drivePower($C$4,$M212,$G212,$C$10,$C$11),$I212,$G212,$G$4,$C$8)</f>
        <v>15032.250597327948</v>
      </c>
      <c r="U212" s="12" cm="1">
        <f t="array" ref="U212">maxDepthToMinSOC($L$8,$L$9,P212,Q212,$O212,$G$5,$G$6,drivePower($C$4,$M212,$G212,$C$10,$C$11),$I212,$G212,$G$4,$C$8)</f>
        <v>6973.950277119875</v>
      </c>
      <c r="V212" s="93">
        <f t="shared" si="31"/>
        <v>11003.100437223911</v>
      </c>
    </row>
  </sheetData>
  <mergeCells count="3">
    <mergeCell ref="B2:F2"/>
    <mergeCell ref="P16:Q16"/>
    <mergeCell ref="S16:V16"/>
  </mergeCells>
  <conditionalFormatting sqref="C12">
    <cfRule type="cellIs" dxfId="2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9C32-3486-4878-A662-73F4ED1A2059}">
  <sheetPr codeName="Sheet8"/>
  <dimension ref="B2:V212"/>
  <sheetViews>
    <sheetView topLeftCell="J17"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0.113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1.1300000000000001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-5.0000000000000002E-5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66.679160600000003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>
        <v>20</v>
      </c>
      <c r="D12" s="55" t="s">
        <v>7</v>
      </c>
      <c r="E12" s="15"/>
      <c r="F12" s="55" t="s">
        <v>119</v>
      </c>
      <c r="G12" s="80">
        <f>C12+C7</f>
        <v>44.679160600000003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27816.901105344296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0.5</v>
      </c>
      <c r="H18" s="64">
        <v>25</v>
      </c>
      <c r="I18" s="84">
        <v>25</v>
      </c>
      <c r="J18" s="84">
        <v>50</v>
      </c>
      <c r="K18" s="60">
        <v>2200</v>
      </c>
      <c r="L18" s="59">
        <f>(K18-4400)*(5*0.048)/4400</f>
        <v>-0.12</v>
      </c>
      <c r="M18" s="64">
        <f>$C$5+L18</f>
        <v>9.8800000000000008</v>
      </c>
      <c r="N18" s="64" cm="1">
        <f t="array" ref="N18">drivePower($C$4,M18,$C$9,$C$10,$C$11)</f>
        <v>3.1164399999999999</v>
      </c>
      <c r="O18" s="86">
        <f t="shared" ref="O18:O81" si="0">K18*3.6/1000*$L$4</f>
        <v>146.52000000000001</v>
      </c>
      <c r="P18" s="90">
        <f>$L$6*3</f>
        <v>-1.5000000000000001E-4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399.4500158727169</v>
      </c>
      <c r="U18" s="12" cm="1">
        <f t="array" ref="U18">maxDepthToMinSOC($L$8,$L$9,P18,Q18,$O18,$G$5,$G$6,drivePower($C$4,$M18,$G18,$C$10,$C$11),$I18,$G18,$G$4,$C$8)</f>
        <v>278.10001105070114</v>
      </c>
      <c r="V18" s="93">
        <f>AVERAGE(T18:U18)</f>
        <v>338.77501346170902</v>
      </c>
    </row>
    <row r="19" spans="7:22" x14ac:dyDescent="0.35">
      <c r="G19" s="59">
        <f t="shared" ref="G19:G212" si="1">$C$9</f>
        <v>0.5</v>
      </c>
      <c r="H19" s="64">
        <v>25</v>
      </c>
      <c r="I19" s="84">
        <f>I18</f>
        <v>25</v>
      </c>
      <c r="J19" s="84">
        <v>50</v>
      </c>
      <c r="K19" s="60">
        <v>4400</v>
      </c>
      <c r="L19" s="59">
        <f t="shared" ref="L19:L82" si="2">(K19-4400)*(5*0.048)/4400</f>
        <v>0</v>
      </c>
      <c r="M19" s="64">
        <f t="shared" ref="M19:M82" si="3">$C$5+L19</f>
        <v>10</v>
      </c>
      <c r="N19" s="64" cm="1">
        <f t="array" ref="N19">drivePower($C$4,M19,$C$9,$C$10,$C$11)</f>
        <v>3.13</v>
      </c>
      <c r="O19" s="86">
        <f t="shared" si="0"/>
        <v>293.04000000000002</v>
      </c>
      <c r="P19" s="90">
        <f t="shared" ref="P19:P212" si="4">$L$6*3</f>
        <v>-1.5000000000000001E-4</v>
      </c>
      <c r="Q19" s="91">
        <f t="shared" ref="Q19:Q212" si="5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1255.2000498771667</v>
      </c>
      <c r="U19" s="12" cm="1">
        <f t="array" ref="U19">maxDepthToMinSOC($L$8,$L$9,P19,Q19,$O19,$G$5,$G$6,drivePower($C$4,$M19,$G19,$C$10,$C$11),$I19,$G19,$G$4,$C$8)</f>
        <v>949.50003772974014</v>
      </c>
      <c r="V19" s="93">
        <f t="shared" ref="V19:V82" si="6">AVERAGE(T19:U19)</f>
        <v>1102.3500438034534</v>
      </c>
    </row>
    <row r="20" spans="7:22" x14ac:dyDescent="0.35">
      <c r="G20" s="59">
        <f t="shared" si="1"/>
        <v>0.5</v>
      </c>
      <c r="H20" s="64">
        <v>25</v>
      </c>
      <c r="I20" s="84">
        <f t="shared" ref="I20:I83" si="7">I19</f>
        <v>25</v>
      </c>
      <c r="J20" s="84">
        <v>50</v>
      </c>
      <c r="K20" s="60">
        <v>6600</v>
      </c>
      <c r="L20" s="59">
        <f t="shared" si="2"/>
        <v>0.12</v>
      </c>
      <c r="M20" s="64">
        <f t="shared" si="3"/>
        <v>10.119999999999999</v>
      </c>
      <c r="N20" s="64" cm="1">
        <f t="array" ref="N20">drivePower($C$4,M20,$C$9,$C$10,$C$11)</f>
        <v>3.1435599999999999</v>
      </c>
      <c r="O20" s="86">
        <f t="shared" si="0"/>
        <v>439.56</v>
      </c>
      <c r="P20" s="90">
        <f t="shared" si="4"/>
        <v>-1.5000000000000001E-4</v>
      </c>
      <c r="Q20" s="91">
        <f t="shared" si="5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2067.150082141161</v>
      </c>
      <c r="U20" s="12" cm="1">
        <f t="array" ref="U20">maxDepthToMinSOC($L$8,$L$9,P20,Q20,$O20,$G$5,$G$6,drivePower($C$4,$M20,$G20,$C$10,$C$11),$I20,$G20,$G$4,$C$8)</f>
        <v>1532.700060904026</v>
      </c>
      <c r="V20" s="93">
        <f t="shared" si="6"/>
        <v>1799.9250715225935</v>
      </c>
    </row>
    <row r="21" spans="7:22" x14ac:dyDescent="0.35">
      <c r="G21" s="59">
        <f t="shared" si="1"/>
        <v>0.5</v>
      </c>
      <c r="H21" s="64">
        <v>25</v>
      </c>
      <c r="I21" s="84">
        <f t="shared" si="7"/>
        <v>25</v>
      </c>
      <c r="J21" s="84">
        <v>50</v>
      </c>
      <c r="K21" s="60">
        <v>8800</v>
      </c>
      <c r="L21" s="59">
        <f t="shared" si="2"/>
        <v>0.24</v>
      </c>
      <c r="M21" s="64">
        <f t="shared" si="3"/>
        <v>10.24</v>
      </c>
      <c r="N21" s="64" cm="1">
        <f t="array" ref="N21">drivePower($C$4,M21,$C$9,$C$10,$C$11)</f>
        <v>3.1571199999999999</v>
      </c>
      <c r="O21" s="86">
        <f t="shared" si="0"/>
        <v>586.08000000000004</v>
      </c>
      <c r="P21" s="90">
        <f t="shared" si="4"/>
        <v>-1.5000000000000001E-4</v>
      </c>
      <c r="Q21" s="91">
        <f t="shared" si="5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2838.7501128017902</v>
      </c>
      <c r="U21" s="12" cm="1">
        <f t="array" ref="U21">maxDepthToMinSOC($L$8,$L$9,P21,Q21,$O21,$G$5,$G$6,drivePower($C$4,$M21,$G21,$C$10,$C$11),$I21,$G21,$G$4,$C$8)</f>
        <v>2043.900081217289</v>
      </c>
      <c r="V21" s="93">
        <f t="shared" si="6"/>
        <v>2441.3250970095396</v>
      </c>
    </row>
    <row r="22" spans="7:22" x14ac:dyDescent="0.35">
      <c r="G22" s="59">
        <f t="shared" si="1"/>
        <v>0.5</v>
      </c>
      <c r="H22" s="64">
        <v>25</v>
      </c>
      <c r="I22" s="84">
        <f t="shared" si="7"/>
        <v>25</v>
      </c>
      <c r="J22" s="84">
        <v>50</v>
      </c>
      <c r="K22" s="60">
        <f>K21+2200</f>
        <v>11000</v>
      </c>
      <c r="L22" s="59">
        <f t="shared" si="2"/>
        <v>0.36</v>
      </c>
      <c r="M22" s="64">
        <f t="shared" si="3"/>
        <v>10.36</v>
      </c>
      <c r="N22" s="64" cm="1">
        <f t="array" ref="N22">drivePower($C$4,M22,$C$9,$C$10,$C$11)</f>
        <v>3.1706799999999999</v>
      </c>
      <c r="O22" s="86">
        <f t="shared" si="0"/>
        <v>732.6</v>
      </c>
      <c r="P22" s="90">
        <f t="shared" si="4"/>
        <v>-1.5000000000000001E-4</v>
      </c>
      <c r="Q22" s="91">
        <f t="shared" si="5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3572.8501419723034</v>
      </c>
      <c r="U22" s="12" cm="1">
        <f t="array" ref="U22">maxDepthToMinSOC($L$8,$L$9,P22,Q22,$O22,$G$5,$G$6,drivePower($C$4,$M22,$G22,$C$10,$C$11),$I22,$G22,$G$4,$C$8)</f>
        <v>2495.700099170208</v>
      </c>
      <c r="V22" s="93">
        <f t="shared" si="6"/>
        <v>3034.2751205712557</v>
      </c>
    </row>
    <row r="23" spans="7:22" x14ac:dyDescent="0.35">
      <c r="G23" s="59">
        <f t="shared" si="1"/>
        <v>0.5</v>
      </c>
      <c r="H23" s="64">
        <v>25</v>
      </c>
      <c r="I23" s="84">
        <f t="shared" si="7"/>
        <v>25</v>
      </c>
      <c r="J23" s="84">
        <v>50</v>
      </c>
      <c r="K23" s="60">
        <f t="shared" ref="K23:K86" si="8">K22+2200</f>
        <v>13200</v>
      </c>
      <c r="L23" s="59">
        <f t="shared" si="2"/>
        <v>0.48</v>
      </c>
      <c r="M23" s="64">
        <f t="shared" si="3"/>
        <v>10.48</v>
      </c>
      <c r="N23" s="64" cm="1">
        <f t="array" ref="N23">drivePower($C$4,M23,$C$9,$C$10,$C$11)</f>
        <v>3.18424</v>
      </c>
      <c r="O23" s="86">
        <f t="shared" si="0"/>
        <v>879.12</v>
      </c>
      <c r="P23" s="90">
        <f t="shared" si="4"/>
        <v>-1.5000000000000001E-4</v>
      </c>
      <c r="Q23" s="91">
        <f t="shared" si="5"/>
        <v>0.82280000000000009</v>
      </c>
      <c r="R23" s="98">
        <v>0.15</v>
      </c>
      <c r="S23" s="95">
        <f t="shared" ref="S23:S86" si="9">S22+2200</f>
        <v>13200</v>
      </c>
      <c r="T23" s="92" cm="1">
        <f t="array" ref="T23">maxDepthToMinSOC($L$8,$L$9,$L$6,$L$7,$O23,$G$5,$G$6,drivePower($C$4,$M23,$G23,$C$10,$C$11),$I23,$G23,$G$4,$C$8)</f>
        <v>4272.1501697599888</v>
      </c>
      <c r="U23" s="12" cm="1">
        <f t="array" ref="U23">maxDepthToMinSOC($L$8,$L$9,P23,Q23,$O23,$G$5,$G$6,drivePower($C$4,$M23,$G23,$C$10,$C$11),$I23,$G23,$G$4,$C$8)</f>
        <v>2897.7001151442528</v>
      </c>
      <c r="V23" s="93">
        <f t="shared" si="6"/>
        <v>3584.9251424521208</v>
      </c>
    </row>
    <row r="24" spans="7:22" x14ac:dyDescent="0.35">
      <c r="G24" s="59">
        <f t="shared" si="1"/>
        <v>0.5</v>
      </c>
      <c r="H24" s="64">
        <v>25</v>
      </c>
      <c r="I24" s="84">
        <f t="shared" si="7"/>
        <v>25</v>
      </c>
      <c r="J24" s="84">
        <v>50</v>
      </c>
      <c r="K24" s="60">
        <f t="shared" si="8"/>
        <v>15400</v>
      </c>
      <c r="L24" s="59">
        <f t="shared" si="2"/>
        <v>0.6</v>
      </c>
      <c r="M24" s="64">
        <f t="shared" si="3"/>
        <v>10.6</v>
      </c>
      <c r="N24" s="64" cm="1">
        <f t="array" ref="N24">drivePower($C$4,M24,$C$9,$C$10,$C$11)</f>
        <v>3.1978</v>
      </c>
      <c r="O24" s="86">
        <f t="shared" si="0"/>
        <v>1025.6399999999999</v>
      </c>
      <c r="P24" s="90">
        <f t="shared" si="4"/>
        <v>-1.5000000000000001E-4</v>
      </c>
      <c r="Q24" s="91">
        <f t="shared" si="5"/>
        <v>0.82280000000000009</v>
      </c>
      <c r="R24" s="98">
        <v>0.15</v>
      </c>
      <c r="S24" s="95">
        <f t="shared" si="9"/>
        <v>15400</v>
      </c>
      <c r="T24" s="92" cm="1">
        <f t="array" ref="T24">maxDepthToMinSOC($L$8,$L$9,$L$6,$L$7,$O24,$G$5,$G$6,drivePower($C$4,$M24,$G24,$C$10,$C$11),$I24,$G24,$G$4,$C$8)</f>
        <v>4939.0501962602139</v>
      </c>
      <c r="U24" s="12" cm="1">
        <f t="array" ref="U24">maxDepthToMinSOC($L$8,$L$9,P24,Q24,$O24,$G$5,$G$6,drivePower($C$4,$M24,$G24,$C$10,$C$11),$I24,$G24,$G$4,$C$8)</f>
        <v>3258.0001294612885</v>
      </c>
      <c r="V24" s="93">
        <f t="shared" si="6"/>
        <v>4098.5251628607512</v>
      </c>
    </row>
    <row r="25" spans="7:22" x14ac:dyDescent="0.35">
      <c r="G25" s="59">
        <f t="shared" si="1"/>
        <v>0.5</v>
      </c>
      <c r="H25" s="64">
        <v>25</v>
      </c>
      <c r="I25" s="84">
        <f t="shared" si="7"/>
        <v>25</v>
      </c>
      <c r="J25" s="84">
        <v>50</v>
      </c>
      <c r="K25" s="60">
        <f t="shared" si="8"/>
        <v>17600</v>
      </c>
      <c r="L25" s="59">
        <f t="shared" si="2"/>
        <v>0.72</v>
      </c>
      <c r="M25" s="64">
        <f t="shared" si="3"/>
        <v>10.72</v>
      </c>
      <c r="N25" s="64" cm="1">
        <f t="array" ref="N25">drivePower($C$4,M25,$C$9,$C$10,$C$11)</f>
        <v>3.21136</v>
      </c>
      <c r="O25" s="86">
        <f t="shared" si="0"/>
        <v>1172.1600000000001</v>
      </c>
      <c r="P25" s="90">
        <f t="shared" si="4"/>
        <v>-1.5000000000000001E-4</v>
      </c>
      <c r="Q25" s="91">
        <f t="shared" si="5"/>
        <v>0.82280000000000009</v>
      </c>
      <c r="R25" s="98">
        <v>0.15</v>
      </c>
      <c r="S25" s="95">
        <f t="shared" si="9"/>
        <v>17600</v>
      </c>
      <c r="T25" s="92" cm="1">
        <f t="array" ref="T25">maxDepthToMinSOC($L$8,$L$9,$L$6,$L$7,$O25,$G$5,$G$6,drivePower($C$4,$M25,$G25,$C$10,$C$11),$I25,$G25,$G$4,$C$8)</f>
        <v>5575.8002215623856</v>
      </c>
      <c r="U25" s="12" cm="1">
        <f t="array" ref="U25">maxDepthToMinSOC($L$8,$L$9,P25,Q25,$O25,$G$5,$G$6,drivePower($C$4,$M25,$G25,$C$10,$C$11),$I25,$G25,$G$4,$C$8)</f>
        <v>3582.6001423597336</v>
      </c>
      <c r="V25" s="93">
        <f t="shared" si="6"/>
        <v>4579.2001819610596</v>
      </c>
    </row>
    <row r="26" spans="7:22" x14ac:dyDescent="0.35">
      <c r="G26" s="59">
        <f t="shared" si="1"/>
        <v>0.5</v>
      </c>
      <c r="H26" s="64">
        <v>25</v>
      </c>
      <c r="I26" s="84">
        <f t="shared" si="7"/>
        <v>25</v>
      </c>
      <c r="J26" s="84">
        <v>50</v>
      </c>
      <c r="K26" s="60">
        <f t="shared" si="8"/>
        <v>19800</v>
      </c>
      <c r="L26" s="59">
        <f t="shared" si="2"/>
        <v>0.84</v>
      </c>
      <c r="M26" s="64">
        <f t="shared" si="3"/>
        <v>10.84</v>
      </c>
      <c r="N26" s="64" cm="1">
        <f t="array" ref="N26">drivePower($C$4,M26,$C$9,$C$10,$C$11)</f>
        <v>3.22492</v>
      </c>
      <c r="O26" s="86">
        <f t="shared" si="0"/>
        <v>1318.68</v>
      </c>
      <c r="P26" s="90">
        <f t="shared" si="4"/>
        <v>-1.5000000000000001E-4</v>
      </c>
      <c r="Q26" s="91">
        <f t="shared" si="5"/>
        <v>0.82280000000000009</v>
      </c>
      <c r="R26" s="98">
        <v>0.15</v>
      </c>
      <c r="S26" s="95">
        <f t="shared" si="9"/>
        <v>19800</v>
      </c>
      <c r="T26" s="92" cm="1">
        <f t="array" ref="T26">maxDepthToMinSOC($L$8,$L$9,$L$6,$L$7,$O26,$G$5,$G$6,drivePower($C$4,$M26,$G26,$C$10,$C$11),$I26,$G26,$G$4,$C$8)</f>
        <v>6184.3502457439899</v>
      </c>
      <c r="U26" s="12" cm="1">
        <f t="array" ref="U26">maxDepthToMinSOC($L$8,$L$9,P26,Q26,$O26,$G$5,$G$6,drivePower($C$4,$M26,$G26,$C$10,$C$11),$I26,$G26,$G$4,$C$8)</f>
        <v>3876.4501540362835</v>
      </c>
      <c r="V26" s="93">
        <f t="shared" si="6"/>
        <v>5030.4001998901367</v>
      </c>
    </row>
    <row r="27" spans="7:22" x14ac:dyDescent="0.35">
      <c r="G27" s="59">
        <f t="shared" si="1"/>
        <v>0.5</v>
      </c>
      <c r="H27" s="64">
        <v>25</v>
      </c>
      <c r="I27" s="84">
        <f t="shared" si="7"/>
        <v>25</v>
      </c>
      <c r="J27" s="84">
        <v>50</v>
      </c>
      <c r="K27" s="60">
        <f t="shared" si="8"/>
        <v>22000</v>
      </c>
      <c r="L27" s="59">
        <f t="shared" si="2"/>
        <v>0.96</v>
      </c>
      <c r="M27" s="64">
        <f t="shared" si="3"/>
        <v>10.96</v>
      </c>
      <c r="N27" s="64" cm="1">
        <f t="array" ref="N27">drivePower($C$4,M27,$C$9,$C$10,$C$11)</f>
        <v>3.23848</v>
      </c>
      <c r="O27" s="86">
        <f t="shared" si="0"/>
        <v>1465.2</v>
      </c>
      <c r="P27" s="90">
        <f t="shared" si="4"/>
        <v>-1.5000000000000001E-4</v>
      </c>
      <c r="Q27" s="91">
        <f t="shared" si="5"/>
        <v>0.82280000000000009</v>
      </c>
      <c r="R27" s="98">
        <v>0.15</v>
      </c>
      <c r="S27" s="95">
        <f t="shared" si="9"/>
        <v>22000</v>
      </c>
      <c r="T27" s="92" cm="1">
        <f t="array" ref="T27">maxDepthToMinSOC($L$8,$L$9,$L$6,$L$7,$O27,$G$5,$G$6,drivePower($C$4,$M27,$G27,$C$10,$C$11),$I27,$G27,$G$4,$C$8)</f>
        <v>6766.5002688765526</v>
      </c>
      <c r="U27" s="12" cm="1">
        <f t="array" ref="U27">maxDepthToMinSOC($L$8,$L$9,P27,Q27,$O27,$G$5,$G$6,drivePower($C$4,$M27,$G27,$C$10,$C$11),$I27,$G27,$G$4,$C$8)</f>
        <v>4144.0501646697521</v>
      </c>
      <c r="V27" s="93">
        <f t="shared" si="6"/>
        <v>5455.2752167731524</v>
      </c>
    </row>
    <row r="28" spans="7:22" x14ac:dyDescent="0.35">
      <c r="G28" s="59">
        <f t="shared" si="1"/>
        <v>0.5</v>
      </c>
      <c r="H28" s="64">
        <v>25</v>
      </c>
      <c r="I28" s="84">
        <f t="shared" si="7"/>
        <v>25</v>
      </c>
      <c r="J28" s="84">
        <v>50</v>
      </c>
      <c r="K28" s="60">
        <f t="shared" si="8"/>
        <v>24200</v>
      </c>
      <c r="L28" s="59">
        <f t="shared" si="2"/>
        <v>1.08</v>
      </c>
      <c r="M28" s="64">
        <f t="shared" si="3"/>
        <v>11.08</v>
      </c>
      <c r="N28" s="64" cm="1">
        <f t="array" ref="N28">drivePower($C$4,M28,$C$9,$C$10,$C$11)</f>
        <v>3.25204</v>
      </c>
      <c r="O28" s="86">
        <f t="shared" si="0"/>
        <v>1611.72</v>
      </c>
      <c r="P28" s="90">
        <f t="shared" si="4"/>
        <v>-1.5000000000000001E-4</v>
      </c>
      <c r="Q28" s="91">
        <f t="shared" si="5"/>
        <v>0.82280000000000009</v>
      </c>
      <c r="R28" s="98">
        <v>0.15</v>
      </c>
      <c r="S28" s="95">
        <f t="shared" si="9"/>
        <v>24200</v>
      </c>
      <c r="T28" s="92" cm="1">
        <f t="array" ref="T28">maxDepthToMinSOC($L$8,$L$9,$L$6,$L$7,$O28,$G$5,$G$6,drivePower($C$4,$M28,$G28,$C$10,$C$11),$I28,$G28,$G$4,$C$8)</f>
        <v>7324.050291031599</v>
      </c>
      <c r="U28" s="12" cm="1">
        <f t="array" ref="U28">maxDepthToMinSOC($L$8,$L$9,P28,Q28,$O28,$G$5,$G$6,drivePower($C$4,$M28,$G28,$C$10,$C$11),$I28,$G28,$G$4,$C$8)</f>
        <v>4388.4001743793488</v>
      </c>
      <c r="V28" s="93">
        <f t="shared" si="6"/>
        <v>5856.2252327054739</v>
      </c>
    </row>
    <row r="29" spans="7:22" x14ac:dyDescent="0.35">
      <c r="G29" s="59">
        <f t="shared" si="1"/>
        <v>0.5</v>
      </c>
      <c r="H29" s="64">
        <v>25</v>
      </c>
      <c r="I29" s="84">
        <f t="shared" si="7"/>
        <v>25</v>
      </c>
      <c r="J29" s="84">
        <v>50</v>
      </c>
      <c r="K29" s="60">
        <f t="shared" si="8"/>
        <v>26400</v>
      </c>
      <c r="L29" s="59">
        <f t="shared" si="2"/>
        <v>1.2</v>
      </c>
      <c r="M29" s="64">
        <f t="shared" si="3"/>
        <v>11.2</v>
      </c>
      <c r="N29" s="64" cm="1">
        <f t="array" ref="N29">drivePower($C$4,M29,$C$9,$C$10,$C$11)</f>
        <v>3.2656000000000001</v>
      </c>
      <c r="O29" s="86">
        <f t="shared" si="0"/>
        <v>1758.24</v>
      </c>
      <c r="P29" s="90">
        <f t="shared" si="4"/>
        <v>-1.5000000000000001E-4</v>
      </c>
      <c r="Q29" s="91">
        <f t="shared" si="5"/>
        <v>0.82280000000000009</v>
      </c>
      <c r="R29" s="98">
        <v>0.15</v>
      </c>
      <c r="S29" s="95">
        <f t="shared" si="9"/>
        <v>26400</v>
      </c>
      <c r="T29" s="92" cm="1">
        <f t="array" ref="T29">maxDepthToMinSOC($L$8,$L$9,$L$6,$L$7,$O29,$G$5,$G$6,drivePower($C$4,$M29,$G29,$C$10,$C$11),$I29,$G29,$G$4,$C$8)</f>
        <v>7858.500312268734</v>
      </c>
      <c r="U29" s="12" cm="1">
        <f t="array" ref="U29">maxDepthToMinSOC($L$8,$L$9,P29,Q29,$O29,$G$5,$G$6,drivePower($C$4,$M29,$G29,$C$10,$C$11),$I29,$G29,$G$4,$C$8)</f>
        <v>4612.6501832902431</v>
      </c>
      <c r="V29" s="93">
        <f t="shared" si="6"/>
        <v>6235.5752477794886</v>
      </c>
    </row>
    <row r="30" spans="7:22" x14ac:dyDescent="0.35">
      <c r="G30" s="59">
        <f t="shared" si="1"/>
        <v>0.5</v>
      </c>
      <c r="H30" s="64">
        <v>25</v>
      </c>
      <c r="I30" s="84">
        <f t="shared" si="7"/>
        <v>25</v>
      </c>
      <c r="J30" s="84">
        <v>50</v>
      </c>
      <c r="K30" s="60">
        <f t="shared" si="8"/>
        <v>28600</v>
      </c>
      <c r="L30" s="59">
        <f t="shared" si="2"/>
        <v>1.32</v>
      </c>
      <c r="M30" s="64">
        <f t="shared" si="3"/>
        <v>11.32</v>
      </c>
      <c r="N30" s="64" cm="1">
        <f t="array" ref="N30">drivePower($C$4,M30,$C$9,$C$10,$C$11)</f>
        <v>3.2791600000000001</v>
      </c>
      <c r="O30" s="86">
        <f t="shared" si="0"/>
        <v>1904.76</v>
      </c>
      <c r="P30" s="90">
        <f t="shared" si="4"/>
        <v>-1.5000000000000001E-4</v>
      </c>
      <c r="Q30" s="91">
        <f t="shared" si="5"/>
        <v>0.82280000000000009</v>
      </c>
      <c r="R30" s="98">
        <v>0.15</v>
      </c>
      <c r="S30" s="95">
        <f t="shared" si="9"/>
        <v>28600</v>
      </c>
      <c r="T30" s="92" cm="1">
        <f t="array" ref="T30">maxDepthToMinSOC($L$8,$L$9,$L$6,$L$7,$O30,$G$5,$G$6,drivePower($C$4,$M30,$G30,$C$10,$C$11),$I30,$G30,$G$4,$C$8)</f>
        <v>8371.0503326356411</v>
      </c>
      <c r="U30" s="12" cm="1">
        <f t="array" ref="U30">maxDepthToMinSOC($L$8,$L$9,P30,Q30,$O30,$G$5,$G$6,drivePower($C$4,$M30,$G30,$C$10,$C$11),$I30,$G30,$G$4,$C$8)</f>
        <v>4819.0501914918423</v>
      </c>
      <c r="V30" s="93">
        <f t="shared" si="6"/>
        <v>6595.0502620637417</v>
      </c>
    </row>
    <row r="31" spans="7:22" x14ac:dyDescent="0.35">
      <c r="G31" s="59">
        <f t="shared" si="1"/>
        <v>0.5</v>
      </c>
      <c r="H31" s="64">
        <v>25</v>
      </c>
      <c r="I31" s="84">
        <f t="shared" si="7"/>
        <v>25</v>
      </c>
      <c r="J31" s="84">
        <v>50</v>
      </c>
      <c r="K31" s="60">
        <f t="shared" si="8"/>
        <v>30800</v>
      </c>
      <c r="L31" s="59">
        <f t="shared" si="2"/>
        <v>1.44</v>
      </c>
      <c r="M31" s="64">
        <f t="shared" si="3"/>
        <v>11.44</v>
      </c>
      <c r="N31" s="64" cm="1">
        <f t="array" ref="N31">drivePower($C$4,M31,$C$9,$C$10,$C$11)</f>
        <v>3.2927200000000001</v>
      </c>
      <c r="O31" s="86">
        <f t="shared" si="0"/>
        <v>2051.2799999999997</v>
      </c>
      <c r="P31" s="90">
        <f t="shared" si="4"/>
        <v>-1.5000000000000001E-4</v>
      </c>
      <c r="Q31" s="91">
        <f t="shared" si="5"/>
        <v>0.82280000000000009</v>
      </c>
      <c r="R31" s="98">
        <v>0.15</v>
      </c>
      <c r="S31" s="95">
        <f t="shared" si="9"/>
        <v>30800</v>
      </c>
      <c r="T31" s="92" cm="1">
        <f t="array" ref="T31">maxDepthToMinSOC($L$8,$L$9,$L$6,$L$7,$O31,$G$5,$G$6,drivePower($C$4,$M31,$G31,$C$10,$C$11),$I31,$G31,$G$4,$C$8)</f>
        <v>8863.3503521978855</v>
      </c>
      <c r="U31" s="12" cm="1">
        <f t="array" ref="U31">maxDepthToMinSOC($L$8,$L$9,P31,Q31,$O31,$G$5,$G$6,drivePower($C$4,$M31,$G31,$C$10,$C$11),$I31,$G31,$G$4,$C$8)</f>
        <v>5009.7001990675926</v>
      </c>
      <c r="V31" s="93">
        <f t="shared" si="6"/>
        <v>6936.5252756327391</v>
      </c>
    </row>
    <row r="32" spans="7:22" x14ac:dyDescent="0.35">
      <c r="G32" s="59">
        <f t="shared" si="1"/>
        <v>0.5</v>
      </c>
      <c r="H32" s="64">
        <v>25</v>
      </c>
      <c r="I32" s="84">
        <f t="shared" si="7"/>
        <v>25</v>
      </c>
      <c r="J32" s="84">
        <v>50</v>
      </c>
      <c r="K32" s="60">
        <f t="shared" si="8"/>
        <v>33000</v>
      </c>
      <c r="L32" s="59">
        <f t="shared" si="2"/>
        <v>1.56</v>
      </c>
      <c r="M32" s="64">
        <f t="shared" si="3"/>
        <v>11.56</v>
      </c>
      <c r="N32" s="64" cm="1">
        <f t="array" ref="N32">drivePower($C$4,M32,$C$9,$C$10,$C$11)</f>
        <v>3.3062800000000001</v>
      </c>
      <c r="O32" s="86">
        <f t="shared" si="0"/>
        <v>2197.7999999999997</v>
      </c>
      <c r="P32" s="90">
        <f t="shared" si="4"/>
        <v>-1.5000000000000001E-4</v>
      </c>
      <c r="Q32" s="91">
        <f t="shared" si="5"/>
        <v>0.82280000000000009</v>
      </c>
      <c r="R32" s="98">
        <v>0.15</v>
      </c>
      <c r="S32" s="95">
        <f t="shared" si="9"/>
        <v>33000</v>
      </c>
      <c r="T32" s="92" cm="1">
        <f t="array" ref="T32">maxDepthToMinSOC($L$8,$L$9,$L$6,$L$7,$O32,$G$5,$G$6,drivePower($C$4,$M32,$G32,$C$10,$C$11),$I32,$G32,$G$4,$C$8)</f>
        <v>9336.30037099123</v>
      </c>
      <c r="U32" s="12" cm="1">
        <f t="array" ref="U32">maxDepthToMinSOC($L$8,$L$9,P32,Q32,$O32,$G$5,$G$6,drivePower($C$4,$M32,$G32,$C$10,$C$11),$I32,$G32,$G$4,$C$8)</f>
        <v>5186.4002060890198</v>
      </c>
      <c r="V32" s="93">
        <f t="shared" si="6"/>
        <v>7261.3502885401249</v>
      </c>
    </row>
    <row r="33" spans="7:22" x14ac:dyDescent="0.35">
      <c r="G33" s="59">
        <f t="shared" si="1"/>
        <v>0.5</v>
      </c>
      <c r="H33" s="64">
        <v>25</v>
      </c>
      <c r="I33" s="84">
        <f t="shared" si="7"/>
        <v>25</v>
      </c>
      <c r="J33" s="84">
        <v>50</v>
      </c>
      <c r="K33" s="60">
        <f t="shared" si="8"/>
        <v>35200</v>
      </c>
      <c r="L33" s="59">
        <f t="shared" si="2"/>
        <v>1.68</v>
      </c>
      <c r="M33" s="64">
        <f t="shared" si="3"/>
        <v>11.68</v>
      </c>
      <c r="N33" s="64" cm="1">
        <f t="array" ref="N33">drivePower($C$4,M33,$C$9,$C$10,$C$11)</f>
        <v>3.3198400000000001</v>
      </c>
      <c r="O33" s="86">
        <f t="shared" si="0"/>
        <v>2344.3200000000002</v>
      </c>
      <c r="P33" s="90">
        <f t="shared" si="4"/>
        <v>-1.5000000000000001E-4</v>
      </c>
      <c r="Q33" s="91">
        <f t="shared" si="5"/>
        <v>0.82280000000000009</v>
      </c>
      <c r="R33" s="98">
        <v>0.15</v>
      </c>
      <c r="S33" s="95">
        <f t="shared" si="9"/>
        <v>35200</v>
      </c>
      <c r="T33" s="92" cm="1">
        <f t="array" ref="T33">maxDepthToMinSOC($L$8,$L$9,$L$6,$L$7,$O33,$G$5,$G$6,drivePower($C$4,$M33,$G33,$C$10,$C$11),$I33,$G33,$G$4,$C$8)</f>
        <v>9791.1003890633583</v>
      </c>
      <c r="U33" s="12" cm="1">
        <f t="array" ref="U33">maxDepthToMinSOC($L$8,$L$9,P33,Q33,$O33,$G$5,$G$6,drivePower($C$4,$M33,$G33,$C$10,$C$11),$I33,$G33,$G$4,$C$8)</f>
        <v>5350.5002126097679</v>
      </c>
      <c r="V33" s="93">
        <f t="shared" si="6"/>
        <v>7570.8003008365631</v>
      </c>
    </row>
    <row r="34" spans="7:22" x14ac:dyDescent="0.35">
      <c r="G34" s="59">
        <f t="shared" si="1"/>
        <v>0.5</v>
      </c>
      <c r="H34" s="64">
        <v>25</v>
      </c>
      <c r="I34" s="84">
        <f t="shared" si="7"/>
        <v>25</v>
      </c>
      <c r="J34" s="84">
        <v>50</v>
      </c>
      <c r="K34" s="60">
        <f t="shared" si="8"/>
        <v>37400</v>
      </c>
      <c r="L34" s="59">
        <f t="shared" si="2"/>
        <v>1.8</v>
      </c>
      <c r="M34" s="64">
        <f t="shared" si="3"/>
        <v>11.8</v>
      </c>
      <c r="N34" s="64" cm="1">
        <f t="array" ref="N34">drivePower($C$4,M34,$C$9,$C$10,$C$11)</f>
        <v>3.3334000000000001</v>
      </c>
      <c r="O34" s="86">
        <f t="shared" si="0"/>
        <v>2490.8399999999997</v>
      </c>
      <c r="P34" s="90">
        <f t="shared" si="4"/>
        <v>-1.5000000000000001E-4</v>
      </c>
      <c r="Q34" s="91">
        <f t="shared" si="5"/>
        <v>0.82280000000000009</v>
      </c>
      <c r="R34" s="98">
        <v>0.15</v>
      </c>
      <c r="S34" s="95">
        <f t="shared" si="9"/>
        <v>37400</v>
      </c>
      <c r="T34" s="92" cm="1">
        <f t="array" ref="T34">maxDepthToMinSOC($L$8,$L$9,$L$6,$L$7,$O34,$G$5,$G$6,drivePower($C$4,$M34,$G34,$C$10,$C$11),$I34,$G34,$G$4,$C$8)</f>
        <v>10228.950406461954</v>
      </c>
      <c r="U34" s="12" cm="1">
        <f t="array" ref="U34">maxDepthToMinSOC($L$8,$L$9,P34,Q34,$O34,$G$5,$G$6,drivePower($C$4,$M34,$G34,$C$10,$C$11),$I34,$G34,$G$4,$C$8)</f>
        <v>5503.5002186894417</v>
      </c>
      <c r="V34" s="93">
        <f t="shared" si="6"/>
        <v>7866.2253125756979</v>
      </c>
    </row>
    <row r="35" spans="7:22" x14ac:dyDescent="0.35">
      <c r="G35" s="59">
        <f t="shared" si="1"/>
        <v>0.5</v>
      </c>
      <c r="H35" s="64">
        <v>25</v>
      </c>
      <c r="I35" s="84">
        <f t="shared" si="7"/>
        <v>25</v>
      </c>
      <c r="J35" s="84">
        <v>50</v>
      </c>
      <c r="K35" s="60">
        <f t="shared" si="8"/>
        <v>39600</v>
      </c>
      <c r="L35" s="59">
        <f t="shared" si="2"/>
        <v>1.92</v>
      </c>
      <c r="M35" s="64">
        <f t="shared" si="3"/>
        <v>11.92</v>
      </c>
      <c r="N35" s="64" cm="1">
        <f t="array" ref="N35">drivePower($C$4,M35,$C$9,$C$10,$C$11)</f>
        <v>3.3469600000000002</v>
      </c>
      <c r="O35" s="86">
        <f t="shared" si="0"/>
        <v>2637.36</v>
      </c>
      <c r="P35" s="90">
        <f t="shared" si="4"/>
        <v>-1.5000000000000001E-4</v>
      </c>
      <c r="Q35" s="91">
        <f t="shared" si="5"/>
        <v>0.82280000000000009</v>
      </c>
      <c r="R35" s="98">
        <v>0.15</v>
      </c>
      <c r="S35" s="95">
        <f t="shared" si="9"/>
        <v>39600</v>
      </c>
      <c r="T35" s="92" cm="1">
        <f t="array" ref="T35">maxDepthToMinSOC($L$8,$L$9,$L$6,$L$7,$O35,$G$5,$G$6,drivePower($C$4,$M35,$G35,$C$10,$C$11),$I35,$G35,$G$4,$C$8)</f>
        <v>10650.450423210859</v>
      </c>
      <c r="U35" s="12" cm="1">
        <f t="array" ref="U35">maxDepthToMinSOC($L$8,$L$9,P35,Q35,$O35,$G$5,$G$6,drivePower($C$4,$M35,$G35,$C$10,$C$11),$I35,$G35,$G$4,$C$8)</f>
        <v>5646.1502243578434</v>
      </c>
      <c r="V35" s="93">
        <f t="shared" si="6"/>
        <v>8148.3003237843513</v>
      </c>
    </row>
    <row r="36" spans="7:22" x14ac:dyDescent="0.35">
      <c r="G36" s="59">
        <f t="shared" si="1"/>
        <v>0.5</v>
      </c>
      <c r="H36" s="64">
        <v>25</v>
      </c>
      <c r="I36" s="84">
        <f t="shared" si="7"/>
        <v>25</v>
      </c>
      <c r="J36" s="84">
        <v>50</v>
      </c>
      <c r="K36" s="60">
        <f t="shared" si="8"/>
        <v>41800</v>
      </c>
      <c r="L36" s="59">
        <f t="shared" si="2"/>
        <v>2.04</v>
      </c>
      <c r="M36" s="64">
        <f t="shared" si="3"/>
        <v>12.04</v>
      </c>
      <c r="N36" s="64" cm="1">
        <f t="array" ref="N36">drivePower($C$4,M36,$C$9,$C$10,$C$11)</f>
        <v>3.3605200000000002</v>
      </c>
      <c r="O36" s="86">
        <f t="shared" si="0"/>
        <v>2783.8799999999997</v>
      </c>
      <c r="P36" s="90">
        <f t="shared" si="4"/>
        <v>-1.5000000000000001E-4</v>
      </c>
      <c r="Q36" s="91">
        <f t="shared" si="5"/>
        <v>0.82280000000000009</v>
      </c>
      <c r="R36" s="98">
        <v>0.15</v>
      </c>
      <c r="S36" s="95">
        <f t="shared" si="9"/>
        <v>41800</v>
      </c>
      <c r="T36" s="92" cm="1">
        <f t="array" ref="T36">maxDepthToMinSOC($L$8,$L$9,$L$6,$L$7,$O36,$G$5,$G$6,drivePower($C$4,$M36,$G36,$C$10,$C$11),$I36,$G36,$G$4,$C$8)</f>
        <v>11056.800439357758</v>
      </c>
      <c r="U36" s="12" cm="1">
        <f t="array" ref="U36">maxDepthToMinSOC($L$8,$L$9,P36,Q36,$O36,$G$5,$G$6,drivePower($C$4,$M36,$G36,$C$10,$C$11),$I36,$G36,$G$4,$C$8)</f>
        <v>5779.8002296686172</v>
      </c>
      <c r="V36" s="93">
        <f t="shared" si="6"/>
        <v>8418.3003345131874</v>
      </c>
    </row>
    <row r="37" spans="7:22" x14ac:dyDescent="0.35">
      <c r="G37" s="59">
        <f t="shared" si="1"/>
        <v>0.5</v>
      </c>
      <c r="H37" s="64">
        <v>25</v>
      </c>
      <c r="I37" s="84">
        <f t="shared" si="7"/>
        <v>25</v>
      </c>
      <c r="J37" s="84">
        <v>50</v>
      </c>
      <c r="K37" s="60">
        <f t="shared" si="8"/>
        <v>44000</v>
      </c>
      <c r="L37" s="59">
        <f t="shared" si="2"/>
        <v>2.16</v>
      </c>
      <c r="M37" s="64">
        <f t="shared" si="3"/>
        <v>12.16</v>
      </c>
      <c r="N37" s="64" cm="1">
        <f t="array" ref="N37">drivePower($C$4,M37,$C$9,$C$10,$C$11)</f>
        <v>3.3740800000000002</v>
      </c>
      <c r="O37" s="86">
        <f t="shared" si="0"/>
        <v>2930.4</v>
      </c>
      <c r="P37" s="90">
        <f t="shared" si="4"/>
        <v>-1.5000000000000001E-4</v>
      </c>
      <c r="Q37" s="91">
        <f t="shared" si="5"/>
        <v>0.82280000000000009</v>
      </c>
      <c r="R37" s="98">
        <v>0.15</v>
      </c>
      <c r="S37" s="95">
        <f t="shared" si="9"/>
        <v>44000</v>
      </c>
      <c r="T37" s="92" cm="1">
        <f t="array" ref="T37">maxDepthToMinSOC($L$8,$L$9,$L$6,$L$7,$O37,$G$5,$G$6,drivePower($C$4,$M37,$G37,$C$10,$C$11),$I37,$G37,$G$4,$C$8)</f>
        <v>11448.600454926491</v>
      </c>
      <c r="U37" s="12" cm="1">
        <f t="array" ref="U37">maxDepthToMinSOC($L$8,$L$9,P37,Q37,$O37,$G$5,$G$6,drivePower($C$4,$M37,$G37,$C$10,$C$11),$I37,$G37,$G$4,$C$8)</f>
        <v>5905.2002346515656</v>
      </c>
      <c r="V37" s="93">
        <f t="shared" si="6"/>
        <v>8676.9003447890282</v>
      </c>
    </row>
    <row r="38" spans="7:22" x14ac:dyDescent="0.35">
      <c r="G38" s="59">
        <f t="shared" si="1"/>
        <v>0.5</v>
      </c>
      <c r="H38" s="64">
        <v>25</v>
      </c>
      <c r="I38" s="84">
        <f t="shared" si="7"/>
        <v>25</v>
      </c>
      <c r="J38" s="84">
        <v>50</v>
      </c>
      <c r="K38" s="60">
        <f t="shared" si="8"/>
        <v>46200</v>
      </c>
      <c r="L38" s="59">
        <f t="shared" si="2"/>
        <v>2.2799999999999998</v>
      </c>
      <c r="M38" s="64">
        <f t="shared" si="3"/>
        <v>12.28</v>
      </c>
      <c r="N38" s="64" cm="1">
        <f t="array" ref="N38">drivePower($C$4,M38,$C$9,$C$10,$C$11)</f>
        <v>3.3876400000000002</v>
      </c>
      <c r="O38" s="86">
        <f t="shared" si="0"/>
        <v>3076.92</v>
      </c>
      <c r="P38" s="90">
        <f t="shared" si="4"/>
        <v>-1.5000000000000001E-4</v>
      </c>
      <c r="Q38" s="91">
        <f t="shared" si="5"/>
        <v>0.82280000000000009</v>
      </c>
      <c r="R38" s="98">
        <v>0.15</v>
      </c>
      <c r="S38" s="95">
        <f t="shared" si="9"/>
        <v>46200</v>
      </c>
      <c r="T38" s="92" cm="1">
        <f t="array" ref="T38">maxDepthToMinSOC($L$8,$L$9,$L$6,$L$7,$O38,$G$5,$G$6,drivePower($C$4,$M38,$G38,$C$10,$C$11),$I38,$G38,$G$4,$C$8)</f>
        <v>11826.750469952822</v>
      </c>
      <c r="U38" s="12" cm="1">
        <f t="array" ref="U38">maxDepthToMinSOC($L$8,$L$9,P38,Q38,$O38,$G$5,$G$6,drivePower($C$4,$M38,$G38,$C$10,$C$11),$I38,$G38,$G$4,$C$8)</f>
        <v>6022.9502393305302</v>
      </c>
      <c r="V38" s="93">
        <f t="shared" si="6"/>
        <v>8924.8503546416759</v>
      </c>
    </row>
    <row r="39" spans="7:22" x14ac:dyDescent="0.35">
      <c r="G39" s="59">
        <f t="shared" si="1"/>
        <v>0.5</v>
      </c>
      <c r="H39" s="64">
        <v>25</v>
      </c>
      <c r="I39" s="84">
        <f t="shared" si="7"/>
        <v>25</v>
      </c>
      <c r="J39" s="84">
        <v>50</v>
      </c>
      <c r="K39" s="60">
        <f t="shared" si="8"/>
        <v>48400</v>
      </c>
      <c r="L39" s="59">
        <f t="shared" si="2"/>
        <v>2.4</v>
      </c>
      <c r="M39" s="64">
        <f t="shared" si="3"/>
        <v>12.4</v>
      </c>
      <c r="N39" s="64" cm="1">
        <f t="array" ref="N39">drivePower($C$4,M39,$C$9,$C$10,$C$11)</f>
        <v>3.4012000000000002</v>
      </c>
      <c r="O39" s="86">
        <f t="shared" si="0"/>
        <v>3223.44</v>
      </c>
      <c r="P39" s="90">
        <f t="shared" si="4"/>
        <v>-1.5000000000000001E-4</v>
      </c>
      <c r="Q39" s="91">
        <f t="shared" si="5"/>
        <v>0.82280000000000009</v>
      </c>
      <c r="R39" s="98">
        <v>0.15</v>
      </c>
      <c r="S39" s="95">
        <f t="shared" si="9"/>
        <v>48400</v>
      </c>
      <c r="T39" s="92" cm="1">
        <f t="array" ref="T39">maxDepthToMinSOC($L$8,$L$9,$L$6,$L$7,$O39,$G$5,$G$6,drivePower($C$4,$M39,$G39,$C$10,$C$11),$I39,$G39,$G$4,$C$8)</f>
        <v>12191.850484460592</v>
      </c>
      <c r="U39" s="12" cm="1">
        <f t="array" ref="U39">maxDepthToMinSOC($L$8,$L$9,P39,Q39,$O39,$G$5,$G$6,drivePower($C$4,$M39,$G39,$C$10,$C$11),$I39,$G39,$G$4,$C$8)</f>
        <v>6133.8002437353134</v>
      </c>
      <c r="V39" s="93">
        <f t="shared" si="6"/>
        <v>9162.8253640979528</v>
      </c>
    </row>
    <row r="40" spans="7:22" x14ac:dyDescent="0.35">
      <c r="G40" s="59">
        <f t="shared" si="1"/>
        <v>0.5</v>
      </c>
      <c r="H40" s="64">
        <v>25</v>
      </c>
      <c r="I40" s="84">
        <f t="shared" si="7"/>
        <v>25</v>
      </c>
      <c r="J40" s="84">
        <v>50</v>
      </c>
      <c r="K40" s="60">
        <f t="shared" si="8"/>
        <v>50600</v>
      </c>
      <c r="L40" s="59">
        <f t="shared" si="2"/>
        <v>2.52</v>
      </c>
      <c r="M40" s="64">
        <f t="shared" si="3"/>
        <v>12.52</v>
      </c>
      <c r="N40" s="64" cm="1">
        <f t="array" ref="N40">drivePower($C$4,M40,$C$9,$C$10,$C$11)</f>
        <v>3.4147600000000002</v>
      </c>
      <c r="O40" s="86">
        <f t="shared" si="0"/>
        <v>3369.96</v>
      </c>
      <c r="P40" s="90">
        <f t="shared" si="4"/>
        <v>-1.5000000000000001E-4</v>
      </c>
      <c r="Q40" s="91">
        <f t="shared" si="5"/>
        <v>0.82280000000000009</v>
      </c>
      <c r="R40" s="98">
        <v>0.15</v>
      </c>
      <c r="S40" s="95">
        <f t="shared" si="9"/>
        <v>50600</v>
      </c>
      <c r="T40" s="92" cm="1">
        <f t="array" ref="T40">maxDepthToMinSOC($L$8,$L$9,$L$6,$L$7,$O40,$G$5,$G$6,drivePower($C$4,$M40,$G40,$C$10,$C$11),$I40,$G40,$G$4,$C$8)</f>
        <v>12544.800498485565</v>
      </c>
      <c r="U40" s="12" cm="1">
        <f t="array" ref="U40">maxDepthToMinSOC($L$8,$L$9,P40,Q40,$O40,$G$5,$G$6,drivePower($C$4,$M40,$G40,$C$10,$C$11),$I40,$G40,$G$4,$C$8)</f>
        <v>6238.3502478897572</v>
      </c>
      <c r="V40" s="93">
        <f t="shared" si="6"/>
        <v>9391.5753731876612</v>
      </c>
    </row>
    <row r="41" spans="7:22" x14ac:dyDescent="0.35">
      <c r="G41" s="59">
        <f t="shared" si="1"/>
        <v>0.5</v>
      </c>
      <c r="H41" s="64">
        <v>25</v>
      </c>
      <c r="I41" s="84">
        <f t="shared" si="7"/>
        <v>25</v>
      </c>
      <c r="J41" s="84">
        <v>50</v>
      </c>
      <c r="K41" s="60">
        <f t="shared" si="8"/>
        <v>52800</v>
      </c>
      <c r="L41" s="59">
        <f t="shared" si="2"/>
        <v>2.64</v>
      </c>
      <c r="M41" s="64">
        <f t="shared" si="3"/>
        <v>12.64</v>
      </c>
      <c r="N41" s="64" cm="1">
        <f t="array" ref="N41">drivePower($C$4,M41,$C$9,$C$10,$C$11)</f>
        <v>3.4283200000000003</v>
      </c>
      <c r="O41" s="86">
        <f t="shared" si="0"/>
        <v>3516.48</v>
      </c>
      <c r="P41" s="90">
        <f t="shared" si="4"/>
        <v>-1.5000000000000001E-4</v>
      </c>
      <c r="Q41" s="91">
        <f t="shared" si="5"/>
        <v>0.82280000000000009</v>
      </c>
      <c r="R41" s="98">
        <v>0.15</v>
      </c>
      <c r="S41" s="95">
        <f t="shared" si="9"/>
        <v>52800</v>
      </c>
      <c r="T41" s="92" cm="1">
        <f t="array" ref="T41">maxDepthToMinSOC($L$8,$L$9,$L$6,$L$7,$O41,$G$5,$G$6,drivePower($C$4,$M41,$G41,$C$10,$C$11),$I41,$G41,$G$4,$C$8)</f>
        <v>12885.750512033701</v>
      </c>
      <c r="U41" s="12" cm="1">
        <f t="array" ref="U41">maxDepthToMinSOC($L$8,$L$9,P41,Q41,$O41,$G$5,$G$6,drivePower($C$4,$M41,$G41,$C$10,$C$11),$I41,$G41,$G$4,$C$8)</f>
        <v>6337.2002518177032</v>
      </c>
      <c r="V41" s="93">
        <f t="shared" si="6"/>
        <v>9611.4753819257021</v>
      </c>
    </row>
    <row r="42" spans="7:22" x14ac:dyDescent="0.35">
      <c r="G42" s="59">
        <f t="shared" si="1"/>
        <v>0.5</v>
      </c>
      <c r="H42" s="64">
        <v>25</v>
      </c>
      <c r="I42" s="84">
        <f t="shared" si="7"/>
        <v>25</v>
      </c>
      <c r="J42" s="84">
        <v>50</v>
      </c>
      <c r="K42" s="60">
        <f t="shared" si="8"/>
        <v>55000</v>
      </c>
      <c r="L42" s="59">
        <f t="shared" si="2"/>
        <v>2.76</v>
      </c>
      <c r="M42" s="64">
        <f t="shared" si="3"/>
        <v>12.76</v>
      </c>
      <c r="N42" s="64" cm="1">
        <f t="array" ref="N42">drivePower($C$4,M42,$C$9,$C$10,$C$11)</f>
        <v>3.4418800000000003</v>
      </c>
      <c r="O42" s="86">
        <f t="shared" si="0"/>
        <v>3663</v>
      </c>
      <c r="P42" s="90">
        <f t="shared" si="4"/>
        <v>-1.5000000000000001E-4</v>
      </c>
      <c r="Q42" s="91">
        <f t="shared" si="5"/>
        <v>0.82280000000000009</v>
      </c>
      <c r="R42" s="98">
        <v>0.15</v>
      </c>
      <c r="S42" s="95">
        <f t="shared" si="9"/>
        <v>55000</v>
      </c>
      <c r="T42" s="92" cm="1">
        <f t="array" ref="T42">maxDepthToMinSOC($L$8,$L$9,$L$6,$L$7,$O42,$G$5,$G$6,drivePower($C$4,$M42,$G42,$C$10,$C$11),$I42,$G42,$G$4,$C$8)</f>
        <v>13215.750525146723</v>
      </c>
      <c r="U42" s="12" cm="1">
        <f t="array" ref="U42">maxDepthToMinSOC($L$8,$L$9,P42,Q42,$O42,$G$5,$G$6,drivePower($C$4,$M42,$G42,$C$10,$C$11),$I42,$G42,$G$4,$C$8)</f>
        <v>6430.6502555310726</v>
      </c>
      <c r="V42" s="93">
        <f t="shared" si="6"/>
        <v>9823.2003903388977</v>
      </c>
    </row>
    <row r="43" spans="7:22" x14ac:dyDescent="0.35">
      <c r="G43" s="59">
        <f t="shared" si="1"/>
        <v>0.5</v>
      </c>
      <c r="H43" s="64">
        <v>25</v>
      </c>
      <c r="I43" s="84">
        <f t="shared" si="7"/>
        <v>25</v>
      </c>
      <c r="J43" s="84">
        <v>50</v>
      </c>
      <c r="K43" s="60">
        <f t="shared" si="8"/>
        <v>57200</v>
      </c>
      <c r="L43" s="59">
        <f t="shared" si="2"/>
        <v>2.88</v>
      </c>
      <c r="M43" s="64">
        <f t="shared" si="3"/>
        <v>12.879999999999999</v>
      </c>
      <c r="N43" s="64" cm="1">
        <f t="array" ref="N43">drivePower($C$4,M43,$C$9,$C$10,$C$11)</f>
        <v>3.4554399999999998</v>
      </c>
      <c r="O43" s="86">
        <f t="shared" si="0"/>
        <v>3809.52</v>
      </c>
      <c r="P43" s="90">
        <f t="shared" si="4"/>
        <v>-1.5000000000000001E-4</v>
      </c>
      <c r="Q43" s="91">
        <f t="shared" si="5"/>
        <v>0.82280000000000009</v>
      </c>
      <c r="R43" s="98">
        <v>0.15</v>
      </c>
      <c r="S43" s="95">
        <f t="shared" si="9"/>
        <v>57200</v>
      </c>
      <c r="T43" s="92" cm="1">
        <f t="array" ref="T43">maxDepthToMinSOC($L$8,$L$9,$L$6,$L$7,$O43,$G$5,$G$6,drivePower($C$4,$M43,$G43,$C$10,$C$11),$I43,$G43,$G$4,$C$8)</f>
        <v>13535.100537836552</v>
      </c>
      <c r="U43" s="12" cm="1">
        <f t="array" ref="U43">maxDepthToMinSOC($L$8,$L$9,P43,Q43,$O43,$G$5,$G$6,drivePower($C$4,$M43,$G43,$C$10,$C$11),$I43,$G43,$G$4,$C$8)</f>
        <v>6519.3002590537071</v>
      </c>
      <c r="V43" s="93">
        <f t="shared" si="6"/>
        <v>10027.200398445129</v>
      </c>
    </row>
    <row r="44" spans="7:22" x14ac:dyDescent="0.35">
      <c r="G44" s="59">
        <f t="shared" si="1"/>
        <v>0.5</v>
      </c>
      <c r="H44" s="64">
        <v>25</v>
      </c>
      <c r="I44" s="84">
        <f t="shared" si="7"/>
        <v>25</v>
      </c>
      <c r="J44" s="84">
        <v>50</v>
      </c>
      <c r="K44" s="60">
        <f t="shared" si="8"/>
        <v>59400</v>
      </c>
      <c r="L44" s="59">
        <f t="shared" si="2"/>
        <v>3</v>
      </c>
      <c r="M44" s="64">
        <f t="shared" si="3"/>
        <v>13</v>
      </c>
      <c r="N44" s="64" cm="1">
        <f t="array" ref="N44">drivePower($C$4,M44,$C$9,$C$10,$C$11)</f>
        <v>3.4690000000000003</v>
      </c>
      <c r="O44" s="86">
        <f t="shared" si="0"/>
        <v>3956.04</v>
      </c>
      <c r="P44" s="90">
        <f t="shared" si="4"/>
        <v>-1.5000000000000001E-4</v>
      </c>
      <c r="Q44" s="91">
        <f t="shared" si="5"/>
        <v>0.82280000000000009</v>
      </c>
      <c r="R44" s="98">
        <v>0.15</v>
      </c>
      <c r="S44" s="95">
        <f t="shared" si="9"/>
        <v>59400</v>
      </c>
      <c r="T44" s="92" cm="1">
        <f t="array" ref="T44">maxDepthToMinSOC($L$8,$L$9,$L$6,$L$7,$O44,$G$5,$G$6,drivePower($C$4,$M44,$G44,$C$10,$C$11),$I44,$G44,$G$4,$C$8)</f>
        <v>13844.250550121069</v>
      </c>
      <c r="U44" s="12" cm="1">
        <f t="array" ref="U44">maxDepthToMinSOC($L$8,$L$9,P44,Q44,$O44,$G$5,$G$6,drivePower($C$4,$M44,$G44,$C$10,$C$11),$I44,$G44,$G$4,$C$8)</f>
        <v>6603.3002623915672</v>
      </c>
      <c r="V44" s="93">
        <f t="shared" si="6"/>
        <v>10223.775406256318</v>
      </c>
    </row>
    <row r="45" spans="7:22" x14ac:dyDescent="0.35">
      <c r="G45" s="59">
        <f t="shared" si="1"/>
        <v>0.5</v>
      </c>
      <c r="H45" s="64">
        <v>25</v>
      </c>
      <c r="I45" s="84">
        <f t="shared" si="7"/>
        <v>25</v>
      </c>
      <c r="J45" s="84">
        <v>50</v>
      </c>
      <c r="K45" s="60">
        <f t="shared" si="8"/>
        <v>61600</v>
      </c>
      <c r="L45" s="59">
        <f t="shared" si="2"/>
        <v>3.12</v>
      </c>
      <c r="M45" s="64">
        <f t="shared" si="3"/>
        <v>13.120000000000001</v>
      </c>
      <c r="N45" s="64" cm="1">
        <f t="array" ref="N45">drivePower($C$4,M45,$C$9,$C$10,$C$11)</f>
        <v>3.4825600000000003</v>
      </c>
      <c r="O45" s="86">
        <f t="shared" si="0"/>
        <v>4102.5599999999995</v>
      </c>
      <c r="P45" s="90">
        <f t="shared" si="4"/>
        <v>-1.5000000000000001E-4</v>
      </c>
      <c r="Q45" s="91">
        <f t="shared" si="5"/>
        <v>0.82280000000000009</v>
      </c>
      <c r="R45" s="98">
        <v>0.15</v>
      </c>
      <c r="S45" s="95">
        <f t="shared" si="9"/>
        <v>61600</v>
      </c>
      <c r="T45" s="92" cm="1">
        <f t="array" ref="T45">maxDepthToMinSOC($L$8,$L$9,$L$6,$L$7,$O45,$G$5,$G$6,drivePower($C$4,$M45,$G45,$C$10,$C$11),$I45,$G45,$G$4,$C$8)</f>
        <v>14143.800562024117</v>
      </c>
      <c r="U45" s="12" cm="1">
        <f t="array" ref="U45">maxDepthToMinSOC($L$8,$L$9,P45,Q45,$O45,$G$5,$G$6,drivePower($C$4,$M45,$G45,$C$10,$C$11),$I45,$G45,$G$4,$C$8)</f>
        <v>6683.2502655684948</v>
      </c>
      <c r="V45" s="93">
        <f t="shared" si="6"/>
        <v>10413.525413796306</v>
      </c>
    </row>
    <row r="46" spans="7:22" x14ac:dyDescent="0.35">
      <c r="G46" s="59">
        <f t="shared" si="1"/>
        <v>0.5</v>
      </c>
      <c r="H46" s="64">
        <v>25</v>
      </c>
      <c r="I46" s="84">
        <f t="shared" si="7"/>
        <v>25</v>
      </c>
      <c r="J46" s="84">
        <v>50</v>
      </c>
      <c r="K46" s="60">
        <f t="shared" si="8"/>
        <v>63800</v>
      </c>
      <c r="L46" s="59">
        <f t="shared" si="2"/>
        <v>3.24</v>
      </c>
      <c r="M46" s="64">
        <f t="shared" si="3"/>
        <v>13.24</v>
      </c>
      <c r="N46" s="64" cm="1">
        <f t="array" ref="N46">drivePower($C$4,M46,$C$9,$C$10,$C$11)</f>
        <v>3.4961200000000003</v>
      </c>
      <c r="O46" s="86">
        <f t="shared" si="0"/>
        <v>4249.08</v>
      </c>
      <c r="P46" s="90">
        <f t="shared" si="4"/>
        <v>-1.5000000000000001E-4</v>
      </c>
      <c r="Q46" s="91">
        <f t="shared" si="5"/>
        <v>0.82280000000000009</v>
      </c>
      <c r="R46" s="98">
        <v>0.15</v>
      </c>
      <c r="S46" s="95">
        <f t="shared" si="9"/>
        <v>63800</v>
      </c>
      <c r="T46" s="92" cm="1">
        <f t="array" ref="T46">maxDepthToMinSOC($L$8,$L$9,$L$6,$L$7,$O46,$G$5,$G$6,drivePower($C$4,$M46,$G46,$C$10,$C$11),$I46,$G46,$G$4,$C$8)</f>
        <v>14434.200573563576</v>
      </c>
      <c r="U46" s="12" cm="1">
        <f t="array" ref="U46">maxDepthToMinSOC($L$8,$L$9,P46,Q46,$O46,$G$5,$G$6,drivePower($C$4,$M46,$G46,$C$10,$C$11),$I46,$G46,$G$4,$C$8)</f>
        <v>6759.3002685904503</v>
      </c>
      <c r="V46" s="93">
        <f t="shared" si="6"/>
        <v>10596.750421077013</v>
      </c>
    </row>
    <row r="47" spans="7:22" x14ac:dyDescent="0.35">
      <c r="G47" s="59">
        <f t="shared" si="1"/>
        <v>0.5</v>
      </c>
      <c r="H47" s="64">
        <v>25</v>
      </c>
      <c r="I47" s="84">
        <f t="shared" si="7"/>
        <v>25</v>
      </c>
      <c r="J47" s="84">
        <v>50</v>
      </c>
      <c r="K47" s="60">
        <f t="shared" si="8"/>
        <v>66000</v>
      </c>
      <c r="L47" s="59">
        <f t="shared" si="2"/>
        <v>3.36</v>
      </c>
      <c r="M47" s="64">
        <f t="shared" si="3"/>
        <v>13.36</v>
      </c>
      <c r="N47" s="64" cm="1">
        <f t="array" ref="N47">drivePower($C$4,M47,$C$9,$C$10,$C$11)</f>
        <v>3.5096799999999999</v>
      </c>
      <c r="O47" s="86">
        <f t="shared" si="0"/>
        <v>4395.5999999999995</v>
      </c>
      <c r="P47" s="90">
        <f t="shared" si="4"/>
        <v>-1.5000000000000001E-4</v>
      </c>
      <c r="Q47" s="91">
        <f t="shared" si="5"/>
        <v>0.82280000000000009</v>
      </c>
      <c r="R47" s="98">
        <v>0.15</v>
      </c>
      <c r="S47" s="95">
        <f t="shared" si="9"/>
        <v>66000</v>
      </c>
      <c r="T47" s="92" cm="1">
        <f t="array" ref="T47">maxDepthToMinSOC($L$8,$L$9,$L$6,$L$7,$O47,$G$5,$G$6,drivePower($C$4,$M47,$G47,$C$10,$C$11),$I47,$G47,$G$4,$C$8)</f>
        <v>14715.900584757328</v>
      </c>
      <c r="U47" s="12" cm="1">
        <f t="array" ref="U47">maxDepthToMinSOC($L$8,$L$9,P47,Q47,$O47,$G$5,$G$6,drivePower($C$4,$M47,$G47,$C$10,$C$11),$I47,$G47,$G$4,$C$8)</f>
        <v>6831.6002714633942</v>
      </c>
      <c r="V47" s="93">
        <f t="shared" si="6"/>
        <v>10773.750428110361</v>
      </c>
    </row>
    <row r="48" spans="7:22" x14ac:dyDescent="0.35">
      <c r="G48" s="59">
        <f t="shared" si="1"/>
        <v>0.5</v>
      </c>
      <c r="H48" s="64">
        <v>25</v>
      </c>
      <c r="I48" s="84">
        <f t="shared" si="7"/>
        <v>25</v>
      </c>
      <c r="J48" s="84">
        <v>50</v>
      </c>
      <c r="K48" s="60">
        <f t="shared" si="8"/>
        <v>68200</v>
      </c>
      <c r="L48" s="59">
        <f t="shared" si="2"/>
        <v>3.48</v>
      </c>
      <c r="M48" s="64">
        <f t="shared" si="3"/>
        <v>13.48</v>
      </c>
      <c r="N48" s="64" cm="1">
        <f t="array" ref="N48">drivePower($C$4,M48,$C$9,$C$10,$C$11)</f>
        <v>3.5232400000000004</v>
      </c>
      <c r="O48" s="86">
        <f t="shared" si="0"/>
        <v>4542.12</v>
      </c>
      <c r="P48" s="90">
        <f t="shared" si="4"/>
        <v>-1.5000000000000001E-4</v>
      </c>
      <c r="Q48" s="91">
        <f t="shared" si="5"/>
        <v>0.82280000000000009</v>
      </c>
      <c r="R48" s="98">
        <v>0.15</v>
      </c>
      <c r="S48" s="95">
        <f t="shared" si="9"/>
        <v>68200</v>
      </c>
      <c r="T48" s="92" cm="1">
        <f t="array" ref="T48">maxDepthToMinSOC($L$8,$L$9,$L$6,$L$7,$O48,$G$5,$G$6,drivePower($C$4,$M48,$G48,$C$10,$C$11),$I48,$G48,$G$4,$C$8)</f>
        <v>14989.050595611334</v>
      </c>
      <c r="U48" s="12" cm="1">
        <f t="array" ref="U48">maxDepthToMinSOC($L$8,$L$9,P48,Q48,$O48,$G$5,$G$6,drivePower($C$4,$M48,$G48,$C$10,$C$11),$I48,$G48,$G$4,$C$8)</f>
        <v>6900.7502742111683</v>
      </c>
      <c r="V48" s="93">
        <f t="shared" si="6"/>
        <v>10944.900434911251</v>
      </c>
    </row>
    <row r="49" spans="7:22" x14ac:dyDescent="0.35">
      <c r="G49" s="59">
        <f t="shared" si="1"/>
        <v>0.5</v>
      </c>
      <c r="H49" s="64">
        <v>25</v>
      </c>
      <c r="I49" s="84">
        <f t="shared" si="7"/>
        <v>25</v>
      </c>
      <c r="J49" s="84">
        <v>50</v>
      </c>
      <c r="K49" s="60">
        <f t="shared" si="8"/>
        <v>70400</v>
      </c>
      <c r="L49" s="59">
        <f t="shared" si="2"/>
        <v>3.6</v>
      </c>
      <c r="M49" s="64">
        <f t="shared" si="3"/>
        <v>13.6</v>
      </c>
      <c r="N49" s="64" cm="1">
        <f t="array" ref="N49">drivePower($C$4,M49,$C$9,$C$10,$C$11)</f>
        <v>3.5367999999999999</v>
      </c>
      <c r="O49" s="86">
        <f t="shared" si="0"/>
        <v>4688.6400000000003</v>
      </c>
      <c r="P49" s="90">
        <f t="shared" si="4"/>
        <v>-1.5000000000000001E-4</v>
      </c>
      <c r="Q49" s="91">
        <f t="shared" si="5"/>
        <v>0.82280000000000009</v>
      </c>
      <c r="R49" s="98">
        <v>0.15</v>
      </c>
      <c r="S49" s="95">
        <f t="shared" si="9"/>
        <v>70400</v>
      </c>
      <c r="T49" s="92" cm="1">
        <f t="array" ref="T49">maxDepthToMinSOC($L$8,$L$9,$L$6,$L$7,$O49,$G$5,$G$6,drivePower($C$4,$M49,$G49,$C$10,$C$11),$I49,$G49,$G$4,$C$8)</f>
        <v>15254.250606149435</v>
      </c>
      <c r="U49" s="12" cm="1">
        <f t="array" ref="U49">maxDepthToMinSOC($L$8,$L$9,P49,Q49,$O49,$G$5,$G$6,drivePower($C$4,$M49,$G49,$C$10,$C$11),$I49,$G49,$G$4,$C$8)</f>
        <v>6966.6002768278122</v>
      </c>
      <c r="V49" s="93">
        <f t="shared" si="6"/>
        <v>11110.425441488624</v>
      </c>
    </row>
    <row r="50" spans="7:22" x14ac:dyDescent="0.35">
      <c r="G50" s="59">
        <f t="shared" si="1"/>
        <v>0.5</v>
      </c>
      <c r="H50" s="64">
        <v>25</v>
      </c>
      <c r="I50" s="84">
        <f t="shared" si="7"/>
        <v>25</v>
      </c>
      <c r="J50" s="84">
        <v>50</v>
      </c>
      <c r="K50" s="60">
        <f t="shared" si="8"/>
        <v>72600</v>
      </c>
      <c r="L50" s="59">
        <f t="shared" si="2"/>
        <v>3.72</v>
      </c>
      <c r="M50" s="64">
        <f t="shared" si="3"/>
        <v>13.72</v>
      </c>
      <c r="N50" s="64" cm="1">
        <f t="array" ref="N50">drivePower($C$4,M50,$C$9,$C$10,$C$11)</f>
        <v>3.5503600000000004</v>
      </c>
      <c r="O50" s="86">
        <f t="shared" si="0"/>
        <v>4835.16</v>
      </c>
      <c r="P50" s="90">
        <f t="shared" si="4"/>
        <v>-1.5000000000000001E-4</v>
      </c>
      <c r="Q50" s="91">
        <f t="shared" si="5"/>
        <v>0.82280000000000009</v>
      </c>
      <c r="R50" s="98">
        <v>0.15</v>
      </c>
      <c r="S50" s="95">
        <f t="shared" si="9"/>
        <v>72600</v>
      </c>
      <c r="T50" s="92" cm="1">
        <f t="array" ref="T50">maxDepthToMinSOC($L$8,$L$9,$L$6,$L$7,$O50,$G$5,$G$6,drivePower($C$4,$M50,$G50,$C$10,$C$11),$I50,$G50,$G$4,$C$8)</f>
        <v>15511.800616383553</v>
      </c>
      <c r="U50" s="12" cm="1">
        <f t="array" ref="U50">maxDepthToMinSOC($L$8,$L$9,P50,Q50,$O50,$G$5,$G$6,drivePower($C$4,$M50,$G50,$C$10,$C$11),$I50,$G50,$G$4,$C$8)</f>
        <v>7029.7502793371677</v>
      </c>
      <c r="V50" s="93">
        <f t="shared" si="6"/>
        <v>11270.77544786036</v>
      </c>
    </row>
    <row r="51" spans="7:22" x14ac:dyDescent="0.35">
      <c r="G51" s="59">
        <f t="shared" si="1"/>
        <v>0.5</v>
      </c>
      <c r="H51" s="64">
        <v>25</v>
      </c>
      <c r="I51" s="84">
        <f t="shared" si="7"/>
        <v>25</v>
      </c>
      <c r="J51" s="84">
        <v>50</v>
      </c>
      <c r="K51" s="60">
        <f t="shared" si="8"/>
        <v>74800</v>
      </c>
      <c r="L51" s="59">
        <f t="shared" si="2"/>
        <v>3.84</v>
      </c>
      <c r="M51" s="64">
        <f t="shared" si="3"/>
        <v>13.84</v>
      </c>
      <c r="N51" s="64" cm="1">
        <f t="array" ref="N51">drivePower($C$4,M51,$C$9,$C$10,$C$11)</f>
        <v>3.56392</v>
      </c>
      <c r="O51" s="86">
        <f t="shared" si="0"/>
        <v>4981.6799999999994</v>
      </c>
      <c r="P51" s="90">
        <f t="shared" si="4"/>
        <v>-1.5000000000000001E-4</v>
      </c>
      <c r="Q51" s="91">
        <f t="shared" si="5"/>
        <v>0.82280000000000009</v>
      </c>
      <c r="R51" s="98">
        <v>0.15</v>
      </c>
      <c r="S51" s="95">
        <f t="shared" si="9"/>
        <v>74800</v>
      </c>
      <c r="T51" s="92" cm="1">
        <f t="array" ref="T51">maxDepthToMinSOC($L$8,$L$9,$L$6,$L$7,$O51,$G$5,$G$6,drivePower($C$4,$M51,$G51,$C$10,$C$11),$I51,$G51,$G$4,$C$8)</f>
        <v>15762.000626325607</v>
      </c>
      <c r="U51" s="12" cm="1">
        <f t="array" ref="U51">maxDepthToMinSOC($L$8,$L$9,P51,Q51,$O51,$G$5,$G$6,drivePower($C$4,$M51,$G51,$C$10,$C$11),$I51,$G51,$G$4,$C$8)</f>
        <v>7089.900281727314</v>
      </c>
      <c r="V51" s="93">
        <f t="shared" si="6"/>
        <v>11425.950454026461</v>
      </c>
    </row>
    <row r="52" spans="7:22" x14ac:dyDescent="0.35">
      <c r="G52" s="59">
        <f t="shared" si="1"/>
        <v>0.5</v>
      </c>
      <c r="H52" s="64">
        <v>25</v>
      </c>
      <c r="I52" s="84">
        <f t="shared" si="7"/>
        <v>25</v>
      </c>
      <c r="J52" s="84">
        <v>50</v>
      </c>
      <c r="K52" s="60">
        <f t="shared" si="8"/>
        <v>77000</v>
      </c>
      <c r="L52" s="59">
        <f t="shared" si="2"/>
        <v>3.96</v>
      </c>
      <c r="M52" s="64">
        <f t="shared" si="3"/>
        <v>13.96</v>
      </c>
      <c r="N52" s="64" cm="1">
        <f t="array" ref="N52">drivePower($C$4,M52,$C$9,$C$10,$C$11)</f>
        <v>3.5774800000000004</v>
      </c>
      <c r="O52" s="86">
        <f t="shared" si="0"/>
        <v>5128.2</v>
      </c>
      <c r="P52" s="90">
        <f t="shared" si="4"/>
        <v>-1.5000000000000001E-4</v>
      </c>
      <c r="Q52" s="91">
        <f t="shared" si="5"/>
        <v>0.82280000000000009</v>
      </c>
      <c r="R52" s="98">
        <v>0.15</v>
      </c>
      <c r="S52" s="95">
        <f t="shared" si="9"/>
        <v>77000</v>
      </c>
      <c r="T52" s="92" cm="1">
        <f t="array" ref="T52">maxDepthToMinSOC($L$8,$L$9,$L$6,$L$7,$O52,$G$5,$G$6,drivePower($C$4,$M52,$G52,$C$10,$C$11),$I52,$G52,$G$4,$C$8)</f>
        <v>16005.15063598752</v>
      </c>
      <c r="U52" s="12" cm="1">
        <f t="array" ref="U52">maxDepthToMinSOC($L$8,$L$9,P52,Q52,$O52,$G$5,$G$6,drivePower($C$4,$M52,$G52,$C$10,$C$11),$I52,$G52,$G$4,$C$8)</f>
        <v>7147.6502840220928</v>
      </c>
      <c r="V52" s="93">
        <f t="shared" si="6"/>
        <v>11576.400460004807</v>
      </c>
    </row>
    <row r="53" spans="7:22" x14ac:dyDescent="0.35">
      <c r="G53" s="59">
        <f t="shared" si="1"/>
        <v>0.5</v>
      </c>
      <c r="H53" s="64">
        <v>25</v>
      </c>
      <c r="I53" s="84">
        <f t="shared" si="7"/>
        <v>25</v>
      </c>
      <c r="J53" s="84">
        <v>50</v>
      </c>
      <c r="K53" s="60">
        <f t="shared" si="8"/>
        <v>79200</v>
      </c>
      <c r="L53" s="59">
        <f t="shared" si="2"/>
        <v>4.08</v>
      </c>
      <c r="M53" s="64">
        <f t="shared" si="3"/>
        <v>14.08</v>
      </c>
      <c r="N53" s="64" cm="1">
        <f t="array" ref="N53">drivePower($C$4,M53,$C$9,$C$10,$C$11)</f>
        <v>3.59104</v>
      </c>
      <c r="O53" s="86">
        <f t="shared" si="0"/>
        <v>5274.72</v>
      </c>
      <c r="P53" s="90">
        <f t="shared" si="4"/>
        <v>-1.5000000000000001E-4</v>
      </c>
      <c r="Q53" s="91">
        <f t="shared" si="5"/>
        <v>0.82280000000000009</v>
      </c>
      <c r="R53" s="98">
        <v>0.15</v>
      </c>
      <c r="S53" s="95">
        <f t="shared" si="9"/>
        <v>79200</v>
      </c>
      <c r="T53" s="92" cm="1">
        <f t="array" ref="T53">maxDepthToMinSOC($L$8,$L$9,$L$6,$L$7,$O53,$G$5,$G$6,drivePower($C$4,$M53,$G53,$C$10,$C$11),$I53,$G53,$G$4,$C$8)</f>
        <v>16241.550645381212</v>
      </c>
      <c r="U53" s="12" cm="1">
        <f t="array" ref="U53">maxDepthToMinSOC($L$8,$L$9,P53,Q53,$O53,$G$5,$G$6,drivePower($C$4,$M53,$G53,$C$10,$C$11),$I53,$G53,$G$4,$C$8)</f>
        <v>7203.0002862215042</v>
      </c>
      <c r="V53" s="93">
        <f t="shared" si="6"/>
        <v>11722.275465801358</v>
      </c>
    </row>
    <row r="54" spans="7:22" x14ac:dyDescent="0.35">
      <c r="G54" s="59">
        <f t="shared" si="1"/>
        <v>0.5</v>
      </c>
      <c r="H54" s="64">
        <v>25</v>
      </c>
      <c r="I54" s="84">
        <f t="shared" si="7"/>
        <v>25</v>
      </c>
      <c r="J54" s="84">
        <v>50</v>
      </c>
      <c r="K54" s="60">
        <f t="shared" si="8"/>
        <v>81400</v>
      </c>
      <c r="L54" s="59">
        <f t="shared" si="2"/>
        <v>4.2</v>
      </c>
      <c r="M54" s="64">
        <f t="shared" si="3"/>
        <v>14.2</v>
      </c>
      <c r="N54" s="64" cm="1">
        <f t="array" ref="N54">drivePower($C$4,M54,$C$9,$C$10,$C$11)</f>
        <v>3.6046</v>
      </c>
      <c r="O54" s="86">
        <f t="shared" si="0"/>
        <v>5421.2400000000007</v>
      </c>
      <c r="P54" s="90">
        <f t="shared" si="4"/>
        <v>-1.5000000000000001E-4</v>
      </c>
      <c r="Q54" s="91">
        <f t="shared" si="5"/>
        <v>0.82280000000000009</v>
      </c>
      <c r="R54" s="98">
        <v>0.15</v>
      </c>
      <c r="S54" s="95">
        <f t="shared" si="9"/>
        <v>81400</v>
      </c>
      <c r="T54" s="92" cm="1">
        <f t="array" ref="T54">maxDepthToMinSOC($L$8,$L$9,$L$6,$L$7,$O54,$G$5,$G$6,drivePower($C$4,$M54,$G54,$C$10,$C$11),$I54,$G54,$G$4,$C$8)</f>
        <v>16471.650654524565</v>
      </c>
      <c r="U54" s="12" cm="1">
        <f t="array" ref="U54">maxDepthToMinSOC($L$8,$L$9,P54,Q54,$O54,$G$5,$G$6,drivePower($C$4,$M54,$G54,$C$10,$C$11),$I54,$G54,$G$4,$C$8)</f>
        <v>7256.1002883315086</v>
      </c>
      <c r="V54" s="93">
        <f t="shared" si="6"/>
        <v>11863.875471428037</v>
      </c>
    </row>
    <row r="55" spans="7:22" x14ac:dyDescent="0.35">
      <c r="G55" s="59">
        <f t="shared" si="1"/>
        <v>0.5</v>
      </c>
      <c r="H55" s="64">
        <v>25</v>
      </c>
      <c r="I55" s="84">
        <f t="shared" si="7"/>
        <v>25</v>
      </c>
      <c r="J55" s="84">
        <v>50</v>
      </c>
      <c r="K55" s="60">
        <f t="shared" si="8"/>
        <v>83600</v>
      </c>
      <c r="L55" s="59">
        <f t="shared" si="2"/>
        <v>4.32</v>
      </c>
      <c r="M55" s="64">
        <f t="shared" si="3"/>
        <v>14.32</v>
      </c>
      <c r="N55" s="64" cm="1">
        <f t="array" ref="N55">drivePower($C$4,M55,$C$9,$C$10,$C$11)</f>
        <v>3.61816</v>
      </c>
      <c r="O55" s="86">
        <f t="shared" si="0"/>
        <v>5567.7599999999993</v>
      </c>
      <c r="P55" s="90">
        <f t="shared" si="4"/>
        <v>-1.5000000000000001E-4</v>
      </c>
      <c r="Q55" s="91">
        <f t="shared" si="5"/>
        <v>0.82280000000000009</v>
      </c>
      <c r="R55" s="98">
        <v>0.15</v>
      </c>
      <c r="S55" s="95">
        <f t="shared" si="9"/>
        <v>83600</v>
      </c>
      <c r="T55" s="92" cm="1">
        <f t="array" ref="T55">maxDepthToMinSOC($L$8,$L$9,$L$6,$L$7,$O55,$G$5,$G$6,drivePower($C$4,$M55,$G55,$C$10,$C$11),$I55,$G55,$G$4,$C$8)</f>
        <v>16695.300663411617</v>
      </c>
      <c r="U55" s="12" cm="1">
        <f t="array" ref="U55">maxDepthToMinSOC($L$8,$L$9,P55,Q55,$O55,$G$5,$G$6,drivePower($C$4,$M55,$G55,$C$10,$C$11),$I55,$G55,$G$4,$C$8)</f>
        <v>7307.1002903580666</v>
      </c>
      <c r="V55" s="93">
        <f t="shared" si="6"/>
        <v>12001.200476884842</v>
      </c>
    </row>
    <row r="56" spans="7:22" x14ac:dyDescent="0.35">
      <c r="G56" s="59">
        <f t="shared" si="1"/>
        <v>0.5</v>
      </c>
      <c r="H56" s="64">
        <v>25</v>
      </c>
      <c r="I56" s="84">
        <f t="shared" si="7"/>
        <v>25</v>
      </c>
      <c r="J56" s="84">
        <v>50</v>
      </c>
      <c r="K56" s="60">
        <f t="shared" si="8"/>
        <v>85800</v>
      </c>
      <c r="L56" s="59">
        <f t="shared" si="2"/>
        <v>4.4400000000000004</v>
      </c>
      <c r="M56" s="64">
        <f t="shared" si="3"/>
        <v>14.440000000000001</v>
      </c>
      <c r="N56" s="64" cm="1">
        <f t="array" ref="N56">drivePower($C$4,M56,$C$9,$C$10,$C$11)</f>
        <v>3.6317200000000005</v>
      </c>
      <c r="O56" s="86">
        <f t="shared" si="0"/>
        <v>5714.28</v>
      </c>
      <c r="P56" s="90">
        <f t="shared" si="4"/>
        <v>-1.5000000000000001E-4</v>
      </c>
      <c r="Q56" s="91">
        <f t="shared" si="5"/>
        <v>0.82280000000000009</v>
      </c>
      <c r="R56" s="98">
        <v>0.15</v>
      </c>
      <c r="S56" s="95">
        <f t="shared" si="9"/>
        <v>85800</v>
      </c>
      <c r="T56" s="92" cm="1">
        <f t="array" ref="T56">maxDepthToMinSOC($L$8,$L$9,$L$6,$L$7,$O56,$G$5,$G$6,drivePower($C$4,$M56,$G56,$C$10,$C$11),$I56,$G56,$G$4,$C$8)</f>
        <v>16913.250672072172</v>
      </c>
      <c r="U56" s="12" cm="1">
        <f t="array" ref="U56">maxDepthToMinSOC($L$8,$L$9,P56,Q56,$O56,$G$5,$G$6,drivePower($C$4,$M56,$G56,$C$10,$C$11),$I56,$G56,$G$4,$C$8)</f>
        <v>7356.1502923071384</v>
      </c>
      <c r="V56" s="93">
        <f t="shared" si="6"/>
        <v>12134.700482189655</v>
      </c>
    </row>
    <row r="57" spans="7:22" x14ac:dyDescent="0.35">
      <c r="G57" s="59">
        <f t="shared" si="1"/>
        <v>0.5</v>
      </c>
      <c r="H57" s="64">
        <v>25</v>
      </c>
      <c r="I57" s="84">
        <f t="shared" si="7"/>
        <v>25</v>
      </c>
      <c r="J57" s="84">
        <v>50</v>
      </c>
      <c r="K57" s="60">
        <f t="shared" si="8"/>
        <v>88000</v>
      </c>
      <c r="L57" s="59">
        <f t="shared" si="2"/>
        <v>4.5599999999999996</v>
      </c>
      <c r="M57" s="64">
        <f t="shared" si="3"/>
        <v>14.559999999999999</v>
      </c>
      <c r="N57" s="64" cm="1">
        <f t="array" ref="N57">drivePower($C$4,M57,$C$9,$C$10,$C$11)</f>
        <v>3.6452799999999996</v>
      </c>
      <c r="O57" s="86">
        <f t="shared" si="0"/>
        <v>5860.8</v>
      </c>
      <c r="P57" s="90">
        <f t="shared" si="4"/>
        <v>-1.5000000000000001E-4</v>
      </c>
      <c r="Q57" s="91">
        <f t="shared" si="5"/>
        <v>0.82280000000000009</v>
      </c>
      <c r="R57" s="98">
        <v>0.15</v>
      </c>
      <c r="S57" s="95">
        <f t="shared" si="9"/>
        <v>88000</v>
      </c>
      <c r="T57" s="92" cm="1">
        <f t="array" ref="T57">maxDepthToMinSOC($L$8,$L$9,$L$6,$L$7,$O57,$G$5,$G$6,drivePower($C$4,$M57,$G57,$C$10,$C$11),$I57,$G57,$G$4,$C$8)</f>
        <v>17125.350680500269</v>
      </c>
      <c r="U57" s="12" cm="1">
        <f t="array" ref="U57">maxDepthToMinSOC($L$8,$L$9,P57,Q57,$O57,$G$5,$G$6,drivePower($C$4,$M57,$G57,$C$10,$C$11),$I57,$G57,$G$4,$C$8)</f>
        <v>7403.2502941787243</v>
      </c>
      <c r="V57" s="93">
        <f t="shared" si="6"/>
        <v>12264.300487339497</v>
      </c>
    </row>
    <row r="58" spans="7:22" x14ac:dyDescent="0.35">
      <c r="G58" s="59">
        <f t="shared" si="1"/>
        <v>0.5</v>
      </c>
      <c r="H58" s="64">
        <v>25</v>
      </c>
      <c r="I58" s="84">
        <f t="shared" si="7"/>
        <v>25</v>
      </c>
      <c r="J58" s="84">
        <v>50</v>
      </c>
      <c r="K58" s="60">
        <f t="shared" si="8"/>
        <v>90200</v>
      </c>
      <c r="L58" s="59">
        <f t="shared" si="2"/>
        <v>4.68</v>
      </c>
      <c r="M58" s="64">
        <f t="shared" si="3"/>
        <v>14.68</v>
      </c>
      <c r="N58" s="64" cm="1">
        <f t="array" ref="N58">drivePower($C$4,M58,$C$9,$C$10,$C$11)</f>
        <v>3.6588400000000001</v>
      </c>
      <c r="O58" s="86">
        <f t="shared" si="0"/>
        <v>6007.3200000000006</v>
      </c>
      <c r="P58" s="90">
        <f t="shared" si="4"/>
        <v>-1.5000000000000001E-4</v>
      </c>
      <c r="Q58" s="91">
        <f t="shared" si="5"/>
        <v>0.82280000000000009</v>
      </c>
      <c r="R58" s="98">
        <v>0.15</v>
      </c>
      <c r="S58" s="95">
        <f t="shared" si="9"/>
        <v>90200</v>
      </c>
      <c r="T58" s="92" cm="1">
        <f t="array" ref="T58">maxDepthToMinSOC($L$8,$L$9,$L$6,$L$7,$O58,$G$5,$G$6,drivePower($C$4,$M58,$G58,$C$10,$C$11),$I58,$G58,$G$4,$C$8)</f>
        <v>17331.900688707829</v>
      </c>
      <c r="U58" s="12" cm="1">
        <f t="array" ref="U58">maxDepthToMinSOC($L$8,$L$9,P58,Q58,$O58,$G$5,$G$6,drivePower($C$4,$M58,$G58,$C$10,$C$11),$I58,$G58,$G$4,$C$8)</f>
        <v>7448.5502959787846</v>
      </c>
      <c r="V58" s="93">
        <f t="shared" si="6"/>
        <v>12390.225492343307</v>
      </c>
    </row>
    <row r="59" spans="7:22" x14ac:dyDescent="0.35">
      <c r="G59" s="59">
        <f t="shared" si="1"/>
        <v>0.5</v>
      </c>
      <c r="H59" s="64">
        <v>25</v>
      </c>
      <c r="I59" s="84">
        <f t="shared" si="7"/>
        <v>25</v>
      </c>
      <c r="J59" s="84">
        <v>50</v>
      </c>
      <c r="K59" s="60">
        <f t="shared" si="8"/>
        <v>92400</v>
      </c>
      <c r="L59" s="59">
        <f t="shared" si="2"/>
        <v>4.8</v>
      </c>
      <c r="M59" s="64">
        <f t="shared" si="3"/>
        <v>14.8</v>
      </c>
      <c r="N59" s="64" cm="1">
        <f t="array" ref="N59">drivePower($C$4,M59,$C$9,$C$10,$C$11)</f>
        <v>3.6724000000000001</v>
      </c>
      <c r="O59" s="86">
        <f t="shared" si="0"/>
        <v>6153.84</v>
      </c>
      <c r="P59" s="90">
        <f t="shared" si="4"/>
        <v>-1.5000000000000001E-4</v>
      </c>
      <c r="Q59" s="91">
        <f t="shared" si="5"/>
        <v>0.82280000000000009</v>
      </c>
      <c r="R59" s="98">
        <v>0.15</v>
      </c>
      <c r="S59" s="95">
        <f t="shared" si="9"/>
        <v>92400</v>
      </c>
      <c r="T59" s="92" cm="1">
        <f t="array" ref="T59">maxDepthToMinSOC($L$8,$L$9,$L$6,$L$7,$O59,$G$5,$G$6,drivePower($C$4,$M59,$G59,$C$10,$C$11),$I59,$G59,$G$4,$C$8)</f>
        <v>17533.200696706772</v>
      </c>
      <c r="U59" s="12" cm="1">
        <f t="array" ref="U59">maxDepthToMinSOC($L$8,$L$9,P59,Q59,$O59,$G$5,$G$6,drivePower($C$4,$M59,$G59,$C$10,$C$11),$I59,$G59,$G$4,$C$8)</f>
        <v>7492.2002977132797</v>
      </c>
      <c r="V59" s="93">
        <f t="shared" si="6"/>
        <v>12512.700497210026</v>
      </c>
    </row>
    <row r="60" spans="7:22" x14ac:dyDescent="0.35">
      <c r="G60" s="59">
        <f t="shared" si="1"/>
        <v>0.5</v>
      </c>
      <c r="H60" s="64">
        <v>25</v>
      </c>
      <c r="I60" s="84">
        <f t="shared" si="7"/>
        <v>25</v>
      </c>
      <c r="J60" s="84">
        <v>50</v>
      </c>
      <c r="K60" s="60">
        <f t="shared" si="8"/>
        <v>94600</v>
      </c>
      <c r="L60" s="59">
        <f t="shared" si="2"/>
        <v>4.92</v>
      </c>
      <c r="M60" s="64">
        <f t="shared" si="3"/>
        <v>14.92</v>
      </c>
      <c r="N60" s="64" cm="1">
        <f t="array" ref="N60">drivePower($C$4,M60,$C$9,$C$10,$C$11)</f>
        <v>3.6859600000000001</v>
      </c>
      <c r="O60" s="86">
        <f t="shared" si="0"/>
        <v>6300.36</v>
      </c>
      <c r="P60" s="90">
        <f t="shared" si="4"/>
        <v>-1.5000000000000001E-4</v>
      </c>
      <c r="Q60" s="91">
        <f t="shared" si="5"/>
        <v>0.82280000000000009</v>
      </c>
      <c r="R60" s="98">
        <v>0.15</v>
      </c>
      <c r="S60" s="95">
        <f t="shared" si="9"/>
        <v>94600</v>
      </c>
      <c r="T60" s="92" cm="1">
        <f t="array" ref="T60">maxDepthToMinSOC($L$8,$L$9,$L$6,$L$7,$O60,$G$5,$G$6,drivePower($C$4,$M60,$G60,$C$10,$C$11),$I60,$G60,$G$4,$C$8)</f>
        <v>17729.400704503059</v>
      </c>
      <c r="U60" s="12" cm="1">
        <f t="array" ref="U60">maxDepthToMinSOC($L$8,$L$9,P60,Q60,$O60,$G$5,$G$6,drivePower($C$4,$M60,$G60,$C$10,$C$11),$I60,$G60,$G$4,$C$8)</f>
        <v>7534.3502993881702</v>
      </c>
      <c r="V60" s="93">
        <f t="shared" si="6"/>
        <v>12631.875501945615</v>
      </c>
    </row>
    <row r="61" spans="7:22" x14ac:dyDescent="0.35">
      <c r="G61" s="59">
        <f t="shared" si="1"/>
        <v>0.5</v>
      </c>
      <c r="H61" s="64">
        <v>25</v>
      </c>
      <c r="I61" s="84">
        <f t="shared" si="7"/>
        <v>25</v>
      </c>
      <c r="J61" s="84">
        <v>50</v>
      </c>
      <c r="K61" s="60">
        <f t="shared" si="8"/>
        <v>96800</v>
      </c>
      <c r="L61" s="59">
        <f t="shared" si="2"/>
        <v>5.04</v>
      </c>
      <c r="M61" s="64">
        <f t="shared" si="3"/>
        <v>15.04</v>
      </c>
      <c r="N61" s="64" cm="1">
        <f t="array" ref="N61">drivePower($C$4,M61,$C$9,$C$10,$C$11)</f>
        <v>3.6995199999999997</v>
      </c>
      <c r="O61" s="86">
        <f t="shared" si="0"/>
        <v>6446.88</v>
      </c>
      <c r="P61" s="90">
        <f t="shared" si="4"/>
        <v>-1.5000000000000001E-4</v>
      </c>
      <c r="Q61" s="91">
        <f t="shared" si="5"/>
        <v>0.82280000000000009</v>
      </c>
      <c r="R61" s="98">
        <v>0.15</v>
      </c>
      <c r="S61" s="95">
        <f t="shared" si="9"/>
        <v>96800</v>
      </c>
      <c r="T61" s="92" cm="1">
        <f t="array" ref="T61">maxDepthToMinSOC($L$8,$L$9,$L$6,$L$7,$O61,$G$5,$G$6,drivePower($C$4,$M61,$G61,$C$10,$C$11),$I61,$G61,$G$4,$C$8)</f>
        <v>17920.800712108612</v>
      </c>
      <c r="U61" s="12" cm="1">
        <f t="array" ref="U61">maxDepthToMinSOC($L$8,$L$9,P61,Q61,$O61,$G$5,$G$6,drivePower($C$4,$M61,$G61,$C$10,$C$11),$I61,$G61,$G$4,$C$8)</f>
        <v>7574.8503009974957</v>
      </c>
      <c r="V61" s="93">
        <f t="shared" si="6"/>
        <v>12747.825506553054</v>
      </c>
    </row>
    <row r="62" spans="7:22" x14ac:dyDescent="0.35">
      <c r="G62" s="59">
        <f t="shared" si="1"/>
        <v>0.5</v>
      </c>
      <c r="H62" s="64">
        <v>25</v>
      </c>
      <c r="I62" s="84">
        <f t="shared" si="7"/>
        <v>25</v>
      </c>
      <c r="J62" s="84">
        <v>50</v>
      </c>
      <c r="K62" s="60">
        <f t="shared" si="8"/>
        <v>99000</v>
      </c>
      <c r="L62" s="59">
        <f t="shared" si="2"/>
        <v>5.16</v>
      </c>
      <c r="M62" s="64">
        <f t="shared" si="3"/>
        <v>15.16</v>
      </c>
      <c r="N62" s="64" cm="1">
        <f t="array" ref="N62">drivePower($C$4,M62,$C$9,$C$10,$C$11)</f>
        <v>3.7130800000000002</v>
      </c>
      <c r="O62" s="86">
        <f t="shared" si="0"/>
        <v>6593.4</v>
      </c>
      <c r="P62" s="90">
        <f t="shared" si="4"/>
        <v>-1.5000000000000001E-4</v>
      </c>
      <c r="Q62" s="91">
        <f t="shared" si="5"/>
        <v>0.82280000000000009</v>
      </c>
      <c r="R62" s="98">
        <v>0.15</v>
      </c>
      <c r="S62" s="95">
        <f t="shared" si="9"/>
        <v>99000</v>
      </c>
      <c r="T62" s="92" cm="1">
        <f t="array" ref="T62">maxDepthToMinSOC($L$8,$L$9,$L$6,$L$7,$O62,$G$5,$G$6,drivePower($C$4,$M62,$G62,$C$10,$C$11),$I62,$G62,$G$4,$C$8)</f>
        <v>18107.40071952343</v>
      </c>
      <c r="U62" s="12" cm="1">
        <f t="array" ref="U62">maxDepthToMinSOC($L$8,$L$9,P62,Q62,$O62,$G$5,$G$6,drivePower($C$4,$M62,$G62,$C$10,$C$11),$I62,$G62,$G$4,$C$8)</f>
        <v>7614.0003025531769</v>
      </c>
      <c r="V62" s="93">
        <f t="shared" si="6"/>
        <v>12860.700511038303</v>
      </c>
    </row>
    <row r="63" spans="7:22" x14ac:dyDescent="0.35">
      <c r="G63" s="59">
        <f t="shared" si="1"/>
        <v>0.5</v>
      </c>
      <c r="H63" s="64">
        <v>25</v>
      </c>
      <c r="I63" s="84">
        <f t="shared" si="7"/>
        <v>25</v>
      </c>
      <c r="J63" s="84">
        <v>50</v>
      </c>
      <c r="K63" s="60">
        <f t="shared" si="8"/>
        <v>101200</v>
      </c>
      <c r="L63" s="59">
        <f t="shared" si="2"/>
        <v>5.28</v>
      </c>
      <c r="M63" s="64">
        <f t="shared" si="3"/>
        <v>15.280000000000001</v>
      </c>
      <c r="N63" s="64" cm="1">
        <f t="array" ref="N63">drivePower($C$4,M63,$C$9,$C$10,$C$11)</f>
        <v>3.7266400000000002</v>
      </c>
      <c r="O63" s="86">
        <f t="shared" si="0"/>
        <v>6739.92</v>
      </c>
      <c r="P63" s="90">
        <f t="shared" si="4"/>
        <v>-1.5000000000000001E-4</v>
      </c>
      <c r="Q63" s="91">
        <f t="shared" si="5"/>
        <v>0.82280000000000009</v>
      </c>
      <c r="R63" s="98">
        <v>0.15</v>
      </c>
      <c r="S63" s="95">
        <f t="shared" si="9"/>
        <v>101200</v>
      </c>
      <c r="T63" s="92" cm="1">
        <f t="array" ref="T63">maxDepthToMinSOC($L$8,$L$9,$L$6,$L$7,$O63,$G$5,$G$6,drivePower($C$4,$M63,$G63,$C$10,$C$11),$I63,$G63,$G$4,$C$8)</f>
        <v>18289.500726759434</v>
      </c>
      <c r="U63" s="12" cm="1">
        <f t="array" ref="U63">maxDepthToMinSOC($L$8,$L$9,P63,Q63,$O63,$G$5,$G$6,drivePower($C$4,$M63,$G63,$C$10,$C$11),$I63,$G63,$G$4,$C$8)</f>
        <v>7651.9503040611744</v>
      </c>
      <c r="V63" s="93">
        <f t="shared" si="6"/>
        <v>12970.725515410304</v>
      </c>
    </row>
    <row r="64" spans="7:22" x14ac:dyDescent="0.35">
      <c r="G64" s="59">
        <f t="shared" si="1"/>
        <v>0.5</v>
      </c>
      <c r="H64" s="64">
        <v>25</v>
      </c>
      <c r="I64" s="84">
        <f t="shared" si="7"/>
        <v>25</v>
      </c>
      <c r="J64" s="84">
        <v>50</v>
      </c>
      <c r="K64" s="60">
        <f t="shared" si="8"/>
        <v>103400</v>
      </c>
      <c r="L64" s="59">
        <f t="shared" si="2"/>
        <v>5.4</v>
      </c>
      <c r="M64" s="64">
        <f t="shared" si="3"/>
        <v>15.4</v>
      </c>
      <c r="N64" s="64" cm="1">
        <f t="array" ref="N64">drivePower($C$4,M64,$C$9,$C$10,$C$11)</f>
        <v>3.7402000000000002</v>
      </c>
      <c r="O64" s="86">
        <f t="shared" si="0"/>
        <v>6886.4400000000005</v>
      </c>
      <c r="P64" s="90">
        <f t="shared" si="4"/>
        <v>-1.5000000000000001E-4</v>
      </c>
      <c r="Q64" s="91">
        <f t="shared" si="5"/>
        <v>0.82280000000000009</v>
      </c>
      <c r="R64" s="98">
        <v>0.15</v>
      </c>
      <c r="S64" s="95">
        <f t="shared" si="9"/>
        <v>103400</v>
      </c>
      <c r="T64" s="92" cm="1">
        <f t="array" ref="T64">maxDepthToMinSOC($L$8,$L$9,$L$6,$L$7,$O64,$G$5,$G$6,drivePower($C$4,$M64,$G64,$C$10,$C$11),$I64,$G64,$G$4,$C$8)</f>
        <v>18467.250733822584</v>
      </c>
      <c r="U64" s="12" cm="1">
        <f t="array" ref="U64">maxDepthToMinSOC($L$8,$L$9,P64,Q64,$O64,$G$5,$G$6,drivePower($C$4,$M64,$G64,$C$10,$C$11),$I64,$G64,$G$4,$C$8)</f>
        <v>7688.4003055095673</v>
      </c>
      <c r="V64" s="93">
        <f t="shared" si="6"/>
        <v>13077.825519666076</v>
      </c>
    </row>
    <row r="65" spans="7:22" x14ac:dyDescent="0.35">
      <c r="G65" s="59">
        <f t="shared" si="1"/>
        <v>0.5</v>
      </c>
      <c r="H65" s="64">
        <v>25</v>
      </c>
      <c r="I65" s="84">
        <f t="shared" si="7"/>
        <v>25</v>
      </c>
      <c r="J65" s="84">
        <v>50</v>
      </c>
      <c r="K65" s="60">
        <f t="shared" si="8"/>
        <v>105600</v>
      </c>
      <c r="L65" s="59">
        <f t="shared" si="2"/>
        <v>5.52</v>
      </c>
      <c r="M65" s="64">
        <f t="shared" si="3"/>
        <v>15.52</v>
      </c>
      <c r="N65" s="64" cm="1">
        <f t="array" ref="N65">drivePower($C$4,M65,$C$9,$C$10,$C$11)</f>
        <v>3.7537599999999998</v>
      </c>
      <c r="O65" s="86">
        <f t="shared" si="0"/>
        <v>7032.96</v>
      </c>
      <c r="P65" s="90">
        <f t="shared" si="4"/>
        <v>-1.5000000000000001E-4</v>
      </c>
      <c r="Q65" s="91">
        <f t="shared" si="5"/>
        <v>0.82280000000000009</v>
      </c>
      <c r="R65" s="98">
        <v>0.15</v>
      </c>
      <c r="S65" s="95">
        <f t="shared" si="9"/>
        <v>105600</v>
      </c>
      <c r="T65" s="92" cm="1">
        <f t="array" ref="T65">maxDepthToMinSOC($L$8,$L$9,$L$6,$L$7,$O65,$G$5,$G$6,drivePower($C$4,$M65,$G65,$C$10,$C$11),$I65,$G65,$G$4,$C$8)</f>
        <v>18640.650740712881</v>
      </c>
      <c r="U65" s="12" cm="1">
        <f t="array" ref="U65">maxDepthToMinSOC($L$8,$L$9,P65,Q65,$O65,$G$5,$G$6,drivePower($C$4,$M65,$G65,$C$10,$C$11),$I65,$G65,$G$4,$C$8)</f>
        <v>7723.8003069162369</v>
      </c>
      <c r="V65" s="93">
        <f t="shared" si="6"/>
        <v>13182.225523814559</v>
      </c>
    </row>
    <row r="66" spans="7:22" x14ac:dyDescent="0.35">
      <c r="G66" s="59">
        <f t="shared" si="1"/>
        <v>0.5</v>
      </c>
      <c r="H66" s="64">
        <v>25</v>
      </c>
      <c r="I66" s="84">
        <f t="shared" si="7"/>
        <v>25</v>
      </c>
      <c r="J66" s="84">
        <v>50</v>
      </c>
      <c r="K66" s="60">
        <f t="shared" si="8"/>
        <v>107800</v>
      </c>
      <c r="L66" s="59">
        <f t="shared" si="2"/>
        <v>5.64</v>
      </c>
      <c r="M66" s="64">
        <f t="shared" si="3"/>
        <v>15.64</v>
      </c>
      <c r="N66" s="64" cm="1">
        <f t="array" ref="N66">drivePower($C$4,M66,$C$9,$C$10,$C$11)</f>
        <v>3.7673200000000002</v>
      </c>
      <c r="O66" s="86">
        <f t="shared" si="0"/>
        <v>7179.48</v>
      </c>
      <c r="P66" s="90">
        <f t="shared" si="4"/>
        <v>-1.5000000000000001E-4</v>
      </c>
      <c r="Q66" s="91">
        <f t="shared" si="5"/>
        <v>0.82280000000000009</v>
      </c>
      <c r="R66" s="98">
        <v>0.15</v>
      </c>
      <c r="S66" s="95">
        <f t="shared" si="9"/>
        <v>107800</v>
      </c>
      <c r="T66" s="92" cm="1">
        <f t="array" ref="T66">maxDepthToMinSOC($L$8,$L$9,$L$6,$L$7,$O66,$G$5,$G$6,drivePower($C$4,$M66,$G66,$C$10,$C$11),$I66,$G66,$G$4,$C$8)</f>
        <v>18810.150747448206</v>
      </c>
      <c r="U66" s="12" cm="1">
        <f t="array" ref="U66">maxDepthToMinSOC($L$8,$L$9,P66,Q66,$O66,$G$5,$G$6,drivePower($C$4,$M66,$G66,$C$10,$C$11),$I66,$G66,$G$4,$C$8)</f>
        <v>7758.0003082752228</v>
      </c>
      <c r="V66" s="93">
        <f t="shared" si="6"/>
        <v>13284.075527861714</v>
      </c>
    </row>
    <row r="67" spans="7:22" x14ac:dyDescent="0.35">
      <c r="G67" s="59">
        <f t="shared" si="1"/>
        <v>0.5</v>
      </c>
      <c r="H67" s="64">
        <v>25</v>
      </c>
      <c r="I67" s="84">
        <f t="shared" si="7"/>
        <v>25</v>
      </c>
      <c r="J67" s="84">
        <v>50</v>
      </c>
      <c r="K67" s="60">
        <f t="shared" si="8"/>
        <v>110000</v>
      </c>
      <c r="L67" s="59">
        <f t="shared" si="2"/>
        <v>5.76</v>
      </c>
      <c r="M67" s="64">
        <f t="shared" si="3"/>
        <v>15.76</v>
      </c>
      <c r="N67" s="64" cm="1">
        <f t="array" ref="N67">drivePower($C$4,M67,$C$9,$C$10,$C$11)</f>
        <v>3.7808799999999998</v>
      </c>
      <c r="O67" s="86">
        <f t="shared" si="0"/>
        <v>7326</v>
      </c>
      <c r="P67" s="90">
        <f t="shared" si="4"/>
        <v>-1.5000000000000001E-4</v>
      </c>
      <c r="Q67" s="91">
        <f t="shared" si="5"/>
        <v>0.82280000000000009</v>
      </c>
      <c r="R67" s="98">
        <v>0.15</v>
      </c>
      <c r="S67" s="95">
        <f t="shared" si="9"/>
        <v>110000</v>
      </c>
      <c r="T67" s="92" cm="1">
        <f t="array" ref="T67">maxDepthToMinSOC($L$8,$L$9,$L$6,$L$7,$O67,$G$5,$G$6,drivePower($C$4,$M67,$G67,$C$10,$C$11),$I67,$G67,$G$4,$C$8)</f>
        <v>18975.600754022598</v>
      </c>
      <c r="U67" s="12" cm="1">
        <f t="array" ref="U67">maxDepthToMinSOC($L$8,$L$9,P67,Q67,$O67,$G$5,$G$6,drivePower($C$4,$M67,$G67,$C$10,$C$11),$I67,$G67,$G$4,$C$8)</f>
        <v>7791.000309586525</v>
      </c>
      <c r="V67" s="93">
        <f t="shared" si="6"/>
        <v>13383.300531804562</v>
      </c>
    </row>
    <row r="68" spans="7:22" x14ac:dyDescent="0.35">
      <c r="G68" s="59">
        <f t="shared" si="1"/>
        <v>0.5</v>
      </c>
      <c r="H68" s="64">
        <v>25</v>
      </c>
      <c r="I68" s="84">
        <f t="shared" si="7"/>
        <v>25</v>
      </c>
      <c r="J68" s="84">
        <v>50</v>
      </c>
      <c r="K68" s="60">
        <f t="shared" si="8"/>
        <v>112200</v>
      </c>
      <c r="L68" s="59">
        <f t="shared" si="2"/>
        <v>5.88</v>
      </c>
      <c r="M68" s="64">
        <f t="shared" si="3"/>
        <v>15.879999999999999</v>
      </c>
      <c r="N68" s="64" cm="1">
        <f t="array" ref="N68">drivePower($C$4,M68,$C$9,$C$10,$C$11)</f>
        <v>3.7944399999999998</v>
      </c>
      <c r="O68" s="86">
        <f t="shared" si="0"/>
        <v>7472.52</v>
      </c>
      <c r="P68" s="90">
        <f t="shared" si="4"/>
        <v>-1.5000000000000001E-4</v>
      </c>
      <c r="Q68" s="91">
        <f t="shared" si="5"/>
        <v>0.82280000000000009</v>
      </c>
      <c r="R68" s="98">
        <v>0.15</v>
      </c>
      <c r="S68" s="95">
        <f t="shared" si="9"/>
        <v>112200</v>
      </c>
      <c r="T68" s="92" cm="1">
        <f t="array" ref="T68">maxDepthToMinSOC($L$8,$L$9,$L$6,$L$7,$O68,$G$5,$G$6,drivePower($C$4,$M68,$G68,$C$10,$C$11),$I68,$G68,$G$4,$C$8)</f>
        <v>19137.300760447979</v>
      </c>
      <c r="U68" s="12" cm="1">
        <f t="array" ref="U68">maxDepthToMinSOC($L$8,$L$9,P68,Q68,$O68,$G$5,$G$6,drivePower($C$4,$M68,$G68,$C$10,$C$11),$I68,$G68,$G$4,$C$8)</f>
        <v>7823.1003108620644</v>
      </c>
      <c r="V68" s="93">
        <f t="shared" si="6"/>
        <v>13480.200535655022</v>
      </c>
    </row>
    <row r="69" spans="7:22" x14ac:dyDescent="0.35">
      <c r="G69" s="59">
        <f t="shared" si="1"/>
        <v>0.5</v>
      </c>
      <c r="H69" s="64">
        <v>25</v>
      </c>
      <c r="I69" s="84">
        <f t="shared" si="7"/>
        <v>25</v>
      </c>
      <c r="J69" s="84">
        <v>50</v>
      </c>
      <c r="K69" s="60">
        <f t="shared" si="8"/>
        <v>114400</v>
      </c>
      <c r="L69" s="59">
        <f t="shared" si="2"/>
        <v>6</v>
      </c>
      <c r="M69" s="64">
        <f t="shared" si="3"/>
        <v>16</v>
      </c>
      <c r="N69" s="64" cm="1">
        <f t="array" ref="N69">drivePower($C$4,M69,$C$9,$C$10,$C$11)</f>
        <v>3.8079999999999998</v>
      </c>
      <c r="O69" s="86">
        <f t="shared" si="0"/>
        <v>7619.04</v>
      </c>
      <c r="P69" s="90">
        <f t="shared" si="4"/>
        <v>-1.5000000000000001E-4</v>
      </c>
      <c r="Q69" s="91">
        <f t="shared" si="5"/>
        <v>0.82280000000000009</v>
      </c>
      <c r="R69" s="98">
        <v>0.15</v>
      </c>
      <c r="S69" s="95">
        <f t="shared" si="9"/>
        <v>114400</v>
      </c>
      <c r="T69" s="92" cm="1">
        <f t="array" ref="T69">maxDepthToMinSOC($L$8,$L$9,$L$6,$L$7,$O69,$G$5,$G$6,drivePower($C$4,$M69,$G69,$C$10,$C$11),$I69,$G69,$G$4,$C$8)</f>
        <v>19295.250766724348</v>
      </c>
      <c r="U69" s="12" cm="1">
        <f t="array" ref="U69">maxDepthToMinSOC($L$8,$L$9,P69,Q69,$O69,$G$5,$G$6,drivePower($C$4,$M69,$G69,$C$10,$C$11),$I69,$G69,$G$4,$C$8)</f>
        <v>7854.00031208992</v>
      </c>
      <c r="V69" s="93">
        <f t="shared" si="6"/>
        <v>13574.625539407134</v>
      </c>
    </row>
    <row r="70" spans="7:22" x14ac:dyDescent="0.35">
      <c r="G70" s="59">
        <f t="shared" si="1"/>
        <v>0.5</v>
      </c>
      <c r="H70" s="64">
        <v>25</v>
      </c>
      <c r="I70" s="84">
        <f t="shared" si="7"/>
        <v>25</v>
      </c>
      <c r="J70" s="84">
        <v>50</v>
      </c>
      <c r="K70" s="60">
        <f t="shared" si="8"/>
        <v>116600</v>
      </c>
      <c r="L70" s="59">
        <f t="shared" si="2"/>
        <v>6.12</v>
      </c>
      <c r="M70" s="64">
        <f t="shared" si="3"/>
        <v>16.12</v>
      </c>
      <c r="N70" s="64" cm="1">
        <f t="array" ref="N70">drivePower($C$4,M70,$C$9,$C$10,$C$11)</f>
        <v>3.8215599999999998</v>
      </c>
      <c r="O70" s="86">
        <f t="shared" si="0"/>
        <v>7765.5599999999995</v>
      </c>
      <c r="P70" s="90">
        <f t="shared" si="4"/>
        <v>-1.5000000000000001E-4</v>
      </c>
      <c r="Q70" s="91">
        <f t="shared" si="5"/>
        <v>0.82280000000000009</v>
      </c>
      <c r="R70" s="98">
        <v>0.15</v>
      </c>
      <c r="S70" s="95">
        <f t="shared" si="9"/>
        <v>116600</v>
      </c>
      <c r="T70" s="92" cm="1">
        <f t="array" ref="T70">maxDepthToMinSOC($L$8,$L$9,$L$6,$L$7,$O70,$G$5,$G$6,drivePower($C$4,$M70,$G70,$C$10,$C$11),$I70,$G70,$G$4,$C$8)</f>
        <v>19449.750772863626</v>
      </c>
      <c r="U70" s="12" cm="1">
        <f t="array" ref="U70">maxDepthToMinSOC($L$8,$L$9,P70,Q70,$O70,$G$5,$G$6,drivePower($C$4,$M70,$G70,$C$10,$C$11),$I70,$G70,$G$4,$C$8)</f>
        <v>7884.1503132879734</v>
      </c>
      <c r="V70" s="93">
        <f t="shared" si="6"/>
        <v>13666.9505430758</v>
      </c>
    </row>
    <row r="71" spans="7:22" x14ac:dyDescent="0.35">
      <c r="G71" s="59">
        <f t="shared" si="1"/>
        <v>0.5</v>
      </c>
      <c r="H71" s="64">
        <v>25</v>
      </c>
      <c r="I71" s="84">
        <f t="shared" si="7"/>
        <v>25</v>
      </c>
      <c r="J71" s="84">
        <v>50</v>
      </c>
      <c r="K71" s="60">
        <f t="shared" si="8"/>
        <v>118800</v>
      </c>
      <c r="L71" s="59">
        <f t="shared" si="2"/>
        <v>6.24</v>
      </c>
      <c r="M71" s="64">
        <f t="shared" si="3"/>
        <v>16.240000000000002</v>
      </c>
      <c r="N71" s="64" cm="1">
        <f t="array" ref="N71">drivePower($C$4,M71,$C$9,$C$10,$C$11)</f>
        <v>3.8351200000000003</v>
      </c>
      <c r="O71" s="86">
        <f t="shared" si="0"/>
        <v>7912.08</v>
      </c>
      <c r="P71" s="90">
        <f t="shared" si="4"/>
        <v>-1.5000000000000001E-4</v>
      </c>
      <c r="Q71" s="91">
        <f t="shared" si="5"/>
        <v>0.82280000000000009</v>
      </c>
      <c r="R71" s="98">
        <v>0.15</v>
      </c>
      <c r="S71" s="95">
        <f t="shared" si="9"/>
        <v>118800</v>
      </c>
      <c r="T71" s="92" cm="1">
        <f t="array" ref="T71">maxDepthToMinSOC($L$8,$L$9,$L$6,$L$7,$O71,$G$5,$G$6,drivePower($C$4,$M71,$G71,$C$10,$C$11),$I71,$G71,$G$4,$C$8)</f>
        <v>19600.800778865814</v>
      </c>
      <c r="U71" s="12" cm="1">
        <f t="array" ref="U71">maxDepthToMinSOC($L$8,$L$9,P71,Q71,$O71,$G$5,$G$6,drivePower($C$4,$M71,$G71,$C$10,$C$11),$I71,$G71,$G$4,$C$8)</f>
        <v>7913.2503144443035</v>
      </c>
      <c r="V71" s="93">
        <f t="shared" si="6"/>
        <v>13757.025546655059</v>
      </c>
    </row>
    <row r="72" spans="7:22" x14ac:dyDescent="0.35">
      <c r="G72" s="59">
        <f t="shared" si="1"/>
        <v>0.5</v>
      </c>
      <c r="H72" s="64">
        <v>25</v>
      </c>
      <c r="I72" s="84">
        <f t="shared" si="7"/>
        <v>25</v>
      </c>
      <c r="J72" s="84">
        <v>50</v>
      </c>
      <c r="K72" s="60">
        <f t="shared" si="8"/>
        <v>121000</v>
      </c>
      <c r="L72" s="59">
        <f t="shared" si="2"/>
        <v>6.36</v>
      </c>
      <c r="M72" s="64">
        <f t="shared" si="3"/>
        <v>16.36</v>
      </c>
      <c r="N72" s="64" cm="1">
        <f t="array" ref="N72">drivePower($C$4,M72,$C$9,$C$10,$C$11)</f>
        <v>3.8486799999999999</v>
      </c>
      <c r="O72" s="86">
        <f t="shared" si="0"/>
        <v>8058.6</v>
      </c>
      <c r="P72" s="90">
        <f t="shared" si="4"/>
        <v>-1.5000000000000001E-4</v>
      </c>
      <c r="Q72" s="91">
        <f t="shared" si="5"/>
        <v>0.82280000000000009</v>
      </c>
      <c r="R72" s="98">
        <v>0.15</v>
      </c>
      <c r="S72" s="95">
        <f t="shared" si="9"/>
        <v>121000</v>
      </c>
      <c r="T72" s="92" cm="1">
        <f t="array" ref="T72">maxDepthToMinSOC($L$8,$L$9,$L$6,$L$7,$O72,$G$5,$G$6,drivePower($C$4,$M72,$G72,$C$10,$C$11),$I72,$G72,$G$4,$C$8)</f>
        <v>19748.550784736872</v>
      </c>
      <c r="U72" s="12" cm="1">
        <f t="array" ref="U72">maxDepthToMinSOC($L$8,$L$9,P72,Q72,$O72,$G$5,$G$6,drivePower($C$4,$M72,$G72,$C$10,$C$11),$I72,$G72,$G$4,$C$8)</f>
        <v>7941.6003155708313</v>
      </c>
      <c r="V72" s="93">
        <f t="shared" si="6"/>
        <v>13845.075550153852</v>
      </c>
    </row>
    <row r="73" spans="7:22" x14ac:dyDescent="0.35">
      <c r="G73" s="59">
        <f t="shared" si="1"/>
        <v>0.5</v>
      </c>
      <c r="H73" s="64">
        <v>25</v>
      </c>
      <c r="I73" s="84">
        <f t="shared" si="7"/>
        <v>25</v>
      </c>
      <c r="J73" s="84">
        <v>50</v>
      </c>
      <c r="K73" s="60">
        <f t="shared" si="8"/>
        <v>123200</v>
      </c>
      <c r="L73" s="59">
        <f t="shared" si="2"/>
        <v>6.48</v>
      </c>
      <c r="M73" s="64">
        <f t="shared" si="3"/>
        <v>16.48</v>
      </c>
      <c r="N73" s="64" cm="1">
        <f t="array" ref="N73">drivePower($C$4,M73,$C$9,$C$10,$C$11)</f>
        <v>3.8622399999999999</v>
      </c>
      <c r="O73" s="86">
        <f t="shared" si="0"/>
        <v>8205.119999999999</v>
      </c>
      <c r="P73" s="90">
        <f t="shared" si="4"/>
        <v>-1.5000000000000001E-4</v>
      </c>
      <c r="Q73" s="91">
        <f t="shared" si="5"/>
        <v>0.82280000000000009</v>
      </c>
      <c r="R73" s="98">
        <v>0.15</v>
      </c>
      <c r="S73" s="95">
        <f t="shared" si="9"/>
        <v>123200</v>
      </c>
      <c r="T73" s="92" cm="1">
        <f t="array" ref="T73">maxDepthToMinSOC($L$8,$L$9,$L$6,$L$7,$O73,$G$5,$G$6,drivePower($C$4,$M73,$G73,$C$10,$C$11),$I73,$G73,$G$4,$C$8)</f>
        <v>19893.150790482759</v>
      </c>
      <c r="U73" s="12" cm="1">
        <f t="array" ref="U73">maxDepthToMinSOC($L$8,$L$9,P73,Q73,$O73,$G$5,$G$6,drivePower($C$4,$M73,$G73,$C$10,$C$11),$I73,$G73,$G$4,$C$8)</f>
        <v>7969.0503166615963</v>
      </c>
      <c r="V73" s="93">
        <f t="shared" si="6"/>
        <v>13931.100553572178</v>
      </c>
    </row>
    <row r="74" spans="7:22" x14ac:dyDescent="0.35">
      <c r="G74" s="59">
        <f t="shared" si="1"/>
        <v>0.5</v>
      </c>
      <c r="H74" s="64">
        <v>25</v>
      </c>
      <c r="I74" s="84">
        <f t="shared" si="7"/>
        <v>25</v>
      </c>
      <c r="J74" s="84">
        <v>50</v>
      </c>
      <c r="K74" s="60">
        <f t="shared" si="8"/>
        <v>125400</v>
      </c>
      <c r="L74" s="59">
        <f t="shared" si="2"/>
        <v>6.6</v>
      </c>
      <c r="M74" s="64">
        <f t="shared" si="3"/>
        <v>16.600000000000001</v>
      </c>
      <c r="N74" s="64" cm="1">
        <f t="array" ref="N74">drivePower($C$4,M74,$C$9,$C$10,$C$11)</f>
        <v>3.8757999999999999</v>
      </c>
      <c r="O74" s="86">
        <f t="shared" si="0"/>
        <v>8351.64</v>
      </c>
      <c r="P74" s="90">
        <f t="shared" si="4"/>
        <v>-1.5000000000000001E-4</v>
      </c>
      <c r="Q74" s="91">
        <f t="shared" si="5"/>
        <v>0.82280000000000009</v>
      </c>
      <c r="R74" s="98">
        <v>0.15</v>
      </c>
      <c r="S74" s="95">
        <f t="shared" si="9"/>
        <v>125400</v>
      </c>
      <c r="T74" s="92" cm="1">
        <f t="array" ref="T74">maxDepthToMinSOC($L$8,$L$9,$L$6,$L$7,$O74,$G$5,$G$6,drivePower($C$4,$M74,$G74,$C$10,$C$11),$I74,$G74,$G$4,$C$8)</f>
        <v>20034.600796103477</v>
      </c>
      <c r="U74" s="12" cm="1">
        <f t="array" ref="U74">maxDepthToMinSOC($L$8,$L$9,P74,Q74,$O74,$G$5,$G$6,drivePower($C$4,$M74,$G74,$C$10,$C$11),$I74,$G74,$G$4,$C$8)</f>
        <v>7995.750317722559</v>
      </c>
      <c r="V74" s="93">
        <f t="shared" si="6"/>
        <v>14015.175556913018</v>
      </c>
    </row>
    <row r="75" spans="7:22" x14ac:dyDescent="0.35">
      <c r="G75" s="59">
        <f t="shared" si="1"/>
        <v>0.5</v>
      </c>
      <c r="H75" s="64">
        <v>25</v>
      </c>
      <c r="I75" s="84">
        <f t="shared" si="7"/>
        <v>25</v>
      </c>
      <c r="J75" s="84">
        <v>50</v>
      </c>
      <c r="K75" s="60">
        <f t="shared" si="8"/>
        <v>127600</v>
      </c>
      <c r="L75" s="59">
        <f t="shared" si="2"/>
        <v>6.72</v>
      </c>
      <c r="M75" s="64">
        <f t="shared" si="3"/>
        <v>16.72</v>
      </c>
      <c r="N75" s="64" cm="1">
        <f t="array" ref="N75">drivePower($C$4,M75,$C$9,$C$10,$C$11)</f>
        <v>3.8893599999999999</v>
      </c>
      <c r="O75" s="86">
        <f t="shared" si="0"/>
        <v>8498.16</v>
      </c>
      <c r="P75" s="90">
        <f t="shared" si="4"/>
        <v>-1.5000000000000001E-4</v>
      </c>
      <c r="Q75" s="91">
        <f t="shared" si="5"/>
        <v>0.82280000000000009</v>
      </c>
      <c r="R75" s="98">
        <v>0.15</v>
      </c>
      <c r="S75" s="95">
        <f t="shared" si="9"/>
        <v>127600</v>
      </c>
      <c r="T75" s="92" cm="1">
        <f t="array" ref="T75">maxDepthToMinSOC($L$8,$L$9,$L$6,$L$7,$O75,$G$5,$G$6,drivePower($C$4,$M75,$G75,$C$10,$C$11),$I75,$G75,$G$4,$C$8)</f>
        <v>20172.900801599026</v>
      </c>
      <c r="U75" s="12" cm="1">
        <f t="array" ref="U75">maxDepthToMinSOC($L$8,$L$9,P75,Q75,$O75,$G$5,$G$6,drivePower($C$4,$M75,$G75,$C$10,$C$11),$I75,$G75,$G$4,$C$8)</f>
        <v>8021.7003187537193</v>
      </c>
      <c r="V75" s="93">
        <f t="shared" si="6"/>
        <v>14097.300560176373</v>
      </c>
    </row>
    <row r="76" spans="7:22" x14ac:dyDescent="0.35">
      <c r="G76" s="59">
        <f t="shared" si="1"/>
        <v>0.5</v>
      </c>
      <c r="H76" s="64">
        <v>25</v>
      </c>
      <c r="I76" s="84">
        <f t="shared" si="7"/>
        <v>25</v>
      </c>
      <c r="J76" s="84">
        <v>50</v>
      </c>
      <c r="K76" s="60">
        <f t="shared" si="8"/>
        <v>129800</v>
      </c>
      <c r="L76" s="59">
        <f t="shared" si="2"/>
        <v>6.84</v>
      </c>
      <c r="M76" s="64">
        <f t="shared" si="3"/>
        <v>16.84</v>
      </c>
      <c r="N76" s="64" cm="1">
        <f t="array" ref="N76">drivePower($C$4,M76,$C$9,$C$10,$C$11)</f>
        <v>3.9029199999999999</v>
      </c>
      <c r="O76" s="86">
        <f t="shared" si="0"/>
        <v>8644.68</v>
      </c>
      <c r="P76" s="90">
        <f t="shared" si="4"/>
        <v>-1.5000000000000001E-4</v>
      </c>
      <c r="Q76" s="91">
        <f t="shared" si="5"/>
        <v>0.82280000000000009</v>
      </c>
      <c r="R76" s="98">
        <v>0.15</v>
      </c>
      <c r="S76" s="95">
        <f t="shared" si="9"/>
        <v>129800</v>
      </c>
      <c r="T76" s="92" cm="1">
        <f t="array" ref="T76">maxDepthToMinSOC($L$8,$L$9,$L$6,$L$7,$O76,$G$5,$G$6,drivePower($C$4,$M76,$G76,$C$10,$C$11),$I76,$G76,$G$4,$C$8)</f>
        <v>20308.500806987286</v>
      </c>
      <c r="U76" s="12" cm="1">
        <f t="array" ref="U76">maxDepthToMinSOC($L$8,$L$9,P76,Q76,$O76,$G$5,$G$6,drivePower($C$4,$M76,$G76,$C$10,$C$11),$I76,$G76,$G$4,$C$8)</f>
        <v>8046.9003197550774</v>
      </c>
      <c r="V76" s="93">
        <f t="shared" si="6"/>
        <v>14177.700563371181</v>
      </c>
    </row>
    <row r="77" spans="7:22" x14ac:dyDescent="0.35">
      <c r="G77" s="59">
        <f t="shared" si="1"/>
        <v>0.5</v>
      </c>
      <c r="H77" s="64">
        <v>25</v>
      </c>
      <c r="I77" s="84">
        <f t="shared" si="7"/>
        <v>25</v>
      </c>
      <c r="J77" s="84">
        <v>50</v>
      </c>
      <c r="K77" s="60">
        <f t="shared" si="8"/>
        <v>132000</v>
      </c>
      <c r="L77" s="59">
        <f t="shared" si="2"/>
        <v>6.96</v>
      </c>
      <c r="M77" s="64">
        <f t="shared" si="3"/>
        <v>16.96</v>
      </c>
      <c r="N77" s="64" cm="1">
        <f t="array" ref="N77">drivePower($C$4,M77,$C$9,$C$10,$C$11)</f>
        <v>3.91648</v>
      </c>
      <c r="O77" s="86">
        <f t="shared" si="0"/>
        <v>8791.1999999999989</v>
      </c>
      <c r="P77" s="90">
        <f t="shared" si="4"/>
        <v>-1.5000000000000001E-4</v>
      </c>
      <c r="Q77" s="91">
        <f t="shared" si="5"/>
        <v>0.82280000000000009</v>
      </c>
      <c r="R77" s="98">
        <v>0.15</v>
      </c>
      <c r="S77" s="95">
        <f t="shared" si="9"/>
        <v>132000</v>
      </c>
      <c r="T77" s="92" cm="1">
        <f t="array" ref="T77">maxDepthToMinSOC($L$8,$L$9,$L$6,$L$7,$O77,$G$5,$G$6,drivePower($C$4,$M77,$G77,$C$10,$C$11),$I77,$G77,$G$4,$C$8)</f>
        <v>20441.250812262297</v>
      </c>
      <c r="U77" s="12" cm="1">
        <f t="array" ref="U77">maxDepthToMinSOC($L$8,$L$9,P77,Q77,$O77,$G$5,$G$6,drivePower($C$4,$M77,$G77,$C$10,$C$11),$I77,$G77,$G$4,$C$8)</f>
        <v>8071.3503207266331</v>
      </c>
      <c r="V77" s="93">
        <f t="shared" si="6"/>
        <v>14256.300566494465</v>
      </c>
    </row>
    <row r="78" spans="7:22" x14ac:dyDescent="0.35">
      <c r="G78" s="59">
        <f t="shared" si="1"/>
        <v>0.5</v>
      </c>
      <c r="H78" s="64">
        <v>25</v>
      </c>
      <c r="I78" s="84">
        <f t="shared" si="7"/>
        <v>25</v>
      </c>
      <c r="J78" s="84">
        <v>50</v>
      </c>
      <c r="K78" s="60">
        <f t="shared" si="8"/>
        <v>134200</v>
      </c>
      <c r="L78" s="59">
        <f t="shared" si="2"/>
        <v>7.08</v>
      </c>
      <c r="M78" s="64">
        <f t="shared" si="3"/>
        <v>17.079999999999998</v>
      </c>
      <c r="N78" s="64" cm="1">
        <f t="array" ref="N78">drivePower($C$4,M78,$C$9,$C$10,$C$11)</f>
        <v>3.93004</v>
      </c>
      <c r="O78" s="86">
        <f t="shared" si="0"/>
        <v>8937.7199999999993</v>
      </c>
      <c r="P78" s="90">
        <f t="shared" si="4"/>
        <v>-1.5000000000000001E-4</v>
      </c>
      <c r="Q78" s="91">
        <f t="shared" si="5"/>
        <v>0.82280000000000009</v>
      </c>
      <c r="R78" s="98">
        <v>0.15</v>
      </c>
      <c r="S78" s="95">
        <f t="shared" si="9"/>
        <v>134200</v>
      </c>
      <c r="T78" s="92" cm="1">
        <f t="array" ref="T78">maxDepthToMinSOC($L$8,$L$9,$L$6,$L$7,$O78,$G$5,$G$6,drivePower($C$4,$M78,$G78,$C$10,$C$11),$I78,$G78,$G$4,$C$8)</f>
        <v>20571.150817424059</v>
      </c>
      <c r="U78" s="12" cm="1">
        <f t="array" ref="U78">maxDepthToMinSOC($L$8,$L$9,P78,Q78,$O78,$G$5,$G$6,drivePower($C$4,$M78,$G78,$C$10,$C$11),$I78,$G78,$G$4,$C$8)</f>
        <v>8095.2003216743469</v>
      </c>
      <c r="V78" s="93">
        <f t="shared" si="6"/>
        <v>14333.175569549203</v>
      </c>
    </row>
    <row r="79" spans="7:22" x14ac:dyDescent="0.35">
      <c r="G79" s="59">
        <f t="shared" si="1"/>
        <v>0.5</v>
      </c>
      <c r="H79" s="64">
        <v>25</v>
      </c>
      <c r="I79" s="84">
        <f t="shared" si="7"/>
        <v>25</v>
      </c>
      <c r="J79" s="84">
        <v>50</v>
      </c>
      <c r="K79" s="60">
        <f t="shared" si="8"/>
        <v>136400</v>
      </c>
      <c r="L79" s="59">
        <f t="shared" si="2"/>
        <v>7.2</v>
      </c>
      <c r="M79" s="64">
        <f t="shared" si="3"/>
        <v>17.2</v>
      </c>
      <c r="N79" s="64" cm="1">
        <f t="array" ref="N79">drivePower($C$4,M79,$C$9,$C$10,$C$11)</f>
        <v>3.9436</v>
      </c>
      <c r="O79" s="86">
        <f t="shared" si="0"/>
        <v>9084.24</v>
      </c>
      <c r="P79" s="90">
        <f t="shared" si="4"/>
        <v>-1.5000000000000001E-4</v>
      </c>
      <c r="Q79" s="91">
        <f t="shared" si="5"/>
        <v>0.82280000000000009</v>
      </c>
      <c r="R79" s="98">
        <v>0.15</v>
      </c>
      <c r="S79" s="95">
        <f t="shared" si="9"/>
        <v>136400</v>
      </c>
      <c r="T79" s="92" cm="1">
        <f t="array" ref="T79">maxDepthToMinSOC($L$8,$L$9,$L$6,$L$7,$O79,$G$5,$G$6,drivePower($C$4,$M79,$G79,$C$10,$C$11),$I79,$G79,$G$4,$C$8)</f>
        <v>20698.500822484493</v>
      </c>
      <c r="U79" s="12" cm="1">
        <f t="array" ref="U79">maxDepthToMinSOC($L$8,$L$9,P79,Q79,$O79,$G$5,$G$6,drivePower($C$4,$M79,$G79,$C$10,$C$11),$I79,$G79,$G$4,$C$8)</f>
        <v>8118.4503225982189</v>
      </c>
      <c r="V79" s="93">
        <f t="shared" si="6"/>
        <v>14408.475572541356</v>
      </c>
    </row>
    <row r="80" spans="7:22" x14ac:dyDescent="0.35">
      <c r="G80" s="59">
        <f t="shared" si="1"/>
        <v>0.5</v>
      </c>
      <c r="H80" s="64">
        <v>25</v>
      </c>
      <c r="I80" s="84">
        <f t="shared" si="7"/>
        <v>25</v>
      </c>
      <c r="J80" s="84">
        <v>50</v>
      </c>
      <c r="K80" s="60">
        <f t="shared" si="8"/>
        <v>138600</v>
      </c>
      <c r="L80" s="59">
        <f t="shared" si="2"/>
        <v>7.32</v>
      </c>
      <c r="M80" s="64">
        <f t="shared" si="3"/>
        <v>17.32</v>
      </c>
      <c r="N80" s="64" cm="1">
        <f t="array" ref="N80">drivePower($C$4,M80,$C$9,$C$10,$C$11)</f>
        <v>3.95716</v>
      </c>
      <c r="O80" s="86">
        <f t="shared" si="0"/>
        <v>9230.76</v>
      </c>
      <c r="P80" s="90">
        <f t="shared" si="4"/>
        <v>-1.5000000000000001E-4</v>
      </c>
      <c r="Q80" s="91">
        <f t="shared" si="5"/>
        <v>0.82280000000000009</v>
      </c>
      <c r="R80" s="98">
        <v>0.15</v>
      </c>
      <c r="S80" s="95">
        <f t="shared" si="9"/>
        <v>138600</v>
      </c>
      <c r="T80" s="92" cm="1">
        <f t="array" ref="T80">maxDepthToMinSOC($L$8,$L$9,$L$6,$L$7,$O80,$G$5,$G$6,drivePower($C$4,$M80,$G80,$C$10,$C$11),$I80,$G80,$G$4,$C$8)</f>
        <v>20823.3008274436</v>
      </c>
      <c r="U80" s="12" cm="1">
        <f t="array" ref="U80">maxDepthToMinSOC($L$8,$L$9,P80,Q80,$O80,$G$5,$G$6,drivePower($C$4,$M80,$G80,$C$10,$C$11),$I80,$G80,$G$4,$C$8)</f>
        <v>8140.9503234922886</v>
      </c>
      <c r="V80" s="93">
        <f t="shared" si="6"/>
        <v>14482.125575467944</v>
      </c>
    </row>
    <row r="81" spans="7:22" x14ac:dyDescent="0.35">
      <c r="G81" s="59">
        <f t="shared" si="1"/>
        <v>0.5</v>
      </c>
      <c r="H81" s="64">
        <v>25</v>
      </c>
      <c r="I81" s="84">
        <f t="shared" si="7"/>
        <v>25</v>
      </c>
      <c r="J81" s="84">
        <v>50</v>
      </c>
      <c r="K81" s="60">
        <f t="shared" si="8"/>
        <v>140800</v>
      </c>
      <c r="L81" s="59">
        <f t="shared" si="2"/>
        <v>7.44</v>
      </c>
      <c r="M81" s="64">
        <f t="shared" si="3"/>
        <v>17.440000000000001</v>
      </c>
      <c r="N81" s="64" cm="1">
        <f t="array" ref="N81">drivePower($C$4,M81,$C$9,$C$10,$C$11)</f>
        <v>3.97072</v>
      </c>
      <c r="O81" s="86">
        <f t="shared" si="0"/>
        <v>9377.2800000000007</v>
      </c>
      <c r="P81" s="90">
        <f t="shared" si="4"/>
        <v>-1.5000000000000001E-4</v>
      </c>
      <c r="Q81" s="91">
        <f t="shared" si="5"/>
        <v>0.82280000000000009</v>
      </c>
      <c r="R81" s="98">
        <v>0.15</v>
      </c>
      <c r="S81" s="95">
        <f t="shared" si="9"/>
        <v>140800</v>
      </c>
      <c r="T81" s="92" cm="1">
        <f t="array" ref="T81">maxDepthToMinSOC($L$8,$L$9,$L$6,$L$7,$O81,$G$5,$G$6,drivePower($C$4,$M81,$G81,$C$10,$C$11),$I81,$G81,$G$4,$C$8)</f>
        <v>20945.550832301378</v>
      </c>
      <c r="U81" s="12" cm="1">
        <f t="array" ref="U81">maxDepthToMinSOC($L$8,$L$9,P81,Q81,$O81,$G$5,$G$6,drivePower($C$4,$M81,$G81,$C$10,$C$11),$I81,$G81,$G$4,$C$8)</f>
        <v>8162.8503243625164</v>
      </c>
      <c r="V81" s="93">
        <f t="shared" si="6"/>
        <v>14554.200578331947</v>
      </c>
    </row>
    <row r="82" spans="7:22" x14ac:dyDescent="0.35">
      <c r="G82" s="59">
        <f t="shared" si="1"/>
        <v>0.5</v>
      </c>
      <c r="H82" s="64">
        <v>25</v>
      </c>
      <c r="I82" s="84">
        <f t="shared" si="7"/>
        <v>25</v>
      </c>
      <c r="J82" s="84">
        <v>50</v>
      </c>
      <c r="K82" s="60">
        <f t="shared" si="8"/>
        <v>143000</v>
      </c>
      <c r="L82" s="59">
        <f t="shared" si="2"/>
        <v>7.56</v>
      </c>
      <c r="M82" s="64">
        <f t="shared" si="3"/>
        <v>17.559999999999999</v>
      </c>
      <c r="N82" s="64" cm="1">
        <f t="array" ref="N82">drivePower($C$4,M82,$C$9,$C$10,$C$11)</f>
        <v>3.98428</v>
      </c>
      <c r="O82" s="86">
        <f t="shared" ref="O82:O145" si="10">K82*3.6/1000*$L$4</f>
        <v>9523.7999999999993</v>
      </c>
      <c r="P82" s="90">
        <f t="shared" si="4"/>
        <v>-1.5000000000000001E-4</v>
      </c>
      <c r="Q82" s="91">
        <f t="shared" si="5"/>
        <v>0.82280000000000009</v>
      </c>
      <c r="R82" s="98">
        <v>0.15</v>
      </c>
      <c r="S82" s="95">
        <f t="shared" si="9"/>
        <v>143000</v>
      </c>
      <c r="T82" s="92" cm="1">
        <f t="array" ref="T82">maxDepthToMinSOC($L$8,$L$9,$L$6,$L$7,$O82,$G$5,$G$6,drivePower($C$4,$M82,$G82,$C$10,$C$11),$I82,$G82,$G$4,$C$8)</f>
        <v>21065.400837063789</v>
      </c>
      <c r="U82" s="12" cm="1">
        <f t="array" ref="U82">maxDepthToMinSOC($L$8,$L$9,P82,Q82,$O82,$G$5,$G$6,drivePower($C$4,$M82,$G82,$C$10,$C$11),$I82,$G82,$G$4,$C$8)</f>
        <v>8184.3003252148628</v>
      </c>
      <c r="V82" s="93">
        <f t="shared" si="6"/>
        <v>14624.850581139326</v>
      </c>
    </row>
    <row r="83" spans="7:22" x14ac:dyDescent="0.35">
      <c r="G83" s="59">
        <f t="shared" si="1"/>
        <v>0.5</v>
      </c>
      <c r="H83" s="64">
        <v>25</v>
      </c>
      <c r="I83" s="84">
        <f t="shared" si="7"/>
        <v>25</v>
      </c>
      <c r="J83" s="84">
        <v>50</v>
      </c>
      <c r="K83" s="60">
        <f t="shared" si="8"/>
        <v>145200</v>
      </c>
      <c r="L83" s="59">
        <f t="shared" ref="L83:L146" si="11">(K83-4400)*(5*0.048)/4400</f>
        <v>7.68</v>
      </c>
      <c r="M83" s="64">
        <f t="shared" ref="M83:M146" si="12">$C$5+L83</f>
        <v>17.68</v>
      </c>
      <c r="N83" s="64" cm="1">
        <f t="array" ref="N83">drivePower($C$4,M83,$C$9,$C$10,$C$11)</f>
        <v>3.9978400000000001</v>
      </c>
      <c r="O83" s="86">
        <f t="shared" si="10"/>
        <v>9670.32</v>
      </c>
      <c r="P83" s="90">
        <f t="shared" si="4"/>
        <v>-1.5000000000000001E-4</v>
      </c>
      <c r="Q83" s="91">
        <f t="shared" si="5"/>
        <v>0.82280000000000009</v>
      </c>
      <c r="R83" s="98">
        <v>0.15</v>
      </c>
      <c r="S83" s="95">
        <f t="shared" si="9"/>
        <v>145200</v>
      </c>
      <c r="T83" s="92" cm="1">
        <f t="array" ref="T83">maxDepthToMinSOC($L$8,$L$9,$L$6,$L$7,$O83,$G$5,$G$6,drivePower($C$4,$M83,$G83,$C$10,$C$11),$I83,$G83,$G$4,$C$8)</f>
        <v>21182.850841730833</v>
      </c>
      <c r="U83" s="12" cm="1">
        <f t="array" ref="U83">maxDepthToMinSOC($L$8,$L$9,P83,Q83,$O83,$G$5,$G$6,drivePower($C$4,$M83,$G83,$C$10,$C$11),$I83,$G83,$G$4,$C$8)</f>
        <v>8205.1503260433674</v>
      </c>
      <c r="V83" s="93">
        <f t="shared" ref="V83:V146" si="13">AVERAGE(T83:U83)</f>
        <v>14694.0005838871</v>
      </c>
    </row>
    <row r="84" spans="7:22" x14ac:dyDescent="0.35">
      <c r="G84" s="59">
        <f t="shared" si="1"/>
        <v>0.5</v>
      </c>
      <c r="H84" s="64">
        <v>25</v>
      </c>
      <c r="I84" s="84">
        <f t="shared" ref="I84:I147" si="14">I83</f>
        <v>25</v>
      </c>
      <c r="J84" s="84">
        <v>50</v>
      </c>
      <c r="K84" s="60">
        <f t="shared" si="8"/>
        <v>147400</v>
      </c>
      <c r="L84" s="59">
        <f t="shared" si="11"/>
        <v>7.8</v>
      </c>
      <c r="M84" s="64">
        <f t="shared" si="12"/>
        <v>17.8</v>
      </c>
      <c r="N84" s="64" cm="1">
        <f t="array" ref="N84">drivePower($C$4,M84,$C$9,$C$10,$C$11)</f>
        <v>4.0114000000000001</v>
      </c>
      <c r="O84" s="86">
        <f t="shared" si="10"/>
        <v>9816.84</v>
      </c>
      <c r="P84" s="90">
        <f t="shared" si="4"/>
        <v>-1.5000000000000001E-4</v>
      </c>
      <c r="Q84" s="91">
        <f t="shared" si="5"/>
        <v>0.82280000000000009</v>
      </c>
      <c r="R84" s="98">
        <v>0.15</v>
      </c>
      <c r="S84" s="95">
        <f t="shared" si="9"/>
        <v>147400</v>
      </c>
      <c r="T84" s="92" cm="1">
        <f t="array" ref="T84">maxDepthToMinSOC($L$8,$L$9,$L$6,$L$7,$O84,$G$5,$G$6,drivePower($C$4,$M84,$G84,$C$10,$C$11),$I84,$G84,$G$4,$C$8)</f>
        <v>21298.05084630847</v>
      </c>
      <c r="U84" s="12" cm="1">
        <f t="array" ref="U84">maxDepthToMinSOC($L$8,$L$9,P84,Q84,$O84,$G$5,$G$6,drivePower($C$4,$M84,$G84,$C$10,$C$11),$I84,$G84,$G$4,$C$8)</f>
        <v>8225.5503268539906</v>
      </c>
      <c r="V84" s="93">
        <f t="shared" si="13"/>
        <v>14761.80058658123</v>
      </c>
    </row>
    <row r="85" spans="7:22" x14ac:dyDescent="0.35">
      <c r="G85" s="59">
        <f t="shared" si="1"/>
        <v>0.5</v>
      </c>
      <c r="H85" s="64">
        <v>25</v>
      </c>
      <c r="I85" s="84">
        <f t="shared" si="14"/>
        <v>25</v>
      </c>
      <c r="J85" s="84">
        <v>50</v>
      </c>
      <c r="K85" s="60">
        <f t="shared" si="8"/>
        <v>149600</v>
      </c>
      <c r="L85" s="59">
        <f t="shared" si="11"/>
        <v>7.92</v>
      </c>
      <c r="M85" s="64">
        <f t="shared" si="12"/>
        <v>17.920000000000002</v>
      </c>
      <c r="N85" s="64" cm="1">
        <f t="array" ref="N85">drivePower($C$4,M85,$C$9,$C$10,$C$11)</f>
        <v>4.0249600000000001</v>
      </c>
      <c r="O85" s="86">
        <f t="shared" si="10"/>
        <v>9963.3599999999988</v>
      </c>
      <c r="P85" s="90">
        <f t="shared" si="4"/>
        <v>-1.5000000000000001E-4</v>
      </c>
      <c r="Q85" s="91">
        <f t="shared" si="5"/>
        <v>0.82280000000000009</v>
      </c>
      <c r="R85" s="98">
        <v>0.15</v>
      </c>
      <c r="S85" s="95">
        <f t="shared" si="9"/>
        <v>149600</v>
      </c>
      <c r="T85" s="92" cm="1">
        <f t="array" ref="T85">maxDepthToMinSOC($L$8,$L$9,$L$6,$L$7,$O85,$G$5,$G$6,drivePower($C$4,$M85,$G85,$C$10,$C$11),$I85,$G85,$G$4,$C$8)</f>
        <v>21411.0008507967</v>
      </c>
      <c r="U85" s="12" cm="1">
        <f t="array" ref="U85">maxDepthToMinSOC($L$8,$L$9,P85,Q85,$O85,$G$5,$G$6,drivePower($C$4,$M85,$G85,$C$10,$C$11),$I85,$G85,$G$4,$C$8)</f>
        <v>8245.3503276407719</v>
      </c>
      <c r="V85" s="93">
        <f t="shared" si="13"/>
        <v>14828.175589218736</v>
      </c>
    </row>
    <row r="86" spans="7:22" x14ac:dyDescent="0.35">
      <c r="G86" s="59">
        <f t="shared" si="1"/>
        <v>0.5</v>
      </c>
      <c r="H86" s="64">
        <v>25</v>
      </c>
      <c r="I86" s="84">
        <f t="shared" si="14"/>
        <v>25</v>
      </c>
      <c r="J86" s="84">
        <v>50</v>
      </c>
      <c r="K86" s="60">
        <f t="shared" si="8"/>
        <v>151800</v>
      </c>
      <c r="L86" s="59">
        <f t="shared" si="11"/>
        <v>8.0399999999999991</v>
      </c>
      <c r="M86" s="64">
        <f t="shared" si="12"/>
        <v>18.04</v>
      </c>
      <c r="N86" s="64" cm="1">
        <f t="array" ref="N86">drivePower($C$4,M86,$C$9,$C$10,$C$11)</f>
        <v>4.0385200000000001</v>
      </c>
      <c r="O86" s="86">
        <f t="shared" si="10"/>
        <v>10109.880000000001</v>
      </c>
      <c r="P86" s="90">
        <f t="shared" si="4"/>
        <v>-1.5000000000000001E-4</v>
      </c>
      <c r="Q86" s="91">
        <f t="shared" si="5"/>
        <v>0.82280000000000009</v>
      </c>
      <c r="R86" s="98">
        <v>0.15</v>
      </c>
      <c r="S86" s="95">
        <f t="shared" si="9"/>
        <v>151800</v>
      </c>
      <c r="T86" s="92" cm="1">
        <f t="array" ref="T86">maxDepthToMinSOC($L$8,$L$9,$L$6,$L$7,$O86,$G$5,$G$6,drivePower($C$4,$M86,$G86,$C$10,$C$11),$I86,$G86,$G$4,$C$8)</f>
        <v>21522.000855207443</v>
      </c>
      <c r="U86" s="12" cm="1">
        <f t="array" ref="U86">maxDepthToMinSOC($L$8,$L$9,P86,Q86,$O86,$G$5,$G$6,drivePower($C$4,$M86,$G86,$C$10,$C$11),$I86,$G86,$G$4,$C$8)</f>
        <v>8264.7003284096718</v>
      </c>
      <c r="V86" s="93">
        <f t="shared" si="13"/>
        <v>14893.350591808558</v>
      </c>
    </row>
    <row r="87" spans="7:22" x14ac:dyDescent="0.35">
      <c r="G87" s="59">
        <f t="shared" si="1"/>
        <v>0.5</v>
      </c>
      <c r="H87" s="64">
        <v>25</v>
      </c>
      <c r="I87" s="84">
        <f t="shared" si="14"/>
        <v>25</v>
      </c>
      <c r="J87" s="84">
        <v>50</v>
      </c>
      <c r="K87" s="60">
        <f t="shared" ref="K87:K150" si="15">K86+2200</f>
        <v>154000</v>
      </c>
      <c r="L87" s="59">
        <f t="shared" si="11"/>
        <v>8.16</v>
      </c>
      <c r="M87" s="64">
        <f t="shared" si="12"/>
        <v>18.16</v>
      </c>
      <c r="N87" s="64" cm="1">
        <f t="array" ref="N87">drivePower($C$4,M87,$C$9,$C$10,$C$11)</f>
        <v>4.0520800000000001</v>
      </c>
      <c r="O87" s="86">
        <f t="shared" si="10"/>
        <v>10256.4</v>
      </c>
      <c r="P87" s="90">
        <f t="shared" si="4"/>
        <v>-1.5000000000000001E-4</v>
      </c>
      <c r="Q87" s="91">
        <f t="shared" si="5"/>
        <v>0.82280000000000009</v>
      </c>
      <c r="R87" s="98">
        <v>0.15</v>
      </c>
      <c r="S87" s="95">
        <f t="shared" ref="S87:S150" si="16">S86+2200</f>
        <v>154000</v>
      </c>
      <c r="T87" s="92" cm="1">
        <f t="array" ref="T87">maxDepthToMinSOC($L$8,$L$9,$L$6,$L$7,$O87,$G$5,$G$6,drivePower($C$4,$M87,$G87,$C$10,$C$11),$I87,$G87,$G$4,$C$8)</f>
        <v>21630.75085952878</v>
      </c>
      <c r="U87" s="12" cm="1">
        <f t="array" ref="U87">maxDepthToMinSOC($L$8,$L$9,P87,Q87,$O87,$G$5,$G$6,drivePower($C$4,$M87,$G87,$C$10,$C$11),$I87,$G87,$G$4,$C$8)</f>
        <v>8283.6003291606903</v>
      </c>
      <c r="V87" s="93">
        <f t="shared" si="13"/>
        <v>14957.175594344735</v>
      </c>
    </row>
    <row r="88" spans="7:22" x14ac:dyDescent="0.35">
      <c r="G88" s="59">
        <f t="shared" si="1"/>
        <v>0.5</v>
      </c>
      <c r="H88" s="64">
        <v>25</v>
      </c>
      <c r="I88" s="84">
        <f t="shared" si="14"/>
        <v>25</v>
      </c>
      <c r="J88" s="84">
        <v>50</v>
      </c>
      <c r="K88" s="60">
        <f t="shared" si="15"/>
        <v>156200</v>
      </c>
      <c r="L88" s="59">
        <f t="shared" si="11"/>
        <v>8.2799999999999994</v>
      </c>
      <c r="M88" s="64">
        <f t="shared" si="12"/>
        <v>18.28</v>
      </c>
      <c r="N88" s="64" cm="1">
        <f t="array" ref="N88">drivePower($C$4,M88,$C$9,$C$10,$C$11)</f>
        <v>4.0656400000000001</v>
      </c>
      <c r="O88" s="86">
        <f t="shared" si="10"/>
        <v>10402.92</v>
      </c>
      <c r="P88" s="90">
        <f t="shared" si="4"/>
        <v>-1.5000000000000001E-4</v>
      </c>
      <c r="Q88" s="91">
        <f t="shared" si="5"/>
        <v>0.82280000000000009</v>
      </c>
      <c r="R88" s="98">
        <v>0.15</v>
      </c>
      <c r="S88" s="95">
        <f t="shared" si="16"/>
        <v>156200</v>
      </c>
      <c r="T88" s="92" cm="1">
        <f t="array" ref="T88">maxDepthToMinSOC($L$8,$L$9,$L$6,$L$7,$O88,$G$5,$G$6,drivePower($C$4,$M88,$G88,$C$10,$C$11),$I88,$G88,$G$4,$C$8)</f>
        <v>21737.40086376667</v>
      </c>
      <c r="U88" s="12" cm="1">
        <f t="array" ref="U88">maxDepthToMinSOC($L$8,$L$9,P88,Q88,$O88,$G$5,$G$6,drivePower($C$4,$M88,$G88,$C$10,$C$11),$I88,$G88,$G$4,$C$8)</f>
        <v>8301.900329887867</v>
      </c>
      <c r="V88" s="93">
        <f t="shared" si="13"/>
        <v>15019.650596827269</v>
      </c>
    </row>
    <row r="89" spans="7:22" x14ac:dyDescent="0.35">
      <c r="G89" s="59">
        <f t="shared" si="1"/>
        <v>0.5</v>
      </c>
      <c r="H89" s="64">
        <v>25</v>
      </c>
      <c r="I89" s="84">
        <f t="shared" si="14"/>
        <v>25</v>
      </c>
      <c r="J89" s="84">
        <v>50</v>
      </c>
      <c r="K89" s="60">
        <f t="shared" si="15"/>
        <v>158400</v>
      </c>
      <c r="L89" s="59">
        <f t="shared" si="11"/>
        <v>8.4</v>
      </c>
      <c r="M89" s="64">
        <f t="shared" si="12"/>
        <v>18.399999999999999</v>
      </c>
      <c r="N89" s="64" cm="1">
        <f t="array" ref="N89">drivePower($C$4,M89,$C$9,$C$10,$C$11)</f>
        <v>4.0792000000000002</v>
      </c>
      <c r="O89" s="86">
        <f t="shared" si="10"/>
        <v>10549.44</v>
      </c>
      <c r="P89" s="90">
        <f t="shared" si="4"/>
        <v>-1.5000000000000001E-4</v>
      </c>
      <c r="Q89" s="91">
        <f t="shared" si="5"/>
        <v>0.82280000000000009</v>
      </c>
      <c r="R89" s="98">
        <v>0.15</v>
      </c>
      <c r="S89" s="95">
        <f t="shared" si="16"/>
        <v>158400</v>
      </c>
      <c r="T89" s="92" cm="1">
        <f t="array" ref="T89">maxDepthToMinSOC($L$8,$L$9,$L$6,$L$7,$O89,$G$5,$G$6,drivePower($C$4,$M89,$G89,$C$10,$C$11),$I89,$G89,$G$4,$C$8)</f>
        <v>21842.250867933035</v>
      </c>
      <c r="U89" s="12" cm="1">
        <f t="array" ref="U89">maxDepthToMinSOC($L$8,$L$9,P89,Q89,$O89,$G$5,$G$6,drivePower($C$4,$M89,$G89,$C$10,$C$11),$I89,$G89,$G$4,$C$8)</f>
        <v>8319.9003306031227</v>
      </c>
      <c r="V89" s="93">
        <f t="shared" si="13"/>
        <v>15081.075599268079</v>
      </c>
    </row>
    <row r="90" spans="7:22" x14ac:dyDescent="0.35">
      <c r="G90" s="59">
        <f t="shared" si="1"/>
        <v>0.5</v>
      </c>
      <c r="H90" s="64">
        <v>25</v>
      </c>
      <c r="I90" s="84">
        <f t="shared" si="14"/>
        <v>25</v>
      </c>
      <c r="J90" s="84">
        <v>50</v>
      </c>
      <c r="K90" s="60">
        <f t="shared" si="15"/>
        <v>160600</v>
      </c>
      <c r="L90" s="59">
        <f t="shared" si="11"/>
        <v>8.52</v>
      </c>
      <c r="M90" s="64">
        <f t="shared" si="12"/>
        <v>18.52</v>
      </c>
      <c r="N90" s="64" cm="1">
        <f t="array" ref="N90">drivePower($C$4,M90,$C$9,$C$10,$C$11)</f>
        <v>4.0927600000000002</v>
      </c>
      <c r="O90" s="86">
        <f t="shared" si="10"/>
        <v>10695.96</v>
      </c>
      <c r="P90" s="90">
        <f t="shared" si="4"/>
        <v>-1.5000000000000001E-4</v>
      </c>
      <c r="Q90" s="91">
        <f t="shared" si="5"/>
        <v>0.82280000000000009</v>
      </c>
      <c r="R90" s="98">
        <v>0.15</v>
      </c>
      <c r="S90" s="95">
        <f t="shared" si="16"/>
        <v>160600</v>
      </c>
      <c r="T90" s="92" cm="1">
        <f t="array" ref="T90">maxDepthToMinSOC($L$8,$L$9,$L$6,$L$7,$O90,$G$5,$G$6,drivePower($C$4,$M90,$G90,$C$10,$C$11),$I90,$G90,$G$4,$C$8)</f>
        <v>21945.150872021914</v>
      </c>
      <c r="U90" s="12" cm="1">
        <f t="array" ref="U90">maxDepthToMinSOC($L$8,$L$9,P90,Q90,$O90,$G$5,$G$6,drivePower($C$4,$M90,$G90,$C$10,$C$11),$I90,$G90,$G$4,$C$8)</f>
        <v>8337.4503313004971</v>
      </c>
      <c r="V90" s="93">
        <f t="shared" si="13"/>
        <v>15141.300601661205</v>
      </c>
    </row>
    <row r="91" spans="7:22" x14ac:dyDescent="0.35">
      <c r="G91" s="59">
        <f t="shared" si="1"/>
        <v>0.5</v>
      </c>
      <c r="H91" s="64">
        <v>25</v>
      </c>
      <c r="I91" s="84">
        <f t="shared" si="14"/>
        <v>25</v>
      </c>
      <c r="J91" s="84">
        <v>50</v>
      </c>
      <c r="K91" s="60">
        <f t="shared" si="15"/>
        <v>162800</v>
      </c>
      <c r="L91" s="59">
        <f t="shared" si="11"/>
        <v>8.64</v>
      </c>
      <c r="M91" s="64">
        <f t="shared" si="12"/>
        <v>18.64</v>
      </c>
      <c r="N91" s="64" cm="1">
        <f t="array" ref="N91">drivePower($C$4,M91,$C$9,$C$10,$C$11)</f>
        <v>4.1063200000000002</v>
      </c>
      <c r="O91" s="86">
        <f t="shared" si="10"/>
        <v>10842.480000000001</v>
      </c>
      <c r="P91" s="90">
        <f t="shared" si="4"/>
        <v>-1.5000000000000001E-4</v>
      </c>
      <c r="Q91" s="91">
        <f t="shared" si="5"/>
        <v>0.82280000000000009</v>
      </c>
      <c r="R91" s="98">
        <v>0.15</v>
      </c>
      <c r="S91" s="95">
        <f t="shared" si="16"/>
        <v>162800</v>
      </c>
      <c r="T91" s="92" cm="1">
        <f t="array" ref="T91">maxDepthToMinSOC($L$8,$L$9,$L$6,$L$7,$O91,$G$5,$G$6,drivePower($C$4,$M91,$G91,$C$10,$C$11),$I91,$G91,$G$4,$C$8)</f>
        <v>22046.100876033306</v>
      </c>
      <c r="U91" s="12" cm="1">
        <f t="array" ref="U91">maxDepthToMinSOC($L$8,$L$9,P91,Q91,$O91,$G$5,$G$6,drivePower($C$4,$M91,$G91,$C$10,$C$11),$I91,$G91,$G$4,$C$8)</f>
        <v>8354.55033197999</v>
      </c>
      <c r="V91" s="93">
        <f t="shared" si="13"/>
        <v>15200.325604006648</v>
      </c>
    </row>
    <row r="92" spans="7:22" x14ac:dyDescent="0.35">
      <c r="G92" s="59">
        <f t="shared" si="1"/>
        <v>0.5</v>
      </c>
      <c r="H92" s="64">
        <v>25</v>
      </c>
      <c r="I92" s="84">
        <f t="shared" si="14"/>
        <v>25</v>
      </c>
      <c r="J92" s="84">
        <v>50</v>
      </c>
      <c r="K92" s="60">
        <f t="shared" si="15"/>
        <v>165000</v>
      </c>
      <c r="L92" s="59">
        <f t="shared" si="11"/>
        <v>8.76</v>
      </c>
      <c r="M92" s="64">
        <f t="shared" si="12"/>
        <v>18.759999999999998</v>
      </c>
      <c r="N92" s="64" cm="1">
        <f t="array" ref="N92">drivePower($C$4,M92,$C$9,$C$10,$C$11)</f>
        <v>4.1198800000000002</v>
      </c>
      <c r="O92" s="86">
        <f t="shared" si="10"/>
        <v>10989</v>
      </c>
      <c r="P92" s="90">
        <f t="shared" si="4"/>
        <v>-1.5000000000000001E-4</v>
      </c>
      <c r="Q92" s="91">
        <f t="shared" si="5"/>
        <v>0.82280000000000009</v>
      </c>
      <c r="R92" s="98">
        <v>0.15</v>
      </c>
      <c r="S92" s="95">
        <f t="shared" si="16"/>
        <v>165000</v>
      </c>
      <c r="T92" s="92" cm="1">
        <f t="array" ref="T92">maxDepthToMinSOC($L$8,$L$9,$L$6,$L$7,$O92,$G$5,$G$6,drivePower($C$4,$M92,$G92,$C$10,$C$11),$I92,$G92,$G$4,$C$8)</f>
        <v>22145.250879973173</v>
      </c>
      <c r="U92" s="12" cm="1">
        <f t="array" ref="U92">maxDepthToMinSOC($L$8,$L$9,P92,Q92,$O92,$G$5,$G$6,drivePower($C$4,$M92,$G92,$C$10,$C$11),$I92,$G92,$G$4,$C$8)</f>
        <v>8371.350332647562</v>
      </c>
      <c r="V92" s="93">
        <f t="shared" si="13"/>
        <v>15258.300606310368</v>
      </c>
    </row>
    <row r="93" spans="7:22" x14ac:dyDescent="0.35">
      <c r="G93" s="59">
        <f t="shared" si="1"/>
        <v>0.5</v>
      </c>
      <c r="H93" s="64">
        <v>25</v>
      </c>
      <c r="I93" s="84">
        <f t="shared" si="14"/>
        <v>25</v>
      </c>
      <c r="J93" s="84">
        <v>50</v>
      </c>
      <c r="K93" s="60">
        <f t="shared" si="15"/>
        <v>167200</v>
      </c>
      <c r="L93" s="59">
        <f t="shared" si="11"/>
        <v>8.8800000000000008</v>
      </c>
      <c r="M93" s="64">
        <f t="shared" si="12"/>
        <v>18.880000000000003</v>
      </c>
      <c r="N93" s="64" cm="1">
        <f t="array" ref="N93">drivePower($C$4,M93,$C$9,$C$10,$C$11)</f>
        <v>4.1334400000000002</v>
      </c>
      <c r="O93" s="86">
        <f t="shared" si="10"/>
        <v>11135.519999999999</v>
      </c>
      <c r="P93" s="90">
        <f t="shared" si="4"/>
        <v>-1.5000000000000001E-4</v>
      </c>
      <c r="Q93" s="91">
        <f t="shared" si="5"/>
        <v>0.82280000000000009</v>
      </c>
      <c r="R93" s="98">
        <v>0.15</v>
      </c>
      <c r="S93" s="95">
        <f t="shared" si="16"/>
        <v>167200</v>
      </c>
      <c r="T93" s="92" cm="1">
        <f t="array" ref="T93">maxDepthToMinSOC($L$8,$L$9,$L$6,$L$7,$O93,$G$5,$G$6,drivePower($C$4,$M93,$G93,$C$10,$C$11),$I93,$G93,$G$4,$C$8)</f>
        <v>22242.600883841515</v>
      </c>
      <c r="U93" s="12" cm="1">
        <f t="array" ref="U93">maxDepthToMinSOC($L$8,$L$9,P93,Q93,$O93,$G$5,$G$6,drivePower($C$4,$M93,$G93,$C$10,$C$11),$I93,$G93,$G$4,$C$8)</f>
        <v>8387.7003332972527</v>
      </c>
      <c r="V93" s="93">
        <f t="shared" si="13"/>
        <v>15315.150608569384</v>
      </c>
    </row>
    <row r="94" spans="7:22" x14ac:dyDescent="0.35">
      <c r="G94" s="59">
        <f t="shared" si="1"/>
        <v>0.5</v>
      </c>
      <c r="H94" s="64">
        <v>25</v>
      </c>
      <c r="I94" s="84">
        <f t="shared" si="14"/>
        <v>25</v>
      </c>
      <c r="J94" s="84">
        <v>50</v>
      </c>
      <c r="K94" s="60">
        <f t="shared" si="15"/>
        <v>169400</v>
      </c>
      <c r="L94" s="59">
        <f t="shared" si="11"/>
        <v>9</v>
      </c>
      <c r="M94" s="64">
        <f t="shared" si="12"/>
        <v>19</v>
      </c>
      <c r="N94" s="64" cm="1">
        <f t="array" ref="N94">drivePower($C$4,M94,$C$9,$C$10,$C$11)</f>
        <v>4.1470000000000002</v>
      </c>
      <c r="O94" s="86">
        <f t="shared" si="10"/>
        <v>11282.04</v>
      </c>
      <c r="P94" s="90">
        <f t="shared" si="4"/>
        <v>-1.5000000000000001E-4</v>
      </c>
      <c r="Q94" s="91">
        <f t="shared" si="5"/>
        <v>0.82280000000000009</v>
      </c>
      <c r="R94" s="98">
        <v>0.15</v>
      </c>
      <c r="S94" s="95">
        <f t="shared" si="16"/>
        <v>169400</v>
      </c>
      <c r="T94" s="92" cm="1">
        <f t="array" ref="T94">maxDepthToMinSOC($L$8,$L$9,$L$6,$L$7,$O94,$G$5,$G$6,drivePower($C$4,$M94,$G94,$C$10,$C$11),$I94,$G94,$G$4,$C$8)</f>
        <v>22338.300887644291</v>
      </c>
      <c r="U94" s="12" cm="1">
        <f t="array" ref="U94">maxDepthToMinSOC($L$8,$L$9,P94,Q94,$O94,$G$5,$G$6,drivePower($C$4,$M94,$G94,$C$10,$C$11),$I94,$G94,$G$4,$C$8)</f>
        <v>8403.7503339350224</v>
      </c>
      <c r="V94" s="93">
        <f t="shared" si="13"/>
        <v>15371.025610789657</v>
      </c>
    </row>
    <row r="95" spans="7:22" x14ac:dyDescent="0.35">
      <c r="G95" s="59">
        <f t="shared" si="1"/>
        <v>0.5</v>
      </c>
      <c r="H95" s="64">
        <v>25</v>
      </c>
      <c r="I95" s="84">
        <f t="shared" si="14"/>
        <v>25</v>
      </c>
      <c r="J95" s="84">
        <v>50</v>
      </c>
      <c r="K95" s="60">
        <f t="shared" si="15"/>
        <v>171600</v>
      </c>
      <c r="L95" s="59">
        <f t="shared" si="11"/>
        <v>9.1199999999999992</v>
      </c>
      <c r="M95" s="64">
        <f t="shared" si="12"/>
        <v>19.119999999999997</v>
      </c>
      <c r="N95" s="64" cm="1">
        <f t="array" ref="N95">drivePower($C$4,M95,$C$9,$C$10,$C$11)</f>
        <v>4.1605600000000003</v>
      </c>
      <c r="O95" s="86">
        <f t="shared" si="10"/>
        <v>11428.56</v>
      </c>
      <c r="P95" s="90">
        <f t="shared" si="4"/>
        <v>-1.5000000000000001E-4</v>
      </c>
      <c r="Q95" s="91">
        <f t="shared" si="5"/>
        <v>0.82280000000000009</v>
      </c>
      <c r="R95" s="98">
        <v>0.15</v>
      </c>
      <c r="S95" s="95">
        <f t="shared" si="16"/>
        <v>171600</v>
      </c>
      <c r="T95" s="92" cm="1">
        <f t="array" ref="T95">maxDepthToMinSOC($L$8,$L$9,$L$6,$L$7,$O95,$G$5,$G$6,drivePower($C$4,$M95,$G95,$C$10,$C$11),$I95,$G95,$G$4,$C$8)</f>
        <v>22432.350891381502</v>
      </c>
      <c r="U95" s="12" cm="1">
        <f t="array" ref="U95">maxDepthToMinSOC($L$8,$L$9,P95,Q95,$O95,$G$5,$G$6,drivePower($C$4,$M95,$G95,$C$10,$C$11),$I95,$G95,$G$4,$C$8)</f>
        <v>8419.3503345549107</v>
      </c>
      <c r="V95" s="93">
        <f t="shared" si="13"/>
        <v>15425.850612968206</v>
      </c>
    </row>
    <row r="96" spans="7:22" x14ac:dyDescent="0.35">
      <c r="G96" s="59">
        <f t="shared" si="1"/>
        <v>0.5</v>
      </c>
      <c r="H96" s="64">
        <v>25</v>
      </c>
      <c r="I96" s="84">
        <f t="shared" si="14"/>
        <v>25</v>
      </c>
      <c r="J96" s="84">
        <v>50</v>
      </c>
      <c r="K96" s="60">
        <f t="shared" si="15"/>
        <v>173800</v>
      </c>
      <c r="L96" s="59">
        <f t="shared" si="11"/>
        <v>9.24</v>
      </c>
      <c r="M96" s="64">
        <f t="shared" si="12"/>
        <v>19.240000000000002</v>
      </c>
      <c r="N96" s="64" cm="1">
        <f t="array" ref="N96">drivePower($C$4,M96,$C$9,$C$10,$C$11)</f>
        <v>4.1741200000000003</v>
      </c>
      <c r="O96" s="86">
        <f t="shared" si="10"/>
        <v>11575.08</v>
      </c>
      <c r="P96" s="90">
        <f t="shared" si="4"/>
        <v>-1.5000000000000001E-4</v>
      </c>
      <c r="Q96" s="91">
        <f t="shared" si="5"/>
        <v>0.82280000000000009</v>
      </c>
      <c r="R96" s="98">
        <v>0.15</v>
      </c>
      <c r="S96" s="95">
        <f t="shared" si="16"/>
        <v>173800</v>
      </c>
      <c r="T96" s="92" cm="1">
        <f t="array" ref="T96">maxDepthToMinSOC($L$8,$L$9,$L$6,$L$7,$O96,$G$5,$G$6,drivePower($C$4,$M96,$G96,$C$10,$C$11),$I96,$G96,$G$4,$C$8)</f>
        <v>22524.750895053148</v>
      </c>
      <c r="U96" s="12" cm="1">
        <f t="array" ref="U96">maxDepthToMinSOC($L$8,$L$9,P96,Q96,$O96,$G$5,$G$6,drivePower($C$4,$M96,$G96,$C$10,$C$11),$I96,$G96,$G$4,$C$8)</f>
        <v>8434.650335162878</v>
      </c>
      <c r="V96" s="93">
        <f t="shared" si="13"/>
        <v>15479.700615108013</v>
      </c>
    </row>
    <row r="97" spans="7:22" x14ac:dyDescent="0.35">
      <c r="G97" s="59">
        <f t="shared" si="1"/>
        <v>0.5</v>
      </c>
      <c r="H97" s="64">
        <v>25</v>
      </c>
      <c r="I97" s="84">
        <f t="shared" si="14"/>
        <v>25</v>
      </c>
      <c r="J97" s="84">
        <v>50</v>
      </c>
      <c r="K97" s="60">
        <f t="shared" si="15"/>
        <v>176000</v>
      </c>
      <c r="L97" s="59">
        <f t="shared" si="11"/>
        <v>9.36</v>
      </c>
      <c r="M97" s="64">
        <f t="shared" si="12"/>
        <v>19.36</v>
      </c>
      <c r="N97" s="64" cm="1">
        <f t="array" ref="N97">drivePower($C$4,M97,$C$9,$C$10,$C$11)</f>
        <v>4.1876800000000003</v>
      </c>
      <c r="O97" s="86">
        <f t="shared" si="10"/>
        <v>11721.6</v>
      </c>
      <c r="P97" s="90">
        <f t="shared" si="4"/>
        <v>-1.5000000000000001E-4</v>
      </c>
      <c r="Q97" s="91">
        <f t="shared" si="5"/>
        <v>0.82280000000000009</v>
      </c>
      <c r="R97" s="98">
        <v>0.15</v>
      </c>
      <c r="S97" s="95">
        <f t="shared" si="16"/>
        <v>176000</v>
      </c>
      <c r="T97" s="92" cm="1">
        <f t="array" ref="T97">maxDepthToMinSOC($L$8,$L$9,$L$6,$L$7,$O97,$G$5,$G$6,drivePower($C$4,$M97,$G97,$C$10,$C$11),$I97,$G97,$G$4,$C$8)</f>
        <v>22615.500898659229</v>
      </c>
      <c r="U97" s="12" cm="1">
        <f t="array" ref="U97">maxDepthToMinSOC($L$8,$L$9,P97,Q97,$O97,$G$5,$G$6,drivePower($C$4,$M97,$G97,$C$10,$C$11),$I97,$G97,$G$4,$C$8)</f>
        <v>8449.6503357589245</v>
      </c>
      <c r="V97" s="93">
        <f t="shared" si="13"/>
        <v>15532.575617209077</v>
      </c>
    </row>
    <row r="98" spans="7:22" x14ac:dyDescent="0.35">
      <c r="G98" s="59">
        <f t="shared" si="1"/>
        <v>0.5</v>
      </c>
      <c r="H98" s="64">
        <v>25</v>
      </c>
      <c r="I98" s="84">
        <f t="shared" si="14"/>
        <v>25</v>
      </c>
      <c r="J98" s="84">
        <v>50</v>
      </c>
      <c r="K98" s="60">
        <f t="shared" si="15"/>
        <v>178200</v>
      </c>
      <c r="L98" s="59">
        <f t="shared" si="11"/>
        <v>9.48</v>
      </c>
      <c r="M98" s="64">
        <f t="shared" si="12"/>
        <v>19.48</v>
      </c>
      <c r="N98" s="64" cm="1">
        <f t="array" ref="N98">drivePower($C$4,M98,$C$9,$C$10,$C$11)</f>
        <v>4.2012400000000003</v>
      </c>
      <c r="O98" s="86">
        <f t="shared" si="10"/>
        <v>11868.119999999999</v>
      </c>
      <c r="P98" s="90">
        <f t="shared" si="4"/>
        <v>-1.5000000000000001E-4</v>
      </c>
      <c r="Q98" s="91">
        <f t="shared" si="5"/>
        <v>0.82280000000000009</v>
      </c>
      <c r="R98" s="98">
        <v>0.15</v>
      </c>
      <c r="S98" s="95">
        <f t="shared" si="16"/>
        <v>178200</v>
      </c>
      <c r="T98" s="92" cm="1">
        <f t="array" ref="T98">maxDepthToMinSOC($L$8,$L$9,$L$6,$L$7,$O98,$G$5,$G$6,drivePower($C$4,$M98,$G98,$C$10,$C$11),$I98,$G98,$G$4,$C$8)</f>
        <v>22704.750902205706</v>
      </c>
      <c r="U98" s="12" cm="1">
        <f t="array" ref="U98">maxDepthToMinSOC($L$8,$L$9,P98,Q98,$O98,$G$5,$G$6,drivePower($C$4,$M98,$G98,$C$10,$C$11),$I98,$G98,$G$4,$C$8)</f>
        <v>8464.35033634305</v>
      </c>
      <c r="V98" s="93">
        <f t="shared" si="13"/>
        <v>15584.550619274378</v>
      </c>
    </row>
    <row r="99" spans="7:22" x14ac:dyDescent="0.35">
      <c r="G99" s="59">
        <f t="shared" si="1"/>
        <v>0.5</v>
      </c>
      <c r="H99" s="64">
        <v>25</v>
      </c>
      <c r="I99" s="84">
        <f t="shared" si="14"/>
        <v>25</v>
      </c>
      <c r="J99" s="84">
        <v>50</v>
      </c>
      <c r="K99" s="60">
        <f t="shared" si="15"/>
        <v>180400</v>
      </c>
      <c r="L99" s="59">
        <f t="shared" si="11"/>
        <v>9.6</v>
      </c>
      <c r="M99" s="64">
        <f t="shared" si="12"/>
        <v>19.600000000000001</v>
      </c>
      <c r="N99" s="64" cm="1">
        <f t="array" ref="N99">drivePower($C$4,M99,$C$9,$C$10,$C$11)</f>
        <v>4.2148000000000003</v>
      </c>
      <c r="O99" s="86">
        <f t="shared" si="10"/>
        <v>12014.640000000001</v>
      </c>
      <c r="P99" s="90">
        <f t="shared" si="4"/>
        <v>-1.5000000000000001E-4</v>
      </c>
      <c r="Q99" s="91">
        <f t="shared" si="5"/>
        <v>0.82280000000000009</v>
      </c>
      <c r="R99" s="98">
        <v>0.15</v>
      </c>
      <c r="S99" s="95">
        <f t="shared" si="16"/>
        <v>180400</v>
      </c>
      <c r="T99" s="92" cm="1">
        <f t="array" ref="T99">maxDepthToMinSOC($L$8,$L$9,$L$6,$L$7,$O99,$G$5,$G$6,drivePower($C$4,$M99,$G99,$C$10,$C$11),$I99,$G99,$G$4,$C$8)</f>
        <v>22792.350905686617</v>
      </c>
      <c r="U99" s="12" cm="1">
        <f t="array" ref="U99">maxDepthToMinSOC($L$8,$L$9,P99,Q99,$O99,$G$5,$G$6,drivePower($C$4,$M99,$G99,$C$10,$C$11),$I99,$G99,$G$4,$C$8)</f>
        <v>8478.6003369092941</v>
      </c>
      <c r="V99" s="93">
        <f t="shared" si="13"/>
        <v>15635.475621297956</v>
      </c>
    </row>
    <row r="100" spans="7:22" x14ac:dyDescent="0.35">
      <c r="G100" s="59">
        <f t="shared" si="1"/>
        <v>0.5</v>
      </c>
      <c r="H100" s="64">
        <v>25</v>
      </c>
      <c r="I100" s="84">
        <f t="shared" si="14"/>
        <v>25</v>
      </c>
      <c r="J100" s="84">
        <v>50</v>
      </c>
      <c r="K100" s="60">
        <f t="shared" si="15"/>
        <v>182600</v>
      </c>
      <c r="L100" s="59">
        <f t="shared" si="11"/>
        <v>9.7200000000000006</v>
      </c>
      <c r="M100" s="64">
        <f t="shared" si="12"/>
        <v>19.72</v>
      </c>
      <c r="N100" s="64" cm="1">
        <f t="array" ref="N100">drivePower($C$4,M100,$C$9,$C$10,$C$11)</f>
        <v>4.2283600000000003</v>
      </c>
      <c r="O100" s="86">
        <f t="shared" si="10"/>
        <v>12161.16</v>
      </c>
      <c r="P100" s="90">
        <f t="shared" si="4"/>
        <v>-1.5000000000000001E-4</v>
      </c>
      <c r="Q100" s="91">
        <f t="shared" si="5"/>
        <v>0.82280000000000009</v>
      </c>
      <c r="R100" s="98">
        <v>0.15</v>
      </c>
      <c r="S100" s="95">
        <f t="shared" si="16"/>
        <v>182600</v>
      </c>
      <c r="T100" s="92" cm="1">
        <f t="array" ref="T100">maxDepthToMinSOC($L$8,$L$9,$L$6,$L$7,$O100,$G$5,$G$6,drivePower($C$4,$M100,$G100,$C$10,$C$11),$I100,$G100,$G$4,$C$8)</f>
        <v>22878.600909113884</v>
      </c>
      <c r="U100" s="12" cm="1">
        <f t="array" ref="U100">maxDepthToMinSOC($L$8,$L$9,P100,Q100,$O100,$G$5,$G$6,drivePower($C$4,$M100,$G100,$C$10,$C$11),$I100,$G100,$G$4,$C$8)</f>
        <v>8492.7003374695778</v>
      </c>
      <c r="V100" s="93">
        <f t="shared" si="13"/>
        <v>15685.650623291731</v>
      </c>
    </row>
    <row r="101" spans="7:22" x14ac:dyDescent="0.35">
      <c r="G101" s="59">
        <f t="shared" si="1"/>
        <v>0.5</v>
      </c>
      <c r="H101" s="64">
        <v>25</v>
      </c>
      <c r="I101" s="84">
        <f t="shared" si="14"/>
        <v>25</v>
      </c>
      <c r="J101" s="84">
        <v>50</v>
      </c>
      <c r="K101" s="60">
        <f t="shared" si="15"/>
        <v>184800</v>
      </c>
      <c r="L101" s="59">
        <f t="shared" si="11"/>
        <v>9.84</v>
      </c>
      <c r="M101" s="64">
        <f t="shared" si="12"/>
        <v>19.84</v>
      </c>
      <c r="N101" s="64" cm="1">
        <f t="array" ref="N101">drivePower($C$4,M101,$C$9,$C$10,$C$11)</f>
        <v>4.2419200000000004</v>
      </c>
      <c r="O101" s="86">
        <f t="shared" si="10"/>
        <v>12307.68</v>
      </c>
      <c r="P101" s="90">
        <f t="shared" si="4"/>
        <v>-1.5000000000000001E-4</v>
      </c>
      <c r="Q101" s="91">
        <f t="shared" si="5"/>
        <v>0.82280000000000009</v>
      </c>
      <c r="R101" s="98">
        <v>0.15</v>
      </c>
      <c r="S101" s="95">
        <f t="shared" si="16"/>
        <v>184800</v>
      </c>
      <c r="T101" s="92" cm="1">
        <f t="array" ref="T101">maxDepthToMinSOC($L$8,$L$9,$L$6,$L$7,$O101,$G$5,$G$6,drivePower($C$4,$M101,$G101,$C$10,$C$11),$I101,$G101,$G$4,$C$8)</f>
        <v>22963.500912487507</v>
      </c>
      <c r="U101" s="12" cm="1">
        <f t="array" ref="U101">maxDepthToMinSOC($L$8,$L$9,P101,Q101,$O101,$G$5,$G$6,drivePower($C$4,$M101,$G101,$C$10,$C$11),$I101,$G101,$G$4,$C$8)</f>
        <v>8506.5003380179405</v>
      </c>
      <c r="V101" s="93">
        <f t="shared" si="13"/>
        <v>15735.000625252724</v>
      </c>
    </row>
    <row r="102" spans="7:22" x14ac:dyDescent="0.35">
      <c r="G102" s="59">
        <f t="shared" si="1"/>
        <v>0.5</v>
      </c>
      <c r="H102" s="64">
        <v>25</v>
      </c>
      <c r="I102" s="84">
        <f t="shared" si="14"/>
        <v>25</v>
      </c>
      <c r="J102" s="84">
        <v>50</v>
      </c>
      <c r="K102" s="60">
        <f t="shared" si="15"/>
        <v>187000</v>
      </c>
      <c r="L102" s="59">
        <f t="shared" si="11"/>
        <v>9.9600000000000009</v>
      </c>
      <c r="M102" s="64">
        <f t="shared" si="12"/>
        <v>19.96</v>
      </c>
      <c r="N102" s="64" cm="1">
        <f t="array" ref="N102">drivePower($C$4,M102,$C$9,$C$10,$C$11)</f>
        <v>4.2554800000000004</v>
      </c>
      <c r="O102" s="86">
        <f t="shared" si="10"/>
        <v>12454.2</v>
      </c>
      <c r="P102" s="90">
        <f t="shared" si="4"/>
        <v>-1.5000000000000001E-4</v>
      </c>
      <c r="Q102" s="91">
        <f t="shared" si="5"/>
        <v>0.82280000000000009</v>
      </c>
      <c r="R102" s="98">
        <v>0.15</v>
      </c>
      <c r="S102" s="95">
        <f t="shared" si="16"/>
        <v>187000</v>
      </c>
      <c r="T102" s="92" cm="1">
        <f t="array" ref="T102">maxDepthToMinSOC($L$8,$L$9,$L$6,$L$7,$O102,$G$5,$G$6,drivePower($C$4,$M102,$G102,$C$10,$C$11),$I102,$G102,$G$4,$C$8)</f>
        <v>23046.900915801525</v>
      </c>
      <c r="U102" s="12" cm="1">
        <f t="array" ref="U102">maxDepthToMinSOC($L$8,$L$9,P102,Q102,$O102,$G$5,$G$6,drivePower($C$4,$M102,$G102,$C$10,$C$11),$I102,$G102,$G$4,$C$8)</f>
        <v>8519.8503385484219</v>
      </c>
      <c r="V102" s="93">
        <f t="shared" si="13"/>
        <v>15783.375627174973</v>
      </c>
    </row>
    <row r="103" spans="7:22" x14ac:dyDescent="0.35">
      <c r="G103" s="59">
        <f t="shared" si="1"/>
        <v>0.5</v>
      </c>
      <c r="H103" s="64">
        <v>25</v>
      </c>
      <c r="I103" s="84">
        <f t="shared" si="14"/>
        <v>25</v>
      </c>
      <c r="J103" s="84">
        <v>50</v>
      </c>
      <c r="K103" s="60">
        <f t="shared" si="15"/>
        <v>189200</v>
      </c>
      <c r="L103" s="59">
        <f t="shared" si="11"/>
        <v>10.08</v>
      </c>
      <c r="M103" s="64">
        <f t="shared" si="12"/>
        <v>20.079999999999998</v>
      </c>
      <c r="N103" s="64" cm="1">
        <f t="array" ref="N103">drivePower($C$4,M103,$C$9,$C$10,$C$11)</f>
        <v>4.2690400000000004</v>
      </c>
      <c r="O103" s="86">
        <f t="shared" si="10"/>
        <v>12600.72</v>
      </c>
      <c r="P103" s="90">
        <f t="shared" si="4"/>
        <v>-1.5000000000000001E-4</v>
      </c>
      <c r="Q103" s="91">
        <f t="shared" si="5"/>
        <v>0.82280000000000009</v>
      </c>
      <c r="R103" s="98">
        <v>0.15</v>
      </c>
      <c r="S103" s="95">
        <f t="shared" si="16"/>
        <v>189200</v>
      </c>
      <c r="T103" s="92" cm="1">
        <f t="array" ref="T103">maxDepthToMinSOC($L$8,$L$9,$L$6,$L$7,$O103,$G$5,$G$6,drivePower($C$4,$M103,$G103,$C$10,$C$11),$I103,$G103,$G$4,$C$8)</f>
        <v>23128.950919061899</v>
      </c>
      <c r="U103" s="12" cm="1">
        <f t="array" ref="U103">maxDepthToMinSOC($L$8,$L$9,P103,Q103,$O103,$G$5,$G$6,drivePower($C$4,$M103,$G103,$C$10,$C$11),$I103,$G103,$G$4,$C$8)</f>
        <v>8533.0503390729427</v>
      </c>
      <c r="V103" s="93">
        <f t="shared" si="13"/>
        <v>15831.000629067421</v>
      </c>
    </row>
    <row r="104" spans="7:22" x14ac:dyDescent="0.35">
      <c r="G104" s="59">
        <f t="shared" si="1"/>
        <v>0.5</v>
      </c>
      <c r="H104" s="64">
        <v>25</v>
      </c>
      <c r="I104" s="84">
        <f t="shared" si="14"/>
        <v>25</v>
      </c>
      <c r="J104" s="84">
        <v>50</v>
      </c>
      <c r="K104" s="60">
        <f t="shared" si="15"/>
        <v>191400</v>
      </c>
      <c r="L104" s="59">
        <f t="shared" si="11"/>
        <v>10.199999999999999</v>
      </c>
      <c r="M104" s="64">
        <f t="shared" si="12"/>
        <v>20.2</v>
      </c>
      <c r="N104" s="64" cm="1">
        <f t="array" ref="N104">drivePower($C$4,M104,$C$9,$C$10,$C$11)</f>
        <v>4.2826000000000004</v>
      </c>
      <c r="O104" s="86">
        <f t="shared" si="10"/>
        <v>12747.24</v>
      </c>
      <c r="P104" s="90">
        <f t="shared" si="4"/>
        <v>-1.5000000000000001E-4</v>
      </c>
      <c r="Q104" s="91">
        <f t="shared" si="5"/>
        <v>0.82280000000000009</v>
      </c>
      <c r="R104" s="98">
        <v>0.15</v>
      </c>
      <c r="S104" s="95">
        <f t="shared" si="16"/>
        <v>191400</v>
      </c>
      <c r="T104" s="92" cm="1">
        <f t="array" ref="T104">maxDepthToMinSOC($L$8,$L$9,$L$6,$L$7,$O104,$G$5,$G$6,drivePower($C$4,$M104,$G104,$C$10,$C$11),$I104,$G104,$G$4,$C$8)</f>
        <v>23209.650922268629</v>
      </c>
      <c r="U104" s="12" cm="1">
        <f t="array" ref="U104">maxDepthToMinSOC($L$8,$L$9,P104,Q104,$O104,$G$5,$G$6,drivePower($C$4,$M104,$G104,$C$10,$C$11),$I104,$G104,$G$4,$C$8)</f>
        <v>8546.1003395915031</v>
      </c>
      <c r="V104" s="93">
        <f t="shared" si="13"/>
        <v>15877.875630930066</v>
      </c>
    </row>
    <row r="105" spans="7:22" x14ac:dyDescent="0.35">
      <c r="G105" s="59">
        <f t="shared" si="1"/>
        <v>0.5</v>
      </c>
      <c r="H105" s="64">
        <v>25</v>
      </c>
      <c r="I105" s="84">
        <f t="shared" si="14"/>
        <v>25</v>
      </c>
      <c r="J105" s="84">
        <v>50</v>
      </c>
      <c r="K105" s="60">
        <f t="shared" si="15"/>
        <v>193600</v>
      </c>
      <c r="L105" s="59">
        <f t="shared" si="11"/>
        <v>10.32</v>
      </c>
      <c r="M105" s="64">
        <f t="shared" si="12"/>
        <v>20.32</v>
      </c>
      <c r="N105" s="64" cm="1">
        <f t="array" ref="N105">drivePower($C$4,M105,$C$9,$C$10,$C$11)</f>
        <v>4.2961600000000004</v>
      </c>
      <c r="O105" s="86">
        <f t="shared" si="10"/>
        <v>12893.76</v>
      </c>
      <c r="P105" s="90">
        <f t="shared" si="4"/>
        <v>-1.5000000000000001E-4</v>
      </c>
      <c r="Q105" s="91">
        <f t="shared" si="5"/>
        <v>0.82280000000000009</v>
      </c>
      <c r="R105" s="98">
        <v>0.15</v>
      </c>
      <c r="S105" s="95">
        <f t="shared" si="16"/>
        <v>193600</v>
      </c>
      <c r="T105" s="92" cm="1">
        <f t="array" ref="T105">maxDepthToMinSOC($L$8,$L$9,$L$6,$L$7,$O105,$G$5,$G$6,drivePower($C$4,$M105,$G105,$C$10,$C$11),$I105,$G105,$G$4,$C$8)</f>
        <v>23289.150925427675</v>
      </c>
      <c r="U105" s="12" cm="1">
        <f t="array" ref="U105">maxDepthToMinSOC($L$8,$L$9,P105,Q105,$O105,$G$5,$G$6,drivePower($C$4,$M105,$G105,$C$10,$C$11),$I105,$G105,$G$4,$C$8)</f>
        <v>8558.7003400921822</v>
      </c>
      <c r="V105" s="93">
        <f t="shared" si="13"/>
        <v>15923.925632759929</v>
      </c>
    </row>
    <row r="106" spans="7:22" x14ac:dyDescent="0.35">
      <c r="G106" s="59">
        <f t="shared" si="1"/>
        <v>0.5</v>
      </c>
      <c r="H106" s="64">
        <v>25</v>
      </c>
      <c r="I106" s="84">
        <f t="shared" si="14"/>
        <v>25</v>
      </c>
      <c r="J106" s="84">
        <v>50</v>
      </c>
      <c r="K106" s="60">
        <f t="shared" si="15"/>
        <v>195800</v>
      </c>
      <c r="L106" s="59">
        <f t="shared" si="11"/>
        <v>10.44</v>
      </c>
      <c r="M106" s="64">
        <f t="shared" si="12"/>
        <v>20.439999999999998</v>
      </c>
      <c r="N106" s="64" cm="1">
        <f t="array" ref="N106">drivePower($C$4,M106,$C$9,$C$10,$C$11)</f>
        <v>4.3097200000000004</v>
      </c>
      <c r="O106" s="86">
        <f t="shared" si="10"/>
        <v>13040.28</v>
      </c>
      <c r="P106" s="90">
        <f t="shared" si="4"/>
        <v>-1.5000000000000001E-4</v>
      </c>
      <c r="Q106" s="91">
        <f t="shared" si="5"/>
        <v>0.82280000000000009</v>
      </c>
      <c r="R106" s="98">
        <v>0.15</v>
      </c>
      <c r="S106" s="95">
        <f t="shared" si="16"/>
        <v>195800</v>
      </c>
      <c r="T106" s="92" cm="1">
        <f t="array" ref="T106">maxDepthToMinSOC($L$8,$L$9,$L$6,$L$7,$O106,$G$5,$G$6,drivePower($C$4,$M106,$G106,$C$10,$C$11),$I106,$G106,$G$4,$C$8)</f>
        <v>23367.300928533077</v>
      </c>
      <c r="U106" s="12" cm="1">
        <f t="array" ref="U106">maxDepthToMinSOC($L$8,$L$9,P106,Q106,$O106,$G$5,$G$6,drivePower($C$4,$M106,$G106,$C$10,$C$11),$I106,$G106,$G$4,$C$8)</f>
        <v>8571.1503405869007</v>
      </c>
      <c r="V106" s="93">
        <f t="shared" si="13"/>
        <v>15969.225634559989</v>
      </c>
    </row>
    <row r="107" spans="7:22" x14ac:dyDescent="0.35">
      <c r="G107" s="59">
        <f t="shared" si="1"/>
        <v>0.5</v>
      </c>
      <c r="H107" s="64">
        <v>25</v>
      </c>
      <c r="I107" s="84">
        <f t="shared" si="14"/>
        <v>25</v>
      </c>
      <c r="J107" s="84">
        <v>50</v>
      </c>
      <c r="K107" s="60">
        <f t="shared" si="15"/>
        <v>198000</v>
      </c>
      <c r="L107" s="59">
        <f t="shared" si="11"/>
        <v>10.56</v>
      </c>
      <c r="M107" s="64">
        <f t="shared" si="12"/>
        <v>20.560000000000002</v>
      </c>
      <c r="N107" s="64" cm="1">
        <f t="array" ref="N107">drivePower($C$4,M107,$C$9,$C$10,$C$11)</f>
        <v>4.3232800000000005</v>
      </c>
      <c r="O107" s="86">
        <f t="shared" si="10"/>
        <v>13186.8</v>
      </c>
      <c r="P107" s="90">
        <f t="shared" si="4"/>
        <v>-1.5000000000000001E-4</v>
      </c>
      <c r="Q107" s="91">
        <f t="shared" si="5"/>
        <v>0.82280000000000009</v>
      </c>
      <c r="R107" s="98">
        <v>0.15</v>
      </c>
      <c r="S107" s="95">
        <f t="shared" si="16"/>
        <v>198000</v>
      </c>
      <c r="T107" s="92" cm="1">
        <f t="array" ref="T107">maxDepthToMinSOC($L$8,$L$9,$L$6,$L$7,$O107,$G$5,$G$6,drivePower($C$4,$M107,$G107,$C$10,$C$11),$I107,$G107,$G$4,$C$8)</f>
        <v>23444.100931584835</v>
      </c>
      <c r="U107" s="12" cm="1">
        <f t="array" ref="U107">maxDepthToMinSOC($L$8,$L$9,P107,Q107,$O107,$G$5,$G$6,drivePower($C$4,$M107,$G107,$C$10,$C$11),$I107,$G107,$G$4,$C$8)</f>
        <v>8583.3003410696983</v>
      </c>
      <c r="V107" s="93">
        <f t="shared" si="13"/>
        <v>16013.700636327267</v>
      </c>
    </row>
    <row r="108" spans="7:22" x14ac:dyDescent="0.35">
      <c r="G108" s="59">
        <f t="shared" si="1"/>
        <v>0.5</v>
      </c>
      <c r="H108" s="64">
        <v>25</v>
      </c>
      <c r="I108" s="84">
        <f t="shared" si="14"/>
        <v>25</v>
      </c>
      <c r="J108" s="84">
        <v>50</v>
      </c>
      <c r="K108" s="60">
        <f t="shared" si="15"/>
        <v>200200</v>
      </c>
      <c r="L108" s="59">
        <f t="shared" si="11"/>
        <v>10.68</v>
      </c>
      <c r="M108" s="64">
        <f t="shared" si="12"/>
        <v>20.68</v>
      </c>
      <c r="N108" s="64" cm="1">
        <f t="array" ref="N108">drivePower($C$4,M108,$C$9,$C$10,$C$11)</f>
        <v>4.3368400000000005</v>
      </c>
      <c r="O108" s="86">
        <f t="shared" si="10"/>
        <v>13333.32</v>
      </c>
      <c r="P108" s="90">
        <f t="shared" si="4"/>
        <v>-1.5000000000000001E-4</v>
      </c>
      <c r="Q108" s="91">
        <f t="shared" si="5"/>
        <v>0.82280000000000009</v>
      </c>
      <c r="R108" s="98">
        <v>0.15</v>
      </c>
      <c r="S108" s="95">
        <f t="shared" si="16"/>
        <v>200200</v>
      </c>
      <c r="T108" s="92" cm="1">
        <f t="array" ref="T108">maxDepthToMinSOC($L$8,$L$9,$L$6,$L$7,$O108,$G$5,$G$6,drivePower($C$4,$M108,$G108,$C$10,$C$11),$I108,$G108,$G$4,$C$8)</f>
        <v>23519.85093459487</v>
      </c>
      <c r="U108" s="12" cm="1">
        <f t="array" ref="U108">maxDepthToMinSOC($L$8,$L$9,P108,Q108,$O108,$G$5,$G$6,drivePower($C$4,$M108,$G108,$C$10,$C$11),$I108,$G108,$G$4,$C$8)</f>
        <v>8595.3003415465355</v>
      </c>
      <c r="V108" s="93">
        <f t="shared" si="13"/>
        <v>16057.575638070703</v>
      </c>
    </row>
    <row r="109" spans="7:22" x14ac:dyDescent="0.35">
      <c r="G109" s="59">
        <f t="shared" si="1"/>
        <v>0.5</v>
      </c>
      <c r="H109" s="64">
        <v>25</v>
      </c>
      <c r="I109" s="84">
        <f t="shared" si="14"/>
        <v>25</v>
      </c>
      <c r="J109" s="84">
        <v>50</v>
      </c>
      <c r="K109" s="60">
        <f t="shared" si="15"/>
        <v>202400</v>
      </c>
      <c r="L109" s="59">
        <f t="shared" si="11"/>
        <v>10.8</v>
      </c>
      <c r="M109" s="64">
        <f t="shared" si="12"/>
        <v>20.8</v>
      </c>
      <c r="N109" s="64" cm="1">
        <f t="array" ref="N109">drivePower($C$4,M109,$C$9,$C$10,$C$11)</f>
        <v>4.3504000000000005</v>
      </c>
      <c r="O109" s="86">
        <f t="shared" si="10"/>
        <v>13479.84</v>
      </c>
      <c r="P109" s="90">
        <f t="shared" si="4"/>
        <v>-1.5000000000000001E-4</v>
      </c>
      <c r="Q109" s="91">
        <f t="shared" si="5"/>
        <v>0.82280000000000009</v>
      </c>
      <c r="R109" s="98">
        <v>0.15</v>
      </c>
      <c r="S109" s="95">
        <f t="shared" si="16"/>
        <v>202400</v>
      </c>
      <c r="T109" s="92" cm="1">
        <f t="array" ref="T109">maxDepthToMinSOC($L$8,$L$9,$L$6,$L$7,$O109,$G$5,$G$6,drivePower($C$4,$M109,$G109,$C$10,$C$11),$I109,$G109,$G$4,$C$8)</f>
        <v>23594.40093755722</v>
      </c>
      <c r="U109" s="12" cm="1">
        <f t="array" ref="U109">maxDepthToMinSOC($L$8,$L$9,P109,Q109,$O109,$G$5,$G$6,drivePower($C$4,$M109,$G109,$C$10,$C$11),$I109,$G109,$G$4,$C$8)</f>
        <v>8607.0003420114517</v>
      </c>
      <c r="V109" s="93">
        <f t="shared" si="13"/>
        <v>16100.700639784336</v>
      </c>
    </row>
    <row r="110" spans="7:22" x14ac:dyDescent="0.35">
      <c r="G110" s="59">
        <f t="shared" si="1"/>
        <v>0.5</v>
      </c>
      <c r="H110" s="64">
        <v>25</v>
      </c>
      <c r="I110" s="84">
        <f t="shared" si="14"/>
        <v>25</v>
      </c>
      <c r="J110" s="84">
        <v>50</v>
      </c>
      <c r="K110" s="60">
        <f t="shared" si="15"/>
        <v>204600</v>
      </c>
      <c r="L110" s="59">
        <f t="shared" si="11"/>
        <v>10.92</v>
      </c>
      <c r="M110" s="64">
        <f t="shared" si="12"/>
        <v>20.92</v>
      </c>
      <c r="N110" s="64" cm="1">
        <f t="array" ref="N110">drivePower($C$4,M110,$C$9,$C$10,$C$11)</f>
        <v>4.3639600000000005</v>
      </c>
      <c r="O110" s="86">
        <f t="shared" si="10"/>
        <v>13626.359999999999</v>
      </c>
      <c r="P110" s="90">
        <f t="shared" si="4"/>
        <v>-1.5000000000000001E-4</v>
      </c>
      <c r="Q110" s="91">
        <f t="shared" si="5"/>
        <v>0.82280000000000009</v>
      </c>
      <c r="R110" s="98">
        <v>0.15</v>
      </c>
      <c r="S110" s="95">
        <f t="shared" si="16"/>
        <v>204600</v>
      </c>
      <c r="T110" s="92" cm="1">
        <f t="array" ref="T110">maxDepthToMinSOC($L$8,$L$9,$L$6,$L$7,$O110,$G$5,$G$6,drivePower($C$4,$M110,$G110,$C$10,$C$11),$I110,$G110,$G$4,$C$8)</f>
        <v>23667.750940471888</v>
      </c>
      <c r="U110" s="12" cm="1">
        <f t="array" ref="U110">maxDepthToMinSOC($L$8,$L$9,P110,Q110,$O110,$G$5,$G$6,drivePower($C$4,$M110,$G110,$C$10,$C$11),$I110,$G110,$G$4,$C$8)</f>
        <v>8618.400342464447</v>
      </c>
      <c r="V110" s="93">
        <f t="shared" si="13"/>
        <v>16143.075641468167</v>
      </c>
    </row>
    <row r="111" spans="7:22" x14ac:dyDescent="0.35">
      <c r="G111" s="59">
        <f t="shared" si="1"/>
        <v>0.5</v>
      </c>
      <c r="H111" s="64">
        <v>25</v>
      </c>
      <c r="I111" s="84">
        <f t="shared" si="14"/>
        <v>25</v>
      </c>
      <c r="J111" s="84">
        <v>50</v>
      </c>
      <c r="K111" s="60">
        <f t="shared" si="15"/>
        <v>206800</v>
      </c>
      <c r="L111" s="59">
        <f t="shared" si="11"/>
        <v>11.04</v>
      </c>
      <c r="M111" s="64">
        <f t="shared" si="12"/>
        <v>21.04</v>
      </c>
      <c r="N111" s="64" cm="1">
        <f t="array" ref="N111">drivePower($C$4,M111,$C$9,$C$10,$C$11)</f>
        <v>4.3775200000000005</v>
      </c>
      <c r="O111" s="86">
        <f t="shared" si="10"/>
        <v>13772.880000000001</v>
      </c>
      <c r="P111" s="90">
        <f t="shared" si="4"/>
        <v>-1.5000000000000001E-4</v>
      </c>
      <c r="Q111" s="91">
        <f t="shared" si="5"/>
        <v>0.82280000000000009</v>
      </c>
      <c r="R111" s="98">
        <v>0.15</v>
      </c>
      <c r="S111" s="95">
        <f t="shared" si="16"/>
        <v>206800</v>
      </c>
      <c r="T111" s="92" cm="1">
        <f t="array" ref="T111">maxDepthToMinSOC($L$8,$L$9,$L$6,$L$7,$O111,$G$5,$G$6,drivePower($C$4,$M111,$G111,$C$10,$C$11),$I111,$G111,$G$4,$C$8)</f>
        <v>23739.900943338871</v>
      </c>
      <c r="U111" s="12" cm="1">
        <f t="array" ref="U111">maxDepthToMinSOC($L$8,$L$9,P111,Q111,$O111,$G$5,$G$6,drivePower($C$4,$M111,$G111,$C$10,$C$11),$I111,$G111,$G$4,$C$8)</f>
        <v>8629.6503429114819</v>
      </c>
      <c r="V111" s="93">
        <f t="shared" si="13"/>
        <v>16184.775643125176</v>
      </c>
    </row>
    <row r="112" spans="7:22" x14ac:dyDescent="0.35">
      <c r="G112" s="59">
        <f t="shared" si="1"/>
        <v>0.5</v>
      </c>
      <c r="H112" s="64">
        <v>25</v>
      </c>
      <c r="I112" s="84">
        <f t="shared" si="14"/>
        <v>25</v>
      </c>
      <c r="J112" s="84">
        <v>50</v>
      </c>
      <c r="K112" s="60">
        <f t="shared" si="15"/>
        <v>209000</v>
      </c>
      <c r="L112" s="59">
        <f t="shared" si="11"/>
        <v>11.16</v>
      </c>
      <c r="M112" s="64">
        <f t="shared" si="12"/>
        <v>21.16</v>
      </c>
      <c r="N112" s="64" cm="1">
        <f t="array" ref="N112">drivePower($C$4,M112,$C$9,$C$10,$C$11)</f>
        <v>4.3910800000000005</v>
      </c>
      <c r="O112" s="86">
        <f t="shared" si="10"/>
        <v>13919.4</v>
      </c>
      <c r="P112" s="90">
        <f t="shared" si="4"/>
        <v>-1.5000000000000001E-4</v>
      </c>
      <c r="Q112" s="91">
        <f t="shared" si="5"/>
        <v>0.82280000000000009</v>
      </c>
      <c r="R112" s="98">
        <v>0.15</v>
      </c>
      <c r="S112" s="95">
        <f t="shared" si="16"/>
        <v>209000</v>
      </c>
      <c r="T112" s="92" cm="1">
        <f t="array" ref="T112">maxDepthToMinSOC($L$8,$L$9,$L$6,$L$7,$O112,$G$5,$G$6,drivePower($C$4,$M112,$G112,$C$10,$C$11),$I112,$G112,$G$4,$C$8)</f>
        <v>23811.150946170092</v>
      </c>
      <c r="U112" s="12" cm="1">
        <f t="array" ref="U112">maxDepthToMinSOC($L$8,$L$9,P112,Q112,$O112,$G$5,$G$6,drivePower($C$4,$M112,$G112,$C$10,$C$11),$I112,$G112,$G$4,$C$8)</f>
        <v>8640.7503433525562</v>
      </c>
      <c r="V112" s="93">
        <f t="shared" si="13"/>
        <v>16225.950644761324</v>
      </c>
    </row>
    <row r="113" spans="7:22" x14ac:dyDescent="0.35">
      <c r="G113" s="59">
        <f t="shared" si="1"/>
        <v>0.5</v>
      </c>
      <c r="H113" s="64">
        <v>25</v>
      </c>
      <c r="I113" s="84">
        <f t="shared" si="14"/>
        <v>25</v>
      </c>
      <c r="J113" s="84">
        <v>50</v>
      </c>
      <c r="K113" s="60">
        <f t="shared" si="15"/>
        <v>211200</v>
      </c>
      <c r="L113" s="59">
        <f t="shared" si="11"/>
        <v>11.28</v>
      </c>
      <c r="M113" s="64">
        <f t="shared" si="12"/>
        <v>21.28</v>
      </c>
      <c r="N113" s="64" cm="1">
        <f t="array" ref="N113">drivePower($C$4,M113,$C$9,$C$10,$C$11)</f>
        <v>4.4046400000000006</v>
      </c>
      <c r="O113" s="86">
        <f t="shared" si="10"/>
        <v>14065.92</v>
      </c>
      <c r="P113" s="90">
        <f t="shared" si="4"/>
        <v>-1.5000000000000001E-4</v>
      </c>
      <c r="Q113" s="91">
        <f t="shared" si="5"/>
        <v>0.82280000000000009</v>
      </c>
      <c r="R113" s="98">
        <v>0.15</v>
      </c>
      <c r="S113" s="95">
        <f t="shared" si="16"/>
        <v>211200</v>
      </c>
      <c r="T113" s="92" cm="1">
        <f t="array" ref="T113">maxDepthToMinSOC($L$8,$L$9,$L$6,$L$7,$O113,$G$5,$G$6,drivePower($C$4,$M113,$G113,$C$10,$C$11),$I113,$G113,$G$4,$C$8)</f>
        <v>23881.200948953629</v>
      </c>
      <c r="U113" s="12" cm="1">
        <f t="array" ref="U113">maxDepthToMinSOC($L$8,$L$9,P113,Q113,$O113,$G$5,$G$6,drivePower($C$4,$M113,$G113,$C$10,$C$11),$I113,$G113,$G$4,$C$8)</f>
        <v>8651.5503437817097</v>
      </c>
      <c r="V113" s="93">
        <f t="shared" si="13"/>
        <v>16266.375646367669</v>
      </c>
    </row>
    <row r="114" spans="7:22" x14ac:dyDescent="0.35">
      <c r="G114" s="59">
        <f t="shared" si="1"/>
        <v>0.5</v>
      </c>
      <c r="H114" s="64">
        <v>25</v>
      </c>
      <c r="I114" s="84">
        <f t="shared" si="14"/>
        <v>25</v>
      </c>
      <c r="J114" s="84">
        <v>50</v>
      </c>
      <c r="K114" s="60">
        <f t="shared" si="15"/>
        <v>213400</v>
      </c>
      <c r="L114" s="59">
        <f t="shared" si="11"/>
        <v>11.4</v>
      </c>
      <c r="M114" s="64">
        <f t="shared" si="12"/>
        <v>21.4</v>
      </c>
      <c r="N114" s="64" cm="1">
        <f t="array" ref="N114">drivePower($C$4,M114,$C$9,$C$10,$C$11)</f>
        <v>4.4182000000000006</v>
      </c>
      <c r="O114" s="86">
        <f t="shared" si="10"/>
        <v>14212.44</v>
      </c>
      <c r="P114" s="90">
        <f t="shared" si="4"/>
        <v>-1.5000000000000001E-4</v>
      </c>
      <c r="Q114" s="91">
        <f t="shared" si="5"/>
        <v>0.82280000000000009</v>
      </c>
      <c r="R114" s="98">
        <v>0.15</v>
      </c>
      <c r="S114" s="95">
        <f t="shared" si="16"/>
        <v>213400</v>
      </c>
      <c r="T114" s="92" cm="1">
        <f t="array" ref="T114">maxDepthToMinSOC($L$8,$L$9,$L$6,$L$7,$O114,$G$5,$G$6,drivePower($C$4,$M114,$G114,$C$10,$C$11),$I114,$G114,$G$4,$C$8)</f>
        <v>23950.200951695442</v>
      </c>
      <c r="U114" s="12" cm="1">
        <f t="array" ref="U114">maxDepthToMinSOC($L$8,$L$9,P114,Q114,$O114,$G$5,$G$6,drivePower($C$4,$M114,$G114,$C$10,$C$11),$I114,$G114,$G$4,$C$8)</f>
        <v>8662.2003442049026</v>
      </c>
      <c r="V114" s="93">
        <f t="shared" si="13"/>
        <v>16306.200647950172</v>
      </c>
    </row>
    <row r="115" spans="7:22" x14ac:dyDescent="0.35">
      <c r="G115" s="59">
        <f t="shared" si="1"/>
        <v>0.5</v>
      </c>
      <c r="H115" s="64">
        <v>25</v>
      </c>
      <c r="I115" s="84">
        <f t="shared" si="14"/>
        <v>25</v>
      </c>
      <c r="J115" s="84">
        <v>50</v>
      </c>
      <c r="K115" s="60">
        <f t="shared" si="15"/>
        <v>215600</v>
      </c>
      <c r="L115" s="59">
        <f t="shared" si="11"/>
        <v>11.52</v>
      </c>
      <c r="M115" s="64">
        <f t="shared" si="12"/>
        <v>21.52</v>
      </c>
      <c r="N115" s="64" cm="1">
        <f t="array" ref="N115">drivePower($C$4,M115,$C$9,$C$10,$C$11)</f>
        <v>4.4317600000000006</v>
      </c>
      <c r="O115" s="86">
        <f t="shared" si="10"/>
        <v>14358.96</v>
      </c>
      <c r="P115" s="90">
        <f t="shared" si="4"/>
        <v>-1.5000000000000001E-4</v>
      </c>
      <c r="Q115" s="91">
        <f t="shared" si="5"/>
        <v>0.82280000000000009</v>
      </c>
      <c r="R115" s="98">
        <v>0.15</v>
      </c>
      <c r="S115" s="95">
        <f t="shared" si="16"/>
        <v>215600</v>
      </c>
      <c r="T115" s="92" cm="1">
        <f t="array" ref="T115">maxDepthToMinSOC($L$8,$L$9,$L$6,$L$7,$O115,$G$5,$G$6,drivePower($C$4,$M115,$G115,$C$10,$C$11),$I115,$G115,$G$4,$C$8)</f>
        <v>24018.150954395533</v>
      </c>
      <c r="U115" s="12" cm="1">
        <f t="array" ref="U115">maxDepthToMinSOC($L$8,$L$9,P115,Q115,$O115,$G$5,$G$6,drivePower($C$4,$M115,$G115,$C$10,$C$11),$I115,$G115,$G$4,$C$8)</f>
        <v>8672.7003446221352</v>
      </c>
      <c r="V115" s="93">
        <f t="shared" si="13"/>
        <v>16345.425649508834</v>
      </c>
    </row>
    <row r="116" spans="7:22" x14ac:dyDescent="0.35">
      <c r="G116" s="59">
        <f t="shared" si="1"/>
        <v>0.5</v>
      </c>
      <c r="H116" s="64">
        <v>25</v>
      </c>
      <c r="I116" s="84">
        <f t="shared" si="14"/>
        <v>25</v>
      </c>
      <c r="J116" s="84">
        <v>50</v>
      </c>
      <c r="K116" s="60">
        <f t="shared" si="15"/>
        <v>217800</v>
      </c>
      <c r="L116" s="59">
        <f t="shared" si="11"/>
        <v>11.64</v>
      </c>
      <c r="M116" s="64">
        <f t="shared" si="12"/>
        <v>21.64</v>
      </c>
      <c r="N116" s="64" cm="1">
        <f t="array" ref="N116">drivePower($C$4,M116,$C$9,$C$10,$C$11)</f>
        <v>4.4453200000000006</v>
      </c>
      <c r="O116" s="86">
        <f t="shared" si="10"/>
        <v>14505.480000000001</v>
      </c>
      <c r="P116" s="90">
        <f t="shared" si="4"/>
        <v>-1.5000000000000001E-4</v>
      </c>
      <c r="Q116" s="91">
        <f t="shared" si="5"/>
        <v>0.82280000000000009</v>
      </c>
      <c r="R116" s="98">
        <v>0.15</v>
      </c>
      <c r="S116" s="95">
        <f t="shared" si="16"/>
        <v>217800</v>
      </c>
      <c r="T116" s="92" cm="1">
        <f t="array" ref="T116">maxDepthToMinSOC($L$8,$L$9,$L$6,$L$7,$O116,$G$5,$G$6,drivePower($C$4,$M116,$G116,$C$10,$C$11),$I116,$G116,$G$4,$C$8)</f>
        <v>24085.0509570539</v>
      </c>
      <c r="U116" s="12" cm="1">
        <f t="array" ref="U116">maxDepthToMinSOC($L$8,$L$9,P116,Q116,$O116,$G$5,$G$6,drivePower($C$4,$M116,$G116,$C$10,$C$11),$I116,$G116,$G$4,$C$8)</f>
        <v>8683.0503450334072</v>
      </c>
      <c r="V116" s="93">
        <f t="shared" si="13"/>
        <v>16384.050651043653</v>
      </c>
    </row>
    <row r="117" spans="7:22" x14ac:dyDescent="0.35">
      <c r="G117" s="59">
        <f t="shared" si="1"/>
        <v>0.5</v>
      </c>
      <c r="H117" s="64">
        <v>25</v>
      </c>
      <c r="I117" s="84">
        <f t="shared" si="14"/>
        <v>25</v>
      </c>
      <c r="J117" s="84">
        <v>50</v>
      </c>
      <c r="K117" s="60">
        <f t="shared" si="15"/>
        <v>220000</v>
      </c>
      <c r="L117" s="59">
        <f t="shared" si="11"/>
        <v>11.76</v>
      </c>
      <c r="M117" s="64">
        <f t="shared" si="12"/>
        <v>21.759999999999998</v>
      </c>
      <c r="N117" s="64" cm="1">
        <f t="array" ref="N117">drivePower($C$4,M117,$C$9,$C$10,$C$11)</f>
        <v>4.4588799999999997</v>
      </c>
      <c r="O117" s="86">
        <f t="shared" si="10"/>
        <v>14652</v>
      </c>
      <c r="P117" s="90">
        <f t="shared" si="4"/>
        <v>-1.5000000000000001E-4</v>
      </c>
      <c r="Q117" s="91">
        <f t="shared" si="5"/>
        <v>0.82280000000000009</v>
      </c>
      <c r="R117" s="98">
        <v>0.15</v>
      </c>
      <c r="S117" s="95">
        <f t="shared" si="16"/>
        <v>220000</v>
      </c>
      <c r="T117" s="92" cm="1">
        <f t="array" ref="T117">maxDepthToMinSOC($L$8,$L$9,$L$6,$L$7,$O117,$G$5,$G$6,drivePower($C$4,$M117,$G117,$C$10,$C$11),$I117,$G117,$G$4,$C$8)</f>
        <v>24151.050959676504</v>
      </c>
      <c r="U117" s="12" cm="1">
        <f t="array" ref="U117">maxDepthToMinSOC($L$8,$L$9,P117,Q117,$O117,$G$5,$G$6,drivePower($C$4,$M117,$G117,$C$10,$C$11),$I117,$G117,$G$4,$C$8)</f>
        <v>8693.1003454327583</v>
      </c>
      <c r="V117" s="93">
        <f t="shared" si="13"/>
        <v>16422.075652554631</v>
      </c>
    </row>
    <row r="118" spans="7:22" x14ac:dyDescent="0.35">
      <c r="G118" s="59">
        <f t="shared" si="1"/>
        <v>0.5</v>
      </c>
      <c r="H118" s="64">
        <v>25</v>
      </c>
      <c r="I118" s="84">
        <f t="shared" si="14"/>
        <v>25</v>
      </c>
      <c r="J118" s="84">
        <v>50</v>
      </c>
      <c r="K118" s="60">
        <f t="shared" si="15"/>
        <v>222200</v>
      </c>
      <c r="L118" s="59">
        <f t="shared" si="11"/>
        <v>11.88</v>
      </c>
      <c r="M118" s="64">
        <f t="shared" si="12"/>
        <v>21.880000000000003</v>
      </c>
      <c r="N118" s="64" cm="1">
        <f t="array" ref="N118">drivePower($C$4,M118,$C$9,$C$10,$C$11)</f>
        <v>4.4724400000000006</v>
      </c>
      <c r="O118" s="86">
        <f t="shared" si="10"/>
        <v>14798.519999999999</v>
      </c>
      <c r="P118" s="90">
        <f t="shared" si="4"/>
        <v>-1.5000000000000001E-4</v>
      </c>
      <c r="Q118" s="91">
        <f t="shared" si="5"/>
        <v>0.82280000000000009</v>
      </c>
      <c r="R118" s="98">
        <v>0.15</v>
      </c>
      <c r="S118" s="95">
        <f t="shared" si="16"/>
        <v>222200</v>
      </c>
      <c r="T118" s="92" cm="1">
        <f t="array" ref="T118">maxDepthToMinSOC($L$8,$L$9,$L$6,$L$7,$O118,$G$5,$G$6,drivePower($C$4,$M118,$G118,$C$10,$C$11),$I118,$G118,$G$4,$C$8)</f>
        <v>24216.150962263346</v>
      </c>
      <c r="U118" s="12" cm="1">
        <f t="array" ref="U118">maxDepthToMinSOC($L$8,$L$9,P118,Q118,$O118,$G$5,$G$6,drivePower($C$4,$M118,$G118,$C$10,$C$11),$I118,$G118,$G$4,$C$8)</f>
        <v>8703.000345826149</v>
      </c>
      <c r="V118" s="93">
        <f t="shared" si="13"/>
        <v>16459.575654044747</v>
      </c>
    </row>
    <row r="119" spans="7:22" x14ac:dyDescent="0.35">
      <c r="G119" s="59">
        <f t="shared" si="1"/>
        <v>0.5</v>
      </c>
      <c r="H119" s="64">
        <v>25</v>
      </c>
      <c r="I119" s="84">
        <f t="shared" si="14"/>
        <v>25</v>
      </c>
      <c r="J119" s="84">
        <v>50</v>
      </c>
      <c r="K119" s="60">
        <f t="shared" si="15"/>
        <v>224400</v>
      </c>
      <c r="L119" s="59">
        <f t="shared" si="11"/>
        <v>12</v>
      </c>
      <c r="M119" s="64">
        <f t="shared" si="12"/>
        <v>22</v>
      </c>
      <c r="N119" s="64" cm="1">
        <f t="array" ref="N119">drivePower($C$4,M119,$C$9,$C$10,$C$11)</f>
        <v>4.4860000000000007</v>
      </c>
      <c r="O119" s="86">
        <f t="shared" si="10"/>
        <v>14945.04</v>
      </c>
      <c r="P119" s="90">
        <f t="shared" si="4"/>
        <v>-1.5000000000000001E-4</v>
      </c>
      <c r="Q119" s="91">
        <f t="shared" si="5"/>
        <v>0.82280000000000009</v>
      </c>
      <c r="R119" s="98">
        <v>0.15</v>
      </c>
      <c r="S119" s="95">
        <f t="shared" si="16"/>
        <v>224400</v>
      </c>
      <c r="T119" s="92" cm="1">
        <f t="array" ref="T119">maxDepthToMinSOC($L$8,$L$9,$L$6,$L$7,$O119,$G$5,$G$6,drivePower($C$4,$M119,$G119,$C$10,$C$11),$I119,$G119,$G$4,$C$8)</f>
        <v>24280.200964808464</v>
      </c>
      <c r="U119" s="12" cm="1">
        <f t="array" ref="U119">maxDepthToMinSOC($L$8,$L$9,P119,Q119,$O119,$G$5,$G$6,drivePower($C$4,$M119,$G119,$C$10,$C$11),$I119,$G119,$G$4,$C$8)</f>
        <v>8712.7503462135792</v>
      </c>
      <c r="V119" s="93">
        <f t="shared" si="13"/>
        <v>16496.475655511022</v>
      </c>
    </row>
    <row r="120" spans="7:22" x14ac:dyDescent="0.35">
      <c r="G120" s="59">
        <f t="shared" si="1"/>
        <v>0.5</v>
      </c>
      <c r="H120" s="64">
        <v>25</v>
      </c>
      <c r="I120" s="84">
        <f t="shared" si="14"/>
        <v>25</v>
      </c>
      <c r="J120" s="84">
        <v>50</v>
      </c>
      <c r="K120" s="60">
        <f t="shared" si="15"/>
        <v>226600</v>
      </c>
      <c r="L120" s="59">
        <f t="shared" si="11"/>
        <v>12.12</v>
      </c>
      <c r="M120" s="64">
        <f t="shared" si="12"/>
        <v>22.119999999999997</v>
      </c>
      <c r="N120" s="64" cm="1">
        <f t="array" ref="N120">drivePower($C$4,M120,$C$9,$C$10,$C$11)</f>
        <v>4.4995599999999998</v>
      </c>
      <c r="O120" s="86">
        <f t="shared" si="10"/>
        <v>15091.56</v>
      </c>
      <c r="P120" s="90">
        <f t="shared" si="4"/>
        <v>-1.5000000000000001E-4</v>
      </c>
      <c r="Q120" s="91">
        <f t="shared" si="5"/>
        <v>0.82280000000000009</v>
      </c>
      <c r="R120" s="98">
        <v>0.15</v>
      </c>
      <c r="S120" s="95">
        <f t="shared" si="16"/>
        <v>226600</v>
      </c>
      <c r="T120" s="92" cm="1">
        <f t="array" ref="T120">maxDepthToMinSOC($L$8,$L$9,$L$6,$L$7,$O120,$G$5,$G$6,drivePower($C$4,$M120,$G120,$C$10,$C$11),$I120,$G120,$G$4,$C$8)</f>
        <v>24343.35096731782</v>
      </c>
      <c r="U120" s="12" cm="1">
        <f t="array" ref="U120">maxDepthToMinSOC($L$8,$L$9,P120,Q120,$O120,$G$5,$G$6,drivePower($C$4,$M120,$G120,$C$10,$C$11),$I120,$G120,$G$4,$C$8)</f>
        <v>8722.3503465950489</v>
      </c>
      <c r="V120" s="93">
        <f t="shared" si="13"/>
        <v>16532.850656956434</v>
      </c>
    </row>
    <row r="121" spans="7:22" x14ac:dyDescent="0.35">
      <c r="G121" s="59">
        <f t="shared" si="1"/>
        <v>0.5</v>
      </c>
      <c r="H121" s="64">
        <v>25</v>
      </c>
      <c r="I121" s="84">
        <f t="shared" si="14"/>
        <v>25</v>
      </c>
      <c r="J121" s="84">
        <v>50</v>
      </c>
      <c r="K121" s="60">
        <f t="shared" si="15"/>
        <v>228800</v>
      </c>
      <c r="L121" s="59">
        <f t="shared" si="11"/>
        <v>12.24</v>
      </c>
      <c r="M121" s="64">
        <f t="shared" si="12"/>
        <v>22.240000000000002</v>
      </c>
      <c r="N121" s="64" cm="1">
        <f t="array" ref="N121">drivePower($C$4,M121,$C$9,$C$10,$C$11)</f>
        <v>4.5131200000000007</v>
      </c>
      <c r="O121" s="86">
        <f t="shared" si="10"/>
        <v>15238.08</v>
      </c>
      <c r="P121" s="90">
        <f t="shared" si="4"/>
        <v>-1.5000000000000001E-4</v>
      </c>
      <c r="Q121" s="91">
        <f t="shared" si="5"/>
        <v>0.82280000000000009</v>
      </c>
      <c r="R121" s="98">
        <v>0.15</v>
      </c>
      <c r="S121" s="95">
        <f t="shared" si="16"/>
        <v>228800</v>
      </c>
      <c r="T121" s="92" cm="1">
        <f t="array" ref="T121">maxDepthToMinSOC($L$8,$L$9,$L$6,$L$7,$O121,$G$5,$G$6,drivePower($C$4,$M121,$G121,$C$10,$C$11),$I121,$G121,$G$4,$C$8)</f>
        <v>24405.600969791412</v>
      </c>
      <c r="U121" s="12" cm="1">
        <f t="array" ref="U121">maxDepthToMinSOC($L$8,$L$9,P121,Q121,$O121,$G$5,$G$6,drivePower($C$4,$M121,$G121,$C$10,$C$11),$I121,$G121,$G$4,$C$8)</f>
        <v>8731.8003469705582</v>
      </c>
      <c r="V121" s="93">
        <f t="shared" si="13"/>
        <v>16568.700658380985</v>
      </c>
    </row>
    <row r="122" spans="7:22" x14ac:dyDescent="0.35">
      <c r="G122" s="59">
        <f t="shared" si="1"/>
        <v>0.5</v>
      </c>
      <c r="H122" s="64">
        <v>25</v>
      </c>
      <c r="I122" s="84">
        <f t="shared" si="14"/>
        <v>25</v>
      </c>
      <c r="J122" s="84">
        <v>50</v>
      </c>
      <c r="K122" s="60">
        <f t="shared" si="15"/>
        <v>231000</v>
      </c>
      <c r="L122" s="59">
        <f t="shared" si="11"/>
        <v>12.36</v>
      </c>
      <c r="M122" s="64">
        <f t="shared" si="12"/>
        <v>22.36</v>
      </c>
      <c r="N122" s="64" cm="1">
        <f t="array" ref="N122">drivePower($C$4,M122,$C$9,$C$10,$C$11)</f>
        <v>4.5266799999999998</v>
      </c>
      <c r="O122" s="86">
        <f t="shared" si="10"/>
        <v>15384.6</v>
      </c>
      <c r="P122" s="90">
        <f t="shared" si="4"/>
        <v>-1.5000000000000001E-4</v>
      </c>
      <c r="Q122" s="91">
        <f t="shared" si="5"/>
        <v>0.82280000000000009</v>
      </c>
      <c r="R122" s="98">
        <v>0.15</v>
      </c>
      <c r="S122" s="95">
        <f t="shared" si="16"/>
        <v>231000</v>
      </c>
      <c r="T122" s="92" cm="1">
        <f t="array" ref="T122">maxDepthToMinSOC($L$8,$L$9,$L$6,$L$7,$O122,$G$5,$G$6,drivePower($C$4,$M122,$G122,$C$10,$C$11),$I122,$G122,$G$4,$C$8)</f>
        <v>24467.100972235203</v>
      </c>
      <c r="U122" s="12" cm="1">
        <f t="array" ref="U122">maxDepthToMinSOC($L$8,$L$9,P122,Q122,$O122,$G$5,$G$6,drivePower($C$4,$M122,$G122,$C$10,$C$11),$I122,$G122,$G$4,$C$8)</f>
        <v>8740.9503473341465</v>
      </c>
      <c r="V122" s="93">
        <f t="shared" si="13"/>
        <v>16604.025659784675</v>
      </c>
    </row>
    <row r="123" spans="7:22" x14ac:dyDescent="0.35">
      <c r="G123" s="59">
        <f t="shared" si="1"/>
        <v>0.5</v>
      </c>
      <c r="H123" s="64">
        <v>25</v>
      </c>
      <c r="I123" s="84">
        <f t="shared" si="14"/>
        <v>25</v>
      </c>
      <c r="J123" s="84">
        <v>50</v>
      </c>
      <c r="K123" s="60">
        <f t="shared" si="15"/>
        <v>233200</v>
      </c>
      <c r="L123" s="59">
        <f t="shared" si="11"/>
        <v>12.48</v>
      </c>
      <c r="M123" s="64">
        <f t="shared" si="12"/>
        <v>22.48</v>
      </c>
      <c r="N123" s="64" cm="1">
        <f t="array" ref="N123">drivePower($C$4,M123,$C$9,$C$10,$C$11)</f>
        <v>4.5402400000000007</v>
      </c>
      <c r="O123" s="86">
        <f t="shared" si="10"/>
        <v>15531.119999999999</v>
      </c>
      <c r="P123" s="90">
        <f t="shared" si="4"/>
        <v>-1.5000000000000001E-4</v>
      </c>
      <c r="Q123" s="91">
        <f t="shared" si="5"/>
        <v>0.82280000000000009</v>
      </c>
      <c r="R123" s="98">
        <v>0.15</v>
      </c>
      <c r="S123" s="95">
        <f t="shared" si="16"/>
        <v>233200</v>
      </c>
      <c r="T123" s="92" cm="1">
        <f t="array" ref="T123">maxDepthToMinSOC($L$8,$L$9,$L$6,$L$7,$O123,$G$5,$G$6,drivePower($C$4,$M123,$G123,$C$10,$C$11),$I123,$G123,$G$4,$C$8)</f>
        <v>24527.55097463727</v>
      </c>
      <c r="U123" s="12" cm="1">
        <f t="array" ref="U123">maxDepthToMinSOC($L$8,$L$9,P123,Q123,$O123,$G$5,$G$6,drivePower($C$4,$M123,$G123,$C$10,$C$11),$I123,$G123,$G$4,$C$8)</f>
        <v>8750.1003476977348</v>
      </c>
      <c r="V123" s="93">
        <f t="shared" si="13"/>
        <v>16638.825661167502</v>
      </c>
    </row>
    <row r="124" spans="7:22" x14ac:dyDescent="0.35">
      <c r="G124" s="59">
        <f t="shared" si="1"/>
        <v>0.5</v>
      </c>
      <c r="H124" s="64">
        <v>25</v>
      </c>
      <c r="I124" s="84">
        <f t="shared" si="14"/>
        <v>25</v>
      </c>
      <c r="J124" s="84">
        <v>50</v>
      </c>
      <c r="K124" s="60">
        <f t="shared" si="15"/>
        <v>235400</v>
      </c>
      <c r="L124" s="59">
        <f t="shared" si="11"/>
        <v>12.6</v>
      </c>
      <c r="M124" s="64">
        <f t="shared" si="12"/>
        <v>22.6</v>
      </c>
      <c r="N124" s="64" cm="1">
        <f t="array" ref="N124">drivePower($C$4,M124,$C$9,$C$10,$C$11)</f>
        <v>4.5538000000000007</v>
      </c>
      <c r="O124" s="86">
        <f t="shared" si="10"/>
        <v>15677.640000000001</v>
      </c>
      <c r="P124" s="90">
        <f t="shared" si="4"/>
        <v>-1.5000000000000001E-4</v>
      </c>
      <c r="Q124" s="91">
        <f t="shared" si="5"/>
        <v>0.82280000000000009</v>
      </c>
      <c r="R124" s="98">
        <v>0.15</v>
      </c>
      <c r="S124" s="95">
        <f t="shared" si="16"/>
        <v>235400</v>
      </c>
      <c r="T124" s="92" cm="1">
        <f t="array" ref="T124">maxDepthToMinSOC($L$8,$L$9,$L$6,$L$7,$O124,$G$5,$G$6,drivePower($C$4,$M124,$G124,$C$10,$C$11),$I124,$G124,$G$4,$C$8)</f>
        <v>24587.250977009535</v>
      </c>
      <c r="U124" s="12" cm="1">
        <f t="array" ref="U124">maxDepthToMinSOC($L$8,$L$9,P124,Q124,$O124,$G$5,$G$6,drivePower($C$4,$M124,$G124,$C$10,$C$11),$I124,$G124,$G$4,$C$8)</f>
        <v>8758.9503480494022</v>
      </c>
      <c r="V124" s="93">
        <f t="shared" si="13"/>
        <v>16673.100662529469</v>
      </c>
    </row>
    <row r="125" spans="7:22" x14ac:dyDescent="0.35">
      <c r="G125" s="59">
        <f t="shared" si="1"/>
        <v>0.5</v>
      </c>
      <c r="H125" s="64">
        <v>25</v>
      </c>
      <c r="I125" s="84">
        <f t="shared" si="14"/>
        <v>25</v>
      </c>
      <c r="J125" s="84">
        <v>50</v>
      </c>
      <c r="K125" s="60">
        <f t="shared" si="15"/>
        <v>237600</v>
      </c>
      <c r="L125" s="59">
        <f t="shared" si="11"/>
        <v>12.72</v>
      </c>
      <c r="M125" s="64">
        <f t="shared" si="12"/>
        <v>22.72</v>
      </c>
      <c r="N125" s="64" cm="1">
        <f t="array" ref="N125">drivePower($C$4,M125,$C$9,$C$10,$C$11)</f>
        <v>4.5673599999999999</v>
      </c>
      <c r="O125" s="86">
        <f t="shared" si="10"/>
        <v>15824.16</v>
      </c>
      <c r="P125" s="90">
        <f t="shared" si="4"/>
        <v>-1.5000000000000001E-4</v>
      </c>
      <c r="Q125" s="91">
        <f t="shared" si="5"/>
        <v>0.82280000000000009</v>
      </c>
      <c r="R125" s="98">
        <v>0.15</v>
      </c>
      <c r="S125" s="95">
        <f t="shared" si="16"/>
        <v>237600</v>
      </c>
      <c r="T125" s="92" cm="1">
        <f t="array" ref="T125">maxDepthToMinSOC($L$8,$L$9,$L$6,$L$7,$O125,$G$5,$G$6,drivePower($C$4,$M125,$G125,$C$10,$C$11),$I125,$G125,$G$4,$C$8)</f>
        <v>24646.050979346037</v>
      </c>
      <c r="U125" s="12" cm="1">
        <f t="array" ref="U125">maxDepthToMinSOC($L$8,$L$9,P125,Q125,$O125,$G$5,$G$6,drivePower($C$4,$M125,$G125,$C$10,$C$11),$I125,$G125,$G$4,$C$8)</f>
        <v>8767.8003484010696</v>
      </c>
      <c r="V125" s="93">
        <f t="shared" si="13"/>
        <v>16706.925663873553</v>
      </c>
    </row>
    <row r="126" spans="7:22" x14ac:dyDescent="0.35">
      <c r="G126" s="59">
        <f t="shared" si="1"/>
        <v>0.5</v>
      </c>
      <c r="H126" s="64">
        <v>25</v>
      </c>
      <c r="I126" s="84">
        <f t="shared" si="14"/>
        <v>25</v>
      </c>
      <c r="J126" s="84">
        <v>50</v>
      </c>
      <c r="K126" s="60">
        <f t="shared" si="15"/>
        <v>239800</v>
      </c>
      <c r="L126" s="59">
        <f t="shared" si="11"/>
        <v>12.84</v>
      </c>
      <c r="M126" s="64">
        <f t="shared" si="12"/>
        <v>22.84</v>
      </c>
      <c r="N126" s="64" cm="1">
        <f t="array" ref="N126">drivePower($C$4,M126,$C$9,$C$10,$C$11)</f>
        <v>4.5809199999999999</v>
      </c>
      <c r="O126" s="86">
        <f t="shared" si="10"/>
        <v>15970.68</v>
      </c>
      <c r="P126" s="90">
        <f t="shared" si="4"/>
        <v>-1.5000000000000001E-4</v>
      </c>
      <c r="Q126" s="91">
        <f t="shared" si="5"/>
        <v>0.82280000000000009</v>
      </c>
      <c r="R126" s="98">
        <v>0.15</v>
      </c>
      <c r="S126" s="95">
        <f t="shared" si="16"/>
        <v>239800</v>
      </c>
      <c r="T126" s="92" cm="1">
        <f t="array" ref="T126">maxDepthToMinSOC($L$8,$L$9,$L$6,$L$7,$O126,$G$5,$G$6,drivePower($C$4,$M126,$G126,$C$10,$C$11),$I126,$G126,$G$4,$C$8)</f>
        <v>24704.100981652737</v>
      </c>
      <c r="U126" s="12" cm="1">
        <f t="array" ref="U126">maxDepthToMinSOC($L$8,$L$9,P126,Q126,$O126,$G$5,$G$6,drivePower($C$4,$M126,$G126,$C$10,$C$11),$I126,$G126,$G$4,$C$8)</f>
        <v>8776.5003487467766</v>
      </c>
      <c r="V126" s="93">
        <f t="shared" si="13"/>
        <v>16740.300665199757</v>
      </c>
    </row>
    <row r="127" spans="7:22" x14ac:dyDescent="0.35">
      <c r="G127" s="59">
        <f t="shared" si="1"/>
        <v>0.5</v>
      </c>
      <c r="H127" s="64">
        <v>25</v>
      </c>
      <c r="I127" s="84">
        <f t="shared" si="14"/>
        <v>25</v>
      </c>
      <c r="J127" s="84">
        <v>50</v>
      </c>
      <c r="K127" s="60">
        <f t="shared" si="15"/>
        <v>242000</v>
      </c>
      <c r="L127" s="59">
        <f t="shared" si="11"/>
        <v>12.96</v>
      </c>
      <c r="M127" s="64">
        <f t="shared" si="12"/>
        <v>22.96</v>
      </c>
      <c r="N127" s="64" cm="1">
        <f t="array" ref="N127">drivePower($C$4,M127,$C$9,$C$10,$C$11)</f>
        <v>4.5944800000000008</v>
      </c>
      <c r="O127" s="86">
        <f t="shared" si="10"/>
        <v>16117.2</v>
      </c>
      <c r="P127" s="90">
        <f t="shared" si="4"/>
        <v>-1.5000000000000001E-4</v>
      </c>
      <c r="Q127" s="91">
        <f t="shared" si="5"/>
        <v>0.82280000000000009</v>
      </c>
      <c r="R127" s="98">
        <v>0.15</v>
      </c>
      <c r="S127" s="95">
        <f t="shared" si="16"/>
        <v>242000</v>
      </c>
      <c r="T127" s="92" cm="1">
        <f t="array" ref="T127">maxDepthToMinSOC($L$8,$L$9,$L$6,$L$7,$O127,$G$5,$G$6,drivePower($C$4,$M127,$G127,$C$10,$C$11),$I127,$G127,$G$4,$C$8)</f>
        <v>24761.400983929634</v>
      </c>
      <c r="U127" s="12" cm="1">
        <f t="array" ref="U127">maxDepthToMinSOC($L$8,$L$9,P127,Q127,$O127,$G$5,$G$6,drivePower($C$4,$M127,$G127,$C$10,$C$11),$I127,$G127,$G$4,$C$8)</f>
        <v>8784.9003490805626</v>
      </c>
      <c r="V127" s="93">
        <f t="shared" si="13"/>
        <v>16773.150666505098</v>
      </c>
    </row>
    <row r="128" spans="7:22" x14ac:dyDescent="0.35">
      <c r="G128" s="59">
        <f t="shared" si="1"/>
        <v>0.5</v>
      </c>
      <c r="H128" s="64">
        <v>25</v>
      </c>
      <c r="I128" s="84">
        <f t="shared" si="14"/>
        <v>25</v>
      </c>
      <c r="J128" s="84">
        <v>50</v>
      </c>
      <c r="K128" s="60">
        <f t="shared" si="15"/>
        <v>244200</v>
      </c>
      <c r="L128" s="59">
        <f t="shared" si="11"/>
        <v>13.08</v>
      </c>
      <c r="M128" s="64">
        <f t="shared" si="12"/>
        <v>23.08</v>
      </c>
      <c r="N128" s="64" cm="1">
        <f t="array" ref="N128">drivePower($C$4,M128,$C$9,$C$10,$C$11)</f>
        <v>4.6080399999999999</v>
      </c>
      <c r="O128" s="86">
        <f t="shared" si="10"/>
        <v>16263.72</v>
      </c>
      <c r="P128" s="90">
        <f t="shared" si="4"/>
        <v>-1.5000000000000001E-4</v>
      </c>
      <c r="Q128" s="91">
        <f t="shared" si="5"/>
        <v>0.82280000000000009</v>
      </c>
      <c r="R128" s="98">
        <v>0.15</v>
      </c>
      <c r="S128" s="95">
        <f t="shared" si="16"/>
        <v>244200</v>
      </c>
      <c r="T128" s="92" cm="1">
        <f t="array" ref="T128">maxDepthToMinSOC($L$8,$L$9,$L$6,$L$7,$O128,$G$5,$G$6,drivePower($C$4,$M128,$G128,$C$10,$C$11),$I128,$G128,$G$4,$C$8)</f>
        <v>24817.800986170769</v>
      </c>
      <c r="U128" s="12" cm="1">
        <f t="array" ref="U128">maxDepthToMinSOC($L$8,$L$9,P128,Q128,$O128,$G$5,$G$6,drivePower($C$4,$M128,$G128,$C$10,$C$11),$I128,$G128,$G$4,$C$8)</f>
        <v>8793.3003494143486</v>
      </c>
      <c r="V128" s="93">
        <f t="shared" si="13"/>
        <v>16805.550667792559</v>
      </c>
    </row>
    <row r="129" spans="7:22" x14ac:dyDescent="0.35">
      <c r="G129" s="59">
        <f t="shared" si="1"/>
        <v>0.5</v>
      </c>
      <c r="H129" s="64">
        <v>25</v>
      </c>
      <c r="I129" s="84">
        <f t="shared" si="14"/>
        <v>25</v>
      </c>
      <c r="J129" s="84">
        <v>50</v>
      </c>
      <c r="K129" s="60">
        <f t="shared" si="15"/>
        <v>246400</v>
      </c>
      <c r="L129" s="59">
        <f t="shared" si="11"/>
        <v>13.2</v>
      </c>
      <c r="M129" s="64">
        <f t="shared" si="12"/>
        <v>23.2</v>
      </c>
      <c r="N129" s="64" cm="1">
        <f t="array" ref="N129">drivePower($C$4,M129,$C$9,$C$10,$C$11)</f>
        <v>4.6215999999999999</v>
      </c>
      <c r="O129" s="86">
        <f t="shared" si="10"/>
        <v>16410.239999999998</v>
      </c>
      <c r="P129" s="90">
        <f t="shared" si="4"/>
        <v>-1.5000000000000001E-4</v>
      </c>
      <c r="Q129" s="91">
        <f t="shared" si="5"/>
        <v>0.82280000000000009</v>
      </c>
      <c r="R129" s="98">
        <v>0.15</v>
      </c>
      <c r="S129" s="95">
        <f t="shared" si="16"/>
        <v>246400</v>
      </c>
      <c r="T129" s="92" cm="1">
        <f t="array" ref="T129">maxDepthToMinSOC($L$8,$L$9,$L$6,$L$7,$O129,$G$5,$G$6,drivePower($C$4,$M129,$G129,$C$10,$C$11),$I129,$G129,$G$4,$C$8)</f>
        <v>24873.600988388062</v>
      </c>
      <c r="U129" s="12" cm="1">
        <f t="array" ref="U129">maxDepthToMinSOC($L$8,$L$9,P129,Q129,$O129,$G$5,$G$6,drivePower($C$4,$M129,$G129,$C$10,$C$11),$I129,$G129,$G$4,$C$8)</f>
        <v>8801.5503497421741</v>
      </c>
      <c r="V129" s="93">
        <f t="shared" si="13"/>
        <v>16837.575669065118</v>
      </c>
    </row>
    <row r="130" spans="7:22" x14ac:dyDescent="0.35">
      <c r="G130" s="59">
        <f t="shared" si="1"/>
        <v>0.5</v>
      </c>
      <c r="H130" s="64">
        <v>25</v>
      </c>
      <c r="I130" s="84">
        <f t="shared" si="14"/>
        <v>25</v>
      </c>
      <c r="J130" s="84">
        <v>50</v>
      </c>
      <c r="K130" s="60">
        <f t="shared" si="15"/>
        <v>248600</v>
      </c>
      <c r="L130" s="59">
        <f t="shared" si="11"/>
        <v>13.32</v>
      </c>
      <c r="M130" s="64">
        <f t="shared" si="12"/>
        <v>23.32</v>
      </c>
      <c r="N130" s="64" cm="1">
        <f t="array" ref="N130">drivePower($C$4,M130,$C$9,$C$10,$C$11)</f>
        <v>4.6351599999999999</v>
      </c>
      <c r="O130" s="86">
        <f t="shared" si="10"/>
        <v>16556.760000000002</v>
      </c>
      <c r="P130" s="90">
        <f t="shared" si="4"/>
        <v>-1.5000000000000001E-4</v>
      </c>
      <c r="Q130" s="91">
        <f t="shared" si="5"/>
        <v>0.82280000000000009</v>
      </c>
      <c r="R130" s="98">
        <v>0.15</v>
      </c>
      <c r="S130" s="95">
        <f t="shared" si="16"/>
        <v>248600</v>
      </c>
      <c r="T130" s="92" cm="1">
        <f t="array" ref="T130">maxDepthToMinSOC($L$8,$L$9,$L$6,$L$7,$O130,$G$5,$G$6,drivePower($C$4,$M130,$G130,$C$10,$C$11),$I130,$G130,$G$4,$C$8)</f>
        <v>24928.500990569592</v>
      </c>
      <c r="U130" s="12" cm="1">
        <f t="array" ref="U130">maxDepthToMinSOC($L$8,$L$9,P130,Q130,$O130,$G$5,$G$6,drivePower($C$4,$M130,$G130,$C$10,$C$11),$I130,$G130,$G$4,$C$8)</f>
        <v>8809.6503500640392</v>
      </c>
      <c r="V130" s="93">
        <f t="shared" si="13"/>
        <v>16869.075670316815</v>
      </c>
    </row>
    <row r="131" spans="7:22" x14ac:dyDescent="0.35">
      <c r="G131" s="59">
        <f t="shared" si="1"/>
        <v>0.5</v>
      </c>
      <c r="H131" s="64">
        <v>25</v>
      </c>
      <c r="I131" s="84">
        <f t="shared" si="14"/>
        <v>25</v>
      </c>
      <c r="J131" s="84">
        <v>50</v>
      </c>
      <c r="K131" s="60">
        <f t="shared" si="15"/>
        <v>250800</v>
      </c>
      <c r="L131" s="59">
        <f t="shared" si="11"/>
        <v>13.44</v>
      </c>
      <c r="M131" s="64">
        <f t="shared" si="12"/>
        <v>23.439999999999998</v>
      </c>
      <c r="N131" s="64" cm="1">
        <f t="array" ref="N131">drivePower($C$4,M131,$C$9,$C$10,$C$11)</f>
        <v>4.64872</v>
      </c>
      <c r="O131" s="86">
        <f t="shared" si="10"/>
        <v>16703.28</v>
      </c>
      <c r="P131" s="90">
        <f t="shared" si="4"/>
        <v>-1.5000000000000001E-4</v>
      </c>
      <c r="Q131" s="91">
        <f t="shared" si="5"/>
        <v>0.82280000000000009</v>
      </c>
      <c r="R131" s="98">
        <v>0.15</v>
      </c>
      <c r="S131" s="95">
        <f t="shared" si="16"/>
        <v>250800</v>
      </c>
      <c r="T131" s="92" cm="1">
        <f t="array" ref="T131">maxDepthToMinSOC($L$8,$L$9,$L$6,$L$7,$O131,$G$5,$G$6,drivePower($C$4,$M131,$G131,$C$10,$C$11),$I131,$G131,$G$4,$C$8)</f>
        <v>24982.650992721319</v>
      </c>
      <c r="U131" s="12" cm="1">
        <f t="array" ref="U131">maxDepthToMinSOC($L$8,$L$9,P131,Q131,$O131,$G$5,$G$6,drivePower($C$4,$M131,$G131,$C$10,$C$11),$I131,$G131,$G$4,$C$8)</f>
        <v>8817.6003503799438</v>
      </c>
      <c r="V131" s="93">
        <f t="shared" si="13"/>
        <v>16900.125671550632</v>
      </c>
    </row>
    <row r="132" spans="7:22" x14ac:dyDescent="0.35">
      <c r="G132" s="59">
        <f t="shared" si="1"/>
        <v>0.5</v>
      </c>
      <c r="H132" s="64">
        <v>25</v>
      </c>
      <c r="I132" s="84">
        <f t="shared" si="14"/>
        <v>25</v>
      </c>
      <c r="J132" s="84">
        <v>50</v>
      </c>
      <c r="K132" s="60">
        <f t="shared" si="15"/>
        <v>253000</v>
      </c>
      <c r="L132" s="59">
        <f t="shared" si="11"/>
        <v>13.56</v>
      </c>
      <c r="M132" s="64">
        <f t="shared" si="12"/>
        <v>23.560000000000002</v>
      </c>
      <c r="N132" s="64" cm="1">
        <f t="array" ref="N132">drivePower($C$4,M132,$C$9,$C$10,$C$11)</f>
        <v>4.6622800000000009</v>
      </c>
      <c r="O132" s="86">
        <f t="shared" si="10"/>
        <v>16849.8</v>
      </c>
      <c r="P132" s="90">
        <f t="shared" si="4"/>
        <v>-1.5000000000000001E-4</v>
      </c>
      <c r="Q132" s="91">
        <f t="shared" si="5"/>
        <v>0.82280000000000009</v>
      </c>
      <c r="R132" s="98">
        <v>0.15</v>
      </c>
      <c r="S132" s="95">
        <f t="shared" si="16"/>
        <v>253000</v>
      </c>
      <c r="T132" s="92" cm="1">
        <f t="array" ref="T132">maxDepthToMinSOC($L$8,$L$9,$L$6,$L$7,$O132,$G$5,$G$6,drivePower($C$4,$M132,$G132,$C$10,$C$11),$I132,$G132,$G$4,$C$8)</f>
        <v>25036.200994849205</v>
      </c>
      <c r="U132" s="12" cm="1">
        <f t="array" ref="U132">maxDepthToMinSOC($L$8,$L$9,P132,Q132,$O132,$G$5,$G$6,drivePower($C$4,$M132,$G132,$C$10,$C$11),$I132,$G132,$G$4,$C$8)</f>
        <v>8825.400350689888</v>
      </c>
      <c r="V132" s="93">
        <f t="shared" si="13"/>
        <v>16930.800672769547</v>
      </c>
    </row>
    <row r="133" spans="7:22" x14ac:dyDescent="0.35">
      <c r="G133" s="59">
        <f t="shared" si="1"/>
        <v>0.5</v>
      </c>
      <c r="H133" s="64">
        <v>25</v>
      </c>
      <c r="I133" s="84">
        <f t="shared" si="14"/>
        <v>25</v>
      </c>
      <c r="J133" s="84">
        <v>50</v>
      </c>
      <c r="K133" s="60">
        <f t="shared" si="15"/>
        <v>255200</v>
      </c>
      <c r="L133" s="59">
        <f t="shared" si="11"/>
        <v>13.68</v>
      </c>
      <c r="M133" s="64">
        <f t="shared" si="12"/>
        <v>23.68</v>
      </c>
      <c r="N133" s="64" cm="1">
        <f t="array" ref="N133">drivePower($C$4,M133,$C$9,$C$10,$C$11)</f>
        <v>4.67584</v>
      </c>
      <c r="O133" s="86">
        <f t="shared" si="10"/>
        <v>16996.32</v>
      </c>
      <c r="P133" s="90">
        <f t="shared" si="4"/>
        <v>-1.5000000000000001E-4</v>
      </c>
      <c r="Q133" s="91">
        <f t="shared" si="5"/>
        <v>0.82280000000000009</v>
      </c>
      <c r="R133" s="98">
        <v>0.15</v>
      </c>
      <c r="S133" s="95">
        <f t="shared" si="16"/>
        <v>255200</v>
      </c>
      <c r="T133" s="92" cm="1">
        <f t="array" ref="T133">maxDepthToMinSOC($L$8,$L$9,$L$6,$L$7,$O133,$G$5,$G$6,drivePower($C$4,$M133,$G133,$C$10,$C$11),$I133,$G133,$G$4,$C$8)</f>
        <v>25089.000996947289</v>
      </c>
      <c r="U133" s="12" cm="1">
        <f t="array" ref="U133">maxDepthToMinSOC($L$8,$L$9,P133,Q133,$O133,$G$5,$G$6,drivePower($C$4,$M133,$G133,$C$10,$C$11),$I133,$G133,$G$4,$C$8)</f>
        <v>8833.2003509998322</v>
      </c>
      <c r="V133" s="93">
        <f t="shared" si="13"/>
        <v>16961.10067397356</v>
      </c>
    </row>
    <row r="134" spans="7:22" x14ac:dyDescent="0.35">
      <c r="G134" s="59">
        <f t="shared" si="1"/>
        <v>0.5</v>
      </c>
      <c r="H134" s="64">
        <v>25</v>
      </c>
      <c r="I134" s="84">
        <f t="shared" si="14"/>
        <v>25</v>
      </c>
      <c r="J134" s="84">
        <v>50</v>
      </c>
      <c r="K134" s="60">
        <f t="shared" si="15"/>
        <v>257400</v>
      </c>
      <c r="L134" s="59">
        <f t="shared" si="11"/>
        <v>13.8</v>
      </c>
      <c r="M134" s="64">
        <f t="shared" si="12"/>
        <v>23.8</v>
      </c>
      <c r="N134" s="64" cm="1">
        <f t="array" ref="N134">drivePower($C$4,M134,$C$9,$C$10,$C$11)</f>
        <v>4.6894</v>
      </c>
      <c r="O134" s="86">
        <f t="shared" si="10"/>
        <v>17142.84</v>
      </c>
      <c r="P134" s="90">
        <f t="shared" si="4"/>
        <v>-1.5000000000000001E-4</v>
      </c>
      <c r="Q134" s="91">
        <f t="shared" si="5"/>
        <v>0.82280000000000009</v>
      </c>
      <c r="R134" s="98">
        <v>0.15</v>
      </c>
      <c r="S134" s="95">
        <f t="shared" si="16"/>
        <v>257400</v>
      </c>
      <c r="T134" s="92" cm="1">
        <f t="array" ref="T134">maxDepthToMinSOC($L$8,$L$9,$L$6,$L$7,$O134,$G$5,$G$6,drivePower($C$4,$M134,$G134,$C$10,$C$11),$I134,$G134,$G$4,$C$8)</f>
        <v>25141.20099902153</v>
      </c>
      <c r="U134" s="12" cm="1">
        <f t="array" ref="U134">maxDepthToMinSOC($L$8,$L$9,P134,Q134,$O134,$G$5,$G$6,drivePower($C$4,$M134,$G134,$C$10,$C$11),$I134,$G134,$G$4,$C$8)</f>
        <v>8840.7003512978554</v>
      </c>
      <c r="V134" s="93">
        <f t="shared" si="13"/>
        <v>16990.950675159693</v>
      </c>
    </row>
    <row r="135" spans="7:22" x14ac:dyDescent="0.35">
      <c r="G135" s="59">
        <f t="shared" si="1"/>
        <v>0.5</v>
      </c>
      <c r="H135" s="64">
        <v>25</v>
      </c>
      <c r="I135" s="84">
        <f t="shared" si="14"/>
        <v>25</v>
      </c>
      <c r="J135" s="84">
        <v>50</v>
      </c>
      <c r="K135" s="60">
        <f t="shared" si="15"/>
        <v>259600</v>
      </c>
      <c r="L135" s="59">
        <f t="shared" si="11"/>
        <v>13.92</v>
      </c>
      <c r="M135" s="64">
        <f t="shared" si="12"/>
        <v>23.92</v>
      </c>
      <c r="N135" s="64" cm="1">
        <f t="array" ref="N135">drivePower($C$4,M135,$C$9,$C$10,$C$11)</f>
        <v>4.7029600000000009</v>
      </c>
      <c r="O135" s="86">
        <f t="shared" si="10"/>
        <v>17289.36</v>
      </c>
      <c r="P135" s="90">
        <f t="shared" si="4"/>
        <v>-1.5000000000000001E-4</v>
      </c>
      <c r="Q135" s="91">
        <f t="shared" si="5"/>
        <v>0.82280000000000009</v>
      </c>
      <c r="R135" s="98">
        <v>0.15</v>
      </c>
      <c r="S135" s="95">
        <f t="shared" si="16"/>
        <v>259600</v>
      </c>
      <c r="T135" s="92" cm="1">
        <f t="array" ref="T135">maxDepthToMinSOC($L$8,$L$9,$L$6,$L$7,$O135,$G$5,$G$6,drivePower($C$4,$M135,$G135,$C$10,$C$11),$I135,$G135,$G$4,$C$8)</f>
        <v>25192.501001060009</v>
      </c>
      <c r="U135" s="12" cm="1">
        <f t="array" ref="U135">maxDepthToMinSOC($L$8,$L$9,P135,Q135,$O135,$G$5,$G$6,drivePower($C$4,$M135,$G135,$C$10,$C$11),$I135,$G135,$G$4,$C$8)</f>
        <v>8848.2003515958786</v>
      </c>
      <c r="V135" s="93">
        <f t="shared" si="13"/>
        <v>17020.350676327944</v>
      </c>
    </row>
    <row r="136" spans="7:22" x14ac:dyDescent="0.35">
      <c r="G136" s="59">
        <f t="shared" si="1"/>
        <v>0.5</v>
      </c>
      <c r="H136" s="64">
        <v>25</v>
      </c>
      <c r="I136" s="84">
        <f t="shared" si="14"/>
        <v>25</v>
      </c>
      <c r="J136" s="84">
        <v>50</v>
      </c>
      <c r="K136" s="60">
        <f t="shared" si="15"/>
        <v>261800</v>
      </c>
      <c r="L136" s="59">
        <f t="shared" si="11"/>
        <v>14.04</v>
      </c>
      <c r="M136" s="64">
        <f t="shared" si="12"/>
        <v>24.04</v>
      </c>
      <c r="N136" s="64" cm="1">
        <f t="array" ref="N136">drivePower($C$4,M136,$C$9,$C$10,$C$11)</f>
        <v>4.71652</v>
      </c>
      <c r="O136" s="86">
        <f t="shared" si="10"/>
        <v>17435.88</v>
      </c>
      <c r="P136" s="90">
        <f t="shared" si="4"/>
        <v>-1.5000000000000001E-4</v>
      </c>
      <c r="Q136" s="91">
        <f t="shared" si="5"/>
        <v>0.82280000000000009</v>
      </c>
      <c r="R136" s="98">
        <v>0.15</v>
      </c>
      <c r="S136" s="95">
        <f t="shared" si="16"/>
        <v>261800</v>
      </c>
      <c r="T136" s="92" cm="1">
        <f t="array" ref="T136">maxDepthToMinSOC($L$8,$L$9,$L$6,$L$7,$O136,$G$5,$G$6,drivePower($C$4,$M136,$G136,$C$10,$C$11),$I136,$G136,$G$4,$C$8)</f>
        <v>25243.351003080606</v>
      </c>
      <c r="U136" s="12" cm="1">
        <f t="array" ref="U136">maxDepthToMinSOC($L$8,$L$9,P136,Q136,$O136,$G$5,$G$6,drivePower($C$4,$M136,$G136,$C$10,$C$11),$I136,$G136,$G$4,$C$8)</f>
        <v>8855.5503518879414</v>
      </c>
      <c r="V136" s="93">
        <f t="shared" si="13"/>
        <v>17049.450677484274</v>
      </c>
    </row>
    <row r="137" spans="7:22" x14ac:dyDescent="0.35">
      <c r="G137" s="59">
        <f t="shared" si="1"/>
        <v>0.5</v>
      </c>
      <c r="H137" s="64">
        <v>25</v>
      </c>
      <c r="I137" s="84">
        <f t="shared" si="14"/>
        <v>25</v>
      </c>
      <c r="J137" s="84">
        <v>50</v>
      </c>
      <c r="K137" s="60">
        <f t="shared" si="15"/>
        <v>264000</v>
      </c>
      <c r="L137" s="59">
        <f t="shared" si="11"/>
        <v>14.16</v>
      </c>
      <c r="M137" s="64">
        <f t="shared" si="12"/>
        <v>24.16</v>
      </c>
      <c r="N137" s="64" cm="1">
        <f t="array" ref="N137">drivePower($C$4,M137,$C$9,$C$10,$C$11)</f>
        <v>4.7300800000000001</v>
      </c>
      <c r="O137" s="86">
        <f t="shared" si="10"/>
        <v>17582.399999999998</v>
      </c>
      <c r="P137" s="90">
        <f t="shared" si="4"/>
        <v>-1.5000000000000001E-4</v>
      </c>
      <c r="Q137" s="91">
        <f t="shared" si="5"/>
        <v>0.82280000000000009</v>
      </c>
      <c r="R137" s="98">
        <v>0.15</v>
      </c>
      <c r="S137" s="95">
        <f t="shared" si="16"/>
        <v>264000</v>
      </c>
      <c r="T137" s="92" cm="1">
        <f t="array" ref="T137">maxDepthToMinSOC($L$8,$L$9,$L$6,$L$7,$O137,$G$5,$G$6,drivePower($C$4,$M137,$G137,$C$10,$C$11),$I137,$G137,$G$4,$C$8)</f>
        <v>25293.451005071402</v>
      </c>
      <c r="U137" s="12" cm="1">
        <f t="array" ref="U137">maxDepthToMinSOC($L$8,$L$9,P137,Q137,$O137,$G$5,$G$6,drivePower($C$4,$M137,$G137,$C$10,$C$11),$I137,$G137,$G$4,$C$8)</f>
        <v>8862.9003521800041</v>
      </c>
      <c r="V137" s="93">
        <f t="shared" si="13"/>
        <v>17078.175678625703</v>
      </c>
    </row>
    <row r="138" spans="7:22" x14ac:dyDescent="0.35">
      <c r="G138" s="59">
        <f t="shared" si="1"/>
        <v>0.5</v>
      </c>
      <c r="H138" s="64">
        <v>25</v>
      </c>
      <c r="I138" s="84">
        <f t="shared" si="14"/>
        <v>25</v>
      </c>
      <c r="J138" s="84">
        <v>50</v>
      </c>
      <c r="K138" s="60">
        <f t="shared" si="15"/>
        <v>266200</v>
      </c>
      <c r="L138" s="59">
        <f t="shared" si="11"/>
        <v>14.28</v>
      </c>
      <c r="M138" s="64">
        <f t="shared" si="12"/>
        <v>24.28</v>
      </c>
      <c r="N138" s="64" cm="1">
        <f t="array" ref="N138">drivePower($C$4,M138,$C$9,$C$10,$C$11)</f>
        <v>4.7436400000000001</v>
      </c>
      <c r="O138" s="86">
        <f t="shared" si="10"/>
        <v>17728.920000000002</v>
      </c>
      <c r="P138" s="90">
        <f t="shared" si="4"/>
        <v>-1.5000000000000001E-4</v>
      </c>
      <c r="Q138" s="91">
        <f t="shared" si="5"/>
        <v>0.82280000000000009</v>
      </c>
      <c r="R138" s="98">
        <v>0.15</v>
      </c>
      <c r="S138" s="95">
        <f t="shared" si="16"/>
        <v>266200</v>
      </c>
      <c r="T138" s="92" cm="1">
        <f t="array" ref="T138">maxDepthToMinSOC($L$8,$L$9,$L$6,$L$7,$O138,$G$5,$G$6,drivePower($C$4,$M138,$G138,$C$10,$C$11),$I138,$G138,$G$4,$C$8)</f>
        <v>25342.951007038355</v>
      </c>
      <c r="U138" s="12" cm="1">
        <f t="array" ref="U138">maxDepthToMinSOC($L$8,$L$9,P138,Q138,$O138,$G$5,$G$6,drivePower($C$4,$M138,$G138,$C$10,$C$11),$I138,$G138,$G$4,$C$8)</f>
        <v>8870.1003524661064</v>
      </c>
      <c r="V138" s="93">
        <f t="shared" si="13"/>
        <v>17106.525679752231</v>
      </c>
    </row>
    <row r="139" spans="7:22" x14ac:dyDescent="0.35">
      <c r="G139" s="59">
        <f t="shared" si="1"/>
        <v>0.5</v>
      </c>
      <c r="H139" s="64">
        <v>25</v>
      </c>
      <c r="I139" s="84">
        <f t="shared" si="14"/>
        <v>25</v>
      </c>
      <c r="J139" s="84">
        <v>50</v>
      </c>
      <c r="K139" s="60">
        <f t="shared" si="15"/>
        <v>268400</v>
      </c>
      <c r="L139" s="59">
        <f t="shared" si="11"/>
        <v>14.4</v>
      </c>
      <c r="M139" s="64">
        <f t="shared" si="12"/>
        <v>24.4</v>
      </c>
      <c r="N139" s="64" cm="1">
        <f t="array" ref="N139">drivePower($C$4,M139,$C$9,$C$10,$C$11)</f>
        <v>4.7572000000000001</v>
      </c>
      <c r="O139" s="86">
        <f t="shared" si="10"/>
        <v>17875.439999999999</v>
      </c>
      <c r="P139" s="90">
        <f t="shared" si="4"/>
        <v>-1.5000000000000001E-4</v>
      </c>
      <c r="Q139" s="91">
        <f t="shared" si="5"/>
        <v>0.82280000000000009</v>
      </c>
      <c r="R139" s="98">
        <v>0.15</v>
      </c>
      <c r="S139" s="95">
        <f t="shared" si="16"/>
        <v>268400</v>
      </c>
      <c r="T139" s="92" cm="1">
        <f t="array" ref="T139">maxDepthToMinSOC($L$8,$L$9,$L$6,$L$7,$O139,$G$5,$G$6,drivePower($C$4,$M139,$G139,$C$10,$C$11),$I139,$G139,$G$4,$C$8)</f>
        <v>25391.851008981466</v>
      </c>
      <c r="U139" s="12" cm="1">
        <f t="array" ref="U139">maxDepthToMinSOC($L$8,$L$9,P139,Q139,$O139,$G$5,$G$6,drivePower($C$4,$M139,$G139,$C$10,$C$11),$I139,$G139,$G$4,$C$8)</f>
        <v>8877.1503527462482</v>
      </c>
      <c r="V139" s="93">
        <f t="shared" si="13"/>
        <v>17134.500680863857</v>
      </c>
    </row>
    <row r="140" spans="7:22" x14ac:dyDescent="0.35">
      <c r="G140" s="59">
        <f t="shared" si="1"/>
        <v>0.5</v>
      </c>
      <c r="H140" s="64">
        <v>25</v>
      </c>
      <c r="I140" s="84">
        <f t="shared" si="14"/>
        <v>25</v>
      </c>
      <c r="J140" s="84">
        <v>50</v>
      </c>
      <c r="K140" s="60">
        <f t="shared" si="15"/>
        <v>270600</v>
      </c>
      <c r="L140" s="59">
        <f t="shared" si="11"/>
        <v>14.52</v>
      </c>
      <c r="M140" s="64">
        <f t="shared" si="12"/>
        <v>24.52</v>
      </c>
      <c r="N140" s="64" cm="1">
        <f t="array" ref="N140">drivePower($C$4,M140,$C$9,$C$10,$C$11)</f>
        <v>4.7707600000000001</v>
      </c>
      <c r="O140" s="86">
        <f t="shared" si="10"/>
        <v>18021.96</v>
      </c>
      <c r="P140" s="90">
        <f t="shared" si="4"/>
        <v>-1.5000000000000001E-4</v>
      </c>
      <c r="Q140" s="91">
        <f t="shared" si="5"/>
        <v>0.82280000000000009</v>
      </c>
      <c r="R140" s="98">
        <v>0.15</v>
      </c>
      <c r="S140" s="95">
        <f t="shared" si="16"/>
        <v>270600</v>
      </c>
      <c r="T140" s="92" cm="1">
        <f t="array" ref="T140">maxDepthToMinSOC($L$8,$L$9,$L$6,$L$7,$O140,$G$5,$G$6,drivePower($C$4,$M140,$G140,$C$10,$C$11),$I140,$G140,$G$4,$C$8)</f>
        <v>25440.001010894775</v>
      </c>
      <c r="U140" s="12" cm="1">
        <f t="array" ref="U140">maxDepthToMinSOC($L$8,$L$9,P140,Q140,$O140,$G$5,$G$6,drivePower($C$4,$M140,$G140,$C$10,$C$11),$I140,$G140,$G$4,$C$8)</f>
        <v>8884.0503530204296</v>
      </c>
      <c r="V140" s="93">
        <f t="shared" si="13"/>
        <v>17162.025681957603</v>
      </c>
    </row>
    <row r="141" spans="7:22" x14ac:dyDescent="0.35">
      <c r="G141" s="59">
        <f t="shared" si="1"/>
        <v>0.5</v>
      </c>
      <c r="H141" s="64">
        <v>25</v>
      </c>
      <c r="I141" s="84">
        <f t="shared" si="14"/>
        <v>25</v>
      </c>
      <c r="J141" s="84">
        <v>50</v>
      </c>
      <c r="K141" s="60">
        <f t="shared" si="15"/>
        <v>272800</v>
      </c>
      <c r="L141" s="59">
        <f t="shared" si="11"/>
        <v>14.64</v>
      </c>
      <c r="M141" s="64">
        <f t="shared" si="12"/>
        <v>24.64</v>
      </c>
      <c r="N141" s="64" cm="1">
        <f t="array" ref="N141">drivePower($C$4,M141,$C$9,$C$10,$C$11)</f>
        <v>4.7843200000000001</v>
      </c>
      <c r="O141" s="86">
        <f t="shared" si="10"/>
        <v>18168.48</v>
      </c>
      <c r="P141" s="90">
        <f t="shared" si="4"/>
        <v>-1.5000000000000001E-4</v>
      </c>
      <c r="Q141" s="91">
        <f t="shared" si="5"/>
        <v>0.82280000000000009</v>
      </c>
      <c r="R141" s="98">
        <v>0.15</v>
      </c>
      <c r="S141" s="95">
        <f t="shared" si="16"/>
        <v>272800</v>
      </c>
      <c r="T141" s="92" cm="1">
        <f t="array" ref="T141">maxDepthToMinSOC($L$8,$L$9,$L$6,$L$7,$O141,$G$5,$G$6,drivePower($C$4,$M141,$G141,$C$10,$C$11),$I141,$G141,$G$4,$C$8)</f>
        <v>25487.701012790203</v>
      </c>
      <c r="U141" s="12" cm="1">
        <f t="array" ref="U141">maxDepthToMinSOC($L$8,$L$9,P141,Q141,$O141,$G$5,$G$6,drivePower($C$4,$M141,$G141,$C$10,$C$11),$I141,$G141,$G$4,$C$8)</f>
        <v>8890.8003532886505</v>
      </c>
      <c r="V141" s="93">
        <f t="shared" si="13"/>
        <v>17189.250683039427</v>
      </c>
    </row>
    <row r="142" spans="7:22" x14ac:dyDescent="0.35">
      <c r="G142" s="59">
        <f t="shared" si="1"/>
        <v>0.5</v>
      </c>
      <c r="H142" s="64">
        <v>25</v>
      </c>
      <c r="I142" s="84">
        <f t="shared" si="14"/>
        <v>25</v>
      </c>
      <c r="J142" s="84">
        <v>50</v>
      </c>
      <c r="K142" s="60">
        <f t="shared" si="15"/>
        <v>275000</v>
      </c>
      <c r="L142" s="59">
        <f t="shared" si="11"/>
        <v>14.76</v>
      </c>
      <c r="M142" s="64">
        <f t="shared" si="12"/>
        <v>24.759999999999998</v>
      </c>
      <c r="N142" s="64" cm="1">
        <f t="array" ref="N142">drivePower($C$4,M142,$C$9,$C$10,$C$11)</f>
        <v>4.7978799999999993</v>
      </c>
      <c r="O142" s="86">
        <f t="shared" si="10"/>
        <v>18315</v>
      </c>
      <c r="P142" s="90">
        <f t="shared" si="4"/>
        <v>-1.5000000000000001E-4</v>
      </c>
      <c r="Q142" s="91">
        <f t="shared" si="5"/>
        <v>0.82280000000000009</v>
      </c>
      <c r="R142" s="98">
        <v>0.15</v>
      </c>
      <c r="S142" s="95">
        <f t="shared" si="16"/>
        <v>275000</v>
      </c>
      <c r="T142" s="92" cm="1">
        <f t="array" ref="T142">maxDepthToMinSOC($L$8,$L$9,$L$6,$L$7,$O142,$G$5,$G$6,drivePower($C$4,$M142,$G142,$C$10,$C$11),$I142,$G142,$G$4,$C$8)</f>
        <v>25534.801014661789</v>
      </c>
      <c r="U142" s="12" cm="1">
        <f t="array" ref="U142">maxDepthToMinSOC($L$8,$L$9,P142,Q142,$O142,$G$5,$G$6,drivePower($C$4,$M142,$G142,$C$10,$C$11),$I142,$G142,$G$4,$C$8)</f>
        <v>8897.5503535568714</v>
      </c>
      <c r="V142" s="93">
        <f t="shared" si="13"/>
        <v>17216.17568410933</v>
      </c>
    </row>
    <row r="143" spans="7:22" x14ac:dyDescent="0.35">
      <c r="G143" s="59">
        <f t="shared" si="1"/>
        <v>0.5</v>
      </c>
      <c r="H143" s="64">
        <v>25</v>
      </c>
      <c r="I143" s="84">
        <f t="shared" si="14"/>
        <v>25</v>
      </c>
      <c r="J143" s="84">
        <v>50</v>
      </c>
      <c r="K143" s="60">
        <f t="shared" si="15"/>
        <v>277200</v>
      </c>
      <c r="L143" s="59">
        <f t="shared" si="11"/>
        <v>14.88</v>
      </c>
      <c r="M143" s="64">
        <f t="shared" si="12"/>
        <v>24.880000000000003</v>
      </c>
      <c r="N143" s="64" cm="1">
        <f t="array" ref="N143">drivePower($C$4,M143,$C$9,$C$10,$C$11)</f>
        <v>4.8114400000000002</v>
      </c>
      <c r="O143" s="86">
        <f t="shared" si="10"/>
        <v>18461.52</v>
      </c>
      <c r="P143" s="90">
        <f t="shared" si="4"/>
        <v>-1.5000000000000001E-4</v>
      </c>
      <c r="Q143" s="91">
        <f t="shared" si="5"/>
        <v>0.82280000000000009</v>
      </c>
      <c r="R143" s="98">
        <v>0.15</v>
      </c>
      <c r="S143" s="95">
        <f t="shared" si="16"/>
        <v>277200</v>
      </c>
      <c r="T143" s="92" cm="1">
        <f t="array" ref="T143">maxDepthToMinSOC($L$8,$L$9,$L$6,$L$7,$O143,$G$5,$G$6,drivePower($C$4,$M143,$G143,$C$10,$C$11),$I143,$G143,$G$4,$C$8)</f>
        <v>25581.301016509533</v>
      </c>
      <c r="U143" s="12" cm="1">
        <f t="array" ref="U143">maxDepthToMinSOC($L$8,$L$9,P143,Q143,$O143,$G$5,$G$6,drivePower($C$4,$M143,$G143,$C$10,$C$11),$I143,$G143,$G$4,$C$8)</f>
        <v>8904.3003538250923</v>
      </c>
      <c r="V143" s="93">
        <f t="shared" si="13"/>
        <v>17242.800685167313</v>
      </c>
    </row>
    <row r="144" spans="7:22" x14ac:dyDescent="0.35">
      <c r="G144" s="59">
        <f t="shared" si="1"/>
        <v>0.5</v>
      </c>
      <c r="H144" s="64">
        <v>25</v>
      </c>
      <c r="I144" s="84">
        <f t="shared" si="14"/>
        <v>25</v>
      </c>
      <c r="J144" s="84">
        <v>50</v>
      </c>
      <c r="K144" s="60">
        <f t="shared" si="15"/>
        <v>279400</v>
      </c>
      <c r="L144" s="59">
        <f t="shared" si="11"/>
        <v>15</v>
      </c>
      <c r="M144" s="64">
        <f t="shared" si="12"/>
        <v>25</v>
      </c>
      <c r="N144" s="64" cm="1">
        <f t="array" ref="N144">drivePower($C$4,M144,$C$9,$C$10,$C$11)</f>
        <v>4.8250000000000002</v>
      </c>
      <c r="O144" s="86">
        <f t="shared" si="10"/>
        <v>18608.04</v>
      </c>
      <c r="P144" s="90">
        <f t="shared" si="4"/>
        <v>-1.5000000000000001E-4</v>
      </c>
      <c r="Q144" s="91">
        <f t="shared" si="5"/>
        <v>0.82280000000000009</v>
      </c>
      <c r="R144" s="98">
        <v>0.15</v>
      </c>
      <c r="S144" s="95">
        <f t="shared" si="16"/>
        <v>279400</v>
      </c>
      <c r="T144" s="92" cm="1">
        <f t="array" ref="T144">maxDepthToMinSOC($L$8,$L$9,$L$6,$L$7,$O144,$G$5,$G$6,drivePower($C$4,$M144,$G144,$C$10,$C$11),$I144,$G144,$G$4,$C$8)</f>
        <v>25627.201018333435</v>
      </c>
      <c r="U144" s="12" cm="1">
        <f t="array" ref="U144">maxDepthToMinSOC($L$8,$L$9,P144,Q144,$O144,$G$5,$G$6,drivePower($C$4,$M144,$G144,$C$10,$C$11),$I144,$G144,$G$4,$C$8)</f>
        <v>8910.7503540813923</v>
      </c>
      <c r="V144" s="93">
        <f t="shared" si="13"/>
        <v>17268.975686207414</v>
      </c>
    </row>
    <row r="145" spans="7:22" x14ac:dyDescent="0.35">
      <c r="G145" s="59">
        <f t="shared" si="1"/>
        <v>0.5</v>
      </c>
      <c r="H145" s="64">
        <v>25</v>
      </c>
      <c r="I145" s="84">
        <f t="shared" si="14"/>
        <v>25</v>
      </c>
      <c r="J145" s="84">
        <v>50</v>
      </c>
      <c r="K145" s="60">
        <f t="shared" si="15"/>
        <v>281600</v>
      </c>
      <c r="L145" s="59">
        <f t="shared" si="11"/>
        <v>15.12</v>
      </c>
      <c r="M145" s="64">
        <f t="shared" si="12"/>
        <v>25.119999999999997</v>
      </c>
      <c r="N145" s="64" cm="1">
        <f t="array" ref="N145">drivePower($C$4,M145,$C$9,$C$10,$C$11)</f>
        <v>4.8385599999999993</v>
      </c>
      <c r="O145" s="86">
        <f t="shared" si="10"/>
        <v>18754.560000000001</v>
      </c>
      <c r="P145" s="90">
        <f t="shared" si="4"/>
        <v>-1.5000000000000001E-4</v>
      </c>
      <c r="Q145" s="91">
        <f t="shared" si="5"/>
        <v>0.82280000000000009</v>
      </c>
      <c r="R145" s="98">
        <v>0.15</v>
      </c>
      <c r="S145" s="95">
        <f t="shared" si="16"/>
        <v>281600</v>
      </c>
      <c r="T145" s="92" cm="1">
        <f t="array" ref="T145">maxDepthToMinSOC($L$8,$L$9,$L$6,$L$7,$O145,$G$5,$G$6,drivePower($C$4,$M145,$G145,$C$10,$C$11),$I145,$G145,$G$4,$C$8)</f>
        <v>25672.501020133495</v>
      </c>
      <c r="U145" s="12" cm="1">
        <f t="array" ref="U145">maxDepthToMinSOC($L$8,$L$9,P145,Q145,$O145,$G$5,$G$6,drivePower($C$4,$M145,$G145,$C$10,$C$11),$I145,$G145,$G$4,$C$8)</f>
        <v>8917.2003543376923</v>
      </c>
      <c r="V145" s="93">
        <f t="shared" si="13"/>
        <v>17294.850687235594</v>
      </c>
    </row>
    <row r="146" spans="7:22" x14ac:dyDescent="0.35">
      <c r="G146" s="59">
        <f t="shared" si="1"/>
        <v>0.5</v>
      </c>
      <c r="H146" s="64">
        <v>25</v>
      </c>
      <c r="I146" s="84">
        <f t="shared" si="14"/>
        <v>25</v>
      </c>
      <c r="J146" s="84">
        <v>50</v>
      </c>
      <c r="K146" s="60">
        <f t="shared" si="15"/>
        <v>283800</v>
      </c>
      <c r="L146" s="59">
        <f t="shared" si="11"/>
        <v>15.24</v>
      </c>
      <c r="M146" s="64">
        <f t="shared" si="12"/>
        <v>25.240000000000002</v>
      </c>
      <c r="N146" s="64" cm="1">
        <f t="array" ref="N146">drivePower($C$4,M146,$C$9,$C$10,$C$11)</f>
        <v>4.8521200000000002</v>
      </c>
      <c r="O146" s="86">
        <f t="shared" ref="O146:O209" si="17">K146*3.6/1000*$L$4</f>
        <v>18901.079999999998</v>
      </c>
      <c r="P146" s="90">
        <f t="shared" si="4"/>
        <v>-1.5000000000000001E-4</v>
      </c>
      <c r="Q146" s="91">
        <f t="shared" si="5"/>
        <v>0.82280000000000009</v>
      </c>
      <c r="R146" s="98">
        <v>0.15</v>
      </c>
      <c r="S146" s="95">
        <f t="shared" si="16"/>
        <v>283800</v>
      </c>
      <c r="T146" s="92" cm="1">
        <f t="array" ref="T146">maxDepthToMinSOC($L$8,$L$9,$L$6,$L$7,$O146,$G$5,$G$6,drivePower($C$4,$M146,$G146,$C$10,$C$11),$I146,$G146,$G$4,$C$8)</f>
        <v>25717.201021909714</v>
      </c>
      <c r="U146" s="12" cm="1">
        <f t="array" ref="U146">maxDepthToMinSOC($L$8,$L$9,P146,Q146,$O146,$G$5,$G$6,drivePower($C$4,$M146,$G146,$C$10,$C$11),$I146,$G146,$G$4,$C$8)</f>
        <v>8923.6503545939922</v>
      </c>
      <c r="V146" s="93">
        <f t="shared" si="13"/>
        <v>17320.425688251853</v>
      </c>
    </row>
    <row r="147" spans="7:22" x14ac:dyDescent="0.35">
      <c r="G147" s="59">
        <f t="shared" si="1"/>
        <v>0.5</v>
      </c>
      <c r="H147" s="64">
        <v>25</v>
      </c>
      <c r="I147" s="84">
        <f t="shared" si="14"/>
        <v>25</v>
      </c>
      <c r="J147" s="84">
        <v>50</v>
      </c>
      <c r="K147" s="60">
        <f t="shared" si="15"/>
        <v>286000</v>
      </c>
      <c r="L147" s="59">
        <f t="shared" ref="L147:L210" si="18">(K147-4400)*(5*0.048)/4400</f>
        <v>15.36</v>
      </c>
      <c r="M147" s="64">
        <f t="shared" ref="M147:M210" si="19">$C$5+L147</f>
        <v>25.36</v>
      </c>
      <c r="N147" s="64" cm="1">
        <f t="array" ref="N147">drivePower($C$4,M147,$C$9,$C$10,$C$11)</f>
        <v>4.8656800000000002</v>
      </c>
      <c r="O147" s="86">
        <f t="shared" si="17"/>
        <v>19047.599999999999</v>
      </c>
      <c r="P147" s="90">
        <f t="shared" si="4"/>
        <v>-1.5000000000000001E-4</v>
      </c>
      <c r="Q147" s="91">
        <f t="shared" si="5"/>
        <v>0.82280000000000009</v>
      </c>
      <c r="R147" s="98">
        <v>0.15</v>
      </c>
      <c r="S147" s="95">
        <f t="shared" si="16"/>
        <v>286000</v>
      </c>
      <c r="T147" s="92" cm="1">
        <f t="array" ref="T147">maxDepthToMinSOC($L$8,$L$9,$L$6,$L$7,$O147,$G$5,$G$6,drivePower($C$4,$M147,$G147,$C$10,$C$11),$I147,$G147,$G$4,$C$8)</f>
        <v>25761.601023674011</v>
      </c>
      <c r="U147" s="12" cm="1">
        <f t="array" ref="U147">maxDepthToMinSOC($L$8,$L$9,P147,Q147,$O147,$G$5,$G$6,drivePower($C$4,$M147,$G147,$C$10,$C$11),$I147,$G147,$G$4,$C$8)</f>
        <v>8929.8003548383713</v>
      </c>
      <c r="V147" s="93">
        <f t="shared" ref="V147:V210" si="20">AVERAGE(T147:U147)</f>
        <v>17345.700689256191</v>
      </c>
    </row>
    <row r="148" spans="7:22" x14ac:dyDescent="0.35">
      <c r="G148" s="59">
        <f t="shared" si="1"/>
        <v>0.5</v>
      </c>
      <c r="H148" s="64">
        <v>25</v>
      </c>
      <c r="I148" s="84">
        <f t="shared" ref="I148:I211" si="21">I147</f>
        <v>25</v>
      </c>
      <c r="J148" s="84">
        <v>50</v>
      </c>
      <c r="K148" s="60">
        <f t="shared" si="15"/>
        <v>288200</v>
      </c>
      <c r="L148" s="59">
        <f t="shared" si="18"/>
        <v>15.48</v>
      </c>
      <c r="M148" s="64">
        <f t="shared" si="19"/>
        <v>25.48</v>
      </c>
      <c r="N148" s="64" cm="1">
        <f t="array" ref="N148">drivePower($C$4,M148,$C$9,$C$10,$C$11)</f>
        <v>4.8792400000000002</v>
      </c>
      <c r="O148" s="86">
        <f t="shared" si="17"/>
        <v>19194.12</v>
      </c>
      <c r="P148" s="90">
        <f t="shared" si="4"/>
        <v>-1.5000000000000001E-4</v>
      </c>
      <c r="Q148" s="91">
        <f t="shared" si="5"/>
        <v>0.82280000000000009</v>
      </c>
      <c r="R148" s="98">
        <v>0.15</v>
      </c>
      <c r="S148" s="95">
        <f t="shared" si="16"/>
        <v>288200</v>
      </c>
      <c r="T148" s="92" cm="1">
        <f t="array" ref="T148">maxDepthToMinSOC($L$8,$L$9,$L$6,$L$7,$O148,$G$5,$G$6,drivePower($C$4,$M148,$G148,$C$10,$C$11),$I148,$G148,$G$4,$C$8)</f>
        <v>25805.251025408506</v>
      </c>
      <c r="U148" s="12" cm="1">
        <f t="array" ref="U148">maxDepthToMinSOC($L$8,$L$9,P148,Q148,$O148,$G$5,$G$6,drivePower($C$4,$M148,$G148,$C$10,$C$11),$I148,$G148,$G$4,$C$8)</f>
        <v>8936.1003550887108</v>
      </c>
      <c r="V148" s="93">
        <f t="shared" si="20"/>
        <v>17370.675690248609</v>
      </c>
    </row>
    <row r="149" spans="7:22" x14ac:dyDescent="0.35">
      <c r="G149" s="59">
        <f t="shared" si="1"/>
        <v>0.5</v>
      </c>
      <c r="H149" s="64">
        <v>25</v>
      </c>
      <c r="I149" s="84">
        <f t="shared" si="21"/>
        <v>25</v>
      </c>
      <c r="J149" s="84">
        <v>50</v>
      </c>
      <c r="K149" s="60">
        <f t="shared" si="15"/>
        <v>290400</v>
      </c>
      <c r="L149" s="59">
        <f t="shared" si="18"/>
        <v>15.6</v>
      </c>
      <c r="M149" s="64">
        <f t="shared" si="19"/>
        <v>25.6</v>
      </c>
      <c r="N149" s="64" cm="1">
        <f t="array" ref="N149">drivePower($C$4,M149,$C$9,$C$10,$C$11)</f>
        <v>4.8928000000000003</v>
      </c>
      <c r="O149" s="86">
        <f t="shared" si="17"/>
        <v>19340.64</v>
      </c>
      <c r="P149" s="90">
        <f t="shared" si="4"/>
        <v>-1.5000000000000001E-4</v>
      </c>
      <c r="Q149" s="91">
        <f t="shared" si="5"/>
        <v>0.82280000000000009</v>
      </c>
      <c r="R149" s="98">
        <v>0.15</v>
      </c>
      <c r="S149" s="95">
        <f t="shared" si="16"/>
        <v>290400</v>
      </c>
      <c r="T149" s="92" cm="1">
        <f t="array" ref="T149">maxDepthToMinSOC($L$8,$L$9,$L$6,$L$7,$O149,$G$5,$G$6,drivePower($C$4,$M149,$G149,$C$10,$C$11),$I149,$G149,$G$4,$C$8)</f>
        <v>25848.45102712512</v>
      </c>
      <c r="U149" s="12" cm="1">
        <f t="array" ref="U149">maxDepthToMinSOC($L$8,$L$9,P149,Q149,$O149,$G$5,$G$6,drivePower($C$4,$M149,$G149,$C$10,$C$11),$I149,$G149,$G$4,$C$8)</f>
        <v>8942.1003553271294</v>
      </c>
      <c r="V149" s="93">
        <f t="shared" si="20"/>
        <v>17395.275691226125</v>
      </c>
    </row>
    <row r="150" spans="7:22" x14ac:dyDescent="0.35">
      <c r="G150" s="59">
        <f t="shared" si="1"/>
        <v>0.5</v>
      </c>
      <c r="H150" s="64">
        <v>25</v>
      </c>
      <c r="I150" s="84">
        <f t="shared" si="21"/>
        <v>25</v>
      </c>
      <c r="J150" s="84">
        <v>50</v>
      </c>
      <c r="K150" s="60">
        <f t="shared" si="15"/>
        <v>292600</v>
      </c>
      <c r="L150" s="59">
        <f t="shared" si="18"/>
        <v>15.72</v>
      </c>
      <c r="M150" s="64">
        <f t="shared" si="19"/>
        <v>25.72</v>
      </c>
      <c r="N150" s="64" cm="1">
        <f t="array" ref="N150">drivePower($C$4,M150,$C$9,$C$10,$C$11)</f>
        <v>4.9063599999999994</v>
      </c>
      <c r="O150" s="86">
        <f t="shared" si="17"/>
        <v>19487.16</v>
      </c>
      <c r="P150" s="90">
        <f t="shared" si="4"/>
        <v>-1.5000000000000001E-4</v>
      </c>
      <c r="Q150" s="91">
        <f t="shared" si="5"/>
        <v>0.82280000000000009</v>
      </c>
      <c r="R150" s="98">
        <v>0.15</v>
      </c>
      <c r="S150" s="95">
        <f t="shared" si="16"/>
        <v>292600</v>
      </c>
      <c r="T150" s="92" cm="1">
        <f t="array" ref="T150">maxDepthToMinSOC($L$8,$L$9,$L$6,$L$7,$O150,$G$5,$G$6,drivePower($C$4,$M150,$G150,$C$10,$C$11),$I150,$G150,$G$4,$C$8)</f>
        <v>25891.201028823853</v>
      </c>
      <c r="U150" s="12" cm="1">
        <f t="array" ref="U150">maxDepthToMinSOC($L$8,$L$9,P150,Q150,$O150,$G$5,$G$6,drivePower($C$4,$M150,$G150,$C$10,$C$11),$I150,$G150,$G$4,$C$8)</f>
        <v>8948.1003555655479</v>
      </c>
      <c r="V150" s="93">
        <f t="shared" si="20"/>
        <v>17419.6506921947</v>
      </c>
    </row>
    <row r="151" spans="7:22" x14ac:dyDescent="0.35">
      <c r="G151" s="59">
        <f t="shared" si="1"/>
        <v>0.5</v>
      </c>
      <c r="H151" s="64">
        <v>25</v>
      </c>
      <c r="I151" s="84">
        <f t="shared" si="21"/>
        <v>25</v>
      </c>
      <c r="J151" s="84">
        <v>50</v>
      </c>
      <c r="K151" s="60">
        <f t="shared" ref="K151:K212" si="22">K150+2200</f>
        <v>294800</v>
      </c>
      <c r="L151" s="59">
        <f t="shared" si="18"/>
        <v>15.84</v>
      </c>
      <c r="M151" s="64">
        <f t="shared" si="19"/>
        <v>25.84</v>
      </c>
      <c r="N151" s="64" cm="1">
        <f t="array" ref="N151">drivePower($C$4,M151,$C$9,$C$10,$C$11)</f>
        <v>4.9199199999999994</v>
      </c>
      <c r="O151" s="86">
        <f t="shared" si="17"/>
        <v>19633.68</v>
      </c>
      <c r="P151" s="90">
        <f t="shared" si="4"/>
        <v>-1.5000000000000001E-4</v>
      </c>
      <c r="Q151" s="91">
        <f t="shared" si="5"/>
        <v>0.82280000000000009</v>
      </c>
      <c r="R151" s="98">
        <v>0.15</v>
      </c>
      <c r="S151" s="95">
        <f t="shared" ref="S151:S212" si="23">S150+2200</f>
        <v>294800</v>
      </c>
      <c r="T151" s="92" cm="1">
        <f t="array" ref="T151">maxDepthToMinSOC($L$8,$L$9,$L$6,$L$7,$O151,$G$5,$G$6,drivePower($C$4,$M151,$G151,$C$10,$C$11),$I151,$G151,$G$4,$C$8)</f>
        <v>25933.351030498743</v>
      </c>
      <c r="U151" s="12" cm="1">
        <f t="array" ref="U151">maxDepthToMinSOC($L$8,$L$9,P151,Q151,$O151,$G$5,$G$6,drivePower($C$4,$M151,$G151,$C$10,$C$11),$I151,$G151,$G$4,$C$8)</f>
        <v>8954.1003558039665</v>
      </c>
      <c r="V151" s="93">
        <f t="shared" si="20"/>
        <v>17443.725693151355</v>
      </c>
    </row>
    <row r="152" spans="7:22" x14ac:dyDescent="0.35">
      <c r="G152" s="59">
        <f t="shared" si="1"/>
        <v>0.5</v>
      </c>
      <c r="H152" s="64">
        <v>25</v>
      </c>
      <c r="I152" s="84">
        <f t="shared" si="21"/>
        <v>25</v>
      </c>
      <c r="J152" s="84">
        <v>50</v>
      </c>
      <c r="K152" s="60">
        <f t="shared" si="22"/>
        <v>297000</v>
      </c>
      <c r="L152" s="59">
        <f t="shared" si="18"/>
        <v>15.96</v>
      </c>
      <c r="M152" s="64">
        <f t="shared" si="19"/>
        <v>25.96</v>
      </c>
      <c r="N152" s="64" cm="1">
        <f t="array" ref="N152">drivePower($C$4,M152,$C$9,$C$10,$C$11)</f>
        <v>4.9334800000000003</v>
      </c>
      <c r="O152" s="86">
        <f t="shared" si="17"/>
        <v>19780.2</v>
      </c>
      <c r="P152" s="90">
        <f t="shared" si="4"/>
        <v>-1.5000000000000001E-4</v>
      </c>
      <c r="Q152" s="91">
        <f t="shared" si="5"/>
        <v>0.82280000000000009</v>
      </c>
      <c r="R152" s="98">
        <v>0.15</v>
      </c>
      <c r="S152" s="95">
        <f t="shared" si="23"/>
        <v>297000</v>
      </c>
      <c r="T152" s="92" cm="1">
        <f t="array" ref="T152">maxDepthToMinSOC($L$8,$L$9,$L$6,$L$7,$O152,$G$5,$G$6,drivePower($C$4,$M152,$G152,$C$10,$C$11),$I152,$G152,$G$4,$C$8)</f>
        <v>25975.051032155752</v>
      </c>
      <c r="U152" s="12" cm="1">
        <f t="array" ref="U152">maxDepthToMinSOC($L$8,$L$9,P152,Q152,$O152,$G$5,$G$6,drivePower($C$4,$M152,$G152,$C$10,$C$11),$I152,$G152,$G$4,$C$8)</f>
        <v>8959.9503560364246</v>
      </c>
      <c r="V152" s="93">
        <f t="shared" si="20"/>
        <v>17467.500694096088</v>
      </c>
    </row>
    <row r="153" spans="7:22" x14ac:dyDescent="0.35">
      <c r="G153" s="59">
        <f t="shared" si="1"/>
        <v>0.5</v>
      </c>
      <c r="H153" s="64">
        <v>25</v>
      </c>
      <c r="I153" s="84">
        <f t="shared" si="21"/>
        <v>25</v>
      </c>
      <c r="J153" s="84">
        <v>50</v>
      </c>
      <c r="K153" s="60">
        <f t="shared" si="22"/>
        <v>299200</v>
      </c>
      <c r="L153" s="59">
        <f t="shared" si="18"/>
        <v>16.079999999999998</v>
      </c>
      <c r="M153" s="64">
        <f t="shared" si="19"/>
        <v>26.08</v>
      </c>
      <c r="N153" s="64" cm="1">
        <f t="array" ref="N153">drivePower($C$4,M153,$C$9,$C$10,$C$11)</f>
        <v>4.9470399999999994</v>
      </c>
      <c r="O153" s="86">
        <f t="shared" si="17"/>
        <v>19926.719999999998</v>
      </c>
      <c r="P153" s="90">
        <f t="shared" si="4"/>
        <v>-1.5000000000000001E-4</v>
      </c>
      <c r="Q153" s="91">
        <f t="shared" si="5"/>
        <v>0.82280000000000009</v>
      </c>
      <c r="R153" s="98">
        <v>0.15</v>
      </c>
      <c r="S153" s="95">
        <f t="shared" si="23"/>
        <v>299200</v>
      </c>
      <c r="T153" s="92" cm="1">
        <f t="array" ref="T153">maxDepthToMinSOC($L$8,$L$9,$L$6,$L$7,$O153,$G$5,$G$6,drivePower($C$4,$M153,$G153,$C$10,$C$11),$I153,$G153,$G$4,$C$8)</f>
        <v>26016.30103379488</v>
      </c>
      <c r="U153" s="12" cm="1">
        <f t="array" ref="U153">maxDepthToMinSOC($L$8,$L$9,P153,Q153,$O153,$G$5,$G$6,drivePower($C$4,$M153,$G153,$C$10,$C$11),$I153,$G153,$G$4,$C$8)</f>
        <v>8965.6503562629223</v>
      </c>
      <c r="V153" s="93">
        <f t="shared" si="20"/>
        <v>17490.975695028901</v>
      </c>
    </row>
    <row r="154" spans="7:22" x14ac:dyDescent="0.35">
      <c r="G154" s="59">
        <f t="shared" si="1"/>
        <v>0.5</v>
      </c>
      <c r="H154" s="64">
        <v>25</v>
      </c>
      <c r="I154" s="84">
        <f t="shared" si="21"/>
        <v>25</v>
      </c>
      <c r="J154" s="84">
        <v>50</v>
      </c>
      <c r="K154" s="60">
        <f t="shared" si="22"/>
        <v>301400</v>
      </c>
      <c r="L154" s="59">
        <f t="shared" si="18"/>
        <v>16.2</v>
      </c>
      <c r="M154" s="64">
        <f t="shared" si="19"/>
        <v>26.2</v>
      </c>
      <c r="N154" s="64" cm="1">
        <f t="array" ref="N154">drivePower($C$4,M154,$C$9,$C$10,$C$11)</f>
        <v>4.9605999999999995</v>
      </c>
      <c r="O154" s="86">
        <f t="shared" si="17"/>
        <v>20073.239999999998</v>
      </c>
      <c r="P154" s="90">
        <f t="shared" si="4"/>
        <v>-1.5000000000000001E-4</v>
      </c>
      <c r="Q154" s="91">
        <f t="shared" si="5"/>
        <v>0.82280000000000009</v>
      </c>
      <c r="R154" s="98">
        <v>0.15</v>
      </c>
      <c r="S154" s="95">
        <f t="shared" si="23"/>
        <v>301400</v>
      </c>
      <c r="T154" s="92" cm="1">
        <f t="array" ref="T154">maxDepthToMinSOC($L$8,$L$9,$L$6,$L$7,$O154,$G$5,$G$6,drivePower($C$4,$M154,$G154,$C$10,$C$11),$I154,$G154,$G$4,$C$8)</f>
        <v>26056.951035410166</v>
      </c>
      <c r="U154" s="12" cm="1">
        <f t="array" ref="U154">maxDepthToMinSOC($L$8,$L$9,P154,Q154,$O154,$G$5,$G$6,drivePower($C$4,$M154,$G154,$C$10,$C$11),$I154,$G154,$G$4,$C$8)</f>
        <v>8971.3503564894199</v>
      </c>
      <c r="V154" s="93">
        <f t="shared" si="20"/>
        <v>17514.150695949793</v>
      </c>
    </row>
    <row r="155" spans="7:22" x14ac:dyDescent="0.35">
      <c r="G155" s="59">
        <f t="shared" si="1"/>
        <v>0.5</v>
      </c>
      <c r="H155" s="64">
        <v>25</v>
      </c>
      <c r="I155" s="84">
        <f t="shared" si="21"/>
        <v>25</v>
      </c>
      <c r="J155" s="84">
        <v>50</v>
      </c>
      <c r="K155" s="60">
        <f t="shared" si="22"/>
        <v>303600</v>
      </c>
      <c r="L155" s="59">
        <f t="shared" si="18"/>
        <v>16.32</v>
      </c>
      <c r="M155" s="64">
        <f t="shared" si="19"/>
        <v>26.32</v>
      </c>
      <c r="N155" s="64" cm="1">
        <f t="array" ref="N155">drivePower($C$4,M155,$C$9,$C$10,$C$11)</f>
        <v>4.9741599999999995</v>
      </c>
      <c r="O155" s="86">
        <f t="shared" si="17"/>
        <v>20219.760000000002</v>
      </c>
      <c r="P155" s="90">
        <f t="shared" si="4"/>
        <v>-1.5000000000000001E-4</v>
      </c>
      <c r="Q155" s="91">
        <f t="shared" si="5"/>
        <v>0.82280000000000009</v>
      </c>
      <c r="R155" s="98">
        <v>0.15</v>
      </c>
      <c r="S155" s="95">
        <f t="shared" si="23"/>
        <v>303600</v>
      </c>
      <c r="T155" s="92" cm="1">
        <f t="array" ref="T155">maxDepthToMinSOC($L$8,$L$9,$L$6,$L$7,$O155,$G$5,$G$6,drivePower($C$4,$M155,$G155,$C$10,$C$11),$I155,$G155,$G$4,$C$8)</f>
        <v>26097.301037013531</v>
      </c>
      <c r="U155" s="12" cm="1">
        <f t="array" ref="U155">maxDepthToMinSOC($L$8,$L$9,P155,Q155,$O155,$G$5,$G$6,drivePower($C$4,$M155,$G155,$C$10,$C$11),$I155,$G155,$G$4,$C$8)</f>
        <v>8977.0503567159176</v>
      </c>
      <c r="V155" s="93">
        <f t="shared" si="20"/>
        <v>17537.175696864724</v>
      </c>
    </row>
    <row r="156" spans="7:22" x14ac:dyDescent="0.35">
      <c r="G156" s="59">
        <f t="shared" si="1"/>
        <v>0.5</v>
      </c>
      <c r="H156" s="64">
        <v>25</v>
      </c>
      <c r="I156" s="84">
        <f t="shared" si="21"/>
        <v>25</v>
      </c>
      <c r="J156" s="84">
        <v>50</v>
      </c>
      <c r="K156" s="60">
        <f t="shared" si="22"/>
        <v>305800</v>
      </c>
      <c r="L156" s="59">
        <f t="shared" si="18"/>
        <v>16.440000000000001</v>
      </c>
      <c r="M156" s="64">
        <f t="shared" si="19"/>
        <v>26.44</v>
      </c>
      <c r="N156" s="64" cm="1">
        <f t="array" ref="N156">drivePower($C$4,M156,$C$9,$C$10,$C$11)</f>
        <v>4.9877200000000004</v>
      </c>
      <c r="O156" s="86">
        <f t="shared" si="17"/>
        <v>20366.280000000002</v>
      </c>
      <c r="P156" s="90">
        <f t="shared" si="4"/>
        <v>-1.5000000000000001E-4</v>
      </c>
      <c r="Q156" s="91">
        <f t="shared" si="5"/>
        <v>0.82280000000000009</v>
      </c>
      <c r="R156" s="98">
        <v>0.15</v>
      </c>
      <c r="S156" s="95">
        <f t="shared" si="23"/>
        <v>305800</v>
      </c>
      <c r="T156" s="92" cm="1">
        <f t="array" ref="T156">maxDepthToMinSOC($L$8,$L$9,$L$6,$L$7,$O156,$G$5,$G$6,drivePower($C$4,$M156,$G156,$C$10,$C$11),$I156,$G156,$G$4,$C$8)</f>
        <v>26137.051038593054</v>
      </c>
      <c r="U156" s="12" cm="1">
        <f t="array" ref="U156">maxDepthToMinSOC($L$8,$L$9,P156,Q156,$O156,$G$5,$G$6,drivePower($C$4,$M156,$G156,$C$10,$C$11),$I156,$G156,$G$4,$C$8)</f>
        <v>8982.6003569364548</v>
      </c>
      <c r="V156" s="93">
        <f t="shared" si="20"/>
        <v>17559.825697764754</v>
      </c>
    </row>
    <row r="157" spans="7:22" x14ac:dyDescent="0.35">
      <c r="G157" s="59">
        <f t="shared" si="1"/>
        <v>0.5</v>
      </c>
      <c r="H157" s="64">
        <v>25</v>
      </c>
      <c r="I157" s="84">
        <f t="shared" si="21"/>
        <v>25</v>
      </c>
      <c r="J157" s="84">
        <v>50</v>
      </c>
      <c r="K157" s="60">
        <f t="shared" si="22"/>
        <v>308000</v>
      </c>
      <c r="L157" s="59">
        <f t="shared" si="18"/>
        <v>16.559999999999999</v>
      </c>
      <c r="M157" s="64">
        <f t="shared" si="19"/>
        <v>26.56</v>
      </c>
      <c r="N157" s="64" cm="1">
        <f t="array" ref="N157">drivePower($C$4,M157,$C$9,$C$10,$C$11)</f>
        <v>5.0012799999999995</v>
      </c>
      <c r="O157" s="86">
        <f t="shared" si="17"/>
        <v>20512.8</v>
      </c>
      <c r="P157" s="90">
        <f t="shared" si="4"/>
        <v>-1.5000000000000001E-4</v>
      </c>
      <c r="Q157" s="91">
        <f t="shared" si="5"/>
        <v>0.82280000000000009</v>
      </c>
      <c r="R157" s="98">
        <v>0.15</v>
      </c>
      <c r="S157" s="95">
        <f t="shared" si="23"/>
        <v>308000</v>
      </c>
      <c r="T157" s="92" cm="1">
        <f t="array" ref="T157">maxDepthToMinSOC($L$8,$L$9,$L$6,$L$7,$O157,$G$5,$G$6,drivePower($C$4,$M157,$G157,$C$10,$C$11),$I157,$G157,$G$4,$C$8)</f>
        <v>26176.501040160656</v>
      </c>
      <c r="U157" s="12" cm="1">
        <f t="array" ref="U157">maxDepthToMinSOC($L$8,$L$9,P157,Q157,$O157,$G$5,$G$6,drivePower($C$4,$M157,$G157,$C$10,$C$11),$I157,$G157,$G$4,$C$8)</f>
        <v>8988.0003571510315</v>
      </c>
      <c r="V157" s="93">
        <f t="shared" si="20"/>
        <v>17582.250698655844</v>
      </c>
    </row>
    <row r="158" spans="7:22" x14ac:dyDescent="0.35">
      <c r="G158" s="59">
        <f t="shared" si="1"/>
        <v>0.5</v>
      </c>
      <c r="H158" s="64">
        <v>25</v>
      </c>
      <c r="I158" s="84">
        <f t="shared" si="21"/>
        <v>25</v>
      </c>
      <c r="J158" s="84">
        <v>50</v>
      </c>
      <c r="K158" s="60">
        <f t="shared" si="22"/>
        <v>310200</v>
      </c>
      <c r="L158" s="59">
        <f t="shared" si="18"/>
        <v>16.68</v>
      </c>
      <c r="M158" s="64">
        <f t="shared" si="19"/>
        <v>26.68</v>
      </c>
      <c r="N158" s="64" cm="1">
        <f t="array" ref="N158">drivePower($C$4,M158,$C$9,$C$10,$C$11)</f>
        <v>5.0148399999999995</v>
      </c>
      <c r="O158" s="86">
        <f t="shared" si="17"/>
        <v>20659.32</v>
      </c>
      <c r="P158" s="90">
        <f t="shared" si="4"/>
        <v>-1.5000000000000001E-4</v>
      </c>
      <c r="Q158" s="91">
        <f t="shared" si="5"/>
        <v>0.82280000000000009</v>
      </c>
      <c r="R158" s="98">
        <v>0.15</v>
      </c>
      <c r="S158" s="95">
        <f t="shared" si="23"/>
        <v>310200</v>
      </c>
      <c r="T158" s="92" cm="1">
        <f t="array" ref="T158">maxDepthToMinSOC($L$8,$L$9,$L$6,$L$7,$O158,$G$5,$G$6,drivePower($C$4,$M158,$G158,$C$10,$C$11),$I158,$G158,$G$4,$C$8)</f>
        <v>26215.351041704416</v>
      </c>
      <c r="U158" s="12" cm="1">
        <f t="array" ref="U158">maxDepthToMinSOC($L$8,$L$9,P158,Q158,$O158,$G$5,$G$6,drivePower($C$4,$M158,$G158,$C$10,$C$11),$I158,$G158,$G$4,$C$8)</f>
        <v>8993.4003573656082</v>
      </c>
      <c r="V158" s="93">
        <f t="shared" si="20"/>
        <v>17604.375699535012</v>
      </c>
    </row>
    <row r="159" spans="7:22" x14ac:dyDescent="0.35">
      <c r="G159" s="59">
        <f t="shared" si="1"/>
        <v>0.5</v>
      </c>
      <c r="H159" s="64">
        <v>25</v>
      </c>
      <c r="I159" s="84">
        <f t="shared" si="21"/>
        <v>25</v>
      </c>
      <c r="J159" s="84">
        <v>50</v>
      </c>
      <c r="K159" s="60">
        <f t="shared" si="22"/>
        <v>312400</v>
      </c>
      <c r="L159" s="59">
        <f t="shared" si="18"/>
        <v>16.8</v>
      </c>
      <c r="M159" s="64">
        <f t="shared" si="19"/>
        <v>26.8</v>
      </c>
      <c r="N159" s="64" cm="1">
        <f t="array" ref="N159">drivePower($C$4,M159,$C$9,$C$10,$C$11)</f>
        <v>5.0283999999999995</v>
      </c>
      <c r="O159" s="86">
        <f t="shared" si="17"/>
        <v>20805.84</v>
      </c>
      <c r="P159" s="90">
        <f t="shared" si="4"/>
        <v>-1.5000000000000001E-4</v>
      </c>
      <c r="Q159" s="91">
        <f t="shared" si="5"/>
        <v>0.82280000000000009</v>
      </c>
      <c r="R159" s="98">
        <v>0.15</v>
      </c>
      <c r="S159" s="95">
        <f t="shared" si="23"/>
        <v>312400</v>
      </c>
      <c r="T159" s="92" cm="1">
        <f t="array" ref="T159">maxDepthToMinSOC($L$8,$L$9,$L$6,$L$7,$O159,$G$5,$G$6,drivePower($C$4,$M159,$G159,$C$10,$C$11),$I159,$G159,$G$4,$C$8)</f>
        <v>26253.901043236256</v>
      </c>
      <c r="U159" s="12" cm="1">
        <f t="array" ref="U159">maxDepthToMinSOC($L$8,$L$9,P159,Q159,$O159,$G$5,$G$6,drivePower($C$4,$M159,$G159,$C$10,$C$11),$I159,$G159,$G$4,$C$8)</f>
        <v>8998.8003575801849</v>
      </c>
      <c r="V159" s="93">
        <f t="shared" si="20"/>
        <v>17626.35070040822</v>
      </c>
    </row>
    <row r="160" spans="7:22" x14ac:dyDescent="0.35">
      <c r="G160" s="59">
        <f t="shared" si="1"/>
        <v>0.5</v>
      </c>
      <c r="H160" s="64">
        <v>25</v>
      </c>
      <c r="I160" s="84">
        <f t="shared" si="21"/>
        <v>25</v>
      </c>
      <c r="J160" s="84">
        <v>50</v>
      </c>
      <c r="K160" s="60">
        <f t="shared" si="22"/>
        <v>314600</v>
      </c>
      <c r="L160" s="59">
        <f t="shared" si="18"/>
        <v>16.920000000000002</v>
      </c>
      <c r="M160" s="64">
        <f t="shared" si="19"/>
        <v>26.92</v>
      </c>
      <c r="N160" s="64" cm="1">
        <f t="array" ref="N160">drivePower($C$4,M160,$C$9,$C$10,$C$11)</f>
        <v>5.0419600000000004</v>
      </c>
      <c r="O160" s="86">
        <f t="shared" si="17"/>
        <v>20952.36</v>
      </c>
      <c r="P160" s="90">
        <f t="shared" si="4"/>
        <v>-1.5000000000000001E-4</v>
      </c>
      <c r="Q160" s="91">
        <f t="shared" si="5"/>
        <v>0.82280000000000009</v>
      </c>
      <c r="R160" s="98">
        <v>0.15</v>
      </c>
      <c r="S160" s="95">
        <f t="shared" si="23"/>
        <v>314600</v>
      </c>
      <c r="T160" s="92" cm="1">
        <f t="array" ref="T160">maxDepthToMinSOC($L$8,$L$9,$L$6,$L$7,$O160,$G$5,$G$6,drivePower($C$4,$M160,$G160,$C$10,$C$11),$I160,$G160,$G$4,$C$8)</f>
        <v>26291.851044744253</v>
      </c>
      <c r="U160" s="12" cm="1">
        <f t="array" ref="U160">maxDepthToMinSOC($L$8,$L$9,P160,Q160,$O160,$G$5,$G$6,drivePower($C$4,$M160,$G160,$C$10,$C$11),$I160,$G160,$G$4,$C$8)</f>
        <v>9004.0503577888012</v>
      </c>
      <c r="V160" s="93">
        <f t="shared" si="20"/>
        <v>17647.950701266527</v>
      </c>
    </row>
    <row r="161" spans="7:22" x14ac:dyDescent="0.35">
      <c r="G161" s="59">
        <f t="shared" si="1"/>
        <v>0.5</v>
      </c>
      <c r="H161" s="64">
        <v>25</v>
      </c>
      <c r="I161" s="84">
        <f t="shared" si="21"/>
        <v>25</v>
      </c>
      <c r="J161" s="84">
        <v>50</v>
      </c>
      <c r="K161" s="60">
        <f t="shared" si="22"/>
        <v>316800</v>
      </c>
      <c r="L161" s="59">
        <f t="shared" si="18"/>
        <v>17.04</v>
      </c>
      <c r="M161" s="64">
        <f t="shared" si="19"/>
        <v>27.04</v>
      </c>
      <c r="N161" s="64" cm="1">
        <f t="array" ref="N161">drivePower($C$4,M161,$C$9,$C$10,$C$11)</f>
        <v>5.0555199999999996</v>
      </c>
      <c r="O161" s="86">
        <f t="shared" si="17"/>
        <v>21098.880000000001</v>
      </c>
      <c r="P161" s="90">
        <f t="shared" si="4"/>
        <v>-1.5000000000000001E-4</v>
      </c>
      <c r="Q161" s="91">
        <f t="shared" si="5"/>
        <v>0.82280000000000009</v>
      </c>
      <c r="R161" s="98">
        <v>0.15</v>
      </c>
      <c r="S161" s="95">
        <f t="shared" si="23"/>
        <v>316800</v>
      </c>
      <c r="T161" s="92" cm="1">
        <f t="array" ref="T161">maxDepthToMinSOC($L$8,$L$9,$L$6,$L$7,$O161,$G$5,$G$6,drivePower($C$4,$M161,$G161,$C$10,$C$11),$I161,$G161,$G$4,$C$8)</f>
        <v>26329.50104624033</v>
      </c>
      <c r="U161" s="12" cm="1">
        <f t="array" ref="U161">maxDepthToMinSOC($L$8,$L$9,P161,Q161,$O161,$G$5,$G$6,drivePower($C$4,$M161,$G161,$C$10,$C$11),$I161,$G161,$G$4,$C$8)</f>
        <v>9009.3003579974174</v>
      </c>
      <c r="V161" s="93">
        <f t="shared" si="20"/>
        <v>17669.400702118874</v>
      </c>
    </row>
    <row r="162" spans="7:22" x14ac:dyDescent="0.35">
      <c r="G162" s="59">
        <f t="shared" si="1"/>
        <v>0.5</v>
      </c>
      <c r="H162" s="64">
        <v>25</v>
      </c>
      <c r="I162" s="84">
        <f t="shared" si="21"/>
        <v>25</v>
      </c>
      <c r="J162" s="84">
        <v>50</v>
      </c>
      <c r="K162" s="60">
        <f t="shared" si="22"/>
        <v>319000</v>
      </c>
      <c r="L162" s="59">
        <f t="shared" si="18"/>
        <v>17.16</v>
      </c>
      <c r="M162" s="64">
        <f t="shared" si="19"/>
        <v>27.16</v>
      </c>
      <c r="N162" s="64" cm="1">
        <f t="array" ref="N162">drivePower($C$4,M162,$C$9,$C$10,$C$11)</f>
        <v>5.0690799999999996</v>
      </c>
      <c r="O162" s="86">
        <f t="shared" si="17"/>
        <v>21245.4</v>
      </c>
      <c r="P162" s="90">
        <f t="shared" si="4"/>
        <v>-1.5000000000000001E-4</v>
      </c>
      <c r="Q162" s="91">
        <f t="shared" si="5"/>
        <v>0.82280000000000009</v>
      </c>
      <c r="R162" s="98">
        <v>0.15</v>
      </c>
      <c r="S162" s="95">
        <f t="shared" si="23"/>
        <v>319000</v>
      </c>
      <c r="T162" s="92" cm="1">
        <f t="array" ref="T162">maxDepthToMinSOC($L$8,$L$9,$L$6,$L$7,$O162,$G$5,$G$6,drivePower($C$4,$M162,$G162,$C$10,$C$11),$I162,$G162,$G$4,$C$8)</f>
        <v>26366.701047718525</v>
      </c>
      <c r="U162" s="12" cm="1">
        <f t="array" ref="U162">maxDepthToMinSOC($L$8,$L$9,P162,Q162,$O162,$G$5,$G$6,drivePower($C$4,$M162,$G162,$C$10,$C$11),$I162,$G162,$G$4,$C$8)</f>
        <v>9014.4003582000732</v>
      </c>
      <c r="V162" s="93">
        <f t="shared" si="20"/>
        <v>17690.550702959299</v>
      </c>
    </row>
    <row r="163" spans="7:22" x14ac:dyDescent="0.35">
      <c r="G163" s="59">
        <f t="shared" si="1"/>
        <v>0.5</v>
      </c>
      <c r="H163" s="64">
        <v>25</v>
      </c>
      <c r="I163" s="84">
        <f t="shared" si="21"/>
        <v>25</v>
      </c>
      <c r="J163" s="84">
        <v>50</v>
      </c>
      <c r="K163" s="60">
        <f t="shared" si="22"/>
        <v>321200</v>
      </c>
      <c r="L163" s="59">
        <f t="shared" si="18"/>
        <v>17.28</v>
      </c>
      <c r="M163" s="64">
        <f t="shared" si="19"/>
        <v>27.28</v>
      </c>
      <c r="N163" s="64" cm="1">
        <f t="array" ref="N163">drivePower($C$4,M163,$C$9,$C$10,$C$11)</f>
        <v>5.0826399999999996</v>
      </c>
      <c r="O163" s="86">
        <f t="shared" si="17"/>
        <v>21391.919999999998</v>
      </c>
      <c r="P163" s="90">
        <f t="shared" si="4"/>
        <v>-1.5000000000000001E-4</v>
      </c>
      <c r="Q163" s="91">
        <f t="shared" si="5"/>
        <v>0.82280000000000009</v>
      </c>
      <c r="R163" s="98">
        <v>0.15</v>
      </c>
      <c r="S163" s="95">
        <f t="shared" si="23"/>
        <v>321200</v>
      </c>
      <c r="T163" s="92" cm="1">
        <f t="array" ref="T163">maxDepthToMinSOC($L$8,$L$9,$L$6,$L$7,$O163,$G$5,$G$6,drivePower($C$4,$M163,$G163,$C$10,$C$11),$I163,$G163,$G$4,$C$8)</f>
        <v>26403.601049184799</v>
      </c>
      <c r="U163" s="12" cm="1">
        <f t="array" ref="U163">maxDepthToMinSOC($L$8,$L$9,P163,Q163,$O163,$G$5,$G$6,drivePower($C$4,$M163,$G163,$C$10,$C$11),$I163,$G163,$G$4,$C$8)</f>
        <v>9019.3503583967686</v>
      </c>
      <c r="V163" s="93">
        <f t="shared" si="20"/>
        <v>17711.475703790784</v>
      </c>
    </row>
    <row r="164" spans="7:22" x14ac:dyDescent="0.35">
      <c r="G164" s="59">
        <f t="shared" si="1"/>
        <v>0.5</v>
      </c>
      <c r="H164" s="64">
        <v>25</v>
      </c>
      <c r="I164" s="84">
        <f t="shared" si="21"/>
        <v>25</v>
      </c>
      <c r="J164" s="84">
        <v>50</v>
      </c>
      <c r="K164" s="60">
        <f t="shared" si="22"/>
        <v>323400</v>
      </c>
      <c r="L164" s="59">
        <f t="shared" si="18"/>
        <v>17.399999999999999</v>
      </c>
      <c r="M164" s="64">
        <f t="shared" si="19"/>
        <v>27.4</v>
      </c>
      <c r="N164" s="64" cm="1">
        <f t="array" ref="N164">drivePower($C$4,M164,$C$9,$C$10,$C$11)</f>
        <v>5.0961999999999996</v>
      </c>
      <c r="O164" s="86">
        <f t="shared" si="17"/>
        <v>21538.44</v>
      </c>
      <c r="P164" s="90">
        <f t="shared" si="4"/>
        <v>-1.5000000000000001E-4</v>
      </c>
      <c r="Q164" s="91">
        <f t="shared" si="5"/>
        <v>0.82280000000000009</v>
      </c>
      <c r="R164" s="98">
        <v>0.15</v>
      </c>
      <c r="S164" s="95">
        <f t="shared" si="23"/>
        <v>323400</v>
      </c>
      <c r="T164" s="92" cm="1">
        <f t="array" ref="T164">maxDepthToMinSOC($L$8,$L$9,$L$6,$L$7,$O164,$G$5,$G$6,drivePower($C$4,$M164,$G164,$C$10,$C$11),$I164,$G164,$G$4,$C$8)</f>
        <v>26439.901050627232</v>
      </c>
      <c r="U164" s="12" cm="1">
        <f t="array" ref="U164">maxDepthToMinSOC($L$8,$L$9,P164,Q164,$O164,$G$5,$G$6,drivePower($C$4,$M164,$G164,$C$10,$C$11),$I164,$G164,$G$4,$C$8)</f>
        <v>9024.4503585994244</v>
      </c>
      <c r="V164" s="93">
        <f t="shared" si="20"/>
        <v>17732.175704613328</v>
      </c>
    </row>
    <row r="165" spans="7:22" x14ac:dyDescent="0.35">
      <c r="G165" s="59">
        <f t="shared" si="1"/>
        <v>0.5</v>
      </c>
      <c r="H165" s="64">
        <v>25</v>
      </c>
      <c r="I165" s="84">
        <f t="shared" si="21"/>
        <v>25</v>
      </c>
      <c r="J165" s="84">
        <v>50</v>
      </c>
      <c r="K165" s="60">
        <f t="shared" si="22"/>
        <v>325600</v>
      </c>
      <c r="L165" s="59">
        <f t="shared" si="18"/>
        <v>17.52</v>
      </c>
      <c r="M165" s="64">
        <f t="shared" si="19"/>
        <v>27.52</v>
      </c>
      <c r="N165" s="64" cm="1">
        <f t="array" ref="N165">drivePower($C$4,M165,$C$9,$C$10,$C$11)</f>
        <v>5.1097599999999996</v>
      </c>
      <c r="O165" s="86">
        <f t="shared" si="17"/>
        <v>21684.960000000003</v>
      </c>
      <c r="P165" s="90">
        <f t="shared" si="4"/>
        <v>-1.5000000000000001E-4</v>
      </c>
      <c r="Q165" s="91">
        <f t="shared" si="5"/>
        <v>0.82280000000000009</v>
      </c>
      <c r="R165" s="98">
        <v>0.15</v>
      </c>
      <c r="S165" s="95">
        <f t="shared" si="23"/>
        <v>325600</v>
      </c>
      <c r="T165" s="92" cm="1">
        <f t="array" ref="T165">maxDepthToMinSOC($L$8,$L$9,$L$6,$L$7,$O165,$G$5,$G$6,drivePower($C$4,$M165,$G165,$C$10,$C$11),$I165,$G165,$G$4,$C$8)</f>
        <v>26475.901052057743</v>
      </c>
      <c r="U165" s="12" cm="1">
        <f t="array" ref="U165">maxDepthToMinSOC($L$8,$L$9,P165,Q165,$O165,$G$5,$G$6,drivePower($C$4,$M165,$G165,$C$10,$C$11),$I165,$G165,$G$4,$C$8)</f>
        <v>9029.4003587961197</v>
      </c>
      <c r="V165" s="93">
        <f t="shared" si="20"/>
        <v>17752.650705426931</v>
      </c>
    </row>
    <row r="166" spans="7:22" x14ac:dyDescent="0.35">
      <c r="G166" s="59">
        <f t="shared" si="1"/>
        <v>0.5</v>
      </c>
      <c r="H166" s="64">
        <v>25</v>
      </c>
      <c r="I166" s="84">
        <f t="shared" si="21"/>
        <v>25</v>
      </c>
      <c r="J166" s="84">
        <v>50</v>
      </c>
      <c r="K166" s="60">
        <f t="shared" si="22"/>
        <v>327800</v>
      </c>
      <c r="L166" s="59">
        <f t="shared" si="18"/>
        <v>17.64</v>
      </c>
      <c r="M166" s="64">
        <f t="shared" si="19"/>
        <v>27.64</v>
      </c>
      <c r="N166" s="64" cm="1">
        <f t="array" ref="N166">drivePower($C$4,M166,$C$9,$C$10,$C$11)</f>
        <v>5.1233199999999997</v>
      </c>
      <c r="O166" s="86">
        <f t="shared" si="17"/>
        <v>21831.48</v>
      </c>
      <c r="P166" s="90">
        <f t="shared" si="4"/>
        <v>-1.5000000000000001E-4</v>
      </c>
      <c r="Q166" s="91">
        <f t="shared" si="5"/>
        <v>0.82280000000000009</v>
      </c>
      <c r="R166" s="98">
        <v>0.15</v>
      </c>
      <c r="S166" s="95">
        <f t="shared" si="23"/>
        <v>327800</v>
      </c>
      <c r="T166" s="92" cm="1">
        <f t="array" ref="T166">maxDepthToMinSOC($L$8,$L$9,$L$6,$L$7,$O166,$G$5,$G$6,drivePower($C$4,$M166,$G166,$C$10,$C$11),$I166,$G166,$G$4,$C$8)</f>
        <v>26511.601053476334</v>
      </c>
      <c r="U166" s="12" cm="1">
        <f t="array" ref="U166">maxDepthToMinSOC($L$8,$L$9,P166,Q166,$O166,$G$5,$G$6,drivePower($C$4,$M166,$G166,$C$10,$C$11),$I166,$G166,$G$4,$C$8)</f>
        <v>9034.2003589868546</v>
      </c>
      <c r="V166" s="93">
        <f t="shared" si="20"/>
        <v>17772.900706231594</v>
      </c>
    </row>
    <row r="167" spans="7:22" x14ac:dyDescent="0.35">
      <c r="G167" s="59">
        <f t="shared" si="1"/>
        <v>0.5</v>
      </c>
      <c r="H167" s="64">
        <v>25</v>
      </c>
      <c r="I167" s="84">
        <f t="shared" si="21"/>
        <v>25</v>
      </c>
      <c r="J167" s="84">
        <v>50</v>
      </c>
      <c r="K167" s="60">
        <f t="shared" si="22"/>
        <v>330000</v>
      </c>
      <c r="L167" s="59">
        <f t="shared" si="18"/>
        <v>17.760000000000002</v>
      </c>
      <c r="M167" s="64">
        <f t="shared" si="19"/>
        <v>27.76</v>
      </c>
      <c r="N167" s="64" cm="1">
        <f t="array" ref="N167">drivePower($C$4,M167,$C$9,$C$10,$C$11)</f>
        <v>5.1368799999999997</v>
      </c>
      <c r="O167" s="86">
        <f t="shared" si="17"/>
        <v>21978</v>
      </c>
      <c r="P167" s="90">
        <f t="shared" si="4"/>
        <v>-1.5000000000000001E-4</v>
      </c>
      <c r="Q167" s="91">
        <f t="shared" si="5"/>
        <v>0.82280000000000009</v>
      </c>
      <c r="R167" s="98">
        <v>0.15</v>
      </c>
      <c r="S167" s="95">
        <f t="shared" si="23"/>
        <v>330000</v>
      </c>
      <c r="T167" s="92" cm="1">
        <f t="array" ref="T167">maxDepthToMinSOC($L$8,$L$9,$L$6,$L$7,$O167,$G$5,$G$6,drivePower($C$4,$M167,$G167,$C$10,$C$11),$I167,$G167,$G$4,$C$8)</f>
        <v>26546.851054877043</v>
      </c>
      <c r="U167" s="12" cm="1">
        <f t="array" ref="U167">maxDepthToMinSOC($L$8,$L$9,P167,Q167,$O167,$G$5,$G$6,drivePower($C$4,$M167,$G167,$C$10,$C$11),$I167,$G167,$G$4,$C$8)</f>
        <v>9039.0003591775894</v>
      </c>
      <c r="V167" s="93">
        <f t="shared" si="20"/>
        <v>17792.925707027316</v>
      </c>
    </row>
    <row r="168" spans="7:22" x14ac:dyDescent="0.35">
      <c r="G168" s="59">
        <f t="shared" si="1"/>
        <v>0.5</v>
      </c>
      <c r="H168" s="64">
        <v>25</v>
      </c>
      <c r="I168" s="84">
        <f t="shared" si="21"/>
        <v>25</v>
      </c>
      <c r="J168" s="84">
        <v>50</v>
      </c>
      <c r="K168" s="60">
        <f t="shared" si="22"/>
        <v>332200</v>
      </c>
      <c r="L168" s="59">
        <f t="shared" si="18"/>
        <v>17.88</v>
      </c>
      <c r="M168" s="64">
        <f t="shared" si="19"/>
        <v>27.88</v>
      </c>
      <c r="N168" s="64" cm="1">
        <f t="array" ref="N168">drivePower($C$4,M168,$C$9,$C$10,$C$11)</f>
        <v>5.1504399999999997</v>
      </c>
      <c r="O168" s="86">
        <f t="shared" si="17"/>
        <v>22124.52</v>
      </c>
      <c r="P168" s="90">
        <f t="shared" si="4"/>
        <v>-1.5000000000000001E-4</v>
      </c>
      <c r="Q168" s="91">
        <f t="shared" si="5"/>
        <v>0.82280000000000009</v>
      </c>
      <c r="R168" s="98">
        <v>0.15</v>
      </c>
      <c r="S168" s="95">
        <f t="shared" si="23"/>
        <v>332200</v>
      </c>
      <c r="T168" s="92" cm="1">
        <f t="array" ref="T168">maxDepthToMinSOC($L$8,$L$9,$L$6,$L$7,$O168,$G$5,$G$6,drivePower($C$4,$M168,$G168,$C$10,$C$11),$I168,$G168,$G$4,$C$8)</f>
        <v>26581.651056259871</v>
      </c>
      <c r="U168" s="12" cm="1">
        <f t="array" ref="U168">maxDepthToMinSOC($L$8,$L$9,P168,Q168,$O168,$G$5,$G$6,drivePower($C$4,$M168,$G168,$C$10,$C$11),$I168,$G168,$G$4,$C$8)</f>
        <v>9043.8003593683243</v>
      </c>
      <c r="V168" s="93">
        <f t="shared" si="20"/>
        <v>17812.725707814097</v>
      </c>
    </row>
    <row r="169" spans="7:22" x14ac:dyDescent="0.35">
      <c r="G169" s="59">
        <f t="shared" si="1"/>
        <v>0.5</v>
      </c>
      <c r="H169" s="64">
        <v>25</v>
      </c>
      <c r="I169" s="84">
        <f t="shared" si="21"/>
        <v>25</v>
      </c>
      <c r="J169" s="84">
        <v>50</v>
      </c>
      <c r="K169" s="60">
        <f t="shared" si="22"/>
        <v>334400</v>
      </c>
      <c r="L169" s="59">
        <f t="shared" si="18"/>
        <v>18</v>
      </c>
      <c r="M169" s="64">
        <f t="shared" si="19"/>
        <v>28</v>
      </c>
      <c r="N169" s="64" cm="1">
        <f t="array" ref="N169">drivePower($C$4,M169,$C$9,$C$10,$C$11)</f>
        <v>5.1639999999999997</v>
      </c>
      <c r="O169" s="86">
        <f t="shared" si="17"/>
        <v>22271.039999999997</v>
      </c>
      <c r="P169" s="90">
        <f t="shared" si="4"/>
        <v>-1.5000000000000001E-4</v>
      </c>
      <c r="Q169" s="91">
        <f t="shared" si="5"/>
        <v>0.82280000000000009</v>
      </c>
      <c r="R169" s="98">
        <v>0.15</v>
      </c>
      <c r="S169" s="95">
        <f t="shared" si="23"/>
        <v>334400</v>
      </c>
      <c r="T169" s="92" cm="1">
        <f t="array" ref="T169">maxDepthToMinSOC($L$8,$L$9,$L$6,$L$7,$O169,$G$5,$G$6,drivePower($C$4,$M169,$G169,$C$10,$C$11),$I169,$G169,$G$4,$C$8)</f>
        <v>26616.151057630777</v>
      </c>
      <c r="U169" s="12" cm="1">
        <f t="array" ref="U169">maxDepthToMinSOC($L$8,$L$9,P169,Q169,$O169,$G$5,$G$6,drivePower($C$4,$M169,$G169,$C$10,$C$11),$I169,$G169,$G$4,$C$8)</f>
        <v>9048.4503595530987</v>
      </c>
      <c r="V169" s="93">
        <f t="shared" si="20"/>
        <v>17832.300708591938</v>
      </c>
    </row>
    <row r="170" spans="7:22" x14ac:dyDescent="0.35">
      <c r="G170" s="59">
        <f t="shared" si="1"/>
        <v>0.5</v>
      </c>
      <c r="H170" s="64">
        <v>25</v>
      </c>
      <c r="I170" s="84">
        <f t="shared" si="21"/>
        <v>25</v>
      </c>
      <c r="J170" s="84">
        <v>50</v>
      </c>
      <c r="K170" s="60">
        <f t="shared" si="22"/>
        <v>336600</v>
      </c>
      <c r="L170" s="59">
        <f t="shared" si="18"/>
        <v>18.12</v>
      </c>
      <c r="M170" s="64">
        <f t="shared" si="19"/>
        <v>28.12</v>
      </c>
      <c r="N170" s="64" cm="1">
        <f t="array" ref="N170">drivePower($C$4,M170,$C$9,$C$10,$C$11)</f>
        <v>5.1775599999999997</v>
      </c>
      <c r="O170" s="86">
        <f t="shared" si="17"/>
        <v>22417.56</v>
      </c>
      <c r="P170" s="90">
        <f t="shared" si="4"/>
        <v>-1.5000000000000001E-4</v>
      </c>
      <c r="Q170" s="91">
        <f t="shared" si="5"/>
        <v>0.82280000000000009</v>
      </c>
      <c r="R170" s="98">
        <v>0.15</v>
      </c>
      <c r="S170" s="95">
        <f t="shared" si="23"/>
        <v>336600</v>
      </c>
      <c r="T170" s="92" cm="1">
        <f t="array" ref="T170">maxDepthToMinSOC($L$8,$L$9,$L$6,$L$7,$O170,$G$5,$G$6,drivePower($C$4,$M170,$G170,$C$10,$C$11),$I170,$G170,$G$4,$C$8)</f>
        <v>26650.351058989763</v>
      </c>
      <c r="U170" s="12" cm="1">
        <f t="array" ref="U170">maxDepthToMinSOC($L$8,$L$9,P170,Q170,$O170,$G$5,$G$6,drivePower($C$4,$M170,$G170,$C$10,$C$11),$I170,$G170,$G$4,$C$8)</f>
        <v>9053.1003597378731</v>
      </c>
      <c r="V170" s="93">
        <f t="shared" si="20"/>
        <v>17851.725709363818</v>
      </c>
    </row>
    <row r="171" spans="7:22" x14ac:dyDescent="0.35">
      <c r="G171" s="59">
        <f t="shared" si="1"/>
        <v>0.5</v>
      </c>
      <c r="H171" s="64">
        <v>25</v>
      </c>
      <c r="I171" s="84">
        <f t="shared" si="21"/>
        <v>25</v>
      </c>
      <c r="J171" s="84">
        <v>50</v>
      </c>
      <c r="K171" s="60">
        <f t="shared" si="22"/>
        <v>338800</v>
      </c>
      <c r="L171" s="59">
        <f t="shared" si="18"/>
        <v>18.239999999999998</v>
      </c>
      <c r="M171" s="64">
        <f t="shared" si="19"/>
        <v>28.24</v>
      </c>
      <c r="N171" s="64" cm="1">
        <f t="array" ref="N171">drivePower($C$4,M171,$C$9,$C$10,$C$11)</f>
        <v>5.1911199999999997</v>
      </c>
      <c r="O171" s="86">
        <f t="shared" si="17"/>
        <v>22564.080000000002</v>
      </c>
      <c r="P171" s="90">
        <f t="shared" si="4"/>
        <v>-1.5000000000000001E-4</v>
      </c>
      <c r="Q171" s="91">
        <f t="shared" si="5"/>
        <v>0.82280000000000009</v>
      </c>
      <c r="R171" s="98">
        <v>0.15</v>
      </c>
      <c r="S171" s="95">
        <f t="shared" si="23"/>
        <v>338800</v>
      </c>
      <c r="T171" s="92" cm="1">
        <f t="array" ref="T171">maxDepthToMinSOC($L$8,$L$9,$L$6,$L$7,$O171,$G$5,$G$6,drivePower($C$4,$M171,$G171,$C$10,$C$11),$I171,$G171,$G$4,$C$8)</f>
        <v>26684.101060330868</v>
      </c>
      <c r="U171" s="12" cm="1">
        <f t="array" ref="U171">maxDepthToMinSOC($L$8,$L$9,P171,Q171,$O171,$G$5,$G$6,drivePower($C$4,$M171,$G171,$C$10,$C$11),$I171,$G171,$G$4,$C$8)</f>
        <v>9057.7503599226475</v>
      </c>
      <c r="V171" s="93">
        <f t="shared" si="20"/>
        <v>17870.925710126758</v>
      </c>
    </row>
    <row r="172" spans="7:22" x14ac:dyDescent="0.35">
      <c r="G172" s="59">
        <f t="shared" si="1"/>
        <v>0.5</v>
      </c>
      <c r="H172" s="64">
        <v>25</v>
      </c>
      <c r="I172" s="84">
        <f t="shared" si="21"/>
        <v>25</v>
      </c>
      <c r="J172" s="84">
        <v>50</v>
      </c>
      <c r="K172" s="60">
        <f t="shared" si="22"/>
        <v>341000</v>
      </c>
      <c r="L172" s="59">
        <f t="shared" si="18"/>
        <v>18.36</v>
      </c>
      <c r="M172" s="64">
        <f t="shared" si="19"/>
        <v>28.36</v>
      </c>
      <c r="N172" s="64" cm="1">
        <f t="array" ref="N172">drivePower($C$4,M172,$C$9,$C$10,$C$11)</f>
        <v>5.2046799999999998</v>
      </c>
      <c r="O172" s="86">
        <f t="shared" si="17"/>
        <v>22710.6</v>
      </c>
      <c r="P172" s="90">
        <f t="shared" si="4"/>
        <v>-1.5000000000000001E-4</v>
      </c>
      <c r="Q172" s="91">
        <f t="shared" si="5"/>
        <v>0.82280000000000009</v>
      </c>
      <c r="R172" s="98">
        <v>0.15</v>
      </c>
      <c r="S172" s="95">
        <f t="shared" si="23"/>
        <v>341000</v>
      </c>
      <c r="T172" s="92" cm="1">
        <f t="array" ref="T172">maxDepthToMinSOC($L$8,$L$9,$L$6,$L$7,$O172,$G$5,$G$6,drivePower($C$4,$M172,$G172,$C$10,$C$11),$I172,$G172,$G$4,$C$8)</f>
        <v>26717.401061654091</v>
      </c>
      <c r="U172" s="12" cm="1">
        <f t="array" ref="U172">maxDepthToMinSOC($L$8,$L$9,P172,Q172,$O172,$G$5,$G$6,drivePower($C$4,$M172,$G172,$C$10,$C$11),$I172,$G172,$G$4,$C$8)</f>
        <v>9062.2503601014614</v>
      </c>
      <c r="V172" s="93">
        <f t="shared" si="20"/>
        <v>17889.825710877776</v>
      </c>
    </row>
    <row r="173" spans="7:22" x14ac:dyDescent="0.35">
      <c r="G173" s="59">
        <f t="shared" si="1"/>
        <v>0.5</v>
      </c>
      <c r="H173" s="64">
        <v>25</v>
      </c>
      <c r="I173" s="84">
        <f t="shared" si="21"/>
        <v>25</v>
      </c>
      <c r="J173" s="84">
        <v>50</v>
      </c>
      <c r="K173" s="60">
        <f t="shared" si="22"/>
        <v>343200</v>
      </c>
      <c r="L173" s="59">
        <f t="shared" si="18"/>
        <v>18.48</v>
      </c>
      <c r="M173" s="64">
        <f t="shared" si="19"/>
        <v>28.48</v>
      </c>
      <c r="N173" s="64" cm="1">
        <f t="array" ref="N173">drivePower($C$4,M173,$C$9,$C$10,$C$11)</f>
        <v>5.2182399999999998</v>
      </c>
      <c r="O173" s="86">
        <f t="shared" si="17"/>
        <v>22857.119999999999</v>
      </c>
      <c r="P173" s="90">
        <f t="shared" si="4"/>
        <v>-1.5000000000000001E-4</v>
      </c>
      <c r="Q173" s="91">
        <f t="shared" si="5"/>
        <v>0.82280000000000009</v>
      </c>
      <c r="R173" s="98">
        <v>0.15</v>
      </c>
      <c r="S173" s="95">
        <f t="shared" si="23"/>
        <v>343200</v>
      </c>
      <c r="T173" s="92" cm="1">
        <f t="array" ref="T173">maxDepthToMinSOC($L$8,$L$9,$L$6,$L$7,$O173,$G$5,$G$6,drivePower($C$4,$M173,$G173,$C$10,$C$11),$I173,$G173,$G$4,$C$8)</f>
        <v>26750.551062971354</v>
      </c>
      <c r="U173" s="12" cm="1">
        <f t="array" ref="U173">maxDepthToMinSOC($L$8,$L$9,P173,Q173,$O173,$G$5,$G$6,drivePower($C$4,$M173,$G173,$C$10,$C$11),$I173,$G173,$G$4,$C$8)</f>
        <v>9066.7503602802753</v>
      </c>
      <c r="V173" s="93">
        <f t="shared" si="20"/>
        <v>17908.650711625814</v>
      </c>
    </row>
    <row r="174" spans="7:22" x14ac:dyDescent="0.35">
      <c r="G174" s="59">
        <f t="shared" si="1"/>
        <v>0.5</v>
      </c>
      <c r="H174" s="64">
        <v>25</v>
      </c>
      <c r="I174" s="84">
        <f t="shared" si="21"/>
        <v>25</v>
      </c>
      <c r="J174" s="84">
        <v>50</v>
      </c>
      <c r="K174" s="60">
        <f t="shared" si="22"/>
        <v>345400</v>
      </c>
      <c r="L174" s="59">
        <f t="shared" si="18"/>
        <v>18.600000000000001</v>
      </c>
      <c r="M174" s="64">
        <f t="shared" si="19"/>
        <v>28.6</v>
      </c>
      <c r="N174" s="64" cm="1">
        <f t="array" ref="N174">drivePower($C$4,M174,$C$9,$C$10,$C$11)</f>
        <v>5.2317999999999998</v>
      </c>
      <c r="O174" s="86">
        <f t="shared" si="17"/>
        <v>23003.64</v>
      </c>
      <c r="P174" s="90">
        <f t="shared" si="4"/>
        <v>-1.5000000000000001E-4</v>
      </c>
      <c r="Q174" s="91">
        <f t="shared" si="5"/>
        <v>0.82280000000000009</v>
      </c>
      <c r="R174" s="98">
        <v>0.15</v>
      </c>
      <c r="S174" s="95">
        <f t="shared" si="23"/>
        <v>345400</v>
      </c>
      <c r="T174" s="92" cm="1">
        <f t="array" ref="T174">maxDepthToMinSOC($L$8,$L$9,$L$6,$L$7,$O174,$G$5,$G$6,drivePower($C$4,$M174,$G174,$C$10,$C$11),$I174,$G174,$G$4,$C$8)</f>
        <v>26783.251064270735</v>
      </c>
      <c r="U174" s="12" cm="1">
        <f t="array" ref="U174">maxDepthToMinSOC($L$8,$L$9,P174,Q174,$O174,$G$5,$G$6,drivePower($C$4,$M174,$G174,$C$10,$C$11),$I174,$G174,$G$4,$C$8)</f>
        <v>9071.1003604531288</v>
      </c>
      <c r="V174" s="93">
        <f t="shared" si="20"/>
        <v>17927.175712361932</v>
      </c>
    </row>
    <row r="175" spans="7:22" x14ac:dyDescent="0.35">
      <c r="G175" s="59">
        <f t="shared" si="1"/>
        <v>0.5</v>
      </c>
      <c r="H175" s="64">
        <v>25</v>
      </c>
      <c r="I175" s="84">
        <f t="shared" si="21"/>
        <v>25</v>
      </c>
      <c r="J175" s="84">
        <v>50</v>
      </c>
      <c r="K175" s="60">
        <f t="shared" si="22"/>
        <v>347600</v>
      </c>
      <c r="L175" s="59">
        <f t="shared" si="18"/>
        <v>18.72</v>
      </c>
      <c r="M175" s="64">
        <f t="shared" si="19"/>
        <v>28.72</v>
      </c>
      <c r="N175" s="64" cm="1">
        <f t="array" ref="N175">drivePower($C$4,M175,$C$9,$C$10,$C$11)</f>
        <v>5.2453599999999998</v>
      </c>
      <c r="O175" s="86">
        <f t="shared" si="17"/>
        <v>23150.16</v>
      </c>
      <c r="P175" s="90">
        <f t="shared" si="4"/>
        <v>-1.5000000000000001E-4</v>
      </c>
      <c r="Q175" s="91">
        <f t="shared" si="5"/>
        <v>0.82280000000000009</v>
      </c>
      <c r="R175" s="98">
        <v>0.15</v>
      </c>
      <c r="S175" s="95">
        <f t="shared" si="23"/>
        <v>347600</v>
      </c>
      <c r="T175" s="92" cm="1">
        <f t="array" ref="T175">maxDepthToMinSOC($L$8,$L$9,$L$6,$L$7,$O175,$G$5,$G$6,drivePower($C$4,$M175,$G175,$C$10,$C$11),$I175,$G175,$G$4,$C$8)</f>
        <v>26815.651065558195</v>
      </c>
      <c r="U175" s="12" cm="1">
        <f t="array" ref="U175">maxDepthToMinSOC($L$8,$L$9,P175,Q175,$O175,$G$5,$G$6,drivePower($C$4,$M175,$G175,$C$10,$C$11),$I175,$G175,$G$4,$C$8)</f>
        <v>9075.6003606319427</v>
      </c>
      <c r="V175" s="93">
        <f t="shared" si="20"/>
        <v>17945.625713095069</v>
      </c>
    </row>
    <row r="176" spans="7:22" x14ac:dyDescent="0.35">
      <c r="G176" s="59">
        <f t="shared" si="1"/>
        <v>0.5</v>
      </c>
      <c r="H176" s="64">
        <v>25</v>
      </c>
      <c r="I176" s="84">
        <f t="shared" si="21"/>
        <v>25</v>
      </c>
      <c r="J176" s="84">
        <v>50</v>
      </c>
      <c r="K176" s="60">
        <f t="shared" si="22"/>
        <v>349800</v>
      </c>
      <c r="L176" s="59">
        <f t="shared" si="18"/>
        <v>18.84</v>
      </c>
      <c r="M176" s="64">
        <f t="shared" si="19"/>
        <v>28.84</v>
      </c>
      <c r="N176" s="64" cm="1">
        <f t="array" ref="N176">drivePower($C$4,M176,$C$9,$C$10,$C$11)</f>
        <v>5.2589199999999998</v>
      </c>
      <c r="O176" s="86">
        <f t="shared" si="17"/>
        <v>23296.68</v>
      </c>
      <c r="P176" s="90">
        <f t="shared" si="4"/>
        <v>-1.5000000000000001E-4</v>
      </c>
      <c r="Q176" s="91">
        <f t="shared" si="5"/>
        <v>0.82280000000000009</v>
      </c>
      <c r="R176" s="98">
        <v>0.15</v>
      </c>
      <c r="S176" s="95">
        <f t="shared" si="23"/>
        <v>349800</v>
      </c>
      <c r="T176" s="92" cm="1">
        <f t="array" ref="T176">maxDepthToMinSOC($L$8,$L$9,$L$6,$L$7,$O176,$G$5,$G$6,drivePower($C$4,$M176,$G176,$C$10,$C$11),$I176,$G176,$G$4,$C$8)</f>
        <v>26847.751066833735</v>
      </c>
      <c r="U176" s="12" cm="1">
        <f t="array" ref="U176">maxDepthToMinSOC($L$8,$L$9,P176,Q176,$O176,$G$5,$G$6,drivePower($C$4,$M176,$G176,$C$10,$C$11),$I176,$G176,$G$4,$C$8)</f>
        <v>9079.8003607988358</v>
      </c>
      <c r="V176" s="93">
        <f t="shared" si="20"/>
        <v>17963.775713816285</v>
      </c>
    </row>
    <row r="177" spans="7:22" x14ac:dyDescent="0.35">
      <c r="G177" s="59">
        <f t="shared" si="1"/>
        <v>0.5</v>
      </c>
      <c r="H177" s="64">
        <v>25</v>
      </c>
      <c r="I177" s="84">
        <f t="shared" si="21"/>
        <v>25</v>
      </c>
      <c r="J177" s="84">
        <v>50</v>
      </c>
      <c r="K177" s="60">
        <f t="shared" si="22"/>
        <v>352000</v>
      </c>
      <c r="L177" s="59">
        <f t="shared" si="18"/>
        <v>18.96</v>
      </c>
      <c r="M177" s="64">
        <f t="shared" si="19"/>
        <v>28.96</v>
      </c>
      <c r="N177" s="64" cm="1">
        <f t="array" ref="N177">drivePower($C$4,M177,$C$9,$C$10,$C$11)</f>
        <v>5.2724799999999998</v>
      </c>
      <c r="O177" s="86">
        <f t="shared" si="17"/>
        <v>23443.200000000001</v>
      </c>
      <c r="P177" s="90">
        <f t="shared" si="4"/>
        <v>-1.5000000000000001E-4</v>
      </c>
      <c r="Q177" s="91">
        <f t="shared" si="5"/>
        <v>0.82280000000000009</v>
      </c>
      <c r="R177" s="98">
        <v>0.15</v>
      </c>
      <c r="S177" s="95">
        <f t="shared" si="23"/>
        <v>352000</v>
      </c>
      <c r="T177" s="92" cm="1">
        <f t="array" ref="T177">maxDepthToMinSOC($L$8,$L$9,$L$6,$L$7,$O177,$G$5,$G$6,drivePower($C$4,$M177,$G177,$C$10,$C$11),$I177,$G177,$G$4,$C$8)</f>
        <v>26879.401068091393</v>
      </c>
      <c r="U177" s="12" cm="1">
        <f t="array" ref="U177">maxDepthToMinSOC($L$8,$L$9,P177,Q177,$O177,$G$5,$G$6,drivePower($C$4,$M177,$G177,$C$10,$C$11),$I177,$G177,$G$4,$C$8)</f>
        <v>9084.1503609716892</v>
      </c>
      <c r="V177" s="93">
        <f t="shared" si="20"/>
        <v>17981.775714531541</v>
      </c>
    </row>
    <row r="178" spans="7:22" x14ac:dyDescent="0.35">
      <c r="G178" s="59">
        <f t="shared" si="1"/>
        <v>0.5</v>
      </c>
      <c r="H178" s="64">
        <v>25</v>
      </c>
      <c r="I178" s="84">
        <f t="shared" si="21"/>
        <v>25</v>
      </c>
      <c r="J178" s="84">
        <v>50</v>
      </c>
      <c r="K178" s="60">
        <f t="shared" si="22"/>
        <v>354200</v>
      </c>
      <c r="L178" s="59">
        <f t="shared" si="18"/>
        <v>19.079999999999998</v>
      </c>
      <c r="M178" s="64">
        <f t="shared" si="19"/>
        <v>29.08</v>
      </c>
      <c r="N178" s="64" cm="1">
        <f t="array" ref="N178">drivePower($C$4,M178,$C$9,$C$10,$C$11)</f>
        <v>5.2860399999999998</v>
      </c>
      <c r="O178" s="86">
        <f t="shared" si="17"/>
        <v>23589.719999999998</v>
      </c>
      <c r="P178" s="90">
        <f t="shared" si="4"/>
        <v>-1.5000000000000001E-4</v>
      </c>
      <c r="Q178" s="91">
        <f t="shared" si="5"/>
        <v>0.82280000000000009</v>
      </c>
      <c r="R178" s="98">
        <v>0.15</v>
      </c>
      <c r="S178" s="95">
        <f t="shared" si="23"/>
        <v>354200</v>
      </c>
      <c r="T178" s="92" cm="1">
        <f t="array" ref="T178">maxDepthToMinSOC($L$8,$L$9,$L$6,$L$7,$O178,$G$5,$G$6,drivePower($C$4,$M178,$G178,$C$10,$C$11),$I178,$G178,$G$4,$C$8)</f>
        <v>26910.90106934309</v>
      </c>
      <c r="U178" s="12" cm="1">
        <f t="array" ref="U178">maxDepthToMinSOC($L$8,$L$9,P178,Q178,$O178,$G$5,$G$6,drivePower($C$4,$M178,$G178,$C$10,$C$11),$I178,$G178,$G$4,$C$8)</f>
        <v>9088.3503611385822</v>
      </c>
      <c r="V178" s="93">
        <f t="shared" si="20"/>
        <v>17999.625715240836</v>
      </c>
    </row>
    <row r="179" spans="7:22" x14ac:dyDescent="0.35">
      <c r="G179" s="59">
        <f t="shared" si="1"/>
        <v>0.5</v>
      </c>
      <c r="H179" s="64">
        <v>25</v>
      </c>
      <c r="I179" s="84">
        <f t="shared" si="21"/>
        <v>25</v>
      </c>
      <c r="J179" s="84">
        <v>50</v>
      </c>
      <c r="K179" s="60">
        <f t="shared" si="22"/>
        <v>356400</v>
      </c>
      <c r="L179" s="59">
        <f t="shared" si="18"/>
        <v>19.2</v>
      </c>
      <c r="M179" s="64">
        <f t="shared" si="19"/>
        <v>29.2</v>
      </c>
      <c r="N179" s="64" cm="1">
        <f t="array" ref="N179">drivePower($C$4,M179,$C$9,$C$10,$C$11)</f>
        <v>5.2995999999999999</v>
      </c>
      <c r="O179" s="86">
        <f t="shared" si="17"/>
        <v>23736.239999999998</v>
      </c>
      <c r="P179" s="90">
        <f t="shared" si="4"/>
        <v>-1.5000000000000001E-4</v>
      </c>
      <c r="Q179" s="91">
        <f t="shared" si="5"/>
        <v>0.82280000000000009</v>
      </c>
      <c r="R179" s="98">
        <v>0.15</v>
      </c>
      <c r="S179" s="95">
        <f t="shared" si="23"/>
        <v>356400</v>
      </c>
      <c r="T179" s="92" cm="1">
        <f t="array" ref="T179">maxDepthToMinSOC($L$8,$L$9,$L$6,$L$7,$O179,$G$5,$G$6,drivePower($C$4,$M179,$G179,$C$10,$C$11),$I179,$G179,$G$4,$C$8)</f>
        <v>26941.951070576906</v>
      </c>
      <c r="U179" s="12" cm="1">
        <f t="array" ref="U179">maxDepthToMinSOC($L$8,$L$9,P179,Q179,$O179,$G$5,$G$6,drivePower($C$4,$M179,$G179,$C$10,$C$11),$I179,$G179,$G$4,$C$8)</f>
        <v>9092.5503613054752</v>
      </c>
      <c r="V179" s="93">
        <f t="shared" si="20"/>
        <v>18017.250715941191</v>
      </c>
    </row>
    <row r="180" spans="7:22" x14ac:dyDescent="0.35">
      <c r="G180" s="59">
        <f t="shared" si="1"/>
        <v>0.5</v>
      </c>
      <c r="H180" s="64">
        <v>25</v>
      </c>
      <c r="I180" s="84">
        <f t="shared" si="21"/>
        <v>25</v>
      </c>
      <c r="J180" s="84">
        <v>50</v>
      </c>
      <c r="K180" s="60">
        <f t="shared" si="22"/>
        <v>358600</v>
      </c>
      <c r="L180" s="59">
        <f t="shared" si="18"/>
        <v>19.32</v>
      </c>
      <c r="M180" s="64">
        <f t="shared" si="19"/>
        <v>29.32</v>
      </c>
      <c r="N180" s="64" cm="1">
        <f t="array" ref="N180">drivePower($C$4,M180,$C$9,$C$10,$C$11)</f>
        <v>5.3131599999999999</v>
      </c>
      <c r="O180" s="86">
        <f t="shared" si="17"/>
        <v>23882.760000000002</v>
      </c>
      <c r="P180" s="90">
        <f t="shared" si="4"/>
        <v>-1.5000000000000001E-4</v>
      </c>
      <c r="Q180" s="91">
        <f t="shared" si="5"/>
        <v>0.82280000000000009</v>
      </c>
      <c r="R180" s="98">
        <v>0.15</v>
      </c>
      <c r="S180" s="95">
        <f t="shared" si="23"/>
        <v>358600</v>
      </c>
      <c r="T180" s="92" cm="1">
        <f t="array" ref="T180">maxDepthToMinSOC($L$8,$L$9,$L$6,$L$7,$O180,$G$5,$G$6,drivePower($C$4,$M180,$G180,$C$10,$C$11),$I180,$G180,$G$4,$C$8)</f>
        <v>26972.701071798801</v>
      </c>
      <c r="U180" s="12" cm="1">
        <f t="array" ref="U180">maxDepthToMinSOC($L$8,$L$9,P180,Q180,$O180,$G$5,$G$6,drivePower($C$4,$M180,$G180,$C$10,$C$11),$I180,$G180,$G$4,$C$8)</f>
        <v>9096.6003614664078</v>
      </c>
      <c r="V180" s="93">
        <f t="shared" si="20"/>
        <v>18034.650716632605</v>
      </c>
    </row>
    <row r="181" spans="7:22" x14ac:dyDescent="0.35">
      <c r="G181" s="59">
        <f t="shared" si="1"/>
        <v>0.5</v>
      </c>
      <c r="H181" s="64">
        <v>25</v>
      </c>
      <c r="I181" s="84">
        <f t="shared" si="21"/>
        <v>25</v>
      </c>
      <c r="J181" s="84">
        <v>50</v>
      </c>
      <c r="K181" s="60">
        <f t="shared" si="22"/>
        <v>360800</v>
      </c>
      <c r="L181" s="59">
        <f t="shared" si="18"/>
        <v>19.440000000000001</v>
      </c>
      <c r="M181" s="64">
        <f t="shared" si="19"/>
        <v>29.44</v>
      </c>
      <c r="N181" s="64" cm="1">
        <f t="array" ref="N181">drivePower($C$4,M181,$C$9,$C$10,$C$11)</f>
        <v>5.3267199999999999</v>
      </c>
      <c r="O181" s="86">
        <f t="shared" si="17"/>
        <v>24029.280000000002</v>
      </c>
      <c r="P181" s="90">
        <f t="shared" si="4"/>
        <v>-1.5000000000000001E-4</v>
      </c>
      <c r="Q181" s="91">
        <f t="shared" si="5"/>
        <v>0.82280000000000009</v>
      </c>
      <c r="R181" s="98">
        <v>0.15</v>
      </c>
      <c r="S181" s="95">
        <f t="shared" si="23"/>
        <v>360800</v>
      </c>
      <c r="T181" s="92" cm="1">
        <f t="array" ref="T181">maxDepthToMinSOC($L$8,$L$9,$L$6,$L$7,$O181,$G$5,$G$6,drivePower($C$4,$M181,$G181,$C$10,$C$11),$I181,$G181,$G$4,$C$8)</f>
        <v>27003.151073008776</v>
      </c>
      <c r="U181" s="12" cm="1">
        <f t="array" ref="U181">maxDepthToMinSOC($L$8,$L$9,P181,Q181,$O181,$G$5,$G$6,drivePower($C$4,$M181,$G181,$C$10,$C$11),$I181,$G181,$G$4,$C$8)</f>
        <v>9100.8003616333008</v>
      </c>
      <c r="V181" s="93">
        <f t="shared" si="20"/>
        <v>18051.975717321038</v>
      </c>
    </row>
    <row r="182" spans="7:22" x14ac:dyDescent="0.35">
      <c r="G182" s="59">
        <f t="shared" si="1"/>
        <v>0.5</v>
      </c>
      <c r="H182" s="64">
        <v>25</v>
      </c>
      <c r="I182" s="84">
        <f t="shared" si="21"/>
        <v>25</v>
      </c>
      <c r="J182" s="84">
        <v>50</v>
      </c>
      <c r="K182" s="60">
        <f t="shared" si="22"/>
        <v>363000</v>
      </c>
      <c r="L182" s="59">
        <f t="shared" si="18"/>
        <v>19.559999999999999</v>
      </c>
      <c r="M182" s="64">
        <f t="shared" si="19"/>
        <v>29.56</v>
      </c>
      <c r="N182" s="64" cm="1">
        <f t="array" ref="N182">drivePower($C$4,M182,$C$9,$C$10,$C$11)</f>
        <v>5.3402799999999999</v>
      </c>
      <c r="O182" s="86">
        <f t="shared" si="17"/>
        <v>24175.8</v>
      </c>
      <c r="P182" s="90">
        <f t="shared" si="4"/>
        <v>-1.5000000000000001E-4</v>
      </c>
      <c r="Q182" s="91">
        <f t="shared" si="5"/>
        <v>0.82280000000000009</v>
      </c>
      <c r="R182" s="98">
        <v>0.15</v>
      </c>
      <c r="S182" s="95">
        <f t="shared" si="23"/>
        <v>363000</v>
      </c>
      <c r="T182" s="92" cm="1">
        <f t="array" ref="T182">maxDepthToMinSOC($L$8,$L$9,$L$6,$L$7,$O182,$G$5,$G$6,drivePower($C$4,$M182,$G182,$C$10,$C$11),$I182,$G182,$G$4,$C$8)</f>
        <v>27033.301074206829</v>
      </c>
      <c r="U182" s="12" cm="1">
        <f t="array" ref="U182">maxDepthToMinSOC($L$8,$L$9,P182,Q182,$O182,$G$5,$G$6,drivePower($C$4,$M182,$G182,$C$10,$C$11),$I182,$G182,$G$4,$C$8)</f>
        <v>9104.7003617882729</v>
      </c>
      <c r="V182" s="93">
        <f t="shared" si="20"/>
        <v>18069.000717997551</v>
      </c>
    </row>
    <row r="183" spans="7:22" x14ac:dyDescent="0.35">
      <c r="G183" s="59">
        <f t="shared" si="1"/>
        <v>0.5</v>
      </c>
      <c r="H183" s="64">
        <v>25</v>
      </c>
      <c r="I183" s="84">
        <f t="shared" si="21"/>
        <v>25</v>
      </c>
      <c r="J183" s="84">
        <v>50</v>
      </c>
      <c r="K183" s="60">
        <f t="shared" si="22"/>
        <v>365200</v>
      </c>
      <c r="L183" s="59">
        <f t="shared" si="18"/>
        <v>19.68</v>
      </c>
      <c r="M183" s="64">
        <f t="shared" si="19"/>
        <v>29.68</v>
      </c>
      <c r="N183" s="64" cm="1">
        <f t="array" ref="N183">drivePower($C$4,M183,$C$9,$C$10,$C$11)</f>
        <v>5.3538399999999999</v>
      </c>
      <c r="O183" s="86">
        <f t="shared" si="17"/>
        <v>24322.32</v>
      </c>
      <c r="P183" s="90">
        <f t="shared" si="4"/>
        <v>-1.5000000000000001E-4</v>
      </c>
      <c r="Q183" s="91">
        <f t="shared" si="5"/>
        <v>0.82280000000000009</v>
      </c>
      <c r="R183" s="98">
        <v>0.15</v>
      </c>
      <c r="S183" s="95">
        <f t="shared" si="23"/>
        <v>365200</v>
      </c>
      <c r="T183" s="92" cm="1">
        <f t="array" ref="T183">maxDepthToMinSOC($L$8,$L$9,$L$6,$L$7,$O183,$G$5,$G$6,drivePower($C$4,$M183,$G183,$C$10,$C$11),$I183,$G183,$G$4,$C$8)</f>
        <v>27063.151075392962</v>
      </c>
      <c r="U183" s="12" cm="1">
        <f t="array" ref="U183">maxDepthToMinSOC($L$8,$L$9,P183,Q183,$O183,$G$5,$G$6,drivePower($C$4,$M183,$G183,$C$10,$C$11),$I183,$G183,$G$4,$C$8)</f>
        <v>9108.7503619492054</v>
      </c>
      <c r="V183" s="93">
        <f t="shared" si="20"/>
        <v>18085.950718671083</v>
      </c>
    </row>
    <row r="184" spans="7:22" x14ac:dyDescent="0.35">
      <c r="G184" s="59">
        <f t="shared" si="1"/>
        <v>0.5</v>
      </c>
      <c r="H184" s="64">
        <v>25</v>
      </c>
      <c r="I184" s="84">
        <f t="shared" si="21"/>
        <v>25</v>
      </c>
      <c r="J184" s="84">
        <v>50</v>
      </c>
      <c r="K184" s="60">
        <f t="shared" si="22"/>
        <v>367400</v>
      </c>
      <c r="L184" s="59">
        <f t="shared" si="18"/>
        <v>19.8</v>
      </c>
      <c r="M184" s="64">
        <f t="shared" si="19"/>
        <v>29.8</v>
      </c>
      <c r="N184" s="64" cm="1">
        <f t="array" ref="N184">drivePower($C$4,M184,$C$9,$C$10,$C$11)</f>
        <v>5.3673999999999999</v>
      </c>
      <c r="O184" s="86">
        <f t="shared" si="17"/>
        <v>24468.84</v>
      </c>
      <c r="P184" s="90">
        <f t="shared" si="4"/>
        <v>-1.5000000000000001E-4</v>
      </c>
      <c r="Q184" s="91">
        <f t="shared" si="5"/>
        <v>0.82280000000000009</v>
      </c>
      <c r="R184" s="98">
        <v>0.15</v>
      </c>
      <c r="S184" s="95">
        <f t="shared" si="23"/>
        <v>367400</v>
      </c>
      <c r="T184" s="92" cm="1">
        <f t="array" ref="T184">maxDepthToMinSOC($L$8,$L$9,$L$6,$L$7,$O184,$G$5,$G$6,drivePower($C$4,$M184,$G184,$C$10,$C$11),$I184,$G184,$G$4,$C$8)</f>
        <v>27092.701076567173</v>
      </c>
      <c r="U184" s="12" cm="1">
        <f t="array" ref="U184">maxDepthToMinSOC($L$8,$L$9,P184,Q184,$O184,$G$5,$G$6,drivePower($C$4,$M184,$G184,$C$10,$C$11),$I184,$G184,$G$4,$C$8)</f>
        <v>9112.6503621041775</v>
      </c>
      <c r="V184" s="93">
        <f t="shared" si="20"/>
        <v>18102.675719335675</v>
      </c>
    </row>
    <row r="185" spans="7:22" x14ac:dyDescent="0.35">
      <c r="G185" s="59">
        <f t="shared" si="1"/>
        <v>0.5</v>
      </c>
      <c r="H185" s="64">
        <v>25</v>
      </c>
      <c r="I185" s="84">
        <f t="shared" si="21"/>
        <v>25</v>
      </c>
      <c r="J185" s="84">
        <v>50</v>
      </c>
      <c r="K185" s="60">
        <f t="shared" si="22"/>
        <v>369600</v>
      </c>
      <c r="L185" s="59">
        <f t="shared" si="18"/>
        <v>19.920000000000002</v>
      </c>
      <c r="M185" s="64">
        <f t="shared" si="19"/>
        <v>29.92</v>
      </c>
      <c r="N185" s="64" cm="1">
        <f t="array" ref="N185">drivePower($C$4,M185,$C$9,$C$10,$C$11)</f>
        <v>5.38096</v>
      </c>
      <c r="O185" s="86">
        <f t="shared" si="17"/>
        <v>24615.360000000001</v>
      </c>
      <c r="P185" s="90">
        <f t="shared" si="4"/>
        <v>-1.5000000000000001E-4</v>
      </c>
      <c r="Q185" s="91">
        <f t="shared" si="5"/>
        <v>0.82280000000000009</v>
      </c>
      <c r="R185" s="98">
        <v>0.15</v>
      </c>
      <c r="S185" s="95">
        <f t="shared" si="23"/>
        <v>369600</v>
      </c>
      <c r="T185" s="92" cm="1">
        <f t="array" ref="T185">maxDepthToMinSOC($L$8,$L$9,$L$6,$L$7,$O185,$G$5,$G$6,drivePower($C$4,$M185,$G185,$C$10,$C$11),$I185,$G185,$G$4,$C$8)</f>
        <v>27122.101077735424</v>
      </c>
      <c r="U185" s="12" cm="1">
        <f t="array" ref="U185">maxDepthToMinSOC($L$8,$L$9,P185,Q185,$O185,$G$5,$G$6,drivePower($C$4,$M185,$G185,$C$10,$C$11),$I185,$G185,$G$4,$C$8)</f>
        <v>9116.5503622591496</v>
      </c>
      <c r="V185" s="93">
        <f t="shared" si="20"/>
        <v>18119.325719997287</v>
      </c>
    </row>
    <row r="186" spans="7:22" x14ac:dyDescent="0.35">
      <c r="G186" s="59">
        <f t="shared" si="1"/>
        <v>0.5</v>
      </c>
      <c r="H186" s="64">
        <v>25</v>
      </c>
      <c r="I186" s="84">
        <f t="shared" si="21"/>
        <v>25</v>
      </c>
      <c r="J186" s="84">
        <v>50</v>
      </c>
      <c r="K186" s="60">
        <f t="shared" si="22"/>
        <v>371800</v>
      </c>
      <c r="L186" s="59">
        <f t="shared" si="18"/>
        <v>20.04</v>
      </c>
      <c r="M186" s="64">
        <f t="shared" si="19"/>
        <v>30.04</v>
      </c>
      <c r="N186" s="64" cm="1">
        <f t="array" ref="N186">drivePower($C$4,M186,$C$9,$C$10,$C$11)</f>
        <v>5.39452</v>
      </c>
      <c r="O186" s="86">
        <f t="shared" si="17"/>
        <v>24761.88</v>
      </c>
      <c r="P186" s="90">
        <f t="shared" si="4"/>
        <v>-1.5000000000000001E-4</v>
      </c>
      <c r="Q186" s="91">
        <f t="shared" si="5"/>
        <v>0.82280000000000009</v>
      </c>
      <c r="R186" s="98">
        <v>0.15</v>
      </c>
      <c r="S186" s="95">
        <f t="shared" si="23"/>
        <v>371800</v>
      </c>
      <c r="T186" s="92" cm="1">
        <f t="array" ref="T186">maxDepthToMinSOC($L$8,$L$9,$L$6,$L$7,$O186,$G$5,$G$6,drivePower($C$4,$M186,$G186,$C$10,$C$11),$I186,$G186,$G$4,$C$8)</f>
        <v>27151.051078885794</v>
      </c>
      <c r="U186" s="12" cm="1">
        <f t="array" ref="U186">maxDepthToMinSOC($L$8,$L$9,P186,Q186,$O186,$G$5,$G$6,drivePower($C$4,$M186,$G186,$C$10,$C$11),$I186,$G186,$G$4,$C$8)</f>
        <v>9120.4503624141216</v>
      </c>
      <c r="V186" s="93">
        <f t="shared" si="20"/>
        <v>18135.750720649958</v>
      </c>
    </row>
    <row r="187" spans="7:22" x14ac:dyDescent="0.35">
      <c r="G187" s="59">
        <f t="shared" si="1"/>
        <v>0.5</v>
      </c>
      <c r="H187" s="64">
        <v>25</v>
      </c>
      <c r="I187" s="84">
        <f t="shared" si="21"/>
        <v>25</v>
      </c>
      <c r="J187" s="84">
        <v>50</v>
      </c>
      <c r="K187" s="60">
        <f t="shared" si="22"/>
        <v>374000</v>
      </c>
      <c r="L187" s="59">
        <f t="shared" si="18"/>
        <v>20.16</v>
      </c>
      <c r="M187" s="64">
        <f t="shared" si="19"/>
        <v>30.16</v>
      </c>
      <c r="N187" s="64" cm="1">
        <f t="array" ref="N187">drivePower($C$4,M187,$C$9,$C$10,$C$11)</f>
        <v>5.40808</v>
      </c>
      <c r="O187" s="86">
        <f t="shared" si="17"/>
        <v>24908.400000000001</v>
      </c>
      <c r="P187" s="90">
        <f t="shared" si="4"/>
        <v>-1.5000000000000001E-4</v>
      </c>
      <c r="Q187" s="91">
        <f t="shared" si="5"/>
        <v>0.82280000000000009</v>
      </c>
      <c r="R187" s="98">
        <v>0.15</v>
      </c>
      <c r="S187" s="95">
        <f t="shared" si="23"/>
        <v>374000</v>
      </c>
      <c r="T187" s="92" cm="1">
        <f t="array" ref="T187">maxDepthToMinSOC($L$8,$L$9,$L$6,$L$7,$O187,$G$5,$G$6,drivePower($C$4,$M187,$G187,$C$10,$C$11),$I187,$G187,$G$4,$C$8)</f>
        <v>27179.701080024242</v>
      </c>
      <c r="U187" s="12" cm="1">
        <f t="array" ref="U187">maxDepthToMinSOC($L$8,$L$9,P187,Q187,$O187,$G$5,$G$6,drivePower($C$4,$M187,$G187,$C$10,$C$11),$I187,$G187,$G$4,$C$8)</f>
        <v>9124.2003625631332</v>
      </c>
      <c r="V187" s="93">
        <f t="shared" si="20"/>
        <v>18151.950721293688</v>
      </c>
    </row>
    <row r="188" spans="7:22" x14ac:dyDescent="0.35">
      <c r="G188" s="59">
        <f t="shared" si="1"/>
        <v>0.5</v>
      </c>
      <c r="H188" s="64">
        <v>25</v>
      </c>
      <c r="I188" s="84">
        <f t="shared" si="21"/>
        <v>25</v>
      </c>
      <c r="J188" s="84">
        <v>50</v>
      </c>
      <c r="K188" s="60">
        <f t="shared" si="22"/>
        <v>376200</v>
      </c>
      <c r="L188" s="59">
        <f t="shared" si="18"/>
        <v>20.28</v>
      </c>
      <c r="M188" s="64">
        <f t="shared" si="19"/>
        <v>30.28</v>
      </c>
      <c r="N188" s="64" cm="1">
        <f t="array" ref="N188">drivePower($C$4,M188,$C$9,$C$10,$C$11)</f>
        <v>5.42164</v>
      </c>
      <c r="O188" s="86">
        <f t="shared" si="17"/>
        <v>25054.92</v>
      </c>
      <c r="P188" s="90">
        <f t="shared" si="4"/>
        <v>-1.5000000000000001E-4</v>
      </c>
      <c r="Q188" s="91">
        <f t="shared" si="5"/>
        <v>0.82280000000000009</v>
      </c>
      <c r="R188" s="98">
        <v>0.15</v>
      </c>
      <c r="S188" s="95">
        <f t="shared" si="23"/>
        <v>376200</v>
      </c>
      <c r="T188" s="92" cm="1">
        <f t="array" ref="T188">maxDepthToMinSOC($L$8,$L$9,$L$6,$L$7,$O188,$G$5,$G$6,drivePower($C$4,$M188,$G188,$C$10,$C$11),$I188,$G188,$G$4,$C$8)</f>
        <v>27208.201081156731</v>
      </c>
      <c r="U188" s="12" cm="1">
        <f t="array" ref="U188">maxDepthToMinSOC($L$8,$L$9,P188,Q188,$O188,$G$5,$G$6,drivePower($C$4,$M188,$G188,$C$10,$C$11),$I188,$G188,$G$4,$C$8)</f>
        <v>9128.1003627181053</v>
      </c>
      <c r="V188" s="93">
        <f t="shared" si="20"/>
        <v>18168.150721937418</v>
      </c>
    </row>
    <row r="189" spans="7:22" x14ac:dyDescent="0.35">
      <c r="G189" s="59">
        <f t="shared" si="1"/>
        <v>0.5</v>
      </c>
      <c r="H189" s="64">
        <v>25</v>
      </c>
      <c r="I189" s="84">
        <f t="shared" si="21"/>
        <v>25</v>
      </c>
      <c r="J189" s="84">
        <v>50</v>
      </c>
      <c r="K189" s="60">
        <f t="shared" si="22"/>
        <v>378400</v>
      </c>
      <c r="L189" s="59">
        <f t="shared" si="18"/>
        <v>20.399999999999999</v>
      </c>
      <c r="M189" s="64">
        <f t="shared" si="19"/>
        <v>30.4</v>
      </c>
      <c r="N189" s="64" cm="1">
        <f t="array" ref="N189">drivePower($C$4,M189,$C$9,$C$10,$C$11)</f>
        <v>5.4352</v>
      </c>
      <c r="O189" s="86">
        <f t="shared" si="17"/>
        <v>25201.439999999999</v>
      </c>
      <c r="P189" s="90">
        <f t="shared" si="4"/>
        <v>-1.5000000000000001E-4</v>
      </c>
      <c r="Q189" s="91">
        <f t="shared" si="5"/>
        <v>0.82280000000000009</v>
      </c>
      <c r="R189" s="98">
        <v>0.15</v>
      </c>
      <c r="S189" s="95">
        <f t="shared" si="23"/>
        <v>378400</v>
      </c>
      <c r="T189" s="92" cm="1">
        <f t="array" ref="T189">maxDepthToMinSOC($L$8,$L$9,$L$6,$L$7,$O189,$G$5,$G$6,drivePower($C$4,$M189,$G189,$C$10,$C$11),$I189,$G189,$G$4,$C$8)</f>
        <v>27236.401082277298</v>
      </c>
      <c r="U189" s="12" cm="1">
        <f t="array" ref="U189">maxDepthToMinSOC($L$8,$L$9,P189,Q189,$O189,$G$5,$G$6,drivePower($C$4,$M189,$G189,$C$10,$C$11),$I189,$G189,$G$4,$C$8)</f>
        <v>9131.7003628611565</v>
      </c>
      <c r="V189" s="93">
        <f t="shared" si="20"/>
        <v>18184.050722569227</v>
      </c>
    </row>
    <row r="190" spans="7:22" x14ac:dyDescent="0.35">
      <c r="G190" s="59">
        <f t="shared" si="1"/>
        <v>0.5</v>
      </c>
      <c r="H190" s="64">
        <v>25</v>
      </c>
      <c r="I190" s="84">
        <f t="shared" si="21"/>
        <v>25</v>
      </c>
      <c r="J190" s="84">
        <v>50</v>
      </c>
      <c r="K190" s="60">
        <f t="shared" si="22"/>
        <v>380600</v>
      </c>
      <c r="L190" s="59">
        <f t="shared" si="18"/>
        <v>20.52</v>
      </c>
      <c r="M190" s="64">
        <f t="shared" si="19"/>
        <v>30.52</v>
      </c>
      <c r="N190" s="64" cm="1">
        <f t="array" ref="N190">drivePower($C$4,M190,$C$9,$C$10,$C$11)</f>
        <v>5.44876</v>
      </c>
      <c r="O190" s="86">
        <f t="shared" si="17"/>
        <v>25347.960000000003</v>
      </c>
      <c r="P190" s="90">
        <f t="shared" si="4"/>
        <v>-1.5000000000000001E-4</v>
      </c>
      <c r="Q190" s="91">
        <f t="shared" si="5"/>
        <v>0.82280000000000009</v>
      </c>
      <c r="R190" s="98">
        <v>0.15</v>
      </c>
      <c r="S190" s="95">
        <f t="shared" si="23"/>
        <v>380600</v>
      </c>
      <c r="T190" s="92" cm="1">
        <f t="array" ref="T190">maxDepthToMinSOC($L$8,$L$9,$L$6,$L$7,$O190,$G$5,$G$6,drivePower($C$4,$M190,$G190,$C$10,$C$11),$I190,$G190,$G$4,$C$8)</f>
        <v>27264.301083385944</v>
      </c>
      <c r="U190" s="12" cm="1">
        <f t="array" ref="U190">maxDepthToMinSOC($L$8,$L$9,P190,Q190,$O190,$G$5,$G$6,drivePower($C$4,$M190,$G190,$C$10,$C$11),$I190,$G190,$G$4,$C$8)</f>
        <v>9135.4503630101681</v>
      </c>
      <c r="V190" s="93">
        <f t="shared" si="20"/>
        <v>18199.875723198056</v>
      </c>
    </row>
    <row r="191" spans="7:22" x14ac:dyDescent="0.35">
      <c r="G191" s="59">
        <f t="shared" si="1"/>
        <v>0.5</v>
      </c>
      <c r="H191" s="64">
        <v>25</v>
      </c>
      <c r="I191" s="84">
        <f t="shared" si="21"/>
        <v>25</v>
      </c>
      <c r="J191" s="84">
        <v>50</v>
      </c>
      <c r="K191" s="60">
        <f t="shared" si="22"/>
        <v>382800</v>
      </c>
      <c r="L191" s="59">
        <f t="shared" si="18"/>
        <v>20.64</v>
      </c>
      <c r="M191" s="64">
        <f t="shared" si="19"/>
        <v>30.64</v>
      </c>
      <c r="N191" s="64" cm="1">
        <f t="array" ref="N191">drivePower($C$4,M191,$C$9,$C$10,$C$11)</f>
        <v>5.4623200000000001</v>
      </c>
      <c r="O191" s="86">
        <f t="shared" si="17"/>
        <v>25494.48</v>
      </c>
      <c r="P191" s="90">
        <f t="shared" si="4"/>
        <v>-1.5000000000000001E-4</v>
      </c>
      <c r="Q191" s="91">
        <f t="shared" si="5"/>
        <v>0.82280000000000009</v>
      </c>
      <c r="R191" s="98">
        <v>0.15</v>
      </c>
      <c r="S191" s="95">
        <f t="shared" si="23"/>
        <v>382800</v>
      </c>
      <c r="T191" s="92" cm="1">
        <f t="array" ref="T191">maxDepthToMinSOC($L$8,$L$9,$L$6,$L$7,$O191,$G$5,$G$6,drivePower($C$4,$M191,$G191,$C$10,$C$11),$I191,$G191,$G$4,$C$8)</f>
        <v>27291.90108448267</v>
      </c>
      <c r="U191" s="12" cm="1">
        <f t="array" ref="U191">maxDepthToMinSOC($L$8,$L$9,P191,Q191,$O191,$G$5,$G$6,drivePower($C$4,$M191,$G191,$C$10,$C$11),$I191,$G191,$G$4,$C$8)</f>
        <v>9139.0503631532192</v>
      </c>
      <c r="V191" s="93">
        <f t="shared" si="20"/>
        <v>18215.475723817945</v>
      </c>
    </row>
    <row r="192" spans="7:22" x14ac:dyDescent="0.35">
      <c r="G192" s="59">
        <f t="shared" si="1"/>
        <v>0.5</v>
      </c>
      <c r="H192" s="64">
        <v>25</v>
      </c>
      <c r="I192" s="84">
        <f t="shared" si="21"/>
        <v>25</v>
      </c>
      <c r="J192" s="84">
        <v>50</v>
      </c>
      <c r="K192" s="60">
        <f t="shared" si="22"/>
        <v>385000</v>
      </c>
      <c r="L192" s="59">
        <f t="shared" si="18"/>
        <v>20.76</v>
      </c>
      <c r="M192" s="64">
        <f t="shared" si="19"/>
        <v>30.76</v>
      </c>
      <c r="N192" s="64" cm="1">
        <f t="array" ref="N192">drivePower($C$4,M192,$C$9,$C$10,$C$11)</f>
        <v>5.4758800000000001</v>
      </c>
      <c r="O192" s="86">
        <f t="shared" si="17"/>
        <v>25641</v>
      </c>
      <c r="P192" s="90">
        <f t="shared" si="4"/>
        <v>-1.5000000000000001E-4</v>
      </c>
      <c r="Q192" s="91">
        <f t="shared" si="5"/>
        <v>0.82280000000000009</v>
      </c>
      <c r="R192" s="98">
        <v>0.15</v>
      </c>
      <c r="S192" s="95">
        <f t="shared" si="23"/>
        <v>385000</v>
      </c>
      <c r="T192" s="92" cm="1">
        <f t="array" ref="T192">maxDepthToMinSOC($L$8,$L$9,$L$6,$L$7,$O192,$G$5,$G$6,drivePower($C$4,$M192,$G192,$C$10,$C$11),$I192,$G192,$G$4,$C$8)</f>
        <v>27319.201085567474</v>
      </c>
      <c r="U192" s="12" cm="1">
        <f t="array" ref="U192">maxDepthToMinSOC($L$8,$L$9,P192,Q192,$O192,$G$5,$G$6,drivePower($C$4,$M192,$G192,$C$10,$C$11),$I192,$G192,$G$4,$C$8)</f>
        <v>9142.6503632962704</v>
      </c>
      <c r="V192" s="93">
        <f t="shared" si="20"/>
        <v>18230.925724431872</v>
      </c>
    </row>
    <row r="193" spans="7:22" x14ac:dyDescent="0.35">
      <c r="G193" s="59">
        <f t="shared" si="1"/>
        <v>0.5</v>
      </c>
      <c r="H193" s="64">
        <v>25</v>
      </c>
      <c r="I193" s="84">
        <f t="shared" si="21"/>
        <v>25</v>
      </c>
      <c r="J193" s="84">
        <v>50</v>
      </c>
      <c r="K193" s="60">
        <f t="shared" si="22"/>
        <v>387200</v>
      </c>
      <c r="L193" s="59">
        <f t="shared" si="18"/>
        <v>20.88</v>
      </c>
      <c r="M193" s="64">
        <f t="shared" si="19"/>
        <v>30.88</v>
      </c>
      <c r="N193" s="64" cm="1">
        <f t="array" ref="N193">drivePower($C$4,M193,$C$9,$C$10,$C$11)</f>
        <v>5.4894400000000001</v>
      </c>
      <c r="O193" s="86">
        <f t="shared" si="17"/>
        <v>25787.52</v>
      </c>
      <c r="P193" s="90">
        <f t="shared" si="4"/>
        <v>-1.5000000000000001E-4</v>
      </c>
      <c r="Q193" s="91">
        <f t="shared" si="5"/>
        <v>0.82280000000000009</v>
      </c>
      <c r="R193" s="98">
        <v>0.15</v>
      </c>
      <c r="S193" s="95">
        <f t="shared" si="23"/>
        <v>387200</v>
      </c>
      <c r="T193" s="92" cm="1">
        <f t="array" ref="T193">maxDepthToMinSOC($L$8,$L$9,$L$6,$L$7,$O193,$G$5,$G$6,drivePower($C$4,$M193,$G193,$C$10,$C$11),$I193,$G193,$G$4,$C$8)</f>
        <v>27346.351086646318</v>
      </c>
      <c r="U193" s="12" cm="1">
        <f t="array" ref="U193">maxDepthToMinSOC($L$8,$L$9,P193,Q193,$O193,$G$5,$G$6,drivePower($C$4,$M193,$G193,$C$10,$C$11),$I193,$G193,$G$4,$C$8)</f>
        <v>9146.2503634393215</v>
      </c>
      <c r="V193" s="93">
        <f t="shared" si="20"/>
        <v>18246.30072504282</v>
      </c>
    </row>
    <row r="194" spans="7:22" x14ac:dyDescent="0.35">
      <c r="G194" s="59">
        <f t="shared" si="1"/>
        <v>0.5</v>
      </c>
      <c r="H194" s="64">
        <v>25</v>
      </c>
      <c r="I194" s="84">
        <f t="shared" si="21"/>
        <v>25</v>
      </c>
      <c r="J194" s="84">
        <v>50</v>
      </c>
      <c r="K194" s="60">
        <f t="shared" si="22"/>
        <v>389400</v>
      </c>
      <c r="L194" s="59">
        <f t="shared" si="18"/>
        <v>21</v>
      </c>
      <c r="M194" s="64">
        <f t="shared" si="19"/>
        <v>31</v>
      </c>
      <c r="N194" s="64" cm="1">
        <f t="array" ref="N194">drivePower($C$4,M194,$C$9,$C$10,$C$11)</f>
        <v>5.5030000000000001</v>
      </c>
      <c r="O194" s="86">
        <f t="shared" si="17"/>
        <v>25934.039999999997</v>
      </c>
      <c r="P194" s="90">
        <f t="shared" si="4"/>
        <v>-1.5000000000000001E-4</v>
      </c>
      <c r="Q194" s="91">
        <f t="shared" si="5"/>
        <v>0.82280000000000009</v>
      </c>
      <c r="R194" s="98">
        <v>0.15</v>
      </c>
      <c r="S194" s="95">
        <f t="shared" si="23"/>
        <v>389400</v>
      </c>
      <c r="T194" s="92" cm="1">
        <f t="array" ref="T194">maxDepthToMinSOC($L$8,$L$9,$L$6,$L$7,$O194,$G$5,$G$6,drivePower($C$4,$M194,$G194,$C$10,$C$11),$I194,$G194,$G$4,$C$8)</f>
        <v>27373.201087713242</v>
      </c>
      <c r="U194" s="12" cm="1">
        <f t="array" ref="U194">maxDepthToMinSOC($L$8,$L$9,P194,Q194,$O194,$G$5,$G$6,drivePower($C$4,$M194,$G194,$C$10,$C$11),$I194,$G194,$G$4,$C$8)</f>
        <v>9149.8503635823727</v>
      </c>
      <c r="V194" s="93">
        <f t="shared" si="20"/>
        <v>18261.525725647807</v>
      </c>
    </row>
    <row r="195" spans="7:22" x14ac:dyDescent="0.35">
      <c r="G195" s="59">
        <f t="shared" si="1"/>
        <v>0.5</v>
      </c>
      <c r="H195" s="64">
        <v>25</v>
      </c>
      <c r="I195" s="84">
        <f t="shared" si="21"/>
        <v>25</v>
      </c>
      <c r="J195" s="84">
        <v>50</v>
      </c>
      <c r="K195" s="60">
        <f t="shared" si="22"/>
        <v>391600</v>
      </c>
      <c r="L195" s="59">
        <f t="shared" si="18"/>
        <v>21.12</v>
      </c>
      <c r="M195" s="64">
        <f t="shared" si="19"/>
        <v>31.12</v>
      </c>
      <c r="N195" s="64" cm="1">
        <f t="array" ref="N195">drivePower($C$4,M195,$C$9,$C$10,$C$11)</f>
        <v>5.5165600000000001</v>
      </c>
      <c r="O195" s="86">
        <f t="shared" si="17"/>
        <v>26080.560000000001</v>
      </c>
      <c r="P195" s="90">
        <f t="shared" si="4"/>
        <v>-1.5000000000000001E-4</v>
      </c>
      <c r="Q195" s="91">
        <f t="shared" si="5"/>
        <v>0.82280000000000009</v>
      </c>
      <c r="R195" s="98">
        <v>0.15</v>
      </c>
      <c r="S195" s="95">
        <f t="shared" si="23"/>
        <v>391600</v>
      </c>
      <c r="T195" s="92" cm="1">
        <f t="array" ref="T195">maxDepthToMinSOC($L$8,$L$9,$L$6,$L$7,$O195,$G$5,$G$6,drivePower($C$4,$M195,$G195,$C$10,$C$11),$I195,$G195,$G$4,$C$8)</f>
        <v>27399.901088774204</v>
      </c>
      <c r="U195" s="12" cm="1">
        <f t="array" ref="U195">maxDepthToMinSOC($L$8,$L$9,P195,Q195,$O195,$G$5,$G$6,drivePower($C$4,$M195,$G195,$C$10,$C$11),$I195,$G195,$G$4,$C$8)</f>
        <v>9153.3003637194633</v>
      </c>
      <c r="V195" s="93">
        <f t="shared" si="20"/>
        <v>18276.600726246834</v>
      </c>
    </row>
    <row r="196" spans="7:22" x14ac:dyDescent="0.35">
      <c r="G196" s="59">
        <f t="shared" si="1"/>
        <v>0.5</v>
      </c>
      <c r="H196" s="64">
        <v>25</v>
      </c>
      <c r="I196" s="84">
        <f t="shared" si="21"/>
        <v>25</v>
      </c>
      <c r="J196" s="84">
        <v>50</v>
      </c>
      <c r="K196" s="60">
        <f t="shared" si="22"/>
        <v>393800</v>
      </c>
      <c r="L196" s="59">
        <f t="shared" si="18"/>
        <v>21.24</v>
      </c>
      <c r="M196" s="64">
        <f t="shared" si="19"/>
        <v>31.24</v>
      </c>
      <c r="N196" s="64" cm="1">
        <f t="array" ref="N196">drivePower($C$4,M196,$C$9,$C$10,$C$11)</f>
        <v>5.5301200000000001</v>
      </c>
      <c r="O196" s="86">
        <f t="shared" si="17"/>
        <v>26227.08</v>
      </c>
      <c r="P196" s="90">
        <f t="shared" si="4"/>
        <v>-1.5000000000000001E-4</v>
      </c>
      <c r="Q196" s="91">
        <f t="shared" si="5"/>
        <v>0.82280000000000009</v>
      </c>
      <c r="R196" s="98">
        <v>0.15</v>
      </c>
      <c r="S196" s="95">
        <f t="shared" si="23"/>
        <v>393800</v>
      </c>
      <c r="T196" s="92" cm="1">
        <f t="array" ref="T196">maxDepthToMinSOC($L$8,$L$9,$L$6,$L$7,$O196,$G$5,$G$6,drivePower($C$4,$M196,$G196,$C$10,$C$11),$I196,$G196,$G$4,$C$8)</f>
        <v>27426.151089817286</v>
      </c>
      <c r="U196" s="12" cm="1">
        <f t="array" ref="U196">maxDepthToMinSOC($L$8,$L$9,P196,Q196,$O196,$G$5,$G$6,drivePower($C$4,$M196,$G196,$C$10,$C$11),$I196,$G196,$G$4,$C$8)</f>
        <v>9156.750363856554</v>
      </c>
      <c r="V196" s="93">
        <f t="shared" si="20"/>
        <v>18291.45072683692</v>
      </c>
    </row>
    <row r="197" spans="7:22" x14ac:dyDescent="0.35">
      <c r="G197" s="59">
        <f t="shared" si="1"/>
        <v>0.5</v>
      </c>
      <c r="H197" s="64">
        <v>25</v>
      </c>
      <c r="I197" s="84">
        <f t="shared" si="21"/>
        <v>25</v>
      </c>
      <c r="J197" s="84">
        <v>50</v>
      </c>
      <c r="K197" s="60">
        <f t="shared" si="22"/>
        <v>396000</v>
      </c>
      <c r="L197" s="59">
        <f t="shared" si="18"/>
        <v>21.36</v>
      </c>
      <c r="M197" s="64">
        <f t="shared" si="19"/>
        <v>31.36</v>
      </c>
      <c r="N197" s="64" cm="1">
        <f t="array" ref="N197">drivePower($C$4,M197,$C$9,$C$10,$C$11)</f>
        <v>5.5436800000000002</v>
      </c>
      <c r="O197" s="86">
        <f t="shared" si="17"/>
        <v>26373.599999999999</v>
      </c>
      <c r="P197" s="90">
        <f t="shared" si="4"/>
        <v>-1.5000000000000001E-4</v>
      </c>
      <c r="Q197" s="91">
        <f t="shared" si="5"/>
        <v>0.82280000000000009</v>
      </c>
      <c r="R197" s="98">
        <v>0.15</v>
      </c>
      <c r="S197" s="95">
        <f t="shared" si="23"/>
        <v>396000</v>
      </c>
      <c r="T197" s="92" cm="1">
        <f t="array" ref="T197">maxDepthToMinSOC($L$8,$L$9,$L$6,$L$7,$O197,$G$5,$G$6,drivePower($C$4,$M197,$G197,$C$10,$C$11),$I197,$G197,$G$4,$C$8)</f>
        <v>27452.251090854406</v>
      </c>
      <c r="U197" s="12" cm="1">
        <f t="array" ref="U197">maxDepthToMinSOC($L$8,$L$9,P197,Q197,$O197,$G$5,$G$6,drivePower($C$4,$M197,$G197,$C$10,$C$11),$I197,$G197,$G$4,$C$8)</f>
        <v>9160.2003639936447</v>
      </c>
      <c r="V197" s="93">
        <f t="shared" si="20"/>
        <v>18306.225727424026</v>
      </c>
    </row>
    <row r="198" spans="7:22" x14ac:dyDescent="0.35">
      <c r="G198" s="59">
        <f t="shared" si="1"/>
        <v>0.5</v>
      </c>
      <c r="H198" s="64">
        <v>25</v>
      </c>
      <c r="I198" s="84">
        <f t="shared" si="21"/>
        <v>25</v>
      </c>
      <c r="J198" s="84">
        <v>50</v>
      </c>
      <c r="K198" s="60">
        <f t="shared" si="22"/>
        <v>398200</v>
      </c>
      <c r="L198" s="59">
        <f t="shared" si="18"/>
        <v>21.48</v>
      </c>
      <c r="M198" s="64">
        <f t="shared" si="19"/>
        <v>31.48</v>
      </c>
      <c r="N198" s="64" cm="1">
        <f t="array" ref="N198">drivePower($C$4,M198,$C$9,$C$10,$C$11)</f>
        <v>5.5572400000000002</v>
      </c>
      <c r="O198" s="86">
        <f t="shared" si="17"/>
        <v>26520.12</v>
      </c>
      <c r="P198" s="90">
        <f t="shared" si="4"/>
        <v>-1.5000000000000001E-4</v>
      </c>
      <c r="Q198" s="91">
        <f t="shared" si="5"/>
        <v>0.82280000000000009</v>
      </c>
      <c r="R198" s="98">
        <v>0.15</v>
      </c>
      <c r="S198" s="95">
        <f t="shared" si="23"/>
        <v>398200</v>
      </c>
      <c r="T198" s="92" cm="1">
        <f t="array" ref="T198">maxDepthToMinSOC($L$8,$L$9,$L$6,$L$7,$O198,$G$5,$G$6,drivePower($C$4,$M198,$G198,$C$10,$C$11),$I198,$G198,$G$4,$C$8)</f>
        <v>27478.201091885567</v>
      </c>
      <c r="U198" s="12" cm="1">
        <f t="array" ref="U198">maxDepthToMinSOC($L$8,$L$9,P198,Q198,$O198,$G$5,$G$6,drivePower($C$4,$M198,$G198,$C$10,$C$11),$I198,$G198,$G$4,$C$8)</f>
        <v>9163.6503641307354</v>
      </c>
      <c r="V198" s="93">
        <f t="shared" si="20"/>
        <v>18320.925728008151</v>
      </c>
    </row>
    <row r="199" spans="7:22" x14ac:dyDescent="0.35">
      <c r="G199" s="59">
        <f t="shared" si="1"/>
        <v>0.5</v>
      </c>
      <c r="H199" s="64">
        <v>25</v>
      </c>
      <c r="I199" s="84">
        <f t="shared" si="21"/>
        <v>25</v>
      </c>
      <c r="J199" s="84">
        <v>50</v>
      </c>
      <c r="K199" s="60">
        <f t="shared" si="22"/>
        <v>400400</v>
      </c>
      <c r="L199" s="59">
        <f t="shared" si="18"/>
        <v>21.6</v>
      </c>
      <c r="M199" s="64">
        <f t="shared" si="19"/>
        <v>31.6</v>
      </c>
      <c r="N199" s="64" cm="1">
        <f t="array" ref="N199">drivePower($C$4,M199,$C$9,$C$10,$C$11)</f>
        <v>5.5708000000000002</v>
      </c>
      <c r="O199" s="86">
        <f t="shared" si="17"/>
        <v>26666.639999999999</v>
      </c>
      <c r="P199" s="90">
        <f t="shared" si="4"/>
        <v>-1.5000000000000001E-4</v>
      </c>
      <c r="Q199" s="91">
        <f t="shared" si="5"/>
        <v>0.82280000000000009</v>
      </c>
      <c r="R199" s="98">
        <v>0.15</v>
      </c>
      <c r="S199" s="95">
        <f t="shared" si="23"/>
        <v>400400</v>
      </c>
      <c r="T199" s="92" cm="1">
        <f t="array" ref="T199">maxDepthToMinSOC($L$8,$L$9,$L$6,$L$7,$O199,$G$5,$G$6,drivePower($C$4,$M199,$G199,$C$10,$C$11),$I199,$G199,$G$4,$C$8)</f>
        <v>27503.851092904806</v>
      </c>
      <c r="U199" s="12" cm="1">
        <f t="array" ref="U199">maxDepthToMinSOC($L$8,$L$9,P199,Q199,$O199,$G$5,$G$6,drivePower($C$4,$M199,$G199,$C$10,$C$11),$I199,$G199,$G$4,$C$8)</f>
        <v>9166.9503642618656</v>
      </c>
      <c r="V199" s="93">
        <f t="shared" si="20"/>
        <v>18335.400728583336</v>
      </c>
    </row>
    <row r="200" spans="7:22" x14ac:dyDescent="0.35">
      <c r="G200" s="59">
        <f t="shared" si="1"/>
        <v>0.5</v>
      </c>
      <c r="H200" s="64">
        <v>25</v>
      </c>
      <c r="I200" s="84">
        <f t="shared" si="21"/>
        <v>25</v>
      </c>
      <c r="J200" s="84">
        <v>50</v>
      </c>
      <c r="K200" s="60">
        <f t="shared" si="22"/>
        <v>402600</v>
      </c>
      <c r="L200" s="59">
        <f t="shared" si="18"/>
        <v>21.72</v>
      </c>
      <c r="M200" s="64">
        <f t="shared" si="19"/>
        <v>31.72</v>
      </c>
      <c r="N200" s="64" cm="1">
        <f t="array" ref="N200">drivePower($C$4,M200,$C$9,$C$10,$C$11)</f>
        <v>5.5843600000000002</v>
      </c>
      <c r="O200" s="86">
        <f t="shared" si="17"/>
        <v>26813.16</v>
      </c>
      <c r="P200" s="90">
        <f t="shared" si="4"/>
        <v>-1.5000000000000001E-4</v>
      </c>
      <c r="Q200" s="91">
        <f t="shared" si="5"/>
        <v>0.82280000000000009</v>
      </c>
      <c r="R200" s="98">
        <v>0.15</v>
      </c>
      <c r="S200" s="95">
        <f t="shared" si="23"/>
        <v>402600</v>
      </c>
      <c r="T200" s="92" cm="1">
        <f t="array" ref="T200">maxDepthToMinSOC($L$8,$L$9,$L$6,$L$7,$O200,$G$5,$G$6,drivePower($C$4,$M200,$G200,$C$10,$C$11),$I200,$G200,$G$4,$C$8)</f>
        <v>27529.201093912125</v>
      </c>
      <c r="U200" s="12" cm="1">
        <f t="array" ref="U200">maxDepthToMinSOC($L$8,$L$9,P200,Q200,$O200,$G$5,$G$6,drivePower($C$4,$M200,$G200,$C$10,$C$11),$I200,$G200,$G$4,$C$8)</f>
        <v>9170.2503643929958</v>
      </c>
      <c r="V200" s="93">
        <f t="shared" si="20"/>
        <v>18349.72572915256</v>
      </c>
    </row>
    <row r="201" spans="7:22" x14ac:dyDescent="0.35">
      <c r="G201" s="59">
        <f t="shared" si="1"/>
        <v>0.5</v>
      </c>
      <c r="H201" s="64">
        <v>25</v>
      </c>
      <c r="I201" s="84">
        <f t="shared" si="21"/>
        <v>25</v>
      </c>
      <c r="J201" s="84">
        <v>50</v>
      </c>
      <c r="K201" s="60">
        <f t="shared" si="22"/>
        <v>404800</v>
      </c>
      <c r="L201" s="59">
        <f t="shared" si="18"/>
        <v>21.84</v>
      </c>
      <c r="M201" s="64">
        <f t="shared" si="19"/>
        <v>31.84</v>
      </c>
      <c r="N201" s="64" cm="1">
        <f t="array" ref="N201">drivePower($C$4,M201,$C$9,$C$10,$C$11)</f>
        <v>5.5979200000000002</v>
      </c>
      <c r="O201" s="86">
        <f t="shared" si="17"/>
        <v>26959.68</v>
      </c>
      <c r="P201" s="90">
        <f t="shared" si="4"/>
        <v>-1.5000000000000001E-4</v>
      </c>
      <c r="Q201" s="91">
        <f t="shared" si="5"/>
        <v>0.82280000000000009</v>
      </c>
      <c r="R201" s="98">
        <v>0.15</v>
      </c>
      <c r="S201" s="95">
        <f t="shared" si="23"/>
        <v>404800</v>
      </c>
      <c r="T201" s="92" cm="1">
        <f t="array" ref="T201">maxDepthToMinSOC($L$8,$L$9,$L$6,$L$7,$O201,$G$5,$G$6,drivePower($C$4,$M201,$G201,$C$10,$C$11),$I201,$G201,$G$4,$C$8)</f>
        <v>27554.401094913483</v>
      </c>
      <c r="U201" s="12" cm="1">
        <f t="array" ref="U201">maxDepthToMinSOC($L$8,$L$9,P201,Q201,$O201,$G$5,$G$6,drivePower($C$4,$M201,$G201,$C$10,$C$11),$I201,$G201,$G$4,$C$8)</f>
        <v>9173.5503645241261</v>
      </c>
      <c r="V201" s="93">
        <f t="shared" si="20"/>
        <v>18363.975729718804</v>
      </c>
    </row>
    <row r="202" spans="7:22" x14ac:dyDescent="0.35">
      <c r="G202" s="59">
        <f t="shared" si="1"/>
        <v>0.5</v>
      </c>
      <c r="H202" s="64">
        <v>25</v>
      </c>
      <c r="I202" s="84">
        <f t="shared" si="21"/>
        <v>25</v>
      </c>
      <c r="J202" s="84">
        <v>50</v>
      </c>
      <c r="K202" s="60">
        <f t="shared" si="22"/>
        <v>407000</v>
      </c>
      <c r="L202" s="59">
        <f t="shared" si="18"/>
        <v>21.96</v>
      </c>
      <c r="M202" s="64">
        <f t="shared" si="19"/>
        <v>31.96</v>
      </c>
      <c r="N202" s="64" cm="1">
        <f t="array" ref="N202">drivePower($C$4,M202,$C$9,$C$10,$C$11)</f>
        <v>5.6114800000000002</v>
      </c>
      <c r="O202" s="86">
        <f t="shared" si="17"/>
        <v>27106.2</v>
      </c>
      <c r="P202" s="90">
        <f t="shared" si="4"/>
        <v>-1.5000000000000001E-4</v>
      </c>
      <c r="Q202" s="91">
        <f t="shared" si="5"/>
        <v>0.82280000000000009</v>
      </c>
      <c r="R202" s="98">
        <v>0.15</v>
      </c>
      <c r="S202" s="95">
        <f t="shared" si="23"/>
        <v>407000</v>
      </c>
      <c r="T202" s="92" cm="1">
        <f t="array" ref="T202">maxDepthToMinSOC($L$8,$L$9,$L$6,$L$7,$O202,$G$5,$G$6,drivePower($C$4,$M202,$G202,$C$10,$C$11),$I202,$G202,$G$4,$C$8)</f>
        <v>27579.30109590292</v>
      </c>
      <c r="U202" s="12" cm="1">
        <f t="array" ref="U202">maxDepthToMinSOC($L$8,$L$9,P202,Q202,$O202,$G$5,$G$6,drivePower($C$4,$M202,$G202,$C$10,$C$11),$I202,$G202,$G$4,$C$8)</f>
        <v>9176.8503646552563</v>
      </c>
      <c r="V202" s="93">
        <f t="shared" si="20"/>
        <v>18378.075730279088</v>
      </c>
    </row>
    <row r="203" spans="7:22" x14ac:dyDescent="0.35">
      <c r="G203" s="59">
        <f t="shared" si="1"/>
        <v>0.5</v>
      </c>
      <c r="H203" s="64">
        <v>25</v>
      </c>
      <c r="I203" s="84">
        <f t="shared" si="21"/>
        <v>25</v>
      </c>
      <c r="J203" s="84">
        <v>50</v>
      </c>
      <c r="K203" s="60">
        <f t="shared" si="22"/>
        <v>409200</v>
      </c>
      <c r="L203" s="59">
        <f t="shared" si="18"/>
        <v>22.08</v>
      </c>
      <c r="M203" s="64">
        <f t="shared" si="19"/>
        <v>32.08</v>
      </c>
      <c r="N203" s="64" cm="1">
        <f t="array" ref="N203">drivePower($C$4,M203,$C$9,$C$10,$C$11)</f>
        <v>5.6250400000000003</v>
      </c>
      <c r="O203" s="86">
        <f t="shared" si="17"/>
        <v>27252.719999999998</v>
      </c>
      <c r="P203" s="90">
        <f t="shared" si="4"/>
        <v>-1.5000000000000001E-4</v>
      </c>
      <c r="Q203" s="91">
        <f t="shared" si="5"/>
        <v>0.82280000000000009</v>
      </c>
      <c r="R203" s="98">
        <v>0.15</v>
      </c>
      <c r="S203" s="95">
        <f t="shared" si="23"/>
        <v>409200</v>
      </c>
      <c r="T203" s="92" cm="1">
        <f t="array" ref="T203">maxDepthToMinSOC($L$8,$L$9,$L$6,$L$7,$O203,$G$5,$G$6,drivePower($C$4,$M203,$G203,$C$10,$C$11),$I203,$G203,$G$4,$C$8)</f>
        <v>27604.051096886396</v>
      </c>
      <c r="U203" s="12" cm="1">
        <f t="array" ref="U203">maxDepthToMinSOC($L$8,$L$9,P203,Q203,$O203,$G$5,$G$6,drivePower($C$4,$M203,$G203,$C$10,$C$11),$I203,$G203,$G$4,$C$8)</f>
        <v>9180.000364780426</v>
      </c>
      <c r="V203" s="93">
        <f t="shared" si="20"/>
        <v>18392.025730833411</v>
      </c>
    </row>
    <row r="204" spans="7:22" x14ac:dyDescent="0.35">
      <c r="G204" s="59">
        <f t="shared" si="1"/>
        <v>0.5</v>
      </c>
      <c r="H204" s="64">
        <v>25</v>
      </c>
      <c r="I204" s="84">
        <f t="shared" si="21"/>
        <v>25</v>
      </c>
      <c r="J204" s="84">
        <v>50</v>
      </c>
      <c r="K204" s="60">
        <f t="shared" si="22"/>
        <v>411400</v>
      </c>
      <c r="L204" s="59">
        <f t="shared" si="18"/>
        <v>22.2</v>
      </c>
      <c r="M204" s="64">
        <f t="shared" si="19"/>
        <v>32.200000000000003</v>
      </c>
      <c r="N204" s="64" cm="1">
        <f t="array" ref="N204">drivePower($C$4,M204,$C$9,$C$10,$C$11)</f>
        <v>5.6386000000000003</v>
      </c>
      <c r="O204" s="86">
        <f t="shared" si="17"/>
        <v>27399.239999999998</v>
      </c>
      <c r="P204" s="90">
        <f t="shared" si="4"/>
        <v>-1.5000000000000001E-4</v>
      </c>
      <c r="Q204" s="91">
        <f t="shared" si="5"/>
        <v>0.82280000000000009</v>
      </c>
      <c r="R204" s="98">
        <v>0.15</v>
      </c>
      <c r="S204" s="95">
        <f t="shared" si="23"/>
        <v>411400</v>
      </c>
      <c r="T204" s="92" cm="1">
        <f t="array" ref="T204">maxDepthToMinSOC($L$8,$L$9,$L$6,$L$7,$O204,$G$5,$G$6,drivePower($C$4,$M204,$G204,$C$10,$C$11),$I204,$G204,$G$4,$C$8)</f>
        <v>27628.501097857952</v>
      </c>
      <c r="U204" s="12" cm="1">
        <f t="array" ref="U204">maxDepthToMinSOC($L$8,$L$9,P204,Q204,$O204,$G$5,$G$6,drivePower($C$4,$M204,$G204,$C$10,$C$11),$I204,$G204,$G$4,$C$8)</f>
        <v>9183.3003649115562</v>
      </c>
      <c r="V204" s="93">
        <f t="shared" si="20"/>
        <v>18405.900731384754</v>
      </c>
    </row>
    <row r="205" spans="7:22" x14ac:dyDescent="0.35">
      <c r="G205" s="59">
        <f t="shared" si="1"/>
        <v>0.5</v>
      </c>
      <c r="H205" s="64">
        <v>25</v>
      </c>
      <c r="I205" s="84">
        <f t="shared" si="21"/>
        <v>25</v>
      </c>
      <c r="J205" s="84">
        <v>50</v>
      </c>
      <c r="K205" s="60">
        <f t="shared" si="22"/>
        <v>413600</v>
      </c>
      <c r="L205" s="59">
        <f t="shared" si="18"/>
        <v>22.32</v>
      </c>
      <c r="M205" s="64">
        <f t="shared" si="19"/>
        <v>32.32</v>
      </c>
      <c r="N205" s="64" cm="1">
        <f t="array" ref="N205">drivePower($C$4,M205,$C$9,$C$10,$C$11)</f>
        <v>5.6521600000000003</v>
      </c>
      <c r="O205" s="86">
        <f t="shared" si="17"/>
        <v>27545.760000000002</v>
      </c>
      <c r="P205" s="90">
        <f t="shared" si="4"/>
        <v>-1.5000000000000001E-4</v>
      </c>
      <c r="Q205" s="91">
        <f t="shared" si="5"/>
        <v>0.82280000000000009</v>
      </c>
      <c r="R205" s="98">
        <v>0.15</v>
      </c>
      <c r="S205" s="95">
        <f t="shared" si="23"/>
        <v>413600</v>
      </c>
      <c r="T205" s="92" cm="1">
        <f t="array" ref="T205">maxDepthToMinSOC($L$8,$L$9,$L$6,$L$7,$O205,$G$5,$G$6,drivePower($C$4,$M205,$G205,$C$10,$C$11),$I205,$G205,$G$4,$C$8)</f>
        <v>27652.801098823547</v>
      </c>
      <c r="U205" s="12" cm="1">
        <f t="array" ref="U205">maxDepthToMinSOC($L$8,$L$9,P205,Q205,$O205,$G$5,$G$6,drivePower($C$4,$M205,$G205,$C$10,$C$11),$I205,$G205,$G$4,$C$8)</f>
        <v>9186.450365036726</v>
      </c>
      <c r="V205" s="93">
        <f t="shared" si="20"/>
        <v>18419.625731930137</v>
      </c>
    </row>
    <row r="206" spans="7:22" x14ac:dyDescent="0.35">
      <c r="G206" s="59">
        <f t="shared" si="1"/>
        <v>0.5</v>
      </c>
      <c r="H206" s="64">
        <v>25</v>
      </c>
      <c r="I206" s="84">
        <f t="shared" si="21"/>
        <v>25</v>
      </c>
      <c r="J206" s="84">
        <v>50</v>
      </c>
      <c r="K206" s="60">
        <f t="shared" si="22"/>
        <v>415800</v>
      </c>
      <c r="L206" s="59">
        <f t="shared" si="18"/>
        <v>22.44</v>
      </c>
      <c r="M206" s="64">
        <f t="shared" si="19"/>
        <v>32.44</v>
      </c>
      <c r="N206" s="64" cm="1">
        <f t="array" ref="N206">drivePower($C$4,M206,$C$9,$C$10,$C$11)</f>
        <v>5.6657200000000003</v>
      </c>
      <c r="O206" s="86">
        <f t="shared" si="17"/>
        <v>27692.280000000002</v>
      </c>
      <c r="P206" s="90">
        <f t="shared" si="4"/>
        <v>-1.5000000000000001E-4</v>
      </c>
      <c r="Q206" s="91">
        <f t="shared" si="5"/>
        <v>0.82280000000000009</v>
      </c>
      <c r="R206" s="98">
        <v>0.15</v>
      </c>
      <c r="S206" s="95">
        <f t="shared" si="23"/>
        <v>415800</v>
      </c>
      <c r="T206" s="92" cm="1">
        <f t="array" ref="T206">maxDepthToMinSOC($L$8,$L$9,$L$6,$L$7,$O206,$G$5,$G$6,drivePower($C$4,$M206,$G206,$C$10,$C$11),$I206,$G206,$G$4,$C$8)</f>
        <v>27676.951099783182</v>
      </c>
      <c r="U206" s="12" cm="1">
        <f t="array" ref="U206">maxDepthToMinSOC($L$8,$L$9,P206,Q206,$O206,$G$5,$G$6,drivePower($C$4,$M206,$G206,$C$10,$C$11),$I206,$G206,$G$4,$C$8)</f>
        <v>9189.6003651618958</v>
      </c>
      <c r="V206" s="93">
        <f t="shared" si="20"/>
        <v>18433.275732472539</v>
      </c>
    </row>
    <row r="207" spans="7:22" x14ac:dyDescent="0.35">
      <c r="G207" s="59">
        <f t="shared" si="1"/>
        <v>0.5</v>
      </c>
      <c r="H207" s="64">
        <v>25</v>
      </c>
      <c r="I207" s="84">
        <f t="shared" si="21"/>
        <v>25</v>
      </c>
      <c r="J207" s="84">
        <v>50</v>
      </c>
      <c r="K207" s="60">
        <f t="shared" si="22"/>
        <v>418000</v>
      </c>
      <c r="L207" s="59">
        <f t="shared" si="18"/>
        <v>22.56</v>
      </c>
      <c r="M207" s="64">
        <f t="shared" si="19"/>
        <v>32.56</v>
      </c>
      <c r="N207" s="64" cm="1">
        <f t="array" ref="N207">drivePower($C$4,M207,$C$9,$C$10,$C$11)</f>
        <v>5.6792800000000003</v>
      </c>
      <c r="O207" s="86">
        <f t="shared" si="17"/>
        <v>27838.799999999999</v>
      </c>
      <c r="P207" s="90">
        <f t="shared" si="4"/>
        <v>-1.5000000000000001E-4</v>
      </c>
      <c r="Q207" s="91">
        <f t="shared" si="5"/>
        <v>0.82280000000000009</v>
      </c>
      <c r="R207" s="98">
        <v>0.15</v>
      </c>
      <c r="S207" s="95">
        <f t="shared" si="23"/>
        <v>418000</v>
      </c>
      <c r="T207" s="92" cm="1">
        <f t="array" ref="T207">maxDepthToMinSOC($L$8,$L$9,$L$6,$L$7,$O207,$G$5,$G$6,drivePower($C$4,$M207,$G207,$C$10,$C$11),$I207,$G207,$G$4,$C$8)</f>
        <v>27700.801100730896</v>
      </c>
      <c r="U207" s="12" cm="1">
        <f t="array" ref="U207">maxDepthToMinSOC($L$8,$L$9,P207,Q207,$O207,$G$5,$G$6,drivePower($C$4,$M207,$G207,$C$10,$C$11),$I207,$G207,$G$4,$C$8)</f>
        <v>9192.600365281105</v>
      </c>
      <c r="V207" s="93">
        <f t="shared" si="20"/>
        <v>18446.700733006001</v>
      </c>
    </row>
    <row r="208" spans="7:22" x14ac:dyDescent="0.35">
      <c r="G208" s="59">
        <f t="shared" si="1"/>
        <v>0.5</v>
      </c>
      <c r="H208" s="64">
        <v>25</v>
      </c>
      <c r="I208" s="84">
        <f t="shared" si="21"/>
        <v>25</v>
      </c>
      <c r="J208" s="84">
        <v>50</v>
      </c>
      <c r="K208" s="60">
        <f t="shared" si="22"/>
        <v>420200</v>
      </c>
      <c r="L208" s="59">
        <f t="shared" si="18"/>
        <v>22.68</v>
      </c>
      <c r="M208" s="64">
        <f t="shared" si="19"/>
        <v>32.68</v>
      </c>
      <c r="N208" s="64" cm="1">
        <f t="array" ref="N208">drivePower($C$4,M208,$C$9,$C$10,$C$11)</f>
        <v>5.6928400000000003</v>
      </c>
      <c r="O208" s="86">
        <f t="shared" si="17"/>
        <v>27985.32</v>
      </c>
      <c r="P208" s="90">
        <f t="shared" si="4"/>
        <v>-1.5000000000000001E-4</v>
      </c>
      <c r="Q208" s="91">
        <f t="shared" si="5"/>
        <v>0.82280000000000009</v>
      </c>
      <c r="R208" s="98">
        <v>0.15</v>
      </c>
      <c r="S208" s="95">
        <f t="shared" si="23"/>
        <v>420200</v>
      </c>
      <c r="T208" s="92" cm="1">
        <f t="array" ref="T208">maxDepthToMinSOC($L$8,$L$9,$L$6,$L$7,$O208,$G$5,$G$6,drivePower($C$4,$M208,$G208,$C$10,$C$11),$I208,$G208,$G$4,$C$8)</f>
        <v>27724.351101666689</v>
      </c>
      <c r="U208" s="12" cm="1">
        <f t="array" ref="U208">maxDepthToMinSOC($L$8,$L$9,P208,Q208,$O208,$G$5,$G$6,drivePower($C$4,$M208,$G208,$C$10,$C$11),$I208,$G208,$G$4,$C$8)</f>
        <v>9195.7503654062748</v>
      </c>
      <c r="V208" s="93">
        <f t="shared" si="20"/>
        <v>18460.050733536482</v>
      </c>
    </row>
    <row r="209" spans="7:22" x14ac:dyDescent="0.35">
      <c r="G209" s="59">
        <f t="shared" si="1"/>
        <v>0.5</v>
      </c>
      <c r="H209" s="64">
        <v>25</v>
      </c>
      <c r="I209" s="84">
        <f t="shared" si="21"/>
        <v>25</v>
      </c>
      <c r="J209" s="84">
        <v>50</v>
      </c>
      <c r="K209" s="60">
        <f t="shared" si="22"/>
        <v>422400</v>
      </c>
      <c r="L209" s="59">
        <f t="shared" si="18"/>
        <v>22.8</v>
      </c>
      <c r="M209" s="64">
        <f t="shared" si="19"/>
        <v>32.799999999999997</v>
      </c>
      <c r="N209" s="64" cm="1">
        <f t="array" ref="N209">drivePower($C$4,M209,$C$9,$C$10,$C$11)</f>
        <v>5.7064000000000004</v>
      </c>
      <c r="O209" s="86">
        <f t="shared" si="17"/>
        <v>28131.84</v>
      </c>
      <c r="P209" s="90">
        <f t="shared" si="4"/>
        <v>-1.5000000000000001E-4</v>
      </c>
      <c r="Q209" s="91">
        <f t="shared" si="5"/>
        <v>0.82280000000000009</v>
      </c>
      <c r="R209" s="98">
        <v>0.15</v>
      </c>
      <c r="S209" s="95">
        <f t="shared" si="23"/>
        <v>422400</v>
      </c>
      <c r="T209" s="92" cm="1">
        <f t="array" ref="T209">maxDepthToMinSOC($L$8,$L$9,$L$6,$L$7,$O209,$G$5,$G$6,drivePower($C$4,$M209,$G209,$C$10,$C$11),$I209,$G209,$G$4,$C$8)</f>
        <v>27747.901102602482</v>
      </c>
      <c r="U209" s="12" cm="1">
        <f t="array" ref="U209">maxDepthToMinSOC($L$8,$L$9,P209,Q209,$O209,$G$5,$G$6,drivePower($C$4,$M209,$G209,$C$10,$C$11),$I209,$G209,$G$4,$C$8)</f>
        <v>9198.7503655254841</v>
      </c>
      <c r="V209" s="93">
        <f t="shared" si="20"/>
        <v>18473.325734063983</v>
      </c>
    </row>
    <row r="210" spans="7:22" x14ac:dyDescent="0.35">
      <c r="G210" s="59">
        <f t="shared" si="1"/>
        <v>0.5</v>
      </c>
      <c r="H210" s="64">
        <v>25</v>
      </c>
      <c r="I210" s="84">
        <f t="shared" si="21"/>
        <v>25</v>
      </c>
      <c r="J210" s="84">
        <v>50</v>
      </c>
      <c r="K210" s="60">
        <f t="shared" si="22"/>
        <v>424600</v>
      </c>
      <c r="L210" s="59">
        <f t="shared" si="18"/>
        <v>22.92</v>
      </c>
      <c r="M210" s="64">
        <f t="shared" si="19"/>
        <v>32.92</v>
      </c>
      <c r="N210" s="64" cm="1">
        <f t="array" ref="N210">drivePower($C$4,M210,$C$9,$C$10,$C$11)</f>
        <v>5.7199600000000004</v>
      </c>
      <c r="O210" s="86">
        <f t="shared" ref="O210:O212" si="24">K210*3.6/1000*$L$4</f>
        <v>28278.36</v>
      </c>
      <c r="P210" s="90">
        <f t="shared" si="4"/>
        <v>-1.5000000000000001E-4</v>
      </c>
      <c r="Q210" s="91">
        <f t="shared" si="5"/>
        <v>0.82280000000000009</v>
      </c>
      <c r="R210" s="98">
        <v>0.15</v>
      </c>
      <c r="S210" s="95">
        <f t="shared" si="23"/>
        <v>424600</v>
      </c>
      <c r="T210" s="92" cm="1">
        <f t="array" ref="T210">maxDepthToMinSOC($L$8,$L$9,$L$6,$L$7,$O210,$G$5,$G$6,drivePower($C$4,$M210,$G210,$C$10,$C$11),$I210,$G210,$G$4,$C$8)</f>
        <v>27771.151103526354</v>
      </c>
      <c r="U210" s="12" cm="1">
        <f t="array" ref="U210">maxDepthToMinSOC($L$8,$L$9,P210,Q210,$O210,$G$5,$G$6,drivePower($C$4,$M210,$G210,$C$10,$C$11),$I210,$G210,$G$4,$C$8)</f>
        <v>9201.7503656446934</v>
      </c>
      <c r="V210" s="93">
        <f t="shared" si="20"/>
        <v>18486.450734585524</v>
      </c>
    </row>
    <row r="211" spans="7:22" x14ac:dyDescent="0.35">
      <c r="G211" s="59">
        <f t="shared" si="1"/>
        <v>0.5</v>
      </c>
      <c r="H211" s="64">
        <v>25</v>
      </c>
      <c r="I211" s="84">
        <f t="shared" si="21"/>
        <v>25</v>
      </c>
      <c r="J211" s="84">
        <v>50</v>
      </c>
      <c r="K211" s="60">
        <f t="shared" si="22"/>
        <v>426800</v>
      </c>
      <c r="L211" s="59">
        <f t="shared" ref="L211:L212" si="25">(K211-4400)*(5*0.048)/4400</f>
        <v>23.04</v>
      </c>
      <c r="M211" s="64">
        <f t="shared" ref="M211:M212" si="26">$C$5+L211</f>
        <v>33.04</v>
      </c>
      <c r="N211" s="64" cm="1">
        <f t="array" ref="N211">drivePower($C$4,M211,$C$9,$C$10,$C$11)</f>
        <v>5.7335200000000004</v>
      </c>
      <c r="O211" s="86">
        <f t="shared" si="24"/>
        <v>28424.880000000001</v>
      </c>
      <c r="P211" s="90">
        <f t="shared" si="4"/>
        <v>-1.5000000000000001E-4</v>
      </c>
      <c r="Q211" s="91">
        <f t="shared" si="5"/>
        <v>0.82280000000000009</v>
      </c>
      <c r="R211" s="98">
        <v>0.15</v>
      </c>
      <c r="S211" s="95">
        <f t="shared" si="23"/>
        <v>426800</v>
      </c>
      <c r="T211" s="92" cm="1">
        <f t="array" ref="T211">maxDepthToMinSOC($L$8,$L$9,$L$6,$L$7,$O211,$G$5,$G$6,drivePower($C$4,$M211,$G211,$C$10,$C$11),$I211,$G211,$G$4,$C$8)</f>
        <v>27794.101104438305</v>
      </c>
      <c r="U211" s="12" cm="1">
        <f t="array" ref="U211">maxDepthToMinSOC($L$8,$L$9,P211,Q211,$O211,$G$5,$G$6,drivePower($C$4,$M211,$G211,$C$10,$C$11),$I211,$G211,$G$4,$C$8)</f>
        <v>9204.7503657639027</v>
      </c>
      <c r="V211" s="93">
        <f t="shared" ref="V211:V212" si="27">AVERAGE(T211:U211)</f>
        <v>18499.425735101104</v>
      </c>
    </row>
    <row r="212" spans="7:22" x14ac:dyDescent="0.35">
      <c r="G212" s="59">
        <f t="shared" si="1"/>
        <v>0.5</v>
      </c>
      <c r="H212" s="64">
        <v>25</v>
      </c>
      <c r="I212" s="84">
        <f t="shared" ref="I212" si="28">I211</f>
        <v>25</v>
      </c>
      <c r="J212" s="84">
        <v>50</v>
      </c>
      <c r="K212" s="60">
        <f t="shared" si="22"/>
        <v>429000</v>
      </c>
      <c r="L212" s="59">
        <f t="shared" si="25"/>
        <v>23.16</v>
      </c>
      <c r="M212" s="64">
        <f t="shared" si="26"/>
        <v>33.159999999999997</v>
      </c>
      <c r="N212" s="64" cm="1">
        <f t="array" ref="N212">drivePower($C$4,M212,$C$9,$C$10,$C$11)</f>
        <v>5.7470799999999995</v>
      </c>
      <c r="O212" s="86">
        <f t="shared" si="24"/>
        <v>28571.4</v>
      </c>
      <c r="P212" s="90">
        <f t="shared" si="4"/>
        <v>-1.5000000000000001E-4</v>
      </c>
      <c r="Q212" s="91">
        <f t="shared" si="5"/>
        <v>0.82280000000000009</v>
      </c>
      <c r="R212" s="98">
        <v>0.15</v>
      </c>
      <c r="S212" s="95">
        <f t="shared" si="23"/>
        <v>429000</v>
      </c>
      <c r="T212" s="92" cm="1">
        <f t="array" ref="T212">maxDepthToMinSOC($L$8,$L$9,$L$6,$L$7,$O212,$G$5,$G$6,drivePower($C$4,$M212,$G212,$C$10,$C$11),$I212,$G212,$G$4,$C$8)</f>
        <v>27816.901105344296</v>
      </c>
      <c r="U212" s="12" cm="1">
        <f t="array" ref="U212">maxDepthToMinSOC($L$8,$L$9,P212,Q212,$O212,$G$5,$G$6,drivePower($C$4,$M212,$G212,$C$10,$C$11),$I212,$G212,$G$4,$C$8)</f>
        <v>9207.6003658771515</v>
      </c>
      <c r="V212" s="93">
        <f t="shared" si="27"/>
        <v>18512.250735610723</v>
      </c>
    </row>
  </sheetData>
  <mergeCells count="3">
    <mergeCell ref="B2:F2"/>
    <mergeCell ref="P16:Q16"/>
    <mergeCell ref="S16:V16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157C-5F10-448E-8E6C-D9C623F8DA9C}">
  <sheetPr codeName="Sheet9"/>
  <dimension ref="B2:V212"/>
  <sheetViews>
    <sheetView topLeftCell="J169" zoomScaleNormal="100" workbookViewId="0">
      <selection activeCell="V18" sqref="V18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8" max="18" width="10.26953125" customWidth="1"/>
    <col min="19" max="19" width="11.81640625" customWidth="1"/>
  </cols>
  <sheetData>
    <row r="2" spans="2:22" ht="23.5" x14ac:dyDescent="0.55000000000000004">
      <c r="B2" s="101" t="s">
        <v>80</v>
      </c>
      <c r="C2" s="101"/>
      <c r="D2" s="101"/>
      <c r="E2" s="101"/>
      <c r="F2" s="101"/>
    </row>
    <row r="4" spans="2:22" x14ac:dyDescent="0.35">
      <c r="B4" s="54" t="s">
        <v>66</v>
      </c>
      <c r="C4" s="3">
        <v>1.3149999999999999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13.149999999999999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-5.0000000000000002E-5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66.679160600000003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>
        <v>20</v>
      </c>
      <c r="D12" s="55" t="s">
        <v>7</v>
      </c>
      <c r="E12" s="15"/>
      <c r="F12" s="55" t="s">
        <v>119</v>
      </c>
      <c r="G12" s="80">
        <f>C12+C7</f>
        <v>44.679160600000003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35">
      <c r="S14" s="7">
        <f>MAX(T18:V212)</f>
        <v>22758.600904345512</v>
      </c>
      <c r="T14" t="s">
        <v>5</v>
      </c>
    </row>
    <row r="15" spans="2:22" ht="15" thickBot="1" x14ac:dyDescent="0.4"/>
    <row r="16" spans="2:22" ht="45" customHeight="1" x14ac:dyDescent="0.3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58" x14ac:dyDescent="0.3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35">
      <c r="G18" s="59">
        <f>$C$9</f>
        <v>0.5</v>
      </c>
      <c r="H18" s="64">
        <v>25</v>
      </c>
      <c r="I18" s="84">
        <v>25</v>
      </c>
      <c r="J18" s="84">
        <v>50</v>
      </c>
      <c r="K18" s="60">
        <v>2200</v>
      </c>
      <c r="L18" s="59">
        <f>(K18-4400)*(5*0.048)/4400</f>
        <v>-0.12</v>
      </c>
      <c r="M18" s="64">
        <f>$C$5+L18</f>
        <v>9.8800000000000008</v>
      </c>
      <c r="N18" s="64" cm="1">
        <f t="array" ref="N18">drivePower($C$4,M18,$C$9,$C$10,$C$11)</f>
        <v>14.9922</v>
      </c>
      <c r="O18" s="86">
        <f t="shared" ref="O18:O81" si="0">K18*3.6/1000*$L$4</f>
        <v>146.52000000000001</v>
      </c>
      <c r="P18" s="90">
        <f>$L$6*3</f>
        <v>-1.5000000000000001E-4</v>
      </c>
      <c r="Q18" s="91">
        <f>$L$7*0.88</f>
        <v>0.82280000000000009</v>
      </c>
      <c r="R18" s="98">
        <v>0.15</v>
      </c>
      <c r="S18" s="95">
        <v>2200</v>
      </c>
      <c r="T18" s="92" cm="1">
        <f t="array" ref="T18">maxDepthToMinSOC($L$8,$L$9,$L$6,$L$7,$O18,$G$5,$G$6,drivePower($C$4,$M18,$G18,$C$10,$C$11),$I18,$G18,$G$4,$C$8)</f>
        <v>274.95001092553139</v>
      </c>
      <c r="U18" s="12" cm="1">
        <f t="array" ref="U18">maxDepthToMinSOC($L$8,$L$9,P18,Q18,$O18,$G$5,$G$6,drivePower($C$4,$M18,$G18,$C$10,$C$11),$I18,$G18,$G$4,$C$8)</f>
        <v>192.00000762939453</v>
      </c>
      <c r="V18" s="93">
        <f>AVERAGE(T18:U18)</f>
        <v>233.47500927746296</v>
      </c>
    </row>
    <row r="19" spans="7:22" x14ac:dyDescent="0.35">
      <c r="G19" s="59">
        <f t="shared" ref="G19:G212" si="1">$C$9</f>
        <v>0.5</v>
      </c>
      <c r="H19" s="64">
        <v>25</v>
      </c>
      <c r="I19" s="84">
        <f>I18</f>
        <v>25</v>
      </c>
      <c r="J19" s="84">
        <v>50</v>
      </c>
      <c r="K19" s="60">
        <v>4400</v>
      </c>
      <c r="L19" s="59">
        <f t="shared" ref="L19:L82" si="2">(K19-4400)*(5*0.048)/4400</f>
        <v>0</v>
      </c>
      <c r="M19" s="64">
        <f t="shared" ref="M19:M82" si="3">$C$5+L19</f>
        <v>10</v>
      </c>
      <c r="N19" s="64" cm="1">
        <f t="array" ref="N19">drivePower($C$4,M19,$C$9,$C$10,$C$11)</f>
        <v>15.149999999999999</v>
      </c>
      <c r="O19" s="86">
        <f t="shared" si="0"/>
        <v>293.04000000000002</v>
      </c>
      <c r="P19" s="90">
        <f t="shared" ref="P19:P212" si="4">$L$6*3</f>
        <v>-1.5000000000000001E-4</v>
      </c>
      <c r="Q19" s="91">
        <f t="shared" ref="Q19:Q212" si="5">$L$7*0.88</f>
        <v>0.82280000000000009</v>
      </c>
      <c r="R19" s="98">
        <v>0.15</v>
      </c>
      <c r="S19" s="95">
        <v>4400</v>
      </c>
      <c r="T19" s="92" cm="1">
        <f t="array" ref="T19">maxDepthToMinSOC($L$8,$L$9,$L$6,$L$7,$O19,$G$5,$G$6,drivePower($C$4,$M19,$G19,$C$10,$C$11),$I19,$G19,$G$4,$C$8)</f>
        <v>885.00003516674042</v>
      </c>
      <c r="U19" s="12" cm="1">
        <f t="array" ref="U19">maxDepthToMinSOC($L$8,$L$9,P19,Q19,$O19,$G$5,$G$6,drivePower($C$4,$M19,$G19,$C$10,$C$11),$I19,$G19,$G$4,$C$8)</f>
        <v>686.85002729296684</v>
      </c>
      <c r="V19" s="93">
        <f t="shared" ref="V19:V82" si="6">AVERAGE(T19:U19)</f>
        <v>785.92503122985363</v>
      </c>
    </row>
    <row r="20" spans="7:22" x14ac:dyDescent="0.35">
      <c r="G20" s="59">
        <f t="shared" si="1"/>
        <v>0.5</v>
      </c>
      <c r="H20" s="64">
        <v>25</v>
      </c>
      <c r="I20" s="84">
        <f t="shared" ref="I20:I83" si="7">I19</f>
        <v>25</v>
      </c>
      <c r="J20" s="84">
        <v>50</v>
      </c>
      <c r="K20" s="60">
        <v>6600</v>
      </c>
      <c r="L20" s="59">
        <f t="shared" si="2"/>
        <v>0.12</v>
      </c>
      <c r="M20" s="64">
        <f t="shared" si="3"/>
        <v>10.119999999999999</v>
      </c>
      <c r="N20" s="64" cm="1">
        <f t="array" ref="N20">drivePower($C$4,M20,$C$9,$C$10,$C$11)</f>
        <v>15.307799999999999</v>
      </c>
      <c r="O20" s="86">
        <f t="shared" si="0"/>
        <v>439.56</v>
      </c>
      <c r="P20" s="90">
        <f t="shared" si="4"/>
        <v>-1.5000000000000001E-4</v>
      </c>
      <c r="Q20" s="91">
        <f t="shared" si="5"/>
        <v>0.82280000000000009</v>
      </c>
      <c r="R20" s="98">
        <v>0.15</v>
      </c>
      <c r="S20" s="95">
        <v>6600</v>
      </c>
      <c r="T20" s="92" cm="1">
        <f t="array" ref="T20">maxDepthToMinSOC($L$8,$L$9,$L$6,$L$7,$O20,$G$5,$G$6,drivePower($C$4,$M20,$G20,$C$10,$C$11),$I20,$G20,$G$4,$C$8)</f>
        <v>1468.8000583648682</v>
      </c>
      <c r="U20" s="12" cm="1">
        <f t="array" ref="U20">maxDepthToMinSOC($L$8,$L$9,P20,Q20,$O20,$G$5,$G$6,drivePower($C$4,$M20,$G20,$C$10,$C$11),$I20,$G20,$G$4,$C$8)</f>
        <v>1130.2500449120998</v>
      </c>
      <c r="V20" s="93">
        <f t="shared" si="6"/>
        <v>1299.525051638484</v>
      </c>
    </row>
    <row r="21" spans="7:22" x14ac:dyDescent="0.35">
      <c r="G21" s="59">
        <f t="shared" si="1"/>
        <v>0.5</v>
      </c>
      <c r="H21" s="64">
        <v>25</v>
      </c>
      <c r="I21" s="84">
        <f t="shared" si="7"/>
        <v>25</v>
      </c>
      <c r="J21" s="84">
        <v>50</v>
      </c>
      <c r="K21" s="60">
        <v>8800</v>
      </c>
      <c r="L21" s="59">
        <f t="shared" si="2"/>
        <v>0.24</v>
      </c>
      <c r="M21" s="64">
        <f t="shared" si="3"/>
        <v>10.24</v>
      </c>
      <c r="N21" s="64" cm="1">
        <f t="array" ref="N21">drivePower($C$4,M21,$C$9,$C$10,$C$11)</f>
        <v>15.4656</v>
      </c>
      <c r="O21" s="86">
        <f t="shared" si="0"/>
        <v>586.08000000000004</v>
      </c>
      <c r="P21" s="90">
        <f t="shared" si="4"/>
        <v>-1.5000000000000001E-4</v>
      </c>
      <c r="Q21" s="91">
        <f t="shared" si="5"/>
        <v>0.82280000000000009</v>
      </c>
      <c r="R21" s="98">
        <v>0.15</v>
      </c>
      <c r="S21" s="95">
        <v>8800</v>
      </c>
      <c r="T21" s="92" cm="1">
        <f t="array" ref="T21">maxDepthToMinSOC($L$8,$L$9,$L$6,$L$7,$O21,$G$5,$G$6,drivePower($C$4,$M21,$G21,$C$10,$C$11),$I21,$G21,$G$4,$C$8)</f>
        <v>2027.8500805795193</v>
      </c>
      <c r="U21" s="12" cm="1">
        <f t="array" ref="U21">maxDepthToMinSOC($L$8,$L$9,P21,Q21,$O21,$G$5,$G$6,drivePower($C$4,$M21,$G21,$C$10,$C$11),$I21,$G21,$G$4,$C$8)</f>
        <v>1530.0000607967377</v>
      </c>
      <c r="V21" s="93">
        <f t="shared" si="6"/>
        <v>1778.9250706881285</v>
      </c>
    </row>
    <row r="22" spans="7:22" x14ac:dyDescent="0.35">
      <c r="G22" s="59">
        <f t="shared" si="1"/>
        <v>0.5</v>
      </c>
      <c r="H22" s="64">
        <v>25</v>
      </c>
      <c r="I22" s="84">
        <f t="shared" si="7"/>
        <v>25</v>
      </c>
      <c r="J22" s="84">
        <v>50</v>
      </c>
      <c r="K22" s="60">
        <f>K21+2200</f>
        <v>11000</v>
      </c>
      <c r="L22" s="59">
        <f t="shared" si="2"/>
        <v>0.36</v>
      </c>
      <c r="M22" s="64">
        <f t="shared" si="3"/>
        <v>10.36</v>
      </c>
      <c r="N22" s="64" cm="1">
        <f t="array" ref="N22">drivePower($C$4,M22,$C$9,$C$10,$C$11)</f>
        <v>15.623399999999998</v>
      </c>
      <c r="O22" s="86">
        <f t="shared" si="0"/>
        <v>732.6</v>
      </c>
      <c r="P22" s="90">
        <f t="shared" si="4"/>
        <v>-1.5000000000000001E-4</v>
      </c>
      <c r="Q22" s="91">
        <f t="shared" si="5"/>
        <v>0.82280000000000009</v>
      </c>
      <c r="R22" s="98">
        <v>0.15</v>
      </c>
      <c r="S22" s="95">
        <f>S21+2200</f>
        <v>11000</v>
      </c>
      <c r="T22" s="92" cm="1">
        <f t="array" ref="T22">maxDepthToMinSOC($L$8,$L$9,$L$6,$L$7,$O22,$G$5,$G$6,drivePower($C$4,$M22,$G22,$C$10,$C$11),$I22,$G22,$G$4,$C$8)</f>
        <v>2563.8001018762589</v>
      </c>
      <c r="U22" s="12" cm="1">
        <f t="array" ref="U22">maxDepthToMinSOC($L$8,$L$9,P22,Q22,$O22,$G$5,$G$6,drivePower($C$4,$M22,$G22,$C$10,$C$11),$I22,$G22,$G$4,$C$8)</f>
        <v>1892.1000751852989</v>
      </c>
      <c r="V22" s="93">
        <f t="shared" si="6"/>
        <v>2227.9500885307789</v>
      </c>
    </row>
    <row r="23" spans="7:22" x14ac:dyDescent="0.35">
      <c r="G23" s="59">
        <f t="shared" si="1"/>
        <v>0.5</v>
      </c>
      <c r="H23" s="64">
        <v>25</v>
      </c>
      <c r="I23" s="84">
        <f t="shared" si="7"/>
        <v>25</v>
      </c>
      <c r="J23" s="84">
        <v>50</v>
      </c>
      <c r="K23" s="60">
        <f t="shared" ref="K23:K86" si="8">K22+2200</f>
        <v>13200</v>
      </c>
      <c r="L23" s="59">
        <f t="shared" si="2"/>
        <v>0.48</v>
      </c>
      <c r="M23" s="64">
        <f t="shared" si="3"/>
        <v>10.48</v>
      </c>
      <c r="N23" s="64" cm="1">
        <f t="array" ref="N23">drivePower($C$4,M23,$C$9,$C$10,$C$11)</f>
        <v>15.7812</v>
      </c>
      <c r="O23" s="86">
        <f t="shared" si="0"/>
        <v>879.12</v>
      </c>
      <c r="P23" s="90">
        <f t="shared" si="4"/>
        <v>-1.5000000000000001E-4</v>
      </c>
      <c r="Q23" s="91">
        <f t="shared" si="5"/>
        <v>0.82280000000000009</v>
      </c>
      <c r="R23" s="98">
        <v>0.15</v>
      </c>
      <c r="S23" s="95">
        <f t="shared" ref="S23:S86" si="9">S22+2200</f>
        <v>13200</v>
      </c>
      <c r="T23" s="92" cm="1">
        <f t="array" ref="T23">maxDepthToMinSOC($L$8,$L$9,$L$6,$L$7,$O23,$G$5,$G$6,drivePower($C$4,$M23,$G23,$C$10,$C$11),$I23,$G23,$G$4,$C$8)</f>
        <v>3078.0001223087311</v>
      </c>
      <c r="U23" s="12" cm="1">
        <f t="array" ref="U23">maxDepthToMinSOC($L$8,$L$9,P23,Q23,$O23,$G$5,$G$6,drivePower($C$4,$M23,$G23,$C$10,$C$11),$I23,$G23,$G$4,$C$8)</f>
        <v>2221.6500882804394</v>
      </c>
      <c r="V23" s="93">
        <f t="shared" si="6"/>
        <v>2649.8251052945852</v>
      </c>
    </row>
    <row r="24" spans="7:22" x14ac:dyDescent="0.35">
      <c r="G24" s="59">
        <f t="shared" si="1"/>
        <v>0.5</v>
      </c>
      <c r="H24" s="64">
        <v>25</v>
      </c>
      <c r="I24" s="84">
        <f t="shared" si="7"/>
        <v>25</v>
      </c>
      <c r="J24" s="84">
        <v>50</v>
      </c>
      <c r="K24" s="60">
        <f t="shared" si="8"/>
        <v>15400</v>
      </c>
      <c r="L24" s="59">
        <f t="shared" si="2"/>
        <v>0.6</v>
      </c>
      <c r="M24" s="64">
        <f t="shared" si="3"/>
        <v>10.6</v>
      </c>
      <c r="N24" s="64" cm="1">
        <f t="array" ref="N24">drivePower($C$4,M24,$C$9,$C$10,$C$11)</f>
        <v>15.938999999999998</v>
      </c>
      <c r="O24" s="86">
        <f t="shared" si="0"/>
        <v>1025.6399999999999</v>
      </c>
      <c r="P24" s="90">
        <f t="shared" si="4"/>
        <v>-1.5000000000000001E-4</v>
      </c>
      <c r="Q24" s="91">
        <f t="shared" si="5"/>
        <v>0.82280000000000009</v>
      </c>
      <c r="R24" s="98">
        <v>0.15</v>
      </c>
      <c r="S24" s="95">
        <f t="shared" si="9"/>
        <v>15400</v>
      </c>
      <c r="T24" s="92" cm="1">
        <f t="array" ref="T24">maxDepthToMinSOC($L$8,$L$9,$L$6,$L$7,$O24,$G$5,$G$6,drivePower($C$4,$M24,$G24,$C$10,$C$11),$I24,$G24,$G$4,$C$8)</f>
        <v>3571.6501419246197</v>
      </c>
      <c r="U24" s="12" cm="1">
        <f t="array" ref="U24">maxDepthToMinSOC($L$8,$L$9,P24,Q24,$O24,$G$5,$G$6,drivePower($C$4,$M24,$G24,$C$10,$C$11),$I24,$G24,$G$4,$C$8)</f>
        <v>2523.0001002550125</v>
      </c>
      <c r="V24" s="93">
        <f t="shared" si="6"/>
        <v>3047.3251210898161</v>
      </c>
    </row>
    <row r="25" spans="7:22" x14ac:dyDescent="0.35">
      <c r="G25" s="59">
        <f t="shared" si="1"/>
        <v>0.5</v>
      </c>
      <c r="H25" s="64">
        <v>25</v>
      </c>
      <c r="I25" s="84">
        <f t="shared" si="7"/>
        <v>25</v>
      </c>
      <c r="J25" s="84">
        <v>50</v>
      </c>
      <c r="K25" s="60">
        <f t="shared" si="8"/>
        <v>17600</v>
      </c>
      <c r="L25" s="59">
        <f t="shared" si="2"/>
        <v>0.72</v>
      </c>
      <c r="M25" s="64">
        <f t="shared" si="3"/>
        <v>10.72</v>
      </c>
      <c r="N25" s="64" cm="1">
        <f t="array" ref="N25">drivePower($C$4,M25,$C$9,$C$10,$C$11)</f>
        <v>16.096800000000002</v>
      </c>
      <c r="O25" s="86">
        <f t="shared" si="0"/>
        <v>1172.1600000000001</v>
      </c>
      <c r="P25" s="90">
        <f t="shared" si="4"/>
        <v>-1.5000000000000001E-4</v>
      </c>
      <c r="Q25" s="91">
        <f t="shared" si="5"/>
        <v>0.82280000000000009</v>
      </c>
      <c r="R25" s="98">
        <v>0.15</v>
      </c>
      <c r="S25" s="95">
        <f t="shared" si="9"/>
        <v>17600</v>
      </c>
      <c r="T25" s="92" cm="1">
        <f t="array" ref="T25">maxDepthToMinSOC($L$8,$L$9,$L$6,$L$7,$O25,$G$5,$G$6,drivePower($C$4,$M25,$G25,$C$10,$C$11),$I25,$G25,$G$4,$C$8)</f>
        <v>4045.9501607716084</v>
      </c>
      <c r="U25" s="12" cm="1">
        <f t="array" ref="U25">maxDepthToMinSOC($L$8,$L$9,P25,Q25,$O25,$G$5,$G$6,drivePower($C$4,$M25,$G25,$C$10,$C$11),$I25,$G25,$G$4,$C$8)</f>
        <v>2799.4501112401485</v>
      </c>
      <c r="V25" s="93">
        <f t="shared" si="6"/>
        <v>3422.7001360058784</v>
      </c>
    </row>
    <row r="26" spans="7:22" x14ac:dyDescent="0.35">
      <c r="G26" s="59">
        <f t="shared" si="1"/>
        <v>0.5</v>
      </c>
      <c r="H26" s="64">
        <v>25</v>
      </c>
      <c r="I26" s="84">
        <f t="shared" si="7"/>
        <v>25</v>
      </c>
      <c r="J26" s="84">
        <v>50</v>
      </c>
      <c r="K26" s="60">
        <f t="shared" si="8"/>
        <v>19800</v>
      </c>
      <c r="L26" s="59">
        <f t="shared" si="2"/>
        <v>0.84</v>
      </c>
      <c r="M26" s="64">
        <f t="shared" si="3"/>
        <v>10.84</v>
      </c>
      <c r="N26" s="64" cm="1">
        <f t="array" ref="N26">drivePower($C$4,M26,$C$9,$C$10,$C$11)</f>
        <v>16.2546</v>
      </c>
      <c r="O26" s="86">
        <f t="shared" si="0"/>
        <v>1318.68</v>
      </c>
      <c r="P26" s="90">
        <f t="shared" si="4"/>
        <v>-1.5000000000000001E-4</v>
      </c>
      <c r="Q26" s="91">
        <f t="shared" si="5"/>
        <v>0.82280000000000009</v>
      </c>
      <c r="R26" s="98">
        <v>0.15</v>
      </c>
      <c r="S26" s="95">
        <f t="shared" si="9"/>
        <v>19800</v>
      </c>
      <c r="T26" s="92" cm="1">
        <f t="array" ref="T26">maxDepthToMinSOC($L$8,$L$9,$L$6,$L$7,$O26,$G$5,$G$6,drivePower($C$4,$M26,$G26,$C$10,$C$11),$I26,$G26,$G$4,$C$8)</f>
        <v>4502.2501789033413</v>
      </c>
      <c r="U26" s="12" cm="1">
        <f t="array" ref="U26">maxDepthToMinSOC($L$8,$L$9,P26,Q26,$O26,$G$5,$G$6,drivePower($C$4,$M26,$G26,$C$10,$C$11),$I26,$G26,$G$4,$C$8)</f>
        <v>3054.0001213550568</v>
      </c>
      <c r="V26" s="93">
        <f t="shared" si="6"/>
        <v>3778.125150129199</v>
      </c>
    </row>
    <row r="27" spans="7:22" x14ac:dyDescent="0.35">
      <c r="G27" s="59">
        <f t="shared" si="1"/>
        <v>0.5</v>
      </c>
      <c r="H27" s="64">
        <v>25</v>
      </c>
      <c r="I27" s="84">
        <f t="shared" si="7"/>
        <v>25</v>
      </c>
      <c r="J27" s="84">
        <v>50</v>
      </c>
      <c r="K27" s="60">
        <f t="shared" si="8"/>
        <v>22000</v>
      </c>
      <c r="L27" s="59">
        <f t="shared" si="2"/>
        <v>0.96</v>
      </c>
      <c r="M27" s="64">
        <f t="shared" si="3"/>
        <v>10.96</v>
      </c>
      <c r="N27" s="64" cm="1">
        <f t="array" ref="N27">drivePower($C$4,M27,$C$9,$C$10,$C$11)</f>
        <v>16.412399999999998</v>
      </c>
      <c r="O27" s="86">
        <f t="shared" si="0"/>
        <v>1465.2</v>
      </c>
      <c r="P27" s="90">
        <f t="shared" si="4"/>
        <v>-1.5000000000000001E-4</v>
      </c>
      <c r="Q27" s="91">
        <f t="shared" si="5"/>
        <v>0.82280000000000009</v>
      </c>
      <c r="R27" s="98">
        <v>0.15</v>
      </c>
      <c r="S27" s="95">
        <f t="shared" si="9"/>
        <v>22000</v>
      </c>
      <c r="T27" s="92" cm="1">
        <f t="array" ref="T27">maxDepthToMinSOC($L$8,$L$9,$L$6,$L$7,$O27,$G$5,$G$6,drivePower($C$4,$M27,$G27,$C$10,$C$11),$I27,$G27,$G$4,$C$8)</f>
        <v>4941.4501963555813</v>
      </c>
      <c r="U27" s="12" cm="1">
        <f t="array" ref="U27">maxDepthToMinSOC($L$8,$L$9,P27,Q27,$O27,$G$5,$G$6,drivePower($C$4,$M27,$G27,$C$10,$C$11),$I27,$G27,$G$4,$C$8)</f>
        <v>3289.3501307070255</v>
      </c>
      <c r="V27" s="93">
        <f t="shared" si="6"/>
        <v>4115.4001635313034</v>
      </c>
    </row>
    <row r="28" spans="7:22" x14ac:dyDescent="0.35">
      <c r="G28" s="59">
        <f t="shared" si="1"/>
        <v>0.5</v>
      </c>
      <c r="H28" s="64">
        <v>25</v>
      </c>
      <c r="I28" s="84">
        <f t="shared" si="7"/>
        <v>25</v>
      </c>
      <c r="J28" s="84">
        <v>50</v>
      </c>
      <c r="K28" s="60">
        <f t="shared" si="8"/>
        <v>24200</v>
      </c>
      <c r="L28" s="59">
        <f t="shared" si="2"/>
        <v>1.08</v>
      </c>
      <c r="M28" s="64">
        <f t="shared" si="3"/>
        <v>11.08</v>
      </c>
      <c r="N28" s="64" cm="1">
        <f t="array" ref="N28">drivePower($C$4,M28,$C$9,$C$10,$C$11)</f>
        <v>16.5702</v>
      </c>
      <c r="O28" s="86">
        <f t="shared" si="0"/>
        <v>1611.72</v>
      </c>
      <c r="P28" s="90">
        <f t="shared" si="4"/>
        <v>-1.5000000000000001E-4</v>
      </c>
      <c r="Q28" s="91">
        <f t="shared" si="5"/>
        <v>0.82280000000000009</v>
      </c>
      <c r="R28" s="98">
        <v>0.15</v>
      </c>
      <c r="S28" s="95">
        <f t="shared" si="9"/>
        <v>24200</v>
      </c>
      <c r="T28" s="92" cm="1">
        <f t="array" ref="T28">maxDepthToMinSOC($L$8,$L$9,$L$6,$L$7,$O28,$G$5,$G$6,drivePower($C$4,$M28,$G28,$C$10,$C$11),$I28,$G28,$G$4,$C$8)</f>
        <v>5364.3002131581306</v>
      </c>
      <c r="U28" s="12" cm="1">
        <f t="array" ref="U28">maxDepthToMinSOC($L$8,$L$9,P28,Q28,$O28,$G$5,$G$6,drivePower($C$4,$M28,$G28,$C$10,$C$11),$I28,$G28,$G$4,$C$8)</f>
        <v>3507.3001393675804</v>
      </c>
      <c r="V28" s="93">
        <f t="shared" si="6"/>
        <v>4435.8001762628555</v>
      </c>
    </row>
    <row r="29" spans="7:22" x14ac:dyDescent="0.35">
      <c r="G29" s="59">
        <f t="shared" si="1"/>
        <v>0.5</v>
      </c>
      <c r="H29" s="64">
        <v>25</v>
      </c>
      <c r="I29" s="84">
        <f t="shared" si="7"/>
        <v>25</v>
      </c>
      <c r="J29" s="84">
        <v>50</v>
      </c>
      <c r="K29" s="60">
        <f t="shared" si="8"/>
        <v>26400</v>
      </c>
      <c r="L29" s="59">
        <f t="shared" si="2"/>
        <v>1.2</v>
      </c>
      <c r="M29" s="64">
        <f t="shared" si="3"/>
        <v>11.2</v>
      </c>
      <c r="N29" s="64" cm="1">
        <f t="array" ref="N29">drivePower($C$4,M29,$C$9,$C$10,$C$11)</f>
        <v>16.727999999999998</v>
      </c>
      <c r="O29" s="86">
        <f t="shared" si="0"/>
        <v>1758.24</v>
      </c>
      <c r="P29" s="90">
        <f t="shared" si="4"/>
        <v>-1.5000000000000001E-4</v>
      </c>
      <c r="Q29" s="91">
        <f t="shared" si="5"/>
        <v>0.82280000000000009</v>
      </c>
      <c r="R29" s="98">
        <v>0.15</v>
      </c>
      <c r="S29" s="95">
        <f t="shared" si="9"/>
        <v>26400</v>
      </c>
      <c r="T29" s="92" cm="1">
        <f t="array" ref="T29">maxDepthToMinSOC($L$8,$L$9,$L$6,$L$7,$O29,$G$5,$G$6,drivePower($C$4,$M29,$G29,$C$10,$C$11),$I29,$G29,$G$4,$C$8)</f>
        <v>5772.0002293586731</v>
      </c>
      <c r="U29" s="12" cm="1">
        <f t="array" ref="U29">maxDepthToMinSOC($L$8,$L$9,P29,Q29,$O29,$G$5,$G$6,drivePower($C$4,$M29,$G29,$C$10,$C$11),$I29,$G29,$G$4,$C$8)</f>
        <v>3709.8001474142075</v>
      </c>
      <c r="V29" s="93">
        <f t="shared" si="6"/>
        <v>4740.9001883864403</v>
      </c>
    </row>
    <row r="30" spans="7:22" x14ac:dyDescent="0.35">
      <c r="G30" s="59">
        <f t="shared" si="1"/>
        <v>0.5</v>
      </c>
      <c r="H30" s="64">
        <v>25</v>
      </c>
      <c r="I30" s="84">
        <f t="shared" si="7"/>
        <v>25</v>
      </c>
      <c r="J30" s="84">
        <v>50</v>
      </c>
      <c r="K30" s="60">
        <f t="shared" si="8"/>
        <v>28600</v>
      </c>
      <c r="L30" s="59">
        <f t="shared" si="2"/>
        <v>1.32</v>
      </c>
      <c r="M30" s="64">
        <f t="shared" si="3"/>
        <v>11.32</v>
      </c>
      <c r="N30" s="64" cm="1">
        <f t="array" ref="N30">drivePower($C$4,M30,$C$9,$C$10,$C$11)</f>
        <v>16.8858</v>
      </c>
      <c r="O30" s="86">
        <f t="shared" si="0"/>
        <v>1904.76</v>
      </c>
      <c r="P30" s="90">
        <f t="shared" si="4"/>
        <v>-1.5000000000000001E-4</v>
      </c>
      <c r="Q30" s="91">
        <f t="shared" si="5"/>
        <v>0.82280000000000009</v>
      </c>
      <c r="R30" s="98">
        <v>0.15</v>
      </c>
      <c r="S30" s="95">
        <f t="shared" si="9"/>
        <v>28600</v>
      </c>
      <c r="T30" s="92" cm="1">
        <f t="array" ref="T30">maxDepthToMinSOC($L$8,$L$9,$L$6,$L$7,$O30,$G$5,$G$6,drivePower($C$4,$M30,$G30,$C$10,$C$11),$I30,$G30,$G$4,$C$8)</f>
        <v>6165.1502449810505</v>
      </c>
      <c r="U30" s="12" cm="1">
        <f t="array" ref="U30">maxDepthToMinSOC($L$8,$L$9,P30,Q30,$O30,$G$5,$G$6,drivePower($C$4,$M30,$G30,$C$10,$C$11),$I30,$G30,$G$4,$C$8)</f>
        <v>3898.5001549124718</v>
      </c>
      <c r="V30" s="93">
        <f t="shared" si="6"/>
        <v>5031.8251999467611</v>
      </c>
    </row>
    <row r="31" spans="7:22" x14ac:dyDescent="0.35">
      <c r="G31" s="59">
        <f t="shared" si="1"/>
        <v>0.5</v>
      </c>
      <c r="H31" s="64">
        <v>25</v>
      </c>
      <c r="I31" s="84">
        <f t="shared" si="7"/>
        <v>25</v>
      </c>
      <c r="J31" s="84">
        <v>50</v>
      </c>
      <c r="K31" s="60">
        <f t="shared" si="8"/>
        <v>30800</v>
      </c>
      <c r="L31" s="59">
        <f t="shared" si="2"/>
        <v>1.44</v>
      </c>
      <c r="M31" s="64">
        <f t="shared" si="3"/>
        <v>11.44</v>
      </c>
      <c r="N31" s="64" cm="1">
        <f t="array" ref="N31">drivePower($C$4,M31,$C$9,$C$10,$C$11)</f>
        <v>17.043599999999998</v>
      </c>
      <c r="O31" s="86">
        <f t="shared" si="0"/>
        <v>2051.2799999999997</v>
      </c>
      <c r="P31" s="90">
        <f t="shared" si="4"/>
        <v>-1.5000000000000001E-4</v>
      </c>
      <c r="Q31" s="91">
        <f t="shared" si="5"/>
        <v>0.82280000000000009</v>
      </c>
      <c r="R31" s="98">
        <v>0.15</v>
      </c>
      <c r="S31" s="95">
        <f t="shared" si="9"/>
        <v>30800</v>
      </c>
      <c r="T31" s="92" cm="1">
        <f t="array" ref="T31">maxDepthToMinSOC($L$8,$L$9,$L$6,$L$7,$O31,$G$5,$G$6,drivePower($C$4,$M31,$G31,$C$10,$C$11),$I31,$G31,$G$4,$C$8)</f>
        <v>6544.5002600550652</v>
      </c>
      <c r="U31" s="12" cm="1">
        <f t="array" ref="U31">maxDepthToMinSOC($L$8,$L$9,P31,Q31,$O31,$G$5,$G$6,drivePower($C$4,$M31,$G31,$C$10,$C$11),$I31,$G31,$G$4,$C$8)</f>
        <v>4074.7501619160175</v>
      </c>
      <c r="V31" s="93">
        <f t="shared" si="6"/>
        <v>5309.6252109855413</v>
      </c>
    </row>
    <row r="32" spans="7:22" x14ac:dyDescent="0.35">
      <c r="G32" s="59">
        <f t="shared" si="1"/>
        <v>0.5</v>
      </c>
      <c r="H32" s="64">
        <v>25</v>
      </c>
      <c r="I32" s="84">
        <f t="shared" si="7"/>
        <v>25</v>
      </c>
      <c r="J32" s="84">
        <v>50</v>
      </c>
      <c r="K32" s="60">
        <f t="shared" si="8"/>
        <v>33000</v>
      </c>
      <c r="L32" s="59">
        <f t="shared" si="2"/>
        <v>1.56</v>
      </c>
      <c r="M32" s="64">
        <f t="shared" si="3"/>
        <v>11.56</v>
      </c>
      <c r="N32" s="64" cm="1">
        <f t="array" ref="N32">drivePower($C$4,M32,$C$9,$C$10,$C$11)</f>
        <v>17.2014</v>
      </c>
      <c r="O32" s="86">
        <f t="shared" si="0"/>
        <v>2197.7999999999997</v>
      </c>
      <c r="P32" s="90">
        <f t="shared" si="4"/>
        <v>-1.5000000000000001E-4</v>
      </c>
      <c r="Q32" s="91">
        <f t="shared" si="5"/>
        <v>0.82280000000000009</v>
      </c>
      <c r="R32" s="98">
        <v>0.15</v>
      </c>
      <c r="S32" s="95">
        <f t="shared" si="9"/>
        <v>33000</v>
      </c>
      <c r="T32" s="92" cm="1">
        <f t="array" ref="T32">maxDepthToMinSOC($L$8,$L$9,$L$6,$L$7,$O32,$G$5,$G$6,drivePower($C$4,$M32,$G32,$C$10,$C$11),$I32,$G32,$G$4,$C$8)</f>
        <v>6910.8002746105194</v>
      </c>
      <c r="U32" s="12" cm="1">
        <f t="array" ref="U32">maxDepthToMinSOC($L$8,$L$9,P32,Q32,$O32,$G$5,$G$6,drivePower($C$4,$M32,$G32,$C$10,$C$11),$I32,$G32,$G$4,$C$8)</f>
        <v>4239.7501684725285</v>
      </c>
      <c r="V32" s="93">
        <f t="shared" si="6"/>
        <v>5575.2752215415239</v>
      </c>
    </row>
    <row r="33" spans="7:22" x14ac:dyDescent="0.35">
      <c r="G33" s="59">
        <f t="shared" si="1"/>
        <v>0.5</v>
      </c>
      <c r="H33" s="64">
        <v>25</v>
      </c>
      <c r="I33" s="84">
        <f t="shared" si="7"/>
        <v>25</v>
      </c>
      <c r="J33" s="84">
        <v>50</v>
      </c>
      <c r="K33" s="60">
        <f t="shared" si="8"/>
        <v>35200</v>
      </c>
      <c r="L33" s="59">
        <f t="shared" si="2"/>
        <v>1.68</v>
      </c>
      <c r="M33" s="64">
        <f t="shared" si="3"/>
        <v>11.68</v>
      </c>
      <c r="N33" s="64" cm="1">
        <f t="array" ref="N33">drivePower($C$4,M33,$C$9,$C$10,$C$11)</f>
        <v>17.359200000000001</v>
      </c>
      <c r="O33" s="86">
        <f t="shared" si="0"/>
        <v>2344.3200000000002</v>
      </c>
      <c r="P33" s="90">
        <f t="shared" si="4"/>
        <v>-1.5000000000000001E-4</v>
      </c>
      <c r="Q33" s="91">
        <f t="shared" si="5"/>
        <v>0.82280000000000009</v>
      </c>
      <c r="R33" s="98">
        <v>0.15</v>
      </c>
      <c r="S33" s="95">
        <f t="shared" si="9"/>
        <v>35200</v>
      </c>
      <c r="T33" s="92" cm="1">
        <f t="array" ref="T33">maxDepthToMinSOC($L$8,$L$9,$L$6,$L$7,$O33,$G$5,$G$6,drivePower($C$4,$M33,$G33,$C$10,$C$11),$I33,$G33,$G$4,$C$8)</f>
        <v>7264.950288683176</v>
      </c>
      <c r="U33" s="12" cm="1">
        <f t="array" ref="U33">maxDepthToMinSOC($L$8,$L$9,P33,Q33,$O33,$G$5,$G$6,drivePower($C$4,$M33,$G33,$C$10,$C$11),$I33,$G33,$G$4,$C$8)</f>
        <v>4394.5501746237278</v>
      </c>
      <c r="V33" s="93">
        <f t="shared" si="6"/>
        <v>5829.7502316534519</v>
      </c>
    </row>
    <row r="34" spans="7:22" x14ac:dyDescent="0.35">
      <c r="G34" s="59">
        <f t="shared" si="1"/>
        <v>0.5</v>
      </c>
      <c r="H34" s="64">
        <v>25</v>
      </c>
      <c r="I34" s="84">
        <f t="shared" si="7"/>
        <v>25</v>
      </c>
      <c r="J34" s="84">
        <v>50</v>
      </c>
      <c r="K34" s="60">
        <f t="shared" si="8"/>
        <v>37400</v>
      </c>
      <c r="L34" s="59">
        <f t="shared" si="2"/>
        <v>1.8</v>
      </c>
      <c r="M34" s="64">
        <f t="shared" si="3"/>
        <v>11.8</v>
      </c>
      <c r="N34" s="64" cm="1">
        <f t="array" ref="N34">drivePower($C$4,M34,$C$9,$C$10,$C$11)</f>
        <v>17.516999999999999</v>
      </c>
      <c r="O34" s="86">
        <f t="shared" si="0"/>
        <v>2490.8399999999997</v>
      </c>
      <c r="P34" s="90">
        <f t="shared" si="4"/>
        <v>-1.5000000000000001E-4</v>
      </c>
      <c r="Q34" s="91">
        <f t="shared" si="5"/>
        <v>0.82280000000000009</v>
      </c>
      <c r="R34" s="98">
        <v>0.15</v>
      </c>
      <c r="S34" s="95">
        <f t="shared" si="9"/>
        <v>37400</v>
      </c>
      <c r="T34" s="92" cm="1">
        <f t="array" ref="T34">maxDepthToMinSOC($L$8,$L$9,$L$6,$L$7,$O34,$G$5,$G$6,drivePower($C$4,$M34,$G34,$C$10,$C$11),$I34,$G34,$G$4,$C$8)</f>
        <v>7607.1003022789955</v>
      </c>
      <c r="U34" s="12" cm="1">
        <f t="array" ref="U34">maxDepthToMinSOC($L$8,$L$9,P34,Q34,$O34,$G$5,$G$6,drivePower($C$4,$M34,$G34,$C$10,$C$11),$I34,$G34,$G$4,$C$8)</f>
        <v>4540.0501804053783</v>
      </c>
      <c r="V34" s="93">
        <f t="shared" si="6"/>
        <v>6073.5752413421869</v>
      </c>
    </row>
    <row r="35" spans="7:22" x14ac:dyDescent="0.35">
      <c r="G35" s="59">
        <f t="shared" si="1"/>
        <v>0.5</v>
      </c>
      <c r="H35" s="64">
        <v>25</v>
      </c>
      <c r="I35" s="84">
        <f t="shared" si="7"/>
        <v>25</v>
      </c>
      <c r="J35" s="84">
        <v>50</v>
      </c>
      <c r="K35" s="60">
        <f t="shared" si="8"/>
        <v>39600</v>
      </c>
      <c r="L35" s="59">
        <f t="shared" si="2"/>
        <v>1.92</v>
      </c>
      <c r="M35" s="64">
        <f t="shared" si="3"/>
        <v>11.92</v>
      </c>
      <c r="N35" s="64" cm="1">
        <f t="array" ref="N35">drivePower($C$4,M35,$C$9,$C$10,$C$11)</f>
        <v>17.674799999999998</v>
      </c>
      <c r="O35" s="86">
        <f t="shared" si="0"/>
        <v>2637.36</v>
      </c>
      <c r="P35" s="90">
        <f t="shared" si="4"/>
        <v>-1.5000000000000001E-4</v>
      </c>
      <c r="Q35" s="91">
        <f t="shared" si="5"/>
        <v>0.82280000000000009</v>
      </c>
      <c r="R35" s="98">
        <v>0.15</v>
      </c>
      <c r="S35" s="95">
        <f t="shared" si="9"/>
        <v>39600</v>
      </c>
      <c r="T35" s="92" cm="1">
        <f t="array" ref="T35">maxDepthToMinSOC($L$8,$L$9,$L$6,$L$7,$O35,$G$5,$G$6,drivePower($C$4,$M35,$G35,$C$10,$C$11),$I35,$G35,$G$4,$C$8)</f>
        <v>7938.1503154337406</v>
      </c>
      <c r="U35" s="12" cm="1">
        <f t="array" ref="U35">maxDepthToMinSOC($L$8,$L$9,P35,Q35,$O35,$G$5,$G$6,drivePower($C$4,$M35,$G35,$C$10,$C$11),$I35,$G35,$G$4,$C$8)</f>
        <v>4677.0001858472824</v>
      </c>
      <c r="V35" s="93">
        <f t="shared" si="6"/>
        <v>6307.5752506405115</v>
      </c>
    </row>
    <row r="36" spans="7:22" x14ac:dyDescent="0.35">
      <c r="G36" s="59">
        <f t="shared" si="1"/>
        <v>0.5</v>
      </c>
      <c r="H36" s="64">
        <v>25</v>
      </c>
      <c r="I36" s="84">
        <f t="shared" si="7"/>
        <v>25</v>
      </c>
      <c r="J36" s="84">
        <v>50</v>
      </c>
      <c r="K36" s="60">
        <f t="shared" si="8"/>
        <v>41800</v>
      </c>
      <c r="L36" s="59">
        <f t="shared" si="2"/>
        <v>2.04</v>
      </c>
      <c r="M36" s="64">
        <f t="shared" si="3"/>
        <v>12.04</v>
      </c>
      <c r="N36" s="64" cm="1">
        <f t="array" ref="N36">drivePower($C$4,M36,$C$9,$C$10,$C$11)</f>
        <v>17.832599999999999</v>
      </c>
      <c r="O36" s="86">
        <f t="shared" si="0"/>
        <v>2783.8799999999997</v>
      </c>
      <c r="P36" s="90">
        <f t="shared" si="4"/>
        <v>-1.5000000000000001E-4</v>
      </c>
      <c r="Q36" s="91">
        <f t="shared" si="5"/>
        <v>0.82280000000000009</v>
      </c>
      <c r="R36" s="98">
        <v>0.15</v>
      </c>
      <c r="S36" s="95">
        <f t="shared" si="9"/>
        <v>41800</v>
      </c>
      <c r="T36" s="92" cm="1">
        <f t="array" ref="T36">maxDepthToMinSOC($L$8,$L$9,$L$6,$L$7,$O36,$G$5,$G$6,drivePower($C$4,$M36,$G36,$C$10,$C$11),$I36,$G36,$G$4,$C$8)</f>
        <v>8258.7003281712532</v>
      </c>
      <c r="U36" s="12" cm="1">
        <f t="array" ref="U36">maxDepthToMinSOC($L$8,$L$9,P36,Q36,$O36,$G$5,$G$6,drivePower($C$4,$M36,$G36,$C$10,$C$11),$I36,$G36,$G$4,$C$8)</f>
        <v>4806.1501909792423</v>
      </c>
      <c r="V36" s="93">
        <f t="shared" si="6"/>
        <v>6532.4252595752478</v>
      </c>
    </row>
    <row r="37" spans="7:22" x14ac:dyDescent="0.35">
      <c r="G37" s="59">
        <f t="shared" si="1"/>
        <v>0.5</v>
      </c>
      <c r="H37" s="64">
        <v>25</v>
      </c>
      <c r="I37" s="84">
        <f t="shared" si="7"/>
        <v>25</v>
      </c>
      <c r="J37" s="84">
        <v>50</v>
      </c>
      <c r="K37" s="60">
        <f t="shared" si="8"/>
        <v>44000</v>
      </c>
      <c r="L37" s="59">
        <f t="shared" si="2"/>
        <v>2.16</v>
      </c>
      <c r="M37" s="64">
        <f t="shared" si="3"/>
        <v>12.16</v>
      </c>
      <c r="N37" s="64" cm="1">
        <f t="array" ref="N37">drivePower($C$4,M37,$C$9,$C$10,$C$11)</f>
        <v>17.990400000000001</v>
      </c>
      <c r="O37" s="86">
        <f t="shared" si="0"/>
        <v>2930.4</v>
      </c>
      <c r="P37" s="90">
        <f t="shared" si="4"/>
        <v>-1.5000000000000001E-4</v>
      </c>
      <c r="Q37" s="91">
        <f t="shared" si="5"/>
        <v>0.82280000000000009</v>
      </c>
      <c r="R37" s="98">
        <v>0.15</v>
      </c>
      <c r="S37" s="95">
        <f t="shared" si="9"/>
        <v>44000</v>
      </c>
      <c r="T37" s="92" cm="1">
        <f t="array" ref="T37">maxDepthToMinSOC($L$8,$L$9,$L$6,$L$7,$O37,$G$5,$G$6,drivePower($C$4,$M37,$G37,$C$10,$C$11),$I37,$G37,$G$4,$C$8)</f>
        <v>8569.0503405034542</v>
      </c>
      <c r="U37" s="12" cm="1">
        <f t="array" ref="U37">maxDepthToMinSOC($L$8,$L$9,P37,Q37,$O37,$G$5,$G$6,drivePower($C$4,$M37,$G37,$C$10,$C$11),$I37,$G37,$G$4,$C$8)</f>
        <v>4928.2501958310604</v>
      </c>
      <c r="V37" s="93">
        <f t="shared" si="6"/>
        <v>6748.6502681672573</v>
      </c>
    </row>
    <row r="38" spans="7:22" x14ac:dyDescent="0.35">
      <c r="G38" s="59">
        <f t="shared" si="1"/>
        <v>0.5</v>
      </c>
      <c r="H38" s="64">
        <v>25</v>
      </c>
      <c r="I38" s="84">
        <f t="shared" si="7"/>
        <v>25</v>
      </c>
      <c r="J38" s="84">
        <v>50</v>
      </c>
      <c r="K38" s="60">
        <f t="shared" si="8"/>
        <v>46200</v>
      </c>
      <c r="L38" s="59">
        <f t="shared" si="2"/>
        <v>2.2799999999999998</v>
      </c>
      <c r="M38" s="64">
        <f t="shared" si="3"/>
        <v>12.28</v>
      </c>
      <c r="N38" s="64" cm="1">
        <f t="array" ref="N38">drivePower($C$4,M38,$C$9,$C$10,$C$11)</f>
        <v>18.148199999999999</v>
      </c>
      <c r="O38" s="86">
        <f t="shared" si="0"/>
        <v>3076.92</v>
      </c>
      <c r="P38" s="90">
        <f t="shared" si="4"/>
        <v>-1.5000000000000001E-4</v>
      </c>
      <c r="Q38" s="91">
        <f t="shared" si="5"/>
        <v>0.82280000000000009</v>
      </c>
      <c r="R38" s="98">
        <v>0.15</v>
      </c>
      <c r="S38" s="95">
        <f t="shared" si="9"/>
        <v>46200</v>
      </c>
      <c r="T38" s="92" cm="1">
        <f t="array" ref="T38">maxDepthToMinSOC($L$8,$L$9,$L$6,$L$7,$O38,$G$5,$G$6,drivePower($C$4,$M38,$G38,$C$10,$C$11),$I38,$G38,$G$4,$C$8)</f>
        <v>8869.650352448225</v>
      </c>
      <c r="U38" s="12" cm="1">
        <f t="array" ref="U38">maxDepthToMinSOC($L$8,$L$9,P38,Q38,$O38,$G$5,$G$6,drivePower($C$4,$M38,$G38,$C$10,$C$11),$I38,$G38,$G$4,$C$8)</f>
        <v>5043.7502004206181</v>
      </c>
      <c r="V38" s="93">
        <f t="shared" si="6"/>
        <v>6956.7002764344215</v>
      </c>
    </row>
    <row r="39" spans="7:22" x14ac:dyDescent="0.35">
      <c r="G39" s="59">
        <f t="shared" si="1"/>
        <v>0.5</v>
      </c>
      <c r="H39" s="64">
        <v>25</v>
      </c>
      <c r="I39" s="84">
        <f t="shared" si="7"/>
        <v>25</v>
      </c>
      <c r="J39" s="84">
        <v>50</v>
      </c>
      <c r="K39" s="60">
        <f t="shared" si="8"/>
        <v>48400</v>
      </c>
      <c r="L39" s="59">
        <f t="shared" si="2"/>
        <v>2.4</v>
      </c>
      <c r="M39" s="64">
        <f t="shared" si="3"/>
        <v>12.4</v>
      </c>
      <c r="N39" s="64" cm="1">
        <f t="array" ref="N39">drivePower($C$4,M39,$C$9,$C$10,$C$11)</f>
        <v>18.306000000000001</v>
      </c>
      <c r="O39" s="86">
        <f t="shared" si="0"/>
        <v>3223.44</v>
      </c>
      <c r="P39" s="90">
        <f t="shared" si="4"/>
        <v>-1.5000000000000001E-4</v>
      </c>
      <c r="Q39" s="91">
        <f t="shared" si="5"/>
        <v>0.82280000000000009</v>
      </c>
      <c r="R39" s="98">
        <v>0.15</v>
      </c>
      <c r="S39" s="95">
        <f t="shared" si="9"/>
        <v>48400</v>
      </c>
      <c r="T39" s="92" cm="1">
        <f t="array" ref="T39">maxDepthToMinSOC($L$8,$L$9,$L$6,$L$7,$O39,$G$5,$G$6,drivePower($C$4,$M39,$G39,$C$10,$C$11),$I39,$G39,$G$4,$C$8)</f>
        <v>9161.1003640294075</v>
      </c>
      <c r="U39" s="12" cm="1">
        <f t="array" ref="U39">maxDepthToMinSOC($L$8,$L$9,P39,Q39,$O39,$G$5,$G$6,drivePower($C$4,$M39,$G39,$C$10,$C$11),$I39,$G39,$G$4,$C$8)</f>
        <v>5153.2502047717571</v>
      </c>
      <c r="V39" s="93">
        <f t="shared" si="6"/>
        <v>7157.1752844005823</v>
      </c>
    </row>
    <row r="40" spans="7:22" x14ac:dyDescent="0.35">
      <c r="G40" s="59">
        <f t="shared" si="1"/>
        <v>0.5</v>
      </c>
      <c r="H40" s="64">
        <v>25</v>
      </c>
      <c r="I40" s="84">
        <f t="shared" si="7"/>
        <v>25</v>
      </c>
      <c r="J40" s="84">
        <v>50</v>
      </c>
      <c r="K40" s="60">
        <f t="shared" si="8"/>
        <v>50600</v>
      </c>
      <c r="L40" s="59">
        <f t="shared" si="2"/>
        <v>2.52</v>
      </c>
      <c r="M40" s="64">
        <f t="shared" si="3"/>
        <v>12.52</v>
      </c>
      <c r="N40" s="64" cm="1">
        <f t="array" ref="N40">drivePower($C$4,M40,$C$9,$C$10,$C$11)</f>
        <v>18.463799999999999</v>
      </c>
      <c r="O40" s="86">
        <f t="shared" si="0"/>
        <v>3369.96</v>
      </c>
      <c r="P40" s="90">
        <f t="shared" si="4"/>
        <v>-1.5000000000000001E-4</v>
      </c>
      <c r="Q40" s="91">
        <f t="shared" si="5"/>
        <v>0.82280000000000009</v>
      </c>
      <c r="R40" s="98">
        <v>0.15</v>
      </c>
      <c r="S40" s="95">
        <f t="shared" si="9"/>
        <v>50600</v>
      </c>
      <c r="T40" s="92" cm="1">
        <f t="array" ref="T40">maxDepthToMinSOC($L$8,$L$9,$L$6,$L$7,$O40,$G$5,$G$6,drivePower($C$4,$M40,$G40,$C$10,$C$11),$I40,$G40,$G$4,$C$8)</f>
        <v>9443.7003752589226</v>
      </c>
      <c r="U40" s="12" cm="1">
        <f t="array" ref="U40">maxDepthToMinSOC($L$8,$L$9,P40,Q40,$O40,$G$5,$G$6,drivePower($C$4,$M40,$G40,$C$10,$C$11),$I40,$G40,$G$4,$C$8)</f>
        <v>5257.200208902359</v>
      </c>
      <c r="V40" s="93">
        <f t="shared" si="6"/>
        <v>7350.4502920806408</v>
      </c>
    </row>
    <row r="41" spans="7:22" x14ac:dyDescent="0.35">
      <c r="G41" s="59">
        <f t="shared" si="1"/>
        <v>0.5</v>
      </c>
      <c r="H41" s="64">
        <v>25</v>
      </c>
      <c r="I41" s="84">
        <f t="shared" si="7"/>
        <v>25</v>
      </c>
      <c r="J41" s="84">
        <v>50</v>
      </c>
      <c r="K41" s="60">
        <f t="shared" si="8"/>
        <v>52800</v>
      </c>
      <c r="L41" s="59">
        <f t="shared" si="2"/>
        <v>2.64</v>
      </c>
      <c r="M41" s="64">
        <f t="shared" si="3"/>
        <v>12.64</v>
      </c>
      <c r="N41" s="64" cm="1">
        <f t="array" ref="N41">drivePower($C$4,M41,$C$9,$C$10,$C$11)</f>
        <v>18.621600000000001</v>
      </c>
      <c r="O41" s="86">
        <f t="shared" si="0"/>
        <v>3516.48</v>
      </c>
      <c r="P41" s="90">
        <f t="shared" si="4"/>
        <v>-1.5000000000000001E-4</v>
      </c>
      <c r="Q41" s="91">
        <f t="shared" si="5"/>
        <v>0.82280000000000009</v>
      </c>
      <c r="R41" s="98">
        <v>0.15</v>
      </c>
      <c r="S41" s="95">
        <f t="shared" si="9"/>
        <v>52800</v>
      </c>
      <c r="T41" s="92" cm="1">
        <f t="array" ref="T41">maxDepthToMinSOC($L$8,$L$9,$L$6,$L$7,$O41,$G$5,$G$6,drivePower($C$4,$M41,$G41,$C$10,$C$11),$I41,$G41,$G$4,$C$8)</f>
        <v>9717.9003861546516</v>
      </c>
      <c r="U41" s="12" cm="1">
        <f t="array" ref="U41">maxDepthToMinSOC($L$8,$L$9,P41,Q41,$O41,$G$5,$G$6,drivePower($C$4,$M41,$G41,$C$10,$C$11),$I41,$G41,$G$4,$C$8)</f>
        <v>5356.0502128303051</v>
      </c>
      <c r="V41" s="93">
        <f t="shared" si="6"/>
        <v>7536.9752994924784</v>
      </c>
    </row>
    <row r="42" spans="7:22" x14ac:dyDescent="0.35">
      <c r="G42" s="59">
        <f t="shared" si="1"/>
        <v>0.5</v>
      </c>
      <c r="H42" s="64">
        <v>25</v>
      </c>
      <c r="I42" s="84">
        <f t="shared" si="7"/>
        <v>25</v>
      </c>
      <c r="J42" s="84">
        <v>50</v>
      </c>
      <c r="K42" s="60">
        <f t="shared" si="8"/>
        <v>55000</v>
      </c>
      <c r="L42" s="59">
        <f t="shared" si="2"/>
        <v>2.76</v>
      </c>
      <c r="M42" s="64">
        <f t="shared" si="3"/>
        <v>12.76</v>
      </c>
      <c r="N42" s="64" cm="1">
        <f t="array" ref="N42">drivePower($C$4,M42,$C$9,$C$10,$C$11)</f>
        <v>18.779399999999999</v>
      </c>
      <c r="O42" s="86">
        <f t="shared" si="0"/>
        <v>3663</v>
      </c>
      <c r="P42" s="90">
        <f t="shared" si="4"/>
        <v>-1.5000000000000001E-4</v>
      </c>
      <c r="Q42" s="91">
        <f t="shared" si="5"/>
        <v>0.82280000000000009</v>
      </c>
      <c r="R42" s="98">
        <v>0.15</v>
      </c>
      <c r="S42" s="95">
        <f t="shared" si="9"/>
        <v>55000</v>
      </c>
      <c r="T42" s="92" cm="1">
        <f t="array" ref="T42">maxDepthToMinSOC($L$8,$L$9,$L$6,$L$7,$O42,$G$5,$G$6,drivePower($C$4,$M42,$G42,$C$10,$C$11),$I42,$G42,$G$4,$C$8)</f>
        <v>9984.1503967344761</v>
      </c>
      <c r="U42" s="12" cm="1">
        <f t="array" ref="U42">maxDepthToMinSOC($L$8,$L$9,P42,Q42,$O42,$G$5,$G$6,drivePower($C$4,$M42,$G42,$C$10,$C$11),$I42,$G42,$G$4,$C$8)</f>
        <v>5449.9502165615559</v>
      </c>
      <c r="V42" s="93">
        <f t="shared" si="6"/>
        <v>7717.050306648016</v>
      </c>
    </row>
    <row r="43" spans="7:22" x14ac:dyDescent="0.35">
      <c r="G43" s="59">
        <f t="shared" si="1"/>
        <v>0.5</v>
      </c>
      <c r="H43" s="64">
        <v>25</v>
      </c>
      <c r="I43" s="84">
        <f t="shared" si="7"/>
        <v>25</v>
      </c>
      <c r="J43" s="84">
        <v>50</v>
      </c>
      <c r="K43" s="60">
        <f t="shared" si="8"/>
        <v>57200</v>
      </c>
      <c r="L43" s="59">
        <f t="shared" si="2"/>
        <v>2.88</v>
      </c>
      <c r="M43" s="64">
        <f t="shared" si="3"/>
        <v>12.879999999999999</v>
      </c>
      <c r="N43" s="64" cm="1">
        <f t="array" ref="N43">drivePower($C$4,M43,$C$9,$C$10,$C$11)</f>
        <v>18.937199999999997</v>
      </c>
      <c r="O43" s="86">
        <f t="shared" si="0"/>
        <v>3809.52</v>
      </c>
      <c r="P43" s="90">
        <f t="shared" si="4"/>
        <v>-1.5000000000000001E-4</v>
      </c>
      <c r="Q43" s="91">
        <f t="shared" si="5"/>
        <v>0.82280000000000009</v>
      </c>
      <c r="R43" s="98">
        <v>0.15</v>
      </c>
      <c r="S43" s="95">
        <f t="shared" si="9"/>
        <v>57200</v>
      </c>
      <c r="T43" s="92" cm="1">
        <f t="array" ref="T43">maxDepthToMinSOC($L$8,$L$9,$L$6,$L$7,$O43,$G$5,$G$6,drivePower($C$4,$M43,$G43,$C$10,$C$11),$I43,$G43,$G$4,$C$8)</f>
        <v>10242.750407010317</v>
      </c>
      <c r="U43" s="12" cm="1">
        <f t="array" ref="U43">maxDepthToMinSOC($L$8,$L$9,P43,Q43,$O43,$G$5,$G$6,drivePower($C$4,$M43,$G43,$C$10,$C$11),$I43,$G43,$G$4,$C$8)</f>
        <v>5539.5002201199532</v>
      </c>
      <c r="V43" s="93">
        <f t="shared" si="6"/>
        <v>7891.125313565135</v>
      </c>
    </row>
    <row r="44" spans="7:22" x14ac:dyDescent="0.35">
      <c r="G44" s="59">
        <f t="shared" si="1"/>
        <v>0.5</v>
      </c>
      <c r="H44" s="64">
        <v>25</v>
      </c>
      <c r="I44" s="84">
        <f t="shared" si="7"/>
        <v>25</v>
      </c>
      <c r="J44" s="84">
        <v>50</v>
      </c>
      <c r="K44" s="60">
        <f t="shared" si="8"/>
        <v>59400</v>
      </c>
      <c r="L44" s="59">
        <f t="shared" si="2"/>
        <v>3</v>
      </c>
      <c r="M44" s="64">
        <f t="shared" si="3"/>
        <v>13</v>
      </c>
      <c r="N44" s="64" cm="1">
        <f t="array" ref="N44">drivePower($C$4,M44,$C$9,$C$10,$C$11)</f>
        <v>19.094999999999999</v>
      </c>
      <c r="O44" s="86">
        <f t="shared" si="0"/>
        <v>3956.04</v>
      </c>
      <c r="P44" s="90">
        <f t="shared" si="4"/>
        <v>-1.5000000000000001E-4</v>
      </c>
      <c r="Q44" s="91">
        <f t="shared" si="5"/>
        <v>0.82280000000000009</v>
      </c>
      <c r="R44" s="98">
        <v>0.15</v>
      </c>
      <c r="S44" s="95">
        <f t="shared" si="9"/>
        <v>59400</v>
      </c>
      <c r="T44" s="92" cm="1">
        <f t="array" ref="T44">maxDepthToMinSOC($L$8,$L$9,$L$6,$L$7,$O44,$G$5,$G$6,drivePower($C$4,$M44,$G44,$C$10,$C$11),$I44,$G44,$G$4,$C$8)</f>
        <v>10493.850416988134</v>
      </c>
      <c r="U44" s="12" cm="1">
        <f t="array" ref="U44">maxDepthToMinSOC($L$8,$L$9,P44,Q44,$O44,$G$5,$G$6,drivePower($C$4,$M44,$G44,$C$10,$C$11),$I44,$G44,$G$4,$C$8)</f>
        <v>5624.8502235114574</v>
      </c>
      <c r="V44" s="93">
        <f t="shared" si="6"/>
        <v>8059.3503202497959</v>
      </c>
    </row>
    <row r="45" spans="7:22" x14ac:dyDescent="0.35">
      <c r="G45" s="59">
        <f t="shared" si="1"/>
        <v>0.5</v>
      </c>
      <c r="H45" s="64">
        <v>25</v>
      </c>
      <c r="I45" s="84">
        <f t="shared" si="7"/>
        <v>25</v>
      </c>
      <c r="J45" s="84">
        <v>50</v>
      </c>
      <c r="K45" s="60">
        <f t="shared" si="8"/>
        <v>61600</v>
      </c>
      <c r="L45" s="59">
        <f t="shared" si="2"/>
        <v>3.12</v>
      </c>
      <c r="M45" s="64">
        <f t="shared" si="3"/>
        <v>13.120000000000001</v>
      </c>
      <c r="N45" s="64" cm="1">
        <f t="array" ref="N45">drivePower($C$4,M45,$C$9,$C$10,$C$11)</f>
        <v>19.252800000000001</v>
      </c>
      <c r="O45" s="86">
        <f t="shared" si="0"/>
        <v>4102.5599999999995</v>
      </c>
      <c r="P45" s="90">
        <f t="shared" si="4"/>
        <v>-1.5000000000000001E-4</v>
      </c>
      <c r="Q45" s="91">
        <f t="shared" si="5"/>
        <v>0.82280000000000009</v>
      </c>
      <c r="R45" s="98">
        <v>0.15</v>
      </c>
      <c r="S45" s="95">
        <f t="shared" si="9"/>
        <v>61600</v>
      </c>
      <c r="T45" s="92" cm="1">
        <f t="array" ref="T45">maxDepthToMinSOC($L$8,$L$9,$L$6,$L$7,$O45,$G$5,$G$6,drivePower($C$4,$M45,$G45,$C$10,$C$11),$I45,$G45,$G$4,$C$8)</f>
        <v>10737.90042668581</v>
      </c>
      <c r="U45" s="12" cm="1">
        <f t="array" ref="U45">maxDepthToMinSOC($L$8,$L$9,P45,Q45,$O45,$G$5,$G$6,drivePower($C$4,$M45,$G45,$C$10,$C$11),$I45,$G45,$G$4,$C$8)</f>
        <v>5706.4502267539501</v>
      </c>
      <c r="V45" s="93">
        <f t="shared" si="6"/>
        <v>8222.1753267198801</v>
      </c>
    </row>
    <row r="46" spans="7:22" x14ac:dyDescent="0.35">
      <c r="G46" s="59">
        <f t="shared" si="1"/>
        <v>0.5</v>
      </c>
      <c r="H46" s="64">
        <v>25</v>
      </c>
      <c r="I46" s="84">
        <f t="shared" si="7"/>
        <v>25</v>
      </c>
      <c r="J46" s="84">
        <v>50</v>
      </c>
      <c r="K46" s="60">
        <f t="shared" si="8"/>
        <v>63800</v>
      </c>
      <c r="L46" s="59">
        <f t="shared" si="2"/>
        <v>3.24</v>
      </c>
      <c r="M46" s="64">
        <f t="shared" si="3"/>
        <v>13.24</v>
      </c>
      <c r="N46" s="64" cm="1">
        <f t="array" ref="N46">drivePower($C$4,M46,$C$9,$C$10,$C$11)</f>
        <v>19.410599999999999</v>
      </c>
      <c r="O46" s="86">
        <f t="shared" si="0"/>
        <v>4249.08</v>
      </c>
      <c r="P46" s="90">
        <f t="shared" si="4"/>
        <v>-1.5000000000000001E-4</v>
      </c>
      <c r="Q46" s="91">
        <f t="shared" si="5"/>
        <v>0.82280000000000009</v>
      </c>
      <c r="R46" s="98">
        <v>0.15</v>
      </c>
      <c r="S46" s="95">
        <f t="shared" si="9"/>
        <v>63800</v>
      </c>
      <c r="T46" s="92" cm="1">
        <f t="array" ref="T46">maxDepthToMinSOC($L$8,$L$9,$L$6,$L$7,$O46,$G$5,$G$6,drivePower($C$4,$M46,$G46,$C$10,$C$11),$I46,$G46,$G$4,$C$8)</f>
        <v>10975.350436121225</v>
      </c>
      <c r="U46" s="12" cm="1">
        <f t="array" ref="U46">maxDepthToMinSOC($L$8,$L$9,P46,Q46,$O46,$G$5,$G$6,drivePower($C$4,$M46,$G46,$C$10,$C$11),$I46,$G46,$G$4,$C$8)</f>
        <v>5784.4502298533916</v>
      </c>
      <c r="V46" s="93">
        <f t="shared" si="6"/>
        <v>8379.9003329873085</v>
      </c>
    </row>
    <row r="47" spans="7:22" x14ac:dyDescent="0.35">
      <c r="G47" s="59">
        <f t="shared" si="1"/>
        <v>0.5</v>
      </c>
      <c r="H47" s="64">
        <v>25</v>
      </c>
      <c r="I47" s="84">
        <f t="shared" si="7"/>
        <v>25</v>
      </c>
      <c r="J47" s="84">
        <v>50</v>
      </c>
      <c r="K47" s="60">
        <f t="shared" si="8"/>
        <v>66000</v>
      </c>
      <c r="L47" s="59">
        <f t="shared" si="2"/>
        <v>3.36</v>
      </c>
      <c r="M47" s="64">
        <f t="shared" si="3"/>
        <v>13.36</v>
      </c>
      <c r="N47" s="64" cm="1">
        <f t="array" ref="N47">drivePower($C$4,M47,$C$9,$C$10,$C$11)</f>
        <v>19.568399999999997</v>
      </c>
      <c r="O47" s="86">
        <f t="shared" si="0"/>
        <v>4395.5999999999995</v>
      </c>
      <c r="P47" s="90">
        <f t="shared" si="4"/>
        <v>-1.5000000000000001E-4</v>
      </c>
      <c r="Q47" s="91">
        <f t="shared" si="5"/>
        <v>0.82280000000000009</v>
      </c>
      <c r="R47" s="98">
        <v>0.15</v>
      </c>
      <c r="S47" s="95">
        <f t="shared" si="9"/>
        <v>66000</v>
      </c>
      <c r="T47" s="92" cm="1">
        <f t="array" ref="T47">maxDepthToMinSOC($L$8,$L$9,$L$6,$L$7,$O47,$G$5,$G$6,drivePower($C$4,$M47,$G47,$C$10,$C$11),$I47,$G47,$G$4,$C$8)</f>
        <v>11206.20044529438</v>
      </c>
      <c r="U47" s="12" cm="1">
        <f t="array" ref="U47">maxDepthToMinSOC($L$8,$L$9,P47,Q47,$O47,$G$5,$G$6,drivePower($C$4,$M47,$G47,$C$10,$C$11),$I47,$G47,$G$4,$C$8)</f>
        <v>5859.0002328157425</v>
      </c>
      <c r="V47" s="93">
        <f t="shared" si="6"/>
        <v>8532.6003390550613</v>
      </c>
    </row>
    <row r="48" spans="7:22" x14ac:dyDescent="0.35">
      <c r="G48" s="59">
        <f t="shared" si="1"/>
        <v>0.5</v>
      </c>
      <c r="H48" s="64">
        <v>25</v>
      </c>
      <c r="I48" s="84">
        <f t="shared" si="7"/>
        <v>25</v>
      </c>
      <c r="J48" s="84">
        <v>50</v>
      </c>
      <c r="K48" s="60">
        <f t="shared" si="8"/>
        <v>68200</v>
      </c>
      <c r="L48" s="59">
        <f t="shared" si="2"/>
        <v>3.48</v>
      </c>
      <c r="M48" s="64">
        <f t="shared" si="3"/>
        <v>13.48</v>
      </c>
      <c r="N48" s="64" cm="1">
        <f t="array" ref="N48">drivePower($C$4,M48,$C$9,$C$10,$C$11)</f>
        <v>19.726199999999999</v>
      </c>
      <c r="O48" s="86">
        <f t="shared" si="0"/>
        <v>4542.12</v>
      </c>
      <c r="P48" s="90">
        <f t="shared" si="4"/>
        <v>-1.5000000000000001E-4</v>
      </c>
      <c r="Q48" s="91">
        <f t="shared" si="5"/>
        <v>0.82280000000000009</v>
      </c>
      <c r="R48" s="98">
        <v>0.15</v>
      </c>
      <c r="S48" s="95">
        <f t="shared" si="9"/>
        <v>68200</v>
      </c>
      <c r="T48" s="92" cm="1">
        <f t="array" ref="T48">maxDepthToMinSOC($L$8,$L$9,$L$6,$L$7,$O48,$G$5,$G$6,drivePower($C$4,$M48,$G48,$C$10,$C$11),$I48,$G48,$G$4,$C$8)</f>
        <v>11430.750454217196</v>
      </c>
      <c r="U48" s="12" cm="1">
        <f t="array" ref="U48">maxDepthToMinSOC($L$8,$L$9,P48,Q48,$O48,$G$5,$G$6,drivePower($C$4,$M48,$G48,$C$10,$C$11),$I48,$G48,$G$4,$C$8)</f>
        <v>5930.4002356529236</v>
      </c>
      <c r="V48" s="93">
        <f t="shared" si="6"/>
        <v>8680.5753449350595</v>
      </c>
    </row>
    <row r="49" spans="7:22" x14ac:dyDescent="0.35">
      <c r="G49" s="59">
        <f t="shared" si="1"/>
        <v>0.5</v>
      </c>
      <c r="H49" s="64">
        <v>25</v>
      </c>
      <c r="I49" s="84">
        <f t="shared" si="7"/>
        <v>25</v>
      </c>
      <c r="J49" s="84">
        <v>50</v>
      </c>
      <c r="K49" s="60">
        <f t="shared" si="8"/>
        <v>70400</v>
      </c>
      <c r="L49" s="59">
        <f t="shared" si="2"/>
        <v>3.6</v>
      </c>
      <c r="M49" s="64">
        <f t="shared" si="3"/>
        <v>13.6</v>
      </c>
      <c r="N49" s="64" cm="1">
        <f t="array" ref="N49">drivePower($C$4,M49,$C$9,$C$10,$C$11)</f>
        <v>19.884</v>
      </c>
      <c r="O49" s="86">
        <f t="shared" si="0"/>
        <v>4688.6400000000003</v>
      </c>
      <c r="P49" s="90">
        <f t="shared" si="4"/>
        <v>-1.5000000000000001E-4</v>
      </c>
      <c r="Q49" s="91">
        <f t="shared" si="5"/>
        <v>0.82280000000000009</v>
      </c>
      <c r="R49" s="98">
        <v>0.15</v>
      </c>
      <c r="S49" s="95">
        <f t="shared" si="9"/>
        <v>70400</v>
      </c>
      <c r="T49" s="92" cm="1">
        <f t="array" ref="T49">maxDepthToMinSOC($L$8,$L$9,$L$6,$L$7,$O49,$G$5,$G$6,drivePower($C$4,$M49,$G49,$C$10,$C$11),$I49,$G49,$G$4,$C$8)</f>
        <v>11649.450462907553</v>
      </c>
      <c r="U49" s="12" cm="1">
        <f t="array" ref="U49">maxDepthToMinSOC($L$8,$L$9,P49,Q49,$O49,$G$5,$G$6,drivePower($C$4,$M49,$G49,$C$10,$C$11),$I49,$G49,$G$4,$C$8)</f>
        <v>5998.8002383708954</v>
      </c>
      <c r="V49" s="93">
        <f t="shared" si="6"/>
        <v>8824.1253506392241</v>
      </c>
    </row>
    <row r="50" spans="7:22" x14ac:dyDescent="0.35">
      <c r="G50" s="59">
        <f t="shared" si="1"/>
        <v>0.5</v>
      </c>
      <c r="H50" s="64">
        <v>25</v>
      </c>
      <c r="I50" s="84">
        <f t="shared" si="7"/>
        <v>25</v>
      </c>
      <c r="J50" s="84">
        <v>50</v>
      </c>
      <c r="K50" s="60">
        <f t="shared" si="8"/>
        <v>72600</v>
      </c>
      <c r="L50" s="59">
        <f t="shared" si="2"/>
        <v>3.72</v>
      </c>
      <c r="M50" s="64">
        <f t="shared" si="3"/>
        <v>13.72</v>
      </c>
      <c r="N50" s="64" cm="1">
        <f t="array" ref="N50">drivePower($C$4,M50,$C$9,$C$10,$C$11)</f>
        <v>20.041799999999999</v>
      </c>
      <c r="O50" s="86">
        <f t="shared" si="0"/>
        <v>4835.16</v>
      </c>
      <c r="P50" s="90">
        <f t="shared" si="4"/>
        <v>-1.5000000000000001E-4</v>
      </c>
      <c r="Q50" s="91">
        <f t="shared" si="5"/>
        <v>0.82280000000000009</v>
      </c>
      <c r="R50" s="98">
        <v>0.15</v>
      </c>
      <c r="S50" s="95">
        <f t="shared" si="9"/>
        <v>72600</v>
      </c>
      <c r="T50" s="92" cm="1">
        <f t="array" ref="T50">maxDepthToMinSOC($L$8,$L$9,$L$6,$L$7,$O50,$G$5,$G$6,drivePower($C$4,$M50,$G50,$C$10,$C$11),$I50,$G50,$G$4,$C$8)</f>
        <v>11862.450471371412</v>
      </c>
      <c r="U50" s="12" cm="1">
        <f t="array" ref="U50">maxDepthToMinSOC($L$8,$L$9,P50,Q50,$O50,$G$5,$G$6,drivePower($C$4,$M50,$G50,$C$10,$C$11),$I50,$G50,$G$4,$C$8)</f>
        <v>6064.5002409815788</v>
      </c>
      <c r="V50" s="93">
        <f t="shared" si="6"/>
        <v>8963.4753561764956</v>
      </c>
    </row>
    <row r="51" spans="7:22" x14ac:dyDescent="0.35">
      <c r="G51" s="59">
        <f t="shared" si="1"/>
        <v>0.5</v>
      </c>
      <c r="H51" s="64">
        <v>25</v>
      </c>
      <c r="I51" s="84">
        <f t="shared" si="7"/>
        <v>25</v>
      </c>
      <c r="J51" s="84">
        <v>50</v>
      </c>
      <c r="K51" s="60">
        <f t="shared" si="8"/>
        <v>74800</v>
      </c>
      <c r="L51" s="59">
        <f t="shared" si="2"/>
        <v>3.84</v>
      </c>
      <c r="M51" s="64">
        <f t="shared" si="3"/>
        <v>13.84</v>
      </c>
      <c r="N51" s="64" cm="1">
        <f t="array" ref="N51">drivePower($C$4,M51,$C$9,$C$10,$C$11)</f>
        <v>20.1996</v>
      </c>
      <c r="O51" s="86">
        <f t="shared" si="0"/>
        <v>4981.6799999999994</v>
      </c>
      <c r="P51" s="90">
        <f t="shared" si="4"/>
        <v>-1.5000000000000001E-4</v>
      </c>
      <c r="Q51" s="91">
        <f t="shared" si="5"/>
        <v>0.82280000000000009</v>
      </c>
      <c r="R51" s="98">
        <v>0.15</v>
      </c>
      <c r="S51" s="95">
        <f t="shared" si="9"/>
        <v>74800</v>
      </c>
      <c r="T51" s="92" cm="1">
        <f t="array" ref="T51">maxDepthToMinSOC($L$8,$L$9,$L$6,$L$7,$O51,$G$5,$G$6,drivePower($C$4,$M51,$G51,$C$10,$C$11),$I51,$G51,$G$4,$C$8)</f>
        <v>12069.900479614735</v>
      </c>
      <c r="U51" s="12" cm="1">
        <f t="array" ref="U51">maxDepthToMinSOC($L$8,$L$9,P51,Q51,$O51,$G$5,$G$6,drivePower($C$4,$M51,$G51,$C$10,$C$11),$I51,$G51,$G$4,$C$8)</f>
        <v>6127.5002434849739</v>
      </c>
      <c r="V51" s="93">
        <f t="shared" si="6"/>
        <v>9098.7003615498543</v>
      </c>
    </row>
    <row r="52" spans="7:22" x14ac:dyDescent="0.35">
      <c r="G52" s="59">
        <f t="shared" si="1"/>
        <v>0.5</v>
      </c>
      <c r="H52" s="64">
        <v>25</v>
      </c>
      <c r="I52" s="84">
        <f t="shared" si="7"/>
        <v>25</v>
      </c>
      <c r="J52" s="84">
        <v>50</v>
      </c>
      <c r="K52" s="60">
        <f t="shared" si="8"/>
        <v>77000</v>
      </c>
      <c r="L52" s="59">
        <f t="shared" si="2"/>
        <v>3.96</v>
      </c>
      <c r="M52" s="64">
        <f t="shared" si="3"/>
        <v>13.96</v>
      </c>
      <c r="N52" s="64" cm="1">
        <f t="array" ref="N52">drivePower($C$4,M52,$C$9,$C$10,$C$11)</f>
        <v>20.357400000000002</v>
      </c>
      <c r="O52" s="86">
        <f t="shared" si="0"/>
        <v>5128.2</v>
      </c>
      <c r="P52" s="90">
        <f t="shared" si="4"/>
        <v>-1.5000000000000001E-4</v>
      </c>
      <c r="Q52" s="91">
        <f t="shared" si="5"/>
        <v>0.82280000000000009</v>
      </c>
      <c r="R52" s="98">
        <v>0.15</v>
      </c>
      <c r="S52" s="95">
        <f t="shared" si="9"/>
        <v>77000</v>
      </c>
      <c r="T52" s="92" cm="1">
        <f t="array" ref="T52">maxDepthToMinSOC($L$8,$L$9,$L$6,$L$7,$O52,$G$5,$G$6,drivePower($C$4,$M52,$G52,$C$10,$C$11),$I52,$G52,$G$4,$C$8)</f>
        <v>12271.95048764348</v>
      </c>
      <c r="U52" s="12" cm="1">
        <f t="array" ref="U52">maxDepthToMinSOC($L$8,$L$9,P52,Q52,$O52,$G$5,$G$6,drivePower($C$4,$M52,$G52,$C$10,$C$11),$I52,$G52,$G$4,$C$8)</f>
        <v>6188.1002458930016</v>
      </c>
      <c r="V52" s="93">
        <f t="shared" si="6"/>
        <v>9230.0253667682409</v>
      </c>
    </row>
    <row r="53" spans="7:22" x14ac:dyDescent="0.35">
      <c r="G53" s="59">
        <f t="shared" si="1"/>
        <v>0.5</v>
      </c>
      <c r="H53" s="64">
        <v>25</v>
      </c>
      <c r="I53" s="84">
        <f t="shared" si="7"/>
        <v>25</v>
      </c>
      <c r="J53" s="84">
        <v>50</v>
      </c>
      <c r="K53" s="60">
        <f t="shared" si="8"/>
        <v>79200</v>
      </c>
      <c r="L53" s="59">
        <f t="shared" si="2"/>
        <v>4.08</v>
      </c>
      <c r="M53" s="64">
        <f t="shared" si="3"/>
        <v>14.08</v>
      </c>
      <c r="N53" s="64" cm="1">
        <f t="array" ref="N53">drivePower($C$4,M53,$C$9,$C$10,$C$11)</f>
        <v>20.5152</v>
      </c>
      <c r="O53" s="86">
        <f t="shared" si="0"/>
        <v>5274.72</v>
      </c>
      <c r="P53" s="90">
        <f t="shared" si="4"/>
        <v>-1.5000000000000001E-4</v>
      </c>
      <c r="Q53" s="91">
        <f t="shared" si="5"/>
        <v>0.82280000000000009</v>
      </c>
      <c r="R53" s="98">
        <v>0.15</v>
      </c>
      <c r="S53" s="95">
        <f t="shared" si="9"/>
        <v>79200</v>
      </c>
      <c r="T53" s="92" cm="1">
        <f t="array" ref="T53">maxDepthToMinSOC($L$8,$L$9,$L$6,$L$7,$O53,$G$5,$G$6,drivePower($C$4,$M53,$G53,$C$10,$C$11),$I53,$G53,$G$4,$C$8)</f>
        <v>12469.050495475531</v>
      </c>
      <c r="U53" s="12" cm="1">
        <f t="array" ref="U53">maxDepthToMinSOC($L$8,$L$9,P53,Q53,$O53,$G$5,$G$6,drivePower($C$4,$M53,$G53,$C$10,$C$11),$I53,$G53,$G$4,$C$8)</f>
        <v>6246.4502482116222</v>
      </c>
      <c r="V53" s="93">
        <f t="shared" si="6"/>
        <v>9357.7503718435764</v>
      </c>
    </row>
    <row r="54" spans="7:22" x14ac:dyDescent="0.35">
      <c r="G54" s="59">
        <f t="shared" si="1"/>
        <v>0.5</v>
      </c>
      <c r="H54" s="64">
        <v>25</v>
      </c>
      <c r="I54" s="84">
        <f t="shared" si="7"/>
        <v>25</v>
      </c>
      <c r="J54" s="84">
        <v>50</v>
      </c>
      <c r="K54" s="60">
        <f t="shared" si="8"/>
        <v>81400</v>
      </c>
      <c r="L54" s="59">
        <f t="shared" si="2"/>
        <v>4.2</v>
      </c>
      <c r="M54" s="64">
        <f t="shared" si="3"/>
        <v>14.2</v>
      </c>
      <c r="N54" s="64" cm="1">
        <f t="array" ref="N54">drivePower($C$4,M54,$C$9,$C$10,$C$11)</f>
        <v>20.672999999999998</v>
      </c>
      <c r="O54" s="86">
        <f t="shared" si="0"/>
        <v>5421.2400000000007</v>
      </c>
      <c r="P54" s="90">
        <f t="shared" si="4"/>
        <v>-1.5000000000000001E-4</v>
      </c>
      <c r="Q54" s="91">
        <f t="shared" si="5"/>
        <v>0.82280000000000009</v>
      </c>
      <c r="R54" s="98">
        <v>0.15</v>
      </c>
      <c r="S54" s="95">
        <f t="shared" si="9"/>
        <v>81400</v>
      </c>
      <c r="T54" s="92" cm="1">
        <f t="array" ref="T54">maxDepthToMinSOC($L$8,$L$9,$L$6,$L$7,$O54,$G$5,$G$6,drivePower($C$4,$M54,$G54,$C$10,$C$11),$I54,$G54,$G$4,$C$8)</f>
        <v>12661.200503110886</v>
      </c>
      <c r="U54" s="12" cm="1">
        <f t="array" ref="U54">maxDepthToMinSOC($L$8,$L$9,P54,Q54,$O54,$G$5,$G$6,drivePower($C$4,$M54,$G54,$C$10,$C$11),$I54,$G54,$G$4,$C$8)</f>
        <v>6302.550250440836</v>
      </c>
      <c r="V54" s="93">
        <f t="shared" si="6"/>
        <v>9481.8753767758608</v>
      </c>
    </row>
    <row r="55" spans="7:22" x14ac:dyDescent="0.35">
      <c r="G55" s="59">
        <f t="shared" si="1"/>
        <v>0.5</v>
      </c>
      <c r="H55" s="64">
        <v>25</v>
      </c>
      <c r="I55" s="84">
        <f t="shared" si="7"/>
        <v>25</v>
      </c>
      <c r="J55" s="84">
        <v>50</v>
      </c>
      <c r="K55" s="60">
        <f t="shared" si="8"/>
        <v>83600</v>
      </c>
      <c r="L55" s="59">
        <f t="shared" si="2"/>
        <v>4.32</v>
      </c>
      <c r="M55" s="64">
        <f t="shared" si="3"/>
        <v>14.32</v>
      </c>
      <c r="N55" s="64" cm="1">
        <f t="array" ref="N55">drivePower($C$4,M55,$C$9,$C$10,$C$11)</f>
        <v>20.8308</v>
      </c>
      <c r="O55" s="86">
        <f t="shared" si="0"/>
        <v>5567.7599999999993</v>
      </c>
      <c r="P55" s="90">
        <f t="shared" si="4"/>
        <v>-1.5000000000000001E-4</v>
      </c>
      <c r="Q55" s="91">
        <f t="shared" si="5"/>
        <v>0.82280000000000009</v>
      </c>
      <c r="R55" s="98">
        <v>0.15</v>
      </c>
      <c r="S55" s="95">
        <f t="shared" si="9"/>
        <v>83600</v>
      </c>
      <c r="T55" s="92" cm="1">
        <f t="array" ref="T55">maxDepthToMinSOC($L$8,$L$9,$L$6,$L$7,$O55,$G$5,$G$6,drivePower($C$4,$M55,$G55,$C$10,$C$11),$I55,$G55,$G$4,$C$8)</f>
        <v>12848.550510555506</v>
      </c>
      <c r="U55" s="12" cm="1">
        <f t="array" ref="U55">maxDepthToMinSOC($L$8,$L$9,P55,Q55,$O55,$G$5,$G$6,drivePower($C$4,$M55,$G55,$C$10,$C$11),$I55,$G55,$G$4,$C$8)</f>
        <v>6356.5502525866032</v>
      </c>
      <c r="V55" s="93">
        <f t="shared" si="6"/>
        <v>9602.5503815710545</v>
      </c>
    </row>
    <row r="56" spans="7:22" x14ac:dyDescent="0.35">
      <c r="G56" s="59">
        <f t="shared" si="1"/>
        <v>0.5</v>
      </c>
      <c r="H56" s="64">
        <v>25</v>
      </c>
      <c r="I56" s="84">
        <f t="shared" si="7"/>
        <v>25</v>
      </c>
      <c r="J56" s="84">
        <v>50</v>
      </c>
      <c r="K56" s="60">
        <f t="shared" si="8"/>
        <v>85800</v>
      </c>
      <c r="L56" s="59">
        <f t="shared" si="2"/>
        <v>4.4400000000000004</v>
      </c>
      <c r="M56" s="64">
        <f t="shared" si="3"/>
        <v>14.440000000000001</v>
      </c>
      <c r="N56" s="64" cm="1">
        <f t="array" ref="N56">drivePower($C$4,M56,$C$9,$C$10,$C$11)</f>
        <v>20.988600000000002</v>
      </c>
      <c r="O56" s="86">
        <f t="shared" si="0"/>
        <v>5714.28</v>
      </c>
      <c r="P56" s="90">
        <f t="shared" si="4"/>
        <v>-1.5000000000000001E-4</v>
      </c>
      <c r="Q56" s="91">
        <f t="shared" si="5"/>
        <v>0.82280000000000009</v>
      </c>
      <c r="R56" s="98">
        <v>0.15</v>
      </c>
      <c r="S56" s="95">
        <f t="shared" si="9"/>
        <v>85800</v>
      </c>
      <c r="T56" s="92" cm="1">
        <f t="array" ref="T56">maxDepthToMinSOC($L$8,$L$9,$L$6,$L$7,$O56,$G$5,$G$6,drivePower($C$4,$M56,$G56,$C$10,$C$11),$I56,$G56,$G$4,$C$8)</f>
        <v>13031.400517821312</v>
      </c>
      <c r="U56" s="12" cm="1">
        <f t="array" ref="U56">maxDepthToMinSOC($L$8,$L$9,P56,Q56,$O56,$G$5,$G$6,drivePower($C$4,$M56,$G56,$C$10,$C$11),$I56,$G56,$G$4,$C$8)</f>
        <v>6408.6002546548843</v>
      </c>
      <c r="V56" s="93">
        <f t="shared" si="6"/>
        <v>9720.0003862380981</v>
      </c>
    </row>
    <row r="57" spans="7:22" x14ac:dyDescent="0.35">
      <c r="G57" s="59">
        <f t="shared" si="1"/>
        <v>0.5</v>
      </c>
      <c r="H57" s="64">
        <v>25</v>
      </c>
      <c r="I57" s="84">
        <f t="shared" si="7"/>
        <v>25</v>
      </c>
      <c r="J57" s="84">
        <v>50</v>
      </c>
      <c r="K57" s="60">
        <f t="shared" si="8"/>
        <v>88000</v>
      </c>
      <c r="L57" s="59">
        <f t="shared" si="2"/>
        <v>4.5599999999999996</v>
      </c>
      <c r="M57" s="64">
        <f t="shared" si="3"/>
        <v>14.559999999999999</v>
      </c>
      <c r="N57" s="64" cm="1">
        <f t="array" ref="N57">drivePower($C$4,M57,$C$9,$C$10,$C$11)</f>
        <v>21.146399999999996</v>
      </c>
      <c r="O57" s="86">
        <f t="shared" si="0"/>
        <v>5860.8</v>
      </c>
      <c r="P57" s="90">
        <f t="shared" si="4"/>
        <v>-1.5000000000000001E-4</v>
      </c>
      <c r="Q57" s="91">
        <f t="shared" si="5"/>
        <v>0.82280000000000009</v>
      </c>
      <c r="R57" s="98">
        <v>0.15</v>
      </c>
      <c r="S57" s="95">
        <f t="shared" si="9"/>
        <v>88000</v>
      </c>
      <c r="T57" s="92" cm="1">
        <f t="array" ref="T57">maxDepthToMinSOC($L$8,$L$9,$L$6,$L$7,$O57,$G$5,$G$6,drivePower($C$4,$M57,$G57,$C$10,$C$11),$I57,$G57,$G$4,$C$8)</f>
        <v>13209.900524914265</v>
      </c>
      <c r="U57" s="12" cm="1">
        <f t="array" ref="U57">maxDepthToMinSOC($L$8,$L$9,P57,Q57,$O57,$G$5,$G$6,drivePower($C$4,$M57,$G57,$C$10,$C$11),$I57,$G57,$G$4,$C$8)</f>
        <v>6458.8502566516399</v>
      </c>
      <c r="V57" s="93">
        <f t="shared" si="6"/>
        <v>9834.3753907829523</v>
      </c>
    </row>
    <row r="58" spans="7:22" x14ac:dyDescent="0.35">
      <c r="G58" s="59">
        <f t="shared" si="1"/>
        <v>0.5</v>
      </c>
      <c r="H58" s="64">
        <v>25</v>
      </c>
      <c r="I58" s="84">
        <f t="shared" si="7"/>
        <v>25</v>
      </c>
      <c r="J58" s="84">
        <v>50</v>
      </c>
      <c r="K58" s="60">
        <f t="shared" si="8"/>
        <v>90200</v>
      </c>
      <c r="L58" s="59">
        <f t="shared" si="2"/>
        <v>4.68</v>
      </c>
      <c r="M58" s="64">
        <f t="shared" si="3"/>
        <v>14.68</v>
      </c>
      <c r="N58" s="64" cm="1">
        <f t="array" ref="N58">drivePower($C$4,M58,$C$9,$C$10,$C$11)</f>
        <v>21.304199999999998</v>
      </c>
      <c r="O58" s="86">
        <f t="shared" si="0"/>
        <v>6007.3200000000006</v>
      </c>
      <c r="P58" s="90">
        <f t="shared" si="4"/>
        <v>-1.5000000000000001E-4</v>
      </c>
      <c r="Q58" s="91">
        <f t="shared" si="5"/>
        <v>0.82280000000000009</v>
      </c>
      <c r="R58" s="98">
        <v>0.15</v>
      </c>
      <c r="S58" s="95">
        <f t="shared" si="9"/>
        <v>90200</v>
      </c>
      <c r="T58" s="92" cm="1">
        <f t="array" ref="T58">maxDepthToMinSOC($L$8,$L$9,$L$6,$L$7,$O58,$G$5,$G$6,drivePower($C$4,$M58,$G58,$C$10,$C$11),$I58,$G58,$G$4,$C$8)</f>
        <v>13384.050531834364</v>
      </c>
      <c r="U58" s="12" cm="1">
        <f t="array" ref="U58">maxDepthToMinSOC($L$8,$L$9,P58,Q58,$O58,$G$5,$G$6,drivePower($C$4,$M58,$G58,$C$10,$C$11),$I58,$G58,$G$4,$C$8)</f>
        <v>6507.30025857687</v>
      </c>
      <c r="V58" s="93">
        <f t="shared" si="6"/>
        <v>9945.675395205617</v>
      </c>
    </row>
    <row r="59" spans="7:22" x14ac:dyDescent="0.35">
      <c r="G59" s="59">
        <f t="shared" si="1"/>
        <v>0.5</v>
      </c>
      <c r="H59" s="64">
        <v>25</v>
      </c>
      <c r="I59" s="84">
        <f t="shared" si="7"/>
        <v>25</v>
      </c>
      <c r="J59" s="84">
        <v>50</v>
      </c>
      <c r="K59" s="60">
        <f t="shared" si="8"/>
        <v>92400</v>
      </c>
      <c r="L59" s="59">
        <f t="shared" si="2"/>
        <v>4.8</v>
      </c>
      <c r="M59" s="64">
        <f t="shared" si="3"/>
        <v>14.8</v>
      </c>
      <c r="N59" s="64" cm="1">
        <f t="array" ref="N59">drivePower($C$4,M59,$C$9,$C$10,$C$11)</f>
        <v>21.462</v>
      </c>
      <c r="O59" s="86">
        <f t="shared" si="0"/>
        <v>6153.84</v>
      </c>
      <c r="P59" s="90">
        <f t="shared" si="4"/>
        <v>-1.5000000000000001E-4</v>
      </c>
      <c r="Q59" s="91">
        <f t="shared" si="5"/>
        <v>0.82280000000000009</v>
      </c>
      <c r="R59" s="98">
        <v>0.15</v>
      </c>
      <c r="S59" s="95">
        <f t="shared" si="9"/>
        <v>92400</v>
      </c>
      <c r="T59" s="92" cm="1">
        <f t="array" ref="T59">maxDepthToMinSOC($L$8,$L$9,$L$6,$L$7,$O59,$G$5,$G$6,drivePower($C$4,$M59,$G59,$C$10,$C$11),$I59,$G59,$G$4,$C$8)</f>
        <v>13554.150538593531</v>
      </c>
      <c r="U59" s="12" cm="1">
        <f t="array" ref="U59">maxDepthToMinSOC($L$8,$L$9,P59,Q59,$O59,$G$5,$G$6,drivePower($C$4,$M59,$G59,$C$10,$C$11),$I59,$G59,$G$4,$C$8)</f>
        <v>6554.1002604365349</v>
      </c>
      <c r="V59" s="93">
        <f t="shared" si="6"/>
        <v>10054.125399515033</v>
      </c>
    </row>
    <row r="60" spans="7:22" x14ac:dyDescent="0.35">
      <c r="G60" s="59">
        <f t="shared" si="1"/>
        <v>0.5</v>
      </c>
      <c r="H60" s="64">
        <v>25</v>
      </c>
      <c r="I60" s="84">
        <f t="shared" si="7"/>
        <v>25</v>
      </c>
      <c r="J60" s="84">
        <v>50</v>
      </c>
      <c r="K60" s="60">
        <f t="shared" si="8"/>
        <v>94600</v>
      </c>
      <c r="L60" s="59">
        <f t="shared" si="2"/>
        <v>4.92</v>
      </c>
      <c r="M60" s="64">
        <f t="shared" si="3"/>
        <v>14.92</v>
      </c>
      <c r="N60" s="64" cm="1">
        <f t="array" ref="N60">drivePower($C$4,M60,$C$9,$C$10,$C$11)</f>
        <v>21.619799999999998</v>
      </c>
      <c r="O60" s="86">
        <f t="shared" si="0"/>
        <v>6300.36</v>
      </c>
      <c r="P60" s="90">
        <f t="shared" si="4"/>
        <v>-1.5000000000000001E-4</v>
      </c>
      <c r="Q60" s="91">
        <f t="shared" si="5"/>
        <v>0.82280000000000009</v>
      </c>
      <c r="R60" s="98">
        <v>0.15</v>
      </c>
      <c r="S60" s="95">
        <f t="shared" si="9"/>
        <v>94600</v>
      </c>
      <c r="T60" s="92" cm="1">
        <f t="array" ref="T60">maxDepthToMinSOC($L$8,$L$9,$L$6,$L$7,$O60,$G$5,$G$6,drivePower($C$4,$M60,$G60,$C$10,$C$11),$I60,$G60,$G$4,$C$8)</f>
        <v>13720.350545197725</v>
      </c>
      <c r="U60" s="12" cm="1">
        <f t="array" ref="U60">maxDepthToMinSOC($L$8,$L$9,P60,Q60,$O60,$G$5,$G$6,drivePower($C$4,$M60,$G60,$C$10,$C$11),$I60,$G60,$G$4,$C$8)</f>
        <v>6599.4002622365952</v>
      </c>
      <c r="V60" s="93">
        <f t="shared" si="6"/>
        <v>10159.87540371716</v>
      </c>
    </row>
    <row r="61" spans="7:22" x14ac:dyDescent="0.35">
      <c r="G61" s="59">
        <f t="shared" si="1"/>
        <v>0.5</v>
      </c>
      <c r="H61" s="64">
        <v>25</v>
      </c>
      <c r="I61" s="84">
        <f t="shared" si="7"/>
        <v>25</v>
      </c>
      <c r="J61" s="84">
        <v>50</v>
      </c>
      <c r="K61" s="60">
        <f t="shared" si="8"/>
        <v>96800</v>
      </c>
      <c r="L61" s="59">
        <f t="shared" si="2"/>
        <v>5.04</v>
      </c>
      <c r="M61" s="64">
        <f t="shared" si="3"/>
        <v>15.04</v>
      </c>
      <c r="N61" s="64" cm="1">
        <f t="array" ref="N61">drivePower($C$4,M61,$C$9,$C$10,$C$11)</f>
        <v>21.7776</v>
      </c>
      <c r="O61" s="86">
        <f t="shared" si="0"/>
        <v>6446.88</v>
      </c>
      <c r="P61" s="90">
        <f t="shared" si="4"/>
        <v>-1.5000000000000001E-4</v>
      </c>
      <c r="Q61" s="91">
        <f t="shared" si="5"/>
        <v>0.82280000000000009</v>
      </c>
      <c r="R61" s="98">
        <v>0.15</v>
      </c>
      <c r="S61" s="95">
        <f t="shared" si="9"/>
        <v>96800</v>
      </c>
      <c r="T61" s="92" cm="1">
        <f t="array" ref="T61">maxDepthToMinSOC($L$8,$L$9,$L$6,$L$7,$O61,$G$5,$G$6,drivePower($C$4,$M61,$G61,$C$10,$C$11),$I61,$G61,$G$4,$C$8)</f>
        <v>13882.650551646948</v>
      </c>
      <c r="U61" s="12" cm="1">
        <f t="array" ref="U61">maxDepthToMinSOC($L$8,$L$9,P61,Q61,$O61,$G$5,$G$6,drivePower($C$4,$M61,$G61,$C$10,$C$11),$I61,$G61,$G$4,$C$8)</f>
        <v>6643.0502639710903</v>
      </c>
      <c r="V61" s="93">
        <f t="shared" si="6"/>
        <v>10262.850407809019</v>
      </c>
    </row>
    <row r="62" spans="7:22" x14ac:dyDescent="0.35">
      <c r="G62" s="59">
        <f t="shared" si="1"/>
        <v>0.5</v>
      </c>
      <c r="H62" s="64">
        <v>25</v>
      </c>
      <c r="I62" s="84">
        <f t="shared" si="7"/>
        <v>25</v>
      </c>
      <c r="J62" s="84">
        <v>50</v>
      </c>
      <c r="K62" s="60">
        <f t="shared" si="8"/>
        <v>99000</v>
      </c>
      <c r="L62" s="59">
        <f t="shared" si="2"/>
        <v>5.16</v>
      </c>
      <c r="M62" s="64">
        <f t="shared" si="3"/>
        <v>15.16</v>
      </c>
      <c r="N62" s="64" cm="1">
        <f t="array" ref="N62">drivePower($C$4,M62,$C$9,$C$10,$C$11)</f>
        <v>21.935399999999998</v>
      </c>
      <c r="O62" s="86">
        <f t="shared" si="0"/>
        <v>6593.4</v>
      </c>
      <c r="P62" s="90">
        <f t="shared" si="4"/>
        <v>-1.5000000000000001E-4</v>
      </c>
      <c r="Q62" s="91">
        <f t="shared" si="5"/>
        <v>0.82280000000000009</v>
      </c>
      <c r="R62" s="98">
        <v>0.15</v>
      </c>
      <c r="S62" s="95">
        <f t="shared" si="9"/>
        <v>99000</v>
      </c>
      <c r="T62" s="92" cm="1">
        <f t="array" ref="T62">maxDepthToMinSOC($L$8,$L$9,$L$6,$L$7,$O62,$G$5,$G$6,drivePower($C$4,$M62,$G62,$C$10,$C$11),$I62,$G62,$G$4,$C$8)</f>
        <v>14041.350557953119</v>
      </c>
      <c r="U62" s="12" cm="1">
        <f t="array" ref="U62">maxDepthToMinSOC($L$8,$L$9,P62,Q62,$O62,$G$5,$G$6,drivePower($C$4,$M62,$G62,$C$10,$C$11),$I62,$G62,$G$4,$C$8)</f>
        <v>6685.3502656519413</v>
      </c>
      <c r="V62" s="93">
        <f t="shared" si="6"/>
        <v>10363.35041180253</v>
      </c>
    </row>
    <row r="63" spans="7:22" x14ac:dyDescent="0.35">
      <c r="G63" s="59">
        <f t="shared" si="1"/>
        <v>0.5</v>
      </c>
      <c r="H63" s="64">
        <v>25</v>
      </c>
      <c r="I63" s="84">
        <f t="shared" si="7"/>
        <v>25</v>
      </c>
      <c r="J63" s="84">
        <v>50</v>
      </c>
      <c r="K63" s="60">
        <f t="shared" si="8"/>
        <v>101200</v>
      </c>
      <c r="L63" s="59">
        <f t="shared" si="2"/>
        <v>5.28</v>
      </c>
      <c r="M63" s="64">
        <f t="shared" si="3"/>
        <v>15.280000000000001</v>
      </c>
      <c r="N63" s="64" cm="1">
        <f t="array" ref="N63">drivePower($C$4,M63,$C$9,$C$10,$C$11)</f>
        <v>22.0932</v>
      </c>
      <c r="O63" s="86">
        <f t="shared" si="0"/>
        <v>6739.92</v>
      </c>
      <c r="P63" s="90">
        <f t="shared" si="4"/>
        <v>-1.5000000000000001E-4</v>
      </c>
      <c r="Q63" s="91">
        <f t="shared" si="5"/>
        <v>0.82280000000000009</v>
      </c>
      <c r="R63" s="98">
        <v>0.15</v>
      </c>
      <c r="S63" s="95">
        <f t="shared" si="9"/>
        <v>101200</v>
      </c>
      <c r="T63" s="92" cm="1">
        <f t="array" ref="T63">maxDepthToMinSOC($L$8,$L$9,$L$6,$L$7,$O63,$G$5,$G$6,drivePower($C$4,$M63,$G63,$C$10,$C$11),$I63,$G63,$G$4,$C$8)</f>
        <v>14196.45056411624</v>
      </c>
      <c r="U63" s="12" cm="1">
        <f t="array" ref="U63">maxDepthToMinSOC($L$8,$L$9,P63,Q63,$O63,$G$5,$G$6,drivePower($C$4,$M63,$G63,$C$10,$C$11),$I63,$G63,$G$4,$C$8)</f>
        <v>6726.3002672791481</v>
      </c>
      <c r="V63" s="93">
        <f t="shared" si="6"/>
        <v>10461.375415697694</v>
      </c>
    </row>
    <row r="64" spans="7:22" x14ac:dyDescent="0.35">
      <c r="G64" s="59">
        <f t="shared" si="1"/>
        <v>0.5</v>
      </c>
      <c r="H64" s="64">
        <v>25</v>
      </c>
      <c r="I64" s="84">
        <f t="shared" si="7"/>
        <v>25</v>
      </c>
      <c r="J64" s="84">
        <v>50</v>
      </c>
      <c r="K64" s="60">
        <f t="shared" si="8"/>
        <v>103400</v>
      </c>
      <c r="L64" s="59">
        <f t="shared" si="2"/>
        <v>5.4</v>
      </c>
      <c r="M64" s="64">
        <f t="shared" si="3"/>
        <v>15.4</v>
      </c>
      <c r="N64" s="64" cm="1">
        <f t="array" ref="N64">drivePower($C$4,M64,$C$9,$C$10,$C$11)</f>
        <v>22.251000000000001</v>
      </c>
      <c r="O64" s="86">
        <f t="shared" si="0"/>
        <v>6886.4400000000005</v>
      </c>
      <c r="P64" s="90">
        <f t="shared" si="4"/>
        <v>-1.5000000000000001E-4</v>
      </c>
      <c r="Q64" s="91">
        <f t="shared" si="5"/>
        <v>0.82280000000000009</v>
      </c>
      <c r="R64" s="98">
        <v>0.15</v>
      </c>
      <c r="S64" s="95">
        <f t="shared" si="9"/>
        <v>103400</v>
      </c>
      <c r="T64" s="92" cm="1">
        <f t="array" ref="T64">maxDepthToMinSOC($L$8,$L$9,$L$6,$L$7,$O64,$G$5,$G$6,drivePower($C$4,$M64,$G64,$C$10,$C$11),$I64,$G64,$G$4,$C$8)</f>
        <v>14348.25057014823</v>
      </c>
      <c r="U64" s="12" cm="1">
        <f t="array" ref="U64">maxDepthToMinSOC($L$8,$L$9,P64,Q64,$O64,$G$5,$G$6,drivePower($C$4,$M64,$G64,$C$10,$C$11),$I64,$G64,$G$4,$C$8)</f>
        <v>6766.0502688586712</v>
      </c>
      <c r="V64" s="93">
        <f t="shared" si="6"/>
        <v>10557.15041950345</v>
      </c>
    </row>
    <row r="65" spans="7:22" x14ac:dyDescent="0.35">
      <c r="G65" s="59">
        <f t="shared" si="1"/>
        <v>0.5</v>
      </c>
      <c r="H65" s="64">
        <v>25</v>
      </c>
      <c r="I65" s="84">
        <f t="shared" si="7"/>
        <v>25</v>
      </c>
      <c r="J65" s="84">
        <v>50</v>
      </c>
      <c r="K65" s="60">
        <f t="shared" si="8"/>
        <v>105600</v>
      </c>
      <c r="L65" s="59">
        <f t="shared" si="2"/>
        <v>5.52</v>
      </c>
      <c r="M65" s="64">
        <f t="shared" si="3"/>
        <v>15.52</v>
      </c>
      <c r="N65" s="64" cm="1">
        <f t="array" ref="N65">drivePower($C$4,M65,$C$9,$C$10,$C$11)</f>
        <v>22.408799999999999</v>
      </c>
      <c r="O65" s="86">
        <f t="shared" si="0"/>
        <v>7032.96</v>
      </c>
      <c r="P65" s="90">
        <f t="shared" si="4"/>
        <v>-1.5000000000000001E-4</v>
      </c>
      <c r="Q65" s="91">
        <f t="shared" si="5"/>
        <v>0.82280000000000009</v>
      </c>
      <c r="R65" s="98">
        <v>0.15</v>
      </c>
      <c r="S65" s="95">
        <f t="shared" si="9"/>
        <v>105600</v>
      </c>
      <c r="T65" s="92" cm="1">
        <f t="array" ref="T65">maxDepthToMinSOC($L$8,$L$9,$L$6,$L$7,$O65,$G$5,$G$6,drivePower($C$4,$M65,$G65,$C$10,$C$11),$I65,$G65,$G$4,$C$8)</f>
        <v>14496.600576043129</v>
      </c>
      <c r="U65" s="12" cm="1">
        <f t="array" ref="U65">maxDepthToMinSOC($L$8,$L$9,P65,Q65,$O65,$G$5,$G$6,drivePower($C$4,$M65,$G65,$C$10,$C$11),$I65,$G65,$G$4,$C$8)</f>
        <v>6804.4502703845501</v>
      </c>
      <c r="V65" s="93">
        <f t="shared" si="6"/>
        <v>10650.52542321384</v>
      </c>
    </row>
    <row r="66" spans="7:22" x14ac:dyDescent="0.35">
      <c r="G66" s="59">
        <f t="shared" si="1"/>
        <v>0.5</v>
      </c>
      <c r="H66" s="64">
        <v>25</v>
      </c>
      <c r="I66" s="84">
        <f t="shared" si="7"/>
        <v>25</v>
      </c>
      <c r="J66" s="84">
        <v>50</v>
      </c>
      <c r="K66" s="60">
        <f t="shared" si="8"/>
        <v>107800</v>
      </c>
      <c r="L66" s="59">
        <f t="shared" si="2"/>
        <v>5.64</v>
      </c>
      <c r="M66" s="64">
        <f t="shared" si="3"/>
        <v>15.64</v>
      </c>
      <c r="N66" s="64" cm="1">
        <f t="array" ref="N66">drivePower($C$4,M66,$C$9,$C$10,$C$11)</f>
        <v>22.566600000000001</v>
      </c>
      <c r="O66" s="86">
        <f t="shared" si="0"/>
        <v>7179.48</v>
      </c>
      <c r="P66" s="90">
        <f t="shared" si="4"/>
        <v>-1.5000000000000001E-4</v>
      </c>
      <c r="Q66" s="91">
        <f t="shared" si="5"/>
        <v>0.82280000000000009</v>
      </c>
      <c r="R66" s="98">
        <v>0.15</v>
      </c>
      <c r="S66" s="95">
        <f t="shared" si="9"/>
        <v>107800</v>
      </c>
      <c r="T66" s="92" cm="1">
        <f t="array" ref="T66">maxDepthToMinSOC($L$8,$L$9,$L$6,$L$7,$O66,$G$5,$G$6,drivePower($C$4,$M66,$G66,$C$10,$C$11),$I66,$G66,$G$4,$C$8)</f>
        <v>14641.800581812859</v>
      </c>
      <c r="U66" s="12" cm="1">
        <f t="array" ref="U66">maxDepthToMinSOC($L$8,$L$9,P66,Q66,$O66,$G$5,$G$6,drivePower($C$4,$M66,$G66,$C$10,$C$11),$I66,$G66,$G$4,$C$8)</f>
        <v>6841.6502718627453</v>
      </c>
      <c r="V66" s="93">
        <f t="shared" si="6"/>
        <v>10741.725426837802</v>
      </c>
    </row>
    <row r="67" spans="7:22" x14ac:dyDescent="0.35">
      <c r="G67" s="59">
        <f t="shared" si="1"/>
        <v>0.5</v>
      </c>
      <c r="H67" s="64">
        <v>25</v>
      </c>
      <c r="I67" s="84">
        <f t="shared" si="7"/>
        <v>25</v>
      </c>
      <c r="J67" s="84">
        <v>50</v>
      </c>
      <c r="K67" s="60">
        <f t="shared" si="8"/>
        <v>110000</v>
      </c>
      <c r="L67" s="59">
        <f t="shared" si="2"/>
        <v>5.76</v>
      </c>
      <c r="M67" s="64">
        <f t="shared" si="3"/>
        <v>15.76</v>
      </c>
      <c r="N67" s="64" cm="1">
        <f t="array" ref="N67">drivePower($C$4,M67,$C$9,$C$10,$C$11)</f>
        <v>22.724399999999999</v>
      </c>
      <c r="O67" s="86">
        <f t="shared" si="0"/>
        <v>7326</v>
      </c>
      <c r="P67" s="90">
        <f t="shared" si="4"/>
        <v>-1.5000000000000001E-4</v>
      </c>
      <c r="Q67" s="91">
        <f t="shared" si="5"/>
        <v>0.82280000000000009</v>
      </c>
      <c r="R67" s="98">
        <v>0.15</v>
      </c>
      <c r="S67" s="95">
        <f t="shared" si="9"/>
        <v>110000</v>
      </c>
      <c r="T67" s="92" cm="1">
        <f t="array" ref="T67">maxDepthToMinSOC($L$8,$L$9,$L$6,$L$7,$O67,$G$5,$G$6,drivePower($C$4,$M67,$G67,$C$10,$C$11),$I67,$G67,$G$4,$C$8)</f>
        <v>14783.850587457418</v>
      </c>
      <c r="U67" s="12" cm="1">
        <f t="array" ref="U67">maxDepthToMinSOC($L$8,$L$9,P67,Q67,$O67,$G$5,$G$6,drivePower($C$4,$M67,$G67,$C$10,$C$11),$I67,$G67,$G$4,$C$8)</f>
        <v>6877.8002732992172</v>
      </c>
      <c r="V67" s="93">
        <f t="shared" si="6"/>
        <v>10830.825430378318</v>
      </c>
    </row>
    <row r="68" spans="7:22" x14ac:dyDescent="0.35">
      <c r="G68" s="59">
        <f t="shared" si="1"/>
        <v>0.5</v>
      </c>
      <c r="H68" s="64">
        <v>25</v>
      </c>
      <c r="I68" s="84">
        <f t="shared" si="7"/>
        <v>25</v>
      </c>
      <c r="J68" s="84">
        <v>50</v>
      </c>
      <c r="K68" s="60">
        <f t="shared" si="8"/>
        <v>112200</v>
      </c>
      <c r="L68" s="59">
        <f t="shared" si="2"/>
        <v>5.88</v>
      </c>
      <c r="M68" s="64">
        <f t="shared" si="3"/>
        <v>15.879999999999999</v>
      </c>
      <c r="N68" s="64" cm="1">
        <f t="array" ref="N68">drivePower($C$4,M68,$C$9,$C$10,$C$11)</f>
        <v>22.882199999999997</v>
      </c>
      <c r="O68" s="86">
        <f t="shared" si="0"/>
        <v>7472.52</v>
      </c>
      <c r="P68" s="90">
        <f t="shared" si="4"/>
        <v>-1.5000000000000001E-4</v>
      </c>
      <c r="Q68" s="91">
        <f t="shared" si="5"/>
        <v>0.82280000000000009</v>
      </c>
      <c r="R68" s="98">
        <v>0.15</v>
      </c>
      <c r="S68" s="95">
        <f t="shared" si="9"/>
        <v>112200</v>
      </c>
      <c r="T68" s="92" cm="1">
        <f t="array" ref="T68">maxDepthToMinSOC($L$8,$L$9,$L$6,$L$7,$O68,$G$5,$G$6,drivePower($C$4,$M68,$G68,$C$10,$C$11),$I68,$G68,$G$4,$C$8)</f>
        <v>14922.750592976809</v>
      </c>
      <c r="U68" s="12" cm="1">
        <f t="array" ref="U68">maxDepthToMinSOC($L$8,$L$9,P68,Q68,$O68,$G$5,$G$6,drivePower($C$4,$M68,$G68,$C$10,$C$11),$I68,$G68,$G$4,$C$8)</f>
        <v>6912.7502746880054</v>
      </c>
      <c r="V68" s="93">
        <f t="shared" si="6"/>
        <v>10917.750433832407</v>
      </c>
    </row>
    <row r="69" spans="7:22" x14ac:dyDescent="0.35">
      <c r="G69" s="59">
        <f t="shared" si="1"/>
        <v>0.5</v>
      </c>
      <c r="H69" s="64">
        <v>25</v>
      </c>
      <c r="I69" s="84">
        <f t="shared" si="7"/>
        <v>25</v>
      </c>
      <c r="J69" s="84">
        <v>50</v>
      </c>
      <c r="K69" s="60">
        <f t="shared" si="8"/>
        <v>114400</v>
      </c>
      <c r="L69" s="59">
        <f t="shared" si="2"/>
        <v>6</v>
      </c>
      <c r="M69" s="64">
        <f t="shared" si="3"/>
        <v>16</v>
      </c>
      <c r="N69" s="64" cm="1">
        <f t="array" ref="N69">drivePower($C$4,M69,$C$9,$C$10,$C$11)</f>
        <v>23.04</v>
      </c>
      <c r="O69" s="86">
        <f t="shared" si="0"/>
        <v>7619.04</v>
      </c>
      <c r="P69" s="90">
        <f t="shared" si="4"/>
        <v>-1.5000000000000001E-4</v>
      </c>
      <c r="Q69" s="91">
        <f t="shared" si="5"/>
        <v>0.82280000000000009</v>
      </c>
      <c r="R69" s="98">
        <v>0.15</v>
      </c>
      <c r="S69" s="95">
        <f t="shared" si="9"/>
        <v>114400</v>
      </c>
      <c r="T69" s="92" cm="1">
        <f t="array" ref="T69">maxDepthToMinSOC($L$8,$L$9,$L$6,$L$7,$O69,$G$5,$G$6,drivePower($C$4,$M69,$G69,$C$10,$C$11),$I69,$G69,$G$4,$C$8)</f>
        <v>15058.95059838891</v>
      </c>
      <c r="U69" s="12" cm="1">
        <f t="array" ref="U69">maxDepthToMinSOC($L$8,$L$9,P69,Q69,$O69,$G$5,$G$6,drivePower($C$4,$M69,$G69,$C$10,$C$11),$I69,$G69,$G$4,$C$8)</f>
        <v>6946.8002760410309</v>
      </c>
      <c r="V69" s="93">
        <f t="shared" si="6"/>
        <v>11002.875437214971</v>
      </c>
    </row>
    <row r="70" spans="7:22" x14ac:dyDescent="0.35">
      <c r="G70" s="59">
        <f t="shared" si="1"/>
        <v>0.5</v>
      </c>
      <c r="H70" s="64">
        <v>25</v>
      </c>
      <c r="I70" s="84">
        <f t="shared" si="7"/>
        <v>25</v>
      </c>
      <c r="J70" s="84">
        <v>50</v>
      </c>
      <c r="K70" s="60">
        <f t="shared" si="8"/>
        <v>116600</v>
      </c>
      <c r="L70" s="59">
        <f t="shared" si="2"/>
        <v>6.12</v>
      </c>
      <c r="M70" s="64">
        <f t="shared" si="3"/>
        <v>16.12</v>
      </c>
      <c r="N70" s="64" cm="1">
        <f t="array" ref="N70">drivePower($C$4,M70,$C$9,$C$10,$C$11)</f>
        <v>23.197800000000001</v>
      </c>
      <c r="O70" s="86">
        <f t="shared" si="0"/>
        <v>7765.5599999999995</v>
      </c>
      <c r="P70" s="90">
        <f t="shared" si="4"/>
        <v>-1.5000000000000001E-4</v>
      </c>
      <c r="Q70" s="91">
        <f t="shared" si="5"/>
        <v>0.82280000000000009</v>
      </c>
      <c r="R70" s="98">
        <v>0.15</v>
      </c>
      <c r="S70" s="95">
        <f t="shared" si="9"/>
        <v>116600</v>
      </c>
      <c r="T70" s="92" cm="1">
        <f t="array" ref="T70">maxDepthToMinSOC($L$8,$L$9,$L$6,$L$7,$O70,$G$5,$G$6,drivePower($C$4,$M70,$G70,$C$10,$C$11),$I70,$G70,$G$4,$C$8)</f>
        <v>15192.150603681803</v>
      </c>
      <c r="U70" s="12" cm="1">
        <f t="array" ref="U70">maxDepthToMinSOC($L$8,$L$9,P70,Q70,$O70,$G$5,$G$6,drivePower($C$4,$M70,$G70,$C$10,$C$11),$I70,$G70,$G$4,$C$8)</f>
        <v>6979.8002773523331</v>
      </c>
      <c r="V70" s="93">
        <f t="shared" si="6"/>
        <v>11085.975440517068</v>
      </c>
    </row>
    <row r="71" spans="7:22" x14ac:dyDescent="0.35">
      <c r="G71" s="59">
        <f t="shared" si="1"/>
        <v>0.5</v>
      </c>
      <c r="H71" s="64">
        <v>25</v>
      </c>
      <c r="I71" s="84">
        <f t="shared" si="7"/>
        <v>25</v>
      </c>
      <c r="J71" s="84">
        <v>50</v>
      </c>
      <c r="K71" s="60">
        <f t="shared" si="8"/>
        <v>118800</v>
      </c>
      <c r="L71" s="59">
        <f t="shared" si="2"/>
        <v>6.24</v>
      </c>
      <c r="M71" s="64">
        <f t="shared" si="3"/>
        <v>16.240000000000002</v>
      </c>
      <c r="N71" s="64" cm="1">
        <f t="array" ref="N71">drivePower($C$4,M71,$C$9,$C$10,$C$11)</f>
        <v>23.355600000000003</v>
      </c>
      <c r="O71" s="86">
        <f t="shared" si="0"/>
        <v>7912.08</v>
      </c>
      <c r="P71" s="90">
        <f t="shared" si="4"/>
        <v>-1.5000000000000001E-4</v>
      </c>
      <c r="Q71" s="91">
        <f t="shared" si="5"/>
        <v>0.82280000000000009</v>
      </c>
      <c r="R71" s="98">
        <v>0.15</v>
      </c>
      <c r="S71" s="95">
        <f t="shared" si="9"/>
        <v>118800</v>
      </c>
      <c r="T71" s="92" cm="1">
        <f t="array" ref="T71">maxDepthToMinSOC($L$8,$L$9,$L$6,$L$7,$O71,$G$5,$G$6,drivePower($C$4,$M71,$G71,$C$10,$C$11),$I71,$G71,$G$4,$C$8)</f>
        <v>15322.800608873367</v>
      </c>
      <c r="U71" s="12" cm="1">
        <f t="array" ref="U71">maxDepthToMinSOC($L$8,$L$9,P71,Q71,$O71,$G$5,$G$6,drivePower($C$4,$M71,$G71,$C$10,$C$11),$I71,$G71,$G$4,$C$8)</f>
        <v>7011.9002786278725</v>
      </c>
      <c r="V71" s="93">
        <f t="shared" si="6"/>
        <v>11167.35044375062</v>
      </c>
    </row>
    <row r="72" spans="7:22" x14ac:dyDescent="0.35">
      <c r="G72" s="59">
        <f t="shared" si="1"/>
        <v>0.5</v>
      </c>
      <c r="H72" s="64">
        <v>25</v>
      </c>
      <c r="I72" s="84">
        <f t="shared" si="7"/>
        <v>25</v>
      </c>
      <c r="J72" s="84">
        <v>50</v>
      </c>
      <c r="K72" s="60">
        <f t="shared" si="8"/>
        <v>121000</v>
      </c>
      <c r="L72" s="59">
        <f t="shared" si="2"/>
        <v>6.36</v>
      </c>
      <c r="M72" s="64">
        <f t="shared" si="3"/>
        <v>16.36</v>
      </c>
      <c r="N72" s="64" cm="1">
        <f t="array" ref="N72">drivePower($C$4,M72,$C$9,$C$10,$C$11)</f>
        <v>23.513399999999997</v>
      </c>
      <c r="O72" s="86">
        <f t="shared" si="0"/>
        <v>8058.6</v>
      </c>
      <c r="P72" s="90">
        <f t="shared" si="4"/>
        <v>-1.5000000000000001E-4</v>
      </c>
      <c r="Q72" s="91">
        <f t="shared" si="5"/>
        <v>0.82280000000000009</v>
      </c>
      <c r="R72" s="98">
        <v>0.15</v>
      </c>
      <c r="S72" s="95">
        <f t="shared" si="9"/>
        <v>121000</v>
      </c>
      <c r="T72" s="92" cm="1">
        <f t="array" ref="T72">maxDepthToMinSOC($L$8,$L$9,$L$6,$L$7,$O72,$G$5,$G$6,drivePower($C$4,$M72,$G72,$C$10,$C$11),$I72,$G72,$G$4,$C$8)</f>
        <v>15450.600613951683</v>
      </c>
      <c r="U72" s="12" cm="1">
        <f t="array" ref="U72">maxDepthToMinSOC($L$8,$L$9,P72,Q72,$O72,$G$5,$G$6,drivePower($C$4,$M72,$G72,$C$10,$C$11),$I72,$G72,$G$4,$C$8)</f>
        <v>7043.1002798676491</v>
      </c>
      <c r="V72" s="93">
        <f t="shared" si="6"/>
        <v>11246.850446909666</v>
      </c>
    </row>
    <row r="73" spans="7:22" x14ac:dyDescent="0.35">
      <c r="G73" s="59">
        <f t="shared" si="1"/>
        <v>0.5</v>
      </c>
      <c r="H73" s="64">
        <v>25</v>
      </c>
      <c r="I73" s="84">
        <f t="shared" si="7"/>
        <v>25</v>
      </c>
      <c r="J73" s="84">
        <v>50</v>
      </c>
      <c r="K73" s="60">
        <f t="shared" si="8"/>
        <v>123200</v>
      </c>
      <c r="L73" s="59">
        <f t="shared" si="2"/>
        <v>6.48</v>
      </c>
      <c r="M73" s="64">
        <f t="shared" si="3"/>
        <v>16.48</v>
      </c>
      <c r="N73" s="64" cm="1">
        <f t="array" ref="N73">drivePower($C$4,M73,$C$9,$C$10,$C$11)</f>
        <v>23.671199999999999</v>
      </c>
      <c r="O73" s="86">
        <f t="shared" si="0"/>
        <v>8205.119999999999</v>
      </c>
      <c r="P73" s="90">
        <f t="shared" si="4"/>
        <v>-1.5000000000000001E-4</v>
      </c>
      <c r="Q73" s="91">
        <f t="shared" si="5"/>
        <v>0.82280000000000009</v>
      </c>
      <c r="R73" s="98">
        <v>0.15</v>
      </c>
      <c r="S73" s="95">
        <f t="shared" si="9"/>
        <v>123200</v>
      </c>
      <c r="T73" s="92" cm="1">
        <f t="array" ref="T73">maxDepthToMinSOC($L$8,$L$9,$L$6,$L$7,$O73,$G$5,$G$6,drivePower($C$4,$M73,$G73,$C$10,$C$11),$I73,$G73,$G$4,$C$8)</f>
        <v>15575.850618928671</v>
      </c>
      <c r="U73" s="12" cm="1">
        <f t="array" ref="U73">maxDepthToMinSOC($L$8,$L$9,P73,Q73,$O73,$G$5,$G$6,drivePower($C$4,$M73,$G73,$C$10,$C$11),$I73,$G73,$G$4,$C$8)</f>
        <v>7073.4002810716629</v>
      </c>
      <c r="V73" s="93">
        <f t="shared" si="6"/>
        <v>11324.625450000167</v>
      </c>
    </row>
    <row r="74" spans="7:22" x14ac:dyDescent="0.35">
      <c r="G74" s="59">
        <f t="shared" si="1"/>
        <v>0.5</v>
      </c>
      <c r="H74" s="64">
        <v>25</v>
      </c>
      <c r="I74" s="84">
        <f t="shared" si="7"/>
        <v>25</v>
      </c>
      <c r="J74" s="84">
        <v>50</v>
      </c>
      <c r="K74" s="60">
        <f t="shared" si="8"/>
        <v>125400</v>
      </c>
      <c r="L74" s="59">
        <f t="shared" si="2"/>
        <v>6.6</v>
      </c>
      <c r="M74" s="64">
        <f t="shared" si="3"/>
        <v>16.600000000000001</v>
      </c>
      <c r="N74" s="64" cm="1">
        <f t="array" ref="N74">drivePower($C$4,M74,$C$9,$C$10,$C$11)</f>
        <v>23.829000000000001</v>
      </c>
      <c r="O74" s="86">
        <f t="shared" si="0"/>
        <v>8351.64</v>
      </c>
      <c r="P74" s="90">
        <f t="shared" si="4"/>
        <v>-1.5000000000000001E-4</v>
      </c>
      <c r="Q74" s="91">
        <f t="shared" si="5"/>
        <v>0.82280000000000009</v>
      </c>
      <c r="R74" s="98">
        <v>0.15</v>
      </c>
      <c r="S74" s="95">
        <f t="shared" si="9"/>
        <v>125400</v>
      </c>
      <c r="T74" s="92" cm="1">
        <f t="array" ref="T74">maxDepthToMinSOC($L$8,$L$9,$L$6,$L$7,$O74,$G$5,$G$6,drivePower($C$4,$M74,$G74,$C$10,$C$11),$I74,$G74,$G$4,$C$8)</f>
        <v>15698.700623810291</v>
      </c>
      <c r="U74" s="12" cm="1">
        <f t="array" ref="U74">maxDepthToMinSOC($L$8,$L$9,P74,Q74,$O74,$G$5,$G$6,drivePower($C$4,$M74,$G74,$C$10,$C$11),$I74,$G74,$G$4,$C$8)</f>
        <v>7102.9502822458744</v>
      </c>
      <c r="V74" s="93">
        <f t="shared" si="6"/>
        <v>11400.825453028083</v>
      </c>
    </row>
    <row r="75" spans="7:22" x14ac:dyDescent="0.35">
      <c r="G75" s="59">
        <f t="shared" si="1"/>
        <v>0.5</v>
      </c>
      <c r="H75" s="64">
        <v>25</v>
      </c>
      <c r="I75" s="84">
        <f t="shared" si="7"/>
        <v>25</v>
      </c>
      <c r="J75" s="84">
        <v>50</v>
      </c>
      <c r="K75" s="60">
        <f t="shared" si="8"/>
        <v>127600</v>
      </c>
      <c r="L75" s="59">
        <f t="shared" si="2"/>
        <v>6.72</v>
      </c>
      <c r="M75" s="64">
        <f t="shared" si="3"/>
        <v>16.72</v>
      </c>
      <c r="N75" s="64" cm="1">
        <f t="array" ref="N75">drivePower($C$4,M75,$C$9,$C$10,$C$11)</f>
        <v>23.986799999999999</v>
      </c>
      <c r="O75" s="86">
        <f t="shared" si="0"/>
        <v>8498.16</v>
      </c>
      <c r="P75" s="90">
        <f t="shared" si="4"/>
        <v>-1.5000000000000001E-4</v>
      </c>
      <c r="Q75" s="91">
        <f t="shared" si="5"/>
        <v>0.82280000000000009</v>
      </c>
      <c r="R75" s="98">
        <v>0.15</v>
      </c>
      <c r="S75" s="95">
        <f t="shared" si="9"/>
        <v>127600</v>
      </c>
      <c r="T75" s="92" cm="1">
        <f t="array" ref="T75">maxDepthToMinSOC($L$8,$L$9,$L$6,$L$7,$O75,$G$5,$G$6,drivePower($C$4,$M75,$G75,$C$10,$C$11),$I75,$G75,$G$4,$C$8)</f>
        <v>15819.150628596544</v>
      </c>
      <c r="U75" s="12" cm="1">
        <f t="array" ref="U75">maxDepthToMinSOC($L$8,$L$9,P75,Q75,$O75,$G$5,$G$6,drivePower($C$4,$M75,$G75,$C$10,$C$11),$I75,$G75,$G$4,$C$8)</f>
        <v>7131.6002833843231</v>
      </c>
      <c r="V75" s="93">
        <f t="shared" si="6"/>
        <v>11475.375455990434</v>
      </c>
    </row>
    <row r="76" spans="7:22" x14ac:dyDescent="0.35">
      <c r="G76" s="59">
        <f t="shared" si="1"/>
        <v>0.5</v>
      </c>
      <c r="H76" s="64">
        <v>25</v>
      </c>
      <c r="I76" s="84">
        <f t="shared" si="7"/>
        <v>25</v>
      </c>
      <c r="J76" s="84">
        <v>50</v>
      </c>
      <c r="K76" s="60">
        <f t="shared" si="8"/>
        <v>129800</v>
      </c>
      <c r="L76" s="59">
        <f t="shared" si="2"/>
        <v>6.84</v>
      </c>
      <c r="M76" s="64">
        <f t="shared" si="3"/>
        <v>16.84</v>
      </c>
      <c r="N76" s="64" cm="1">
        <f t="array" ref="N76">drivePower($C$4,M76,$C$9,$C$10,$C$11)</f>
        <v>24.144600000000001</v>
      </c>
      <c r="O76" s="86">
        <f t="shared" si="0"/>
        <v>8644.68</v>
      </c>
      <c r="P76" s="90">
        <f t="shared" si="4"/>
        <v>-1.5000000000000001E-4</v>
      </c>
      <c r="Q76" s="91">
        <f t="shared" si="5"/>
        <v>0.82280000000000009</v>
      </c>
      <c r="R76" s="98">
        <v>0.15</v>
      </c>
      <c r="S76" s="95">
        <f t="shared" si="9"/>
        <v>129800</v>
      </c>
      <c r="T76" s="92" cm="1">
        <f t="array" ref="T76">maxDepthToMinSOC($L$8,$L$9,$L$6,$L$7,$O76,$G$5,$G$6,drivePower($C$4,$M76,$G76,$C$10,$C$11),$I76,$G76,$G$4,$C$8)</f>
        <v>15937.050633281469</v>
      </c>
      <c r="U76" s="12" cm="1">
        <f t="array" ref="U76">maxDepthToMinSOC($L$8,$L$9,P76,Q76,$O76,$G$5,$G$6,drivePower($C$4,$M76,$G76,$C$10,$C$11),$I76,$G76,$G$4,$C$8)</f>
        <v>7159.65028449893</v>
      </c>
      <c r="V76" s="93">
        <f t="shared" si="6"/>
        <v>11548.3504588902</v>
      </c>
    </row>
    <row r="77" spans="7:22" x14ac:dyDescent="0.35">
      <c r="G77" s="59">
        <f t="shared" si="1"/>
        <v>0.5</v>
      </c>
      <c r="H77" s="64">
        <v>25</v>
      </c>
      <c r="I77" s="84">
        <f t="shared" si="7"/>
        <v>25</v>
      </c>
      <c r="J77" s="84">
        <v>50</v>
      </c>
      <c r="K77" s="60">
        <f t="shared" si="8"/>
        <v>132000</v>
      </c>
      <c r="L77" s="59">
        <f t="shared" si="2"/>
        <v>6.96</v>
      </c>
      <c r="M77" s="64">
        <f t="shared" si="3"/>
        <v>16.96</v>
      </c>
      <c r="N77" s="64" cm="1">
        <f t="array" ref="N77">drivePower($C$4,M77,$C$9,$C$10,$C$11)</f>
        <v>24.302399999999999</v>
      </c>
      <c r="O77" s="86">
        <f t="shared" si="0"/>
        <v>8791.1999999999989</v>
      </c>
      <c r="P77" s="90">
        <f t="shared" si="4"/>
        <v>-1.5000000000000001E-4</v>
      </c>
      <c r="Q77" s="91">
        <f t="shared" si="5"/>
        <v>0.82280000000000009</v>
      </c>
      <c r="R77" s="98">
        <v>0.15</v>
      </c>
      <c r="S77" s="95">
        <f t="shared" si="9"/>
        <v>132000</v>
      </c>
      <c r="T77" s="92" cm="1">
        <f t="array" ref="T77">maxDepthToMinSOC($L$8,$L$9,$L$6,$L$7,$O77,$G$5,$G$6,drivePower($C$4,$M77,$G77,$C$10,$C$11),$I77,$G77,$G$4,$C$8)</f>
        <v>16052.850637882948</v>
      </c>
      <c r="U77" s="12" cm="1">
        <f t="array" ref="U77">maxDepthToMinSOC($L$8,$L$9,P77,Q77,$O77,$G$5,$G$6,drivePower($C$4,$M77,$G77,$C$10,$C$11),$I77,$G77,$G$4,$C$8)</f>
        <v>7186.800285577774</v>
      </c>
      <c r="V77" s="93">
        <f t="shared" si="6"/>
        <v>11619.825461730361</v>
      </c>
    </row>
    <row r="78" spans="7:22" x14ac:dyDescent="0.35">
      <c r="G78" s="59">
        <f t="shared" si="1"/>
        <v>0.5</v>
      </c>
      <c r="H78" s="64">
        <v>25</v>
      </c>
      <c r="I78" s="84">
        <f t="shared" si="7"/>
        <v>25</v>
      </c>
      <c r="J78" s="84">
        <v>50</v>
      </c>
      <c r="K78" s="60">
        <f t="shared" si="8"/>
        <v>134200</v>
      </c>
      <c r="L78" s="59">
        <f t="shared" si="2"/>
        <v>7.08</v>
      </c>
      <c r="M78" s="64">
        <f t="shared" si="3"/>
        <v>17.079999999999998</v>
      </c>
      <c r="N78" s="64" cm="1">
        <f t="array" ref="N78">drivePower($C$4,M78,$C$9,$C$10,$C$11)</f>
        <v>24.460199999999997</v>
      </c>
      <c r="O78" s="86">
        <f t="shared" si="0"/>
        <v>8937.7199999999993</v>
      </c>
      <c r="P78" s="90">
        <f t="shared" si="4"/>
        <v>-1.5000000000000001E-4</v>
      </c>
      <c r="Q78" s="91">
        <f t="shared" si="5"/>
        <v>0.82280000000000009</v>
      </c>
      <c r="R78" s="98">
        <v>0.15</v>
      </c>
      <c r="S78" s="95">
        <f t="shared" si="9"/>
        <v>134200</v>
      </c>
      <c r="T78" s="92" cm="1">
        <f t="array" ref="T78">maxDepthToMinSOC($L$8,$L$9,$L$6,$L$7,$O78,$G$5,$G$6,drivePower($C$4,$M78,$G78,$C$10,$C$11),$I78,$G78,$G$4,$C$8)</f>
        <v>16166.40064239502</v>
      </c>
      <c r="U78" s="12" cm="1">
        <f t="array" ref="U78">maxDepthToMinSOC($L$8,$L$9,P78,Q78,$O78,$G$5,$G$6,drivePower($C$4,$M78,$G78,$C$10,$C$11),$I78,$G78,$G$4,$C$8)</f>
        <v>7213.3502866327763</v>
      </c>
      <c r="V78" s="93">
        <f t="shared" si="6"/>
        <v>11689.875464513898</v>
      </c>
    </row>
    <row r="79" spans="7:22" x14ac:dyDescent="0.35">
      <c r="G79" s="59">
        <f t="shared" si="1"/>
        <v>0.5</v>
      </c>
      <c r="H79" s="64">
        <v>25</v>
      </c>
      <c r="I79" s="84">
        <f t="shared" si="7"/>
        <v>25</v>
      </c>
      <c r="J79" s="84">
        <v>50</v>
      </c>
      <c r="K79" s="60">
        <f t="shared" si="8"/>
        <v>136400</v>
      </c>
      <c r="L79" s="59">
        <f t="shared" si="2"/>
        <v>7.2</v>
      </c>
      <c r="M79" s="64">
        <f t="shared" si="3"/>
        <v>17.2</v>
      </c>
      <c r="N79" s="64" cm="1">
        <f t="array" ref="N79">drivePower($C$4,M79,$C$9,$C$10,$C$11)</f>
        <v>24.617999999999999</v>
      </c>
      <c r="O79" s="86">
        <f t="shared" si="0"/>
        <v>9084.24</v>
      </c>
      <c r="P79" s="90">
        <f t="shared" si="4"/>
        <v>-1.5000000000000001E-4</v>
      </c>
      <c r="Q79" s="91">
        <f t="shared" si="5"/>
        <v>0.82280000000000009</v>
      </c>
      <c r="R79" s="98">
        <v>0.15</v>
      </c>
      <c r="S79" s="95">
        <f t="shared" si="9"/>
        <v>136400</v>
      </c>
      <c r="T79" s="92" cm="1">
        <f t="array" ref="T79">maxDepthToMinSOC($L$8,$L$9,$L$6,$L$7,$O79,$G$5,$G$6,drivePower($C$4,$M79,$G79,$C$10,$C$11),$I79,$G79,$G$4,$C$8)</f>
        <v>16277.700646817684</v>
      </c>
      <c r="U79" s="12" cm="1">
        <f t="array" ref="U79">maxDepthToMinSOC($L$8,$L$9,P79,Q79,$O79,$G$5,$G$6,drivePower($C$4,$M79,$G79,$C$10,$C$11),$I79,$G79,$G$4,$C$8)</f>
        <v>7239.1502876579762</v>
      </c>
      <c r="V79" s="93">
        <f t="shared" si="6"/>
        <v>11758.42546723783</v>
      </c>
    </row>
    <row r="80" spans="7:22" x14ac:dyDescent="0.35">
      <c r="G80" s="59">
        <f t="shared" si="1"/>
        <v>0.5</v>
      </c>
      <c r="H80" s="64">
        <v>25</v>
      </c>
      <c r="I80" s="84">
        <f t="shared" si="7"/>
        <v>25</v>
      </c>
      <c r="J80" s="84">
        <v>50</v>
      </c>
      <c r="K80" s="60">
        <f t="shared" si="8"/>
        <v>138600</v>
      </c>
      <c r="L80" s="59">
        <f t="shared" si="2"/>
        <v>7.32</v>
      </c>
      <c r="M80" s="64">
        <f t="shared" si="3"/>
        <v>17.32</v>
      </c>
      <c r="N80" s="64" cm="1">
        <f t="array" ref="N80">drivePower($C$4,M80,$C$9,$C$10,$C$11)</f>
        <v>24.7758</v>
      </c>
      <c r="O80" s="86">
        <f t="shared" si="0"/>
        <v>9230.76</v>
      </c>
      <c r="P80" s="90">
        <f t="shared" si="4"/>
        <v>-1.5000000000000001E-4</v>
      </c>
      <c r="Q80" s="91">
        <f t="shared" si="5"/>
        <v>0.82280000000000009</v>
      </c>
      <c r="R80" s="98">
        <v>0.15</v>
      </c>
      <c r="S80" s="95">
        <f t="shared" si="9"/>
        <v>138600</v>
      </c>
      <c r="T80" s="92" cm="1">
        <f t="array" ref="T80">maxDepthToMinSOC($L$8,$L$9,$L$6,$L$7,$O80,$G$5,$G$6,drivePower($C$4,$M80,$G80,$C$10,$C$11),$I80,$G80,$G$4,$C$8)</f>
        <v>16387.050651162863</v>
      </c>
      <c r="U80" s="12" cm="1">
        <f t="array" ref="U80">maxDepthToMinSOC($L$8,$L$9,P80,Q80,$O80,$G$5,$G$6,drivePower($C$4,$M80,$G80,$C$10,$C$11),$I80,$G80,$G$4,$C$8)</f>
        <v>7264.3502886593342</v>
      </c>
      <c r="V80" s="93">
        <f t="shared" si="6"/>
        <v>11825.700469911098</v>
      </c>
    </row>
    <row r="81" spans="7:22" x14ac:dyDescent="0.35">
      <c r="G81" s="59">
        <f t="shared" si="1"/>
        <v>0.5</v>
      </c>
      <c r="H81" s="64">
        <v>25</v>
      </c>
      <c r="I81" s="84">
        <f t="shared" si="7"/>
        <v>25</v>
      </c>
      <c r="J81" s="84">
        <v>50</v>
      </c>
      <c r="K81" s="60">
        <f t="shared" si="8"/>
        <v>140800</v>
      </c>
      <c r="L81" s="59">
        <f t="shared" si="2"/>
        <v>7.44</v>
      </c>
      <c r="M81" s="64">
        <f t="shared" si="3"/>
        <v>17.440000000000001</v>
      </c>
      <c r="N81" s="64" cm="1">
        <f t="array" ref="N81">drivePower($C$4,M81,$C$9,$C$10,$C$11)</f>
        <v>24.933600000000002</v>
      </c>
      <c r="O81" s="86">
        <f t="shared" si="0"/>
        <v>9377.2800000000007</v>
      </c>
      <c r="P81" s="90">
        <f t="shared" si="4"/>
        <v>-1.5000000000000001E-4</v>
      </c>
      <c r="Q81" s="91">
        <f t="shared" si="5"/>
        <v>0.82280000000000009</v>
      </c>
      <c r="R81" s="98">
        <v>0.15</v>
      </c>
      <c r="S81" s="95">
        <f t="shared" si="9"/>
        <v>140800</v>
      </c>
      <c r="T81" s="92" cm="1">
        <f t="array" ref="T81">maxDepthToMinSOC($L$8,$L$9,$L$6,$L$7,$O81,$G$5,$G$6,drivePower($C$4,$M81,$G81,$C$10,$C$11),$I81,$G81,$G$4,$C$8)</f>
        <v>16494.300655424595</v>
      </c>
      <c r="U81" s="12" cm="1">
        <f t="array" ref="U81">maxDepthToMinSOC($L$8,$L$9,P81,Q81,$O81,$G$5,$G$6,drivePower($C$4,$M81,$G81,$C$10,$C$11),$I81,$G81,$G$4,$C$8)</f>
        <v>7288.9502896368504</v>
      </c>
      <c r="V81" s="93">
        <f t="shared" si="6"/>
        <v>11891.625472530723</v>
      </c>
    </row>
    <row r="82" spans="7:22" x14ac:dyDescent="0.35">
      <c r="G82" s="59">
        <f t="shared" si="1"/>
        <v>0.5</v>
      </c>
      <c r="H82" s="64">
        <v>25</v>
      </c>
      <c r="I82" s="84">
        <f t="shared" si="7"/>
        <v>25</v>
      </c>
      <c r="J82" s="84">
        <v>50</v>
      </c>
      <c r="K82" s="60">
        <f t="shared" si="8"/>
        <v>143000</v>
      </c>
      <c r="L82" s="59">
        <f t="shared" si="2"/>
        <v>7.56</v>
      </c>
      <c r="M82" s="64">
        <f t="shared" si="3"/>
        <v>17.559999999999999</v>
      </c>
      <c r="N82" s="64" cm="1">
        <f t="array" ref="N82">drivePower($C$4,M82,$C$9,$C$10,$C$11)</f>
        <v>25.091399999999997</v>
      </c>
      <c r="O82" s="86">
        <f t="shared" ref="O82:O145" si="10">K82*3.6/1000*$L$4</f>
        <v>9523.7999999999993</v>
      </c>
      <c r="P82" s="90">
        <f t="shared" si="4"/>
        <v>-1.5000000000000001E-4</v>
      </c>
      <c r="Q82" s="91">
        <f t="shared" si="5"/>
        <v>0.82280000000000009</v>
      </c>
      <c r="R82" s="98">
        <v>0.15</v>
      </c>
      <c r="S82" s="95">
        <f t="shared" si="9"/>
        <v>143000</v>
      </c>
      <c r="T82" s="92" cm="1">
        <f t="array" ref="T82">maxDepthToMinSOC($L$8,$L$9,$L$6,$L$7,$O82,$G$5,$G$6,drivePower($C$4,$M82,$G82,$C$10,$C$11),$I82,$G82,$G$4,$C$8)</f>
        <v>16599.45065960288</v>
      </c>
      <c r="U82" s="12" cm="1">
        <f t="array" ref="U82">maxDepthToMinSOC($L$8,$L$9,P82,Q82,$O82,$G$5,$G$6,drivePower($C$4,$M82,$G82,$C$10,$C$11),$I82,$G82,$G$4,$C$8)</f>
        <v>7312.8002905845642</v>
      </c>
      <c r="V82" s="93">
        <f t="shared" si="6"/>
        <v>11956.125475093722</v>
      </c>
    </row>
    <row r="83" spans="7:22" x14ac:dyDescent="0.35">
      <c r="G83" s="59">
        <f t="shared" si="1"/>
        <v>0.5</v>
      </c>
      <c r="H83" s="64">
        <v>25</v>
      </c>
      <c r="I83" s="84">
        <f t="shared" si="7"/>
        <v>25</v>
      </c>
      <c r="J83" s="84">
        <v>50</v>
      </c>
      <c r="K83" s="60">
        <f t="shared" si="8"/>
        <v>145200</v>
      </c>
      <c r="L83" s="59">
        <f t="shared" ref="L83:L146" si="11">(K83-4400)*(5*0.048)/4400</f>
        <v>7.68</v>
      </c>
      <c r="M83" s="64">
        <f t="shared" ref="M83:M146" si="12">$C$5+L83</f>
        <v>17.68</v>
      </c>
      <c r="N83" s="64" cm="1">
        <f t="array" ref="N83">drivePower($C$4,M83,$C$9,$C$10,$C$11)</f>
        <v>25.249199999999998</v>
      </c>
      <c r="O83" s="86">
        <f t="shared" si="10"/>
        <v>9670.32</v>
      </c>
      <c r="P83" s="90">
        <f t="shared" si="4"/>
        <v>-1.5000000000000001E-4</v>
      </c>
      <c r="Q83" s="91">
        <f t="shared" si="5"/>
        <v>0.82280000000000009</v>
      </c>
      <c r="R83" s="98">
        <v>0.15</v>
      </c>
      <c r="S83" s="95">
        <f t="shared" si="9"/>
        <v>145200</v>
      </c>
      <c r="T83" s="92" cm="1">
        <f t="array" ref="T83">maxDepthToMinSOC($L$8,$L$9,$L$6,$L$7,$O83,$G$5,$G$6,drivePower($C$4,$M83,$G83,$C$10,$C$11),$I83,$G83,$G$4,$C$8)</f>
        <v>16702.800663709641</v>
      </c>
      <c r="U83" s="12" cm="1">
        <f t="array" ref="U83">maxDepthToMinSOC($L$8,$L$9,P83,Q83,$O83,$G$5,$G$6,drivePower($C$4,$M83,$G83,$C$10,$C$11),$I83,$G83,$G$4,$C$8)</f>
        <v>7336.2002915143967</v>
      </c>
      <c r="V83" s="93">
        <f t="shared" ref="V83:V146" si="13">AVERAGE(T83:U83)</f>
        <v>12019.500477612019</v>
      </c>
    </row>
    <row r="84" spans="7:22" x14ac:dyDescent="0.35">
      <c r="G84" s="59">
        <f t="shared" si="1"/>
        <v>0.5</v>
      </c>
      <c r="H84" s="64">
        <v>25</v>
      </c>
      <c r="I84" s="84">
        <f t="shared" ref="I84:I147" si="14">I83</f>
        <v>25</v>
      </c>
      <c r="J84" s="84">
        <v>50</v>
      </c>
      <c r="K84" s="60">
        <f t="shared" si="8"/>
        <v>147400</v>
      </c>
      <c r="L84" s="59">
        <f t="shared" si="11"/>
        <v>7.8</v>
      </c>
      <c r="M84" s="64">
        <f t="shared" si="12"/>
        <v>17.8</v>
      </c>
      <c r="N84" s="64" cm="1">
        <f t="array" ref="N84">drivePower($C$4,M84,$C$9,$C$10,$C$11)</f>
        <v>25.407</v>
      </c>
      <c r="O84" s="86">
        <f t="shared" si="10"/>
        <v>9816.84</v>
      </c>
      <c r="P84" s="90">
        <f t="shared" si="4"/>
        <v>-1.5000000000000001E-4</v>
      </c>
      <c r="Q84" s="91">
        <f t="shared" si="5"/>
        <v>0.82280000000000009</v>
      </c>
      <c r="R84" s="98">
        <v>0.15</v>
      </c>
      <c r="S84" s="95">
        <f t="shared" si="9"/>
        <v>147400</v>
      </c>
      <c r="T84" s="92" cm="1">
        <f t="array" ref="T84">maxDepthToMinSOC($L$8,$L$9,$L$6,$L$7,$O84,$G$5,$G$6,drivePower($C$4,$M84,$G84,$C$10,$C$11),$I84,$G84,$G$4,$C$8)</f>
        <v>16804.200667738914</v>
      </c>
      <c r="U84" s="12" cm="1">
        <f t="array" ref="U84">maxDepthToMinSOC($L$8,$L$9,P84,Q84,$O84,$G$5,$G$6,drivePower($C$4,$M84,$G84,$C$10,$C$11),$I84,$G84,$G$4,$C$8)</f>
        <v>7359.0002924203873</v>
      </c>
      <c r="V84" s="93">
        <f t="shared" si="13"/>
        <v>12081.600480079651</v>
      </c>
    </row>
    <row r="85" spans="7:22" x14ac:dyDescent="0.35">
      <c r="G85" s="59">
        <f t="shared" si="1"/>
        <v>0.5</v>
      </c>
      <c r="H85" s="64">
        <v>25</v>
      </c>
      <c r="I85" s="84">
        <f t="shared" si="14"/>
        <v>25</v>
      </c>
      <c r="J85" s="84">
        <v>50</v>
      </c>
      <c r="K85" s="60">
        <f t="shared" si="8"/>
        <v>149600</v>
      </c>
      <c r="L85" s="59">
        <f t="shared" si="11"/>
        <v>7.92</v>
      </c>
      <c r="M85" s="64">
        <f t="shared" si="12"/>
        <v>17.920000000000002</v>
      </c>
      <c r="N85" s="64" cm="1">
        <f t="array" ref="N85">drivePower($C$4,M85,$C$9,$C$10,$C$11)</f>
        <v>25.564800000000002</v>
      </c>
      <c r="O85" s="86">
        <f t="shared" si="10"/>
        <v>9963.3599999999988</v>
      </c>
      <c r="P85" s="90">
        <f t="shared" si="4"/>
        <v>-1.5000000000000001E-4</v>
      </c>
      <c r="Q85" s="91">
        <f t="shared" si="5"/>
        <v>0.82280000000000009</v>
      </c>
      <c r="R85" s="98">
        <v>0.15</v>
      </c>
      <c r="S85" s="95">
        <f t="shared" si="9"/>
        <v>149600</v>
      </c>
      <c r="T85" s="92" cm="1">
        <f t="array" ref="T85">maxDepthToMinSOC($L$8,$L$9,$L$6,$L$7,$O85,$G$5,$G$6,drivePower($C$4,$M85,$G85,$C$10,$C$11),$I85,$G85,$G$4,$C$8)</f>
        <v>16903.800671696663</v>
      </c>
      <c r="U85" s="12" cm="1">
        <f t="array" ref="U85">maxDepthToMinSOC($L$8,$L$9,P85,Q85,$O85,$G$5,$G$6,drivePower($C$4,$M85,$G85,$C$10,$C$11),$I85,$G85,$G$4,$C$8)</f>
        <v>7381.200293302536</v>
      </c>
      <c r="V85" s="93">
        <f t="shared" si="13"/>
        <v>12142.500482499599</v>
      </c>
    </row>
    <row r="86" spans="7:22" x14ac:dyDescent="0.35">
      <c r="G86" s="59">
        <f t="shared" si="1"/>
        <v>0.5</v>
      </c>
      <c r="H86" s="64">
        <v>25</v>
      </c>
      <c r="I86" s="84">
        <f t="shared" si="14"/>
        <v>25</v>
      </c>
      <c r="J86" s="84">
        <v>50</v>
      </c>
      <c r="K86" s="60">
        <f t="shared" si="8"/>
        <v>151800</v>
      </c>
      <c r="L86" s="59">
        <f t="shared" si="11"/>
        <v>8.0399999999999991</v>
      </c>
      <c r="M86" s="64">
        <f t="shared" si="12"/>
        <v>18.04</v>
      </c>
      <c r="N86" s="64" cm="1">
        <f t="array" ref="N86">drivePower($C$4,M86,$C$9,$C$10,$C$11)</f>
        <v>25.722599999999996</v>
      </c>
      <c r="O86" s="86">
        <f t="shared" si="10"/>
        <v>10109.880000000001</v>
      </c>
      <c r="P86" s="90">
        <f t="shared" si="4"/>
        <v>-1.5000000000000001E-4</v>
      </c>
      <c r="Q86" s="91">
        <f t="shared" si="5"/>
        <v>0.82280000000000009</v>
      </c>
      <c r="R86" s="98">
        <v>0.15</v>
      </c>
      <c r="S86" s="95">
        <f t="shared" si="9"/>
        <v>151800</v>
      </c>
      <c r="T86" s="92" cm="1">
        <f t="array" ref="T86">maxDepthToMinSOC($L$8,$L$9,$L$6,$L$7,$O86,$G$5,$G$6,drivePower($C$4,$M86,$G86,$C$10,$C$11),$I86,$G86,$G$4,$C$8)</f>
        <v>17001.750675588846</v>
      </c>
      <c r="U86" s="12" cm="1">
        <f t="array" ref="U86">maxDepthToMinSOC($L$8,$L$9,P86,Q86,$O86,$G$5,$G$6,drivePower($C$4,$M86,$G86,$C$10,$C$11),$I86,$G86,$G$4,$C$8)</f>
        <v>7402.9502941668034</v>
      </c>
      <c r="V86" s="93">
        <f t="shared" si="13"/>
        <v>12202.350484877825</v>
      </c>
    </row>
    <row r="87" spans="7:22" x14ac:dyDescent="0.35">
      <c r="G87" s="59">
        <f t="shared" si="1"/>
        <v>0.5</v>
      </c>
      <c r="H87" s="64">
        <v>25</v>
      </c>
      <c r="I87" s="84">
        <f t="shared" si="14"/>
        <v>25</v>
      </c>
      <c r="J87" s="84">
        <v>50</v>
      </c>
      <c r="K87" s="60">
        <f t="shared" ref="K87:K150" si="15">K86+2200</f>
        <v>154000</v>
      </c>
      <c r="L87" s="59">
        <f t="shared" si="11"/>
        <v>8.16</v>
      </c>
      <c r="M87" s="64">
        <f t="shared" si="12"/>
        <v>18.16</v>
      </c>
      <c r="N87" s="64" cm="1">
        <f t="array" ref="N87">drivePower($C$4,M87,$C$9,$C$10,$C$11)</f>
        <v>25.880399999999998</v>
      </c>
      <c r="O87" s="86">
        <f t="shared" si="10"/>
        <v>10256.4</v>
      </c>
      <c r="P87" s="90">
        <f t="shared" si="4"/>
        <v>-1.5000000000000001E-4</v>
      </c>
      <c r="Q87" s="91">
        <f t="shared" si="5"/>
        <v>0.82280000000000009</v>
      </c>
      <c r="R87" s="98">
        <v>0.15</v>
      </c>
      <c r="S87" s="95">
        <f t="shared" ref="S87:S150" si="16">S86+2200</f>
        <v>154000</v>
      </c>
      <c r="T87" s="92" cm="1">
        <f t="array" ref="T87">maxDepthToMinSOC($L$8,$L$9,$L$6,$L$7,$O87,$G$5,$G$6,drivePower($C$4,$M87,$G87,$C$10,$C$11),$I87,$G87,$G$4,$C$8)</f>
        <v>17097.900679409504</v>
      </c>
      <c r="U87" s="12" cm="1">
        <f t="array" ref="U87">maxDepthToMinSOC($L$8,$L$9,P87,Q87,$O87,$G$5,$G$6,drivePower($C$4,$M87,$G87,$C$10,$C$11),$I87,$G87,$G$4,$C$8)</f>
        <v>7424.2502950131893</v>
      </c>
      <c r="V87" s="93">
        <f t="shared" si="13"/>
        <v>12261.075487211347</v>
      </c>
    </row>
    <row r="88" spans="7:22" x14ac:dyDescent="0.35">
      <c r="G88" s="59">
        <f t="shared" si="1"/>
        <v>0.5</v>
      </c>
      <c r="H88" s="64">
        <v>25</v>
      </c>
      <c r="I88" s="84">
        <f t="shared" si="14"/>
        <v>25</v>
      </c>
      <c r="J88" s="84">
        <v>50</v>
      </c>
      <c r="K88" s="60">
        <f t="shared" si="15"/>
        <v>156200</v>
      </c>
      <c r="L88" s="59">
        <f t="shared" si="11"/>
        <v>8.2799999999999994</v>
      </c>
      <c r="M88" s="64">
        <f t="shared" si="12"/>
        <v>18.28</v>
      </c>
      <c r="N88" s="64" cm="1">
        <f t="array" ref="N88">drivePower($C$4,M88,$C$9,$C$10,$C$11)</f>
        <v>26.0382</v>
      </c>
      <c r="O88" s="86">
        <f t="shared" si="10"/>
        <v>10402.92</v>
      </c>
      <c r="P88" s="90">
        <f t="shared" si="4"/>
        <v>-1.5000000000000001E-4</v>
      </c>
      <c r="Q88" s="91">
        <f t="shared" si="5"/>
        <v>0.82280000000000009</v>
      </c>
      <c r="R88" s="98">
        <v>0.15</v>
      </c>
      <c r="S88" s="95">
        <f t="shared" si="16"/>
        <v>156200</v>
      </c>
      <c r="T88" s="92" cm="1">
        <f t="array" ref="T88">maxDepthToMinSOC($L$8,$L$9,$L$6,$L$7,$O88,$G$5,$G$6,drivePower($C$4,$M88,$G88,$C$10,$C$11),$I88,$G88,$G$4,$C$8)</f>
        <v>17192.250683158636</v>
      </c>
      <c r="U88" s="12" cm="1">
        <f t="array" ref="U88">maxDepthToMinSOC($L$8,$L$9,P88,Q88,$O88,$G$5,$G$6,drivePower($C$4,$M88,$G88,$C$10,$C$11),$I88,$G88,$G$4,$C$8)</f>
        <v>7444.9502958357334</v>
      </c>
      <c r="V88" s="93">
        <f t="shared" si="13"/>
        <v>12318.600489497185</v>
      </c>
    </row>
    <row r="89" spans="7:22" x14ac:dyDescent="0.35">
      <c r="G89" s="59">
        <f t="shared" si="1"/>
        <v>0.5</v>
      </c>
      <c r="H89" s="64">
        <v>25</v>
      </c>
      <c r="I89" s="84">
        <f t="shared" si="14"/>
        <v>25</v>
      </c>
      <c r="J89" s="84">
        <v>50</v>
      </c>
      <c r="K89" s="60">
        <f t="shared" si="15"/>
        <v>158400</v>
      </c>
      <c r="L89" s="59">
        <f t="shared" si="11"/>
        <v>8.4</v>
      </c>
      <c r="M89" s="64">
        <f t="shared" si="12"/>
        <v>18.399999999999999</v>
      </c>
      <c r="N89" s="64" cm="1">
        <f t="array" ref="N89">drivePower($C$4,M89,$C$9,$C$10,$C$11)</f>
        <v>26.195999999999998</v>
      </c>
      <c r="O89" s="86">
        <f t="shared" si="10"/>
        <v>10549.44</v>
      </c>
      <c r="P89" s="90">
        <f t="shared" si="4"/>
        <v>-1.5000000000000001E-4</v>
      </c>
      <c r="Q89" s="91">
        <f t="shared" si="5"/>
        <v>0.82280000000000009</v>
      </c>
      <c r="R89" s="98">
        <v>0.15</v>
      </c>
      <c r="S89" s="95">
        <f t="shared" si="16"/>
        <v>158400</v>
      </c>
      <c r="T89" s="92" cm="1">
        <f t="array" ref="T89">maxDepthToMinSOC($L$8,$L$9,$L$6,$L$7,$O89,$G$5,$G$6,drivePower($C$4,$M89,$G89,$C$10,$C$11),$I89,$G89,$G$4,$C$8)</f>
        <v>17285.100686848164</v>
      </c>
      <c r="U89" s="12" cm="1">
        <f t="array" ref="U89">maxDepthToMinSOC($L$8,$L$9,P89,Q89,$O89,$G$5,$G$6,drivePower($C$4,$M89,$G89,$C$10,$C$11),$I89,$G89,$G$4,$C$8)</f>
        <v>7465.2002966403961</v>
      </c>
      <c r="V89" s="93">
        <f t="shared" si="13"/>
        <v>12375.15049174428</v>
      </c>
    </row>
    <row r="90" spans="7:22" x14ac:dyDescent="0.35">
      <c r="G90" s="59">
        <f t="shared" si="1"/>
        <v>0.5</v>
      </c>
      <c r="H90" s="64">
        <v>25</v>
      </c>
      <c r="I90" s="84">
        <f t="shared" si="14"/>
        <v>25</v>
      </c>
      <c r="J90" s="84">
        <v>50</v>
      </c>
      <c r="K90" s="60">
        <f t="shared" si="15"/>
        <v>160600</v>
      </c>
      <c r="L90" s="59">
        <f t="shared" si="11"/>
        <v>8.52</v>
      </c>
      <c r="M90" s="64">
        <f t="shared" si="12"/>
        <v>18.52</v>
      </c>
      <c r="N90" s="64" cm="1">
        <f t="array" ref="N90">drivePower($C$4,M90,$C$9,$C$10,$C$11)</f>
        <v>26.3538</v>
      </c>
      <c r="O90" s="86">
        <f t="shared" si="10"/>
        <v>10695.96</v>
      </c>
      <c r="P90" s="90">
        <f t="shared" si="4"/>
        <v>-1.5000000000000001E-4</v>
      </c>
      <c r="Q90" s="91">
        <f t="shared" si="5"/>
        <v>0.82280000000000009</v>
      </c>
      <c r="R90" s="98">
        <v>0.15</v>
      </c>
      <c r="S90" s="95">
        <f t="shared" si="16"/>
        <v>160600</v>
      </c>
      <c r="T90" s="92" cm="1">
        <f t="array" ref="T90">maxDepthToMinSOC($L$8,$L$9,$L$6,$L$7,$O90,$G$5,$G$6,drivePower($C$4,$M90,$G90,$C$10,$C$11),$I90,$G90,$G$4,$C$8)</f>
        <v>17376.300690472126</v>
      </c>
      <c r="U90" s="12" cm="1">
        <f t="array" ref="U90">maxDepthToMinSOC($L$8,$L$9,P90,Q90,$O90,$G$5,$G$6,drivePower($C$4,$M90,$G90,$C$10,$C$11),$I90,$G90,$G$4,$C$8)</f>
        <v>7485.1502974331379</v>
      </c>
      <c r="V90" s="93">
        <f t="shared" si="13"/>
        <v>12430.725493952632</v>
      </c>
    </row>
    <row r="91" spans="7:22" x14ac:dyDescent="0.35">
      <c r="G91" s="59">
        <f t="shared" si="1"/>
        <v>0.5</v>
      </c>
      <c r="H91" s="64">
        <v>25</v>
      </c>
      <c r="I91" s="84">
        <f t="shared" si="14"/>
        <v>25</v>
      </c>
      <c r="J91" s="84">
        <v>50</v>
      </c>
      <c r="K91" s="60">
        <f t="shared" si="15"/>
        <v>162800</v>
      </c>
      <c r="L91" s="59">
        <f t="shared" si="11"/>
        <v>8.64</v>
      </c>
      <c r="M91" s="64">
        <f t="shared" si="12"/>
        <v>18.64</v>
      </c>
      <c r="N91" s="64" cm="1">
        <f t="array" ref="N91">drivePower($C$4,M91,$C$9,$C$10,$C$11)</f>
        <v>26.511600000000001</v>
      </c>
      <c r="O91" s="86">
        <f t="shared" si="10"/>
        <v>10842.480000000001</v>
      </c>
      <c r="P91" s="90">
        <f t="shared" si="4"/>
        <v>-1.5000000000000001E-4</v>
      </c>
      <c r="Q91" s="91">
        <f t="shared" si="5"/>
        <v>0.82280000000000009</v>
      </c>
      <c r="R91" s="98">
        <v>0.15</v>
      </c>
      <c r="S91" s="95">
        <f t="shared" si="16"/>
        <v>162800</v>
      </c>
      <c r="T91" s="92" cm="1">
        <f t="array" ref="T91">maxDepthToMinSOC($L$8,$L$9,$L$6,$L$7,$O91,$G$5,$G$6,drivePower($C$4,$M91,$G91,$C$10,$C$11),$I91,$G91,$G$4,$C$8)</f>
        <v>17465.850694030523</v>
      </c>
      <c r="U91" s="12" cm="1">
        <f t="array" ref="U91">maxDepthToMinSOC($L$8,$L$9,P91,Q91,$O91,$G$5,$G$6,drivePower($C$4,$M91,$G91,$C$10,$C$11),$I91,$G91,$G$4,$C$8)</f>
        <v>7504.5002982020378</v>
      </c>
      <c r="V91" s="93">
        <f t="shared" si="13"/>
        <v>12485.175496116281</v>
      </c>
    </row>
    <row r="92" spans="7:22" x14ac:dyDescent="0.35">
      <c r="G92" s="59">
        <f t="shared" si="1"/>
        <v>0.5</v>
      </c>
      <c r="H92" s="64">
        <v>25</v>
      </c>
      <c r="I92" s="84">
        <f t="shared" si="14"/>
        <v>25</v>
      </c>
      <c r="J92" s="84">
        <v>50</v>
      </c>
      <c r="K92" s="60">
        <f t="shared" si="15"/>
        <v>165000</v>
      </c>
      <c r="L92" s="59">
        <f t="shared" si="11"/>
        <v>8.76</v>
      </c>
      <c r="M92" s="64">
        <f t="shared" si="12"/>
        <v>18.759999999999998</v>
      </c>
      <c r="N92" s="64" cm="1">
        <f t="array" ref="N92">drivePower($C$4,M92,$C$9,$C$10,$C$11)</f>
        <v>26.669399999999996</v>
      </c>
      <c r="O92" s="86">
        <f t="shared" si="10"/>
        <v>10989</v>
      </c>
      <c r="P92" s="90">
        <f t="shared" si="4"/>
        <v>-1.5000000000000001E-4</v>
      </c>
      <c r="Q92" s="91">
        <f t="shared" si="5"/>
        <v>0.82280000000000009</v>
      </c>
      <c r="R92" s="98">
        <v>0.15</v>
      </c>
      <c r="S92" s="95">
        <f t="shared" si="16"/>
        <v>165000</v>
      </c>
      <c r="T92" s="92" cm="1">
        <f t="array" ref="T92">maxDepthToMinSOC($L$8,$L$9,$L$6,$L$7,$O92,$G$5,$G$6,drivePower($C$4,$M92,$G92,$C$10,$C$11),$I92,$G92,$G$4,$C$8)</f>
        <v>17554.050697535276</v>
      </c>
      <c r="U92" s="12" cm="1">
        <f t="array" ref="U92">maxDepthToMinSOC($L$8,$L$9,P92,Q92,$O92,$G$5,$G$6,drivePower($C$4,$M92,$G92,$C$10,$C$11),$I92,$G92,$G$4,$C$8)</f>
        <v>7523.4002989530563</v>
      </c>
      <c r="V92" s="93">
        <f t="shared" si="13"/>
        <v>12538.725498244166</v>
      </c>
    </row>
    <row r="93" spans="7:22" x14ac:dyDescent="0.35">
      <c r="G93" s="59">
        <f t="shared" si="1"/>
        <v>0.5</v>
      </c>
      <c r="H93" s="64">
        <v>25</v>
      </c>
      <c r="I93" s="84">
        <f t="shared" si="14"/>
        <v>25</v>
      </c>
      <c r="J93" s="84">
        <v>50</v>
      </c>
      <c r="K93" s="60">
        <f t="shared" si="15"/>
        <v>167200</v>
      </c>
      <c r="L93" s="59">
        <f t="shared" si="11"/>
        <v>8.8800000000000008</v>
      </c>
      <c r="M93" s="64">
        <f t="shared" si="12"/>
        <v>18.880000000000003</v>
      </c>
      <c r="N93" s="64" cm="1">
        <f t="array" ref="N93">drivePower($C$4,M93,$C$9,$C$10,$C$11)</f>
        <v>26.827200000000001</v>
      </c>
      <c r="O93" s="86">
        <f t="shared" si="10"/>
        <v>11135.519999999999</v>
      </c>
      <c r="P93" s="90">
        <f t="shared" si="4"/>
        <v>-1.5000000000000001E-4</v>
      </c>
      <c r="Q93" s="91">
        <f t="shared" si="5"/>
        <v>0.82280000000000009</v>
      </c>
      <c r="R93" s="98">
        <v>0.15</v>
      </c>
      <c r="S93" s="95">
        <f t="shared" si="16"/>
        <v>167200</v>
      </c>
      <c r="T93" s="92" cm="1">
        <f t="array" ref="T93">maxDepthToMinSOC($L$8,$L$9,$L$6,$L$7,$O93,$G$5,$G$6,drivePower($C$4,$M93,$G93,$C$10,$C$11),$I93,$G93,$G$4,$C$8)</f>
        <v>17640.750700980425</v>
      </c>
      <c r="U93" s="12" cm="1">
        <f t="array" ref="U93">maxDepthToMinSOC($L$8,$L$9,P93,Q93,$O93,$G$5,$G$6,drivePower($C$4,$M93,$G93,$C$10,$C$11),$I93,$G93,$G$4,$C$8)</f>
        <v>7542.0002996921539</v>
      </c>
      <c r="V93" s="93">
        <f t="shared" si="13"/>
        <v>12591.375500336289</v>
      </c>
    </row>
    <row r="94" spans="7:22" x14ac:dyDescent="0.35">
      <c r="G94" s="59">
        <f t="shared" si="1"/>
        <v>0.5</v>
      </c>
      <c r="H94" s="64">
        <v>25</v>
      </c>
      <c r="I94" s="84">
        <f t="shared" si="14"/>
        <v>25</v>
      </c>
      <c r="J94" s="84">
        <v>50</v>
      </c>
      <c r="K94" s="60">
        <f t="shared" si="15"/>
        <v>169400</v>
      </c>
      <c r="L94" s="59">
        <f t="shared" si="11"/>
        <v>9</v>
      </c>
      <c r="M94" s="64">
        <f t="shared" si="12"/>
        <v>19</v>
      </c>
      <c r="N94" s="64" cm="1">
        <f t="array" ref="N94">drivePower($C$4,M94,$C$9,$C$10,$C$11)</f>
        <v>26.984999999999999</v>
      </c>
      <c r="O94" s="86">
        <f t="shared" si="10"/>
        <v>11282.04</v>
      </c>
      <c r="P94" s="90">
        <f t="shared" si="4"/>
        <v>-1.5000000000000001E-4</v>
      </c>
      <c r="Q94" s="91">
        <f t="shared" si="5"/>
        <v>0.82280000000000009</v>
      </c>
      <c r="R94" s="98">
        <v>0.15</v>
      </c>
      <c r="S94" s="95">
        <f t="shared" si="16"/>
        <v>169400</v>
      </c>
      <c r="T94" s="92" cm="1">
        <f t="array" ref="T94">maxDepthToMinSOC($L$8,$L$9,$L$6,$L$7,$O94,$G$5,$G$6,drivePower($C$4,$M94,$G94,$C$10,$C$11),$I94,$G94,$G$4,$C$8)</f>
        <v>17725.950704365969</v>
      </c>
      <c r="U94" s="12" cm="1">
        <f t="array" ref="U94">maxDepthToMinSOC($L$8,$L$9,P94,Q94,$O94,$G$5,$G$6,drivePower($C$4,$M94,$G94,$C$10,$C$11),$I94,$G94,$G$4,$C$8)</f>
        <v>7560.1503004133701</v>
      </c>
      <c r="V94" s="93">
        <f t="shared" si="13"/>
        <v>12643.050502389669</v>
      </c>
    </row>
    <row r="95" spans="7:22" x14ac:dyDescent="0.35">
      <c r="G95" s="59">
        <f t="shared" si="1"/>
        <v>0.5</v>
      </c>
      <c r="H95" s="64">
        <v>25</v>
      </c>
      <c r="I95" s="84">
        <f t="shared" si="14"/>
        <v>25</v>
      </c>
      <c r="J95" s="84">
        <v>50</v>
      </c>
      <c r="K95" s="60">
        <f t="shared" si="15"/>
        <v>171600</v>
      </c>
      <c r="L95" s="59">
        <f t="shared" si="11"/>
        <v>9.1199999999999992</v>
      </c>
      <c r="M95" s="64">
        <f t="shared" si="12"/>
        <v>19.119999999999997</v>
      </c>
      <c r="N95" s="64" cm="1">
        <f t="array" ref="N95">drivePower($C$4,M95,$C$9,$C$10,$C$11)</f>
        <v>27.142799999999994</v>
      </c>
      <c r="O95" s="86">
        <f t="shared" si="10"/>
        <v>11428.56</v>
      </c>
      <c r="P95" s="90">
        <f t="shared" si="4"/>
        <v>-1.5000000000000001E-4</v>
      </c>
      <c r="Q95" s="91">
        <f t="shared" si="5"/>
        <v>0.82280000000000009</v>
      </c>
      <c r="R95" s="98">
        <v>0.15</v>
      </c>
      <c r="S95" s="95">
        <f t="shared" si="16"/>
        <v>171600</v>
      </c>
      <c r="T95" s="92" cm="1">
        <f t="array" ref="T95">maxDepthToMinSOC($L$8,$L$9,$L$6,$L$7,$O95,$G$5,$G$6,drivePower($C$4,$M95,$G95,$C$10,$C$11),$I95,$G95,$G$4,$C$8)</f>
        <v>17809.650707691908</v>
      </c>
      <c r="U95" s="12" cm="1">
        <f t="array" ref="U95">maxDepthToMinSOC($L$8,$L$9,P95,Q95,$O95,$G$5,$G$6,drivePower($C$4,$M95,$G95,$C$10,$C$11),$I95,$G95,$G$4,$C$8)</f>
        <v>7577.8503011167049</v>
      </c>
      <c r="V95" s="93">
        <f t="shared" si="13"/>
        <v>12693.750504404306</v>
      </c>
    </row>
    <row r="96" spans="7:22" x14ac:dyDescent="0.35">
      <c r="G96" s="59">
        <f t="shared" si="1"/>
        <v>0.5</v>
      </c>
      <c r="H96" s="64">
        <v>25</v>
      </c>
      <c r="I96" s="84">
        <f t="shared" si="14"/>
        <v>25</v>
      </c>
      <c r="J96" s="84">
        <v>50</v>
      </c>
      <c r="K96" s="60">
        <f t="shared" si="15"/>
        <v>173800</v>
      </c>
      <c r="L96" s="59">
        <f t="shared" si="11"/>
        <v>9.24</v>
      </c>
      <c r="M96" s="64">
        <f t="shared" si="12"/>
        <v>19.240000000000002</v>
      </c>
      <c r="N96" s="64" cm="1">
        <f t="array" ref="N96">drivePower($C$4,M96,$C$9,$C$10,$C$11)</f>
        <v>27.300600000000003</v>
      </c>
      <c r="O96" s="86">
        <f t="shared" si="10"/>
        <v>11575.08</v>
      </c>
      <c r="P96" s="90">
        <f t="shared" si="4"/>
        <v>-1.5000000000000001E-4</v>
      </c>
      <c r="Q96" s="91">
        <f t="shared" si="5"/>
        <v>0.82280000000000009</v>
      </c>
      <c r="R96" s="98">
        <v>0.15</v>
      </c>
      <c r="S96" s="95">
        <f t="shared" si="16"/>
        <v>173800</v>
      </c>
      <c r="T96" s="92" cm="1">
        <f t="array" ref="T96">maxDepthToMinSOC($L$8,$L$9,$L$6,$L$7,$O96,$G$5,$G$6,drivePower($C$4,$M96,$G96,$C$10,$C$11),$I96,$G96,$G$4,$C$8)</f>
        <v>17892.150710970163</v>
      </c>
      <c r="U96" s="12" cm="1">
        <f t="array" ref="U96">maxDepthToMinSOC($L$8,$L$9,P96,Q96,$O96,$G$5,$G$6,drivePower($C$4,$M96,$G96,$C$10,$C$11),$I96,$G96,$G$4,$C$8)</f>
        <v>7595.2503018081188</v>
      </c>
      <c r="V96" s="93">
        <f t="shared" si="13"/>
        <v>12743.700506389141</v>
      </c>
    </row>
    <row r="97" spans="7:22" x14ac:dyDescent="0.35">
      <c r="G97" s="59">
        <f t="shared" si="1"/>
        <v>0.5</v>
      </c>
      <c r="H97" s="64">
        <v>25</v>
      </c>
      <c r="I97" s="84">
        <f t="shared" si="14"/>
        <v>25</v>
      </c>
      <c r="J97" s="84">
        <v>50</v>
      </c>
      <c r="K97" s="60">
        <f t="shared" si="15"/>
        <v>176000</v>
      </c>
      <c r="L97" s="59">
        <f t="shared" si="11"/>
        <v>9.36</v>
      </c>
      <c r="M97" s="64">
        <f t="shared" si="12"/>
        <v>19.36</v>
      </c>
      <c r="N97" s="64" cm="1">
        <f t="array" ref="N97">drivePower($C$4,M97,$C$9,$C$10,$C$11)</f>
        <v>27.458399999999997</v>
      </c>
      <c r="O97" s="86">
        <f t="shared" si="10"/>
        <v>11721.6</v>
      </c>
      <c r="P97" s="90">
        <f t="shared" si="4"/>
        <v>-1.5000000000000001E-4</v>
      </c>
      <c r="Q97" s="91">
        <f t="shared" si="5"/>
        <v>0.82280000000000009</v>
      </c>
      <c r="R97" s="98">
        <v>0.15</v>
      </c>
      <c r="S97" s="95">
        <f t="shared" si="16"/>
        <v>176000</v>
      </c>
      <c r="T97" s="92" cm="1">
        <f t="array" ref="T97">maxDepthToMinSOC($L$8,$L$9,$L$6,$L$7,$O97,$G$5,$G$6,drivePower($C$4,$M97,$G97,$C$10,$C$11),$I97,$G97,$G$4,$C$8)</f>
        <v>17973.300714194775</v>
      </c>
      <c r="U97" s="12" cm="1">
        <f t="array" ref="U97">maxDepthToMinSOC($L$8,$L$9,P97,Q97,$O97,$G$5,$G$6,drivePower($C$4,$M97,$G97,$C$10,$C$11),$I97,$G97,$G$4,$C$8)</f>
        <v>7612.3503024876118</v>
      </c>
      <c r="V97" s="93">
        <f t="shared" si="13"/>
        <v>12792.825508341193</v>
      </c>
    </row>
    <row r="98" spans="7:22" x14ac:dyDescent="0.35">
      <c r="G98" s="59">
        <f t="shared" si="1"/>
        <v>0.5</v>
      </c>
      <c r="H98" s="64">
        <v>25</v>
      </c>
      <c r="I98" s="84">
        <f t="shared" si="14"/>
        <v>25</v>
      </c>
      <c r="J98" s="84">
        <v>50</v>
      </c>
      <c r="K98" s="60">
        <f t="shared" si="15"/>
        <v>178200</v>
      </c>
      <c r="L98" s="59">
        <f t="shared" si="11"/>
        <v>9.48</v>
      </c>
      <c r="M98" s="64">
        <f t="shared" si="12"/>
        <v>19.48</v>
      </c>
      <c r="N98" s="64" cm="1">
        <f t="array" ref="N98">drivePower($C$4,M98,$C$9,$C$10,$C$11)</f>
        <v>27.616199999999999</v>
      </c>
      <c r="O98" s="86">
        <f t="shared" si="10"/>
        <v>11868.119999999999</v>
      </c>
      <c r="P98" s="90">
        <f t="shared" si="4"/>
        <v>-1.5000000000000001E-4</v>
      </c>
      <c r="Q98" s="91">
        <f t="shared" si="5"/>
        <v>0.82280000000000009</v>
      </c>
      <c r="R98" s="98">
        <v>0.15</v>
      </c>
      <c r="S98" s="95">
        <f t="shared" si="16"/>
        <v>178200</v>
      </c>
      <c r="T98" s="92" cm="1">
        <f t="array" ref="T98">maxDepthToMinSOC($L$8,$L$9,$L$6,$L$7,$O98,$G$5,$G$6,drivePower($C$4,$M98,$G98,$C$10,$C$11),$I98,$G98,$G$4,$C$8)</f>
        <v>18052.950717359781</v>
      </c>
      <c r="U98" s="12" cm="1">
        <f t="array" ref="U98">maxDepthToMinSOC($L$8,$L$9,P98,Q98,$O98,$G$5,$G$6,drivePower($C$4,$M98,$G98,$C$10,$C$11),$I98,$G98,$G$4,$C$8)</f>
        <v>7629.0003031492233</v>
      </c>
      <c r="V98" s="93">
        <f t="shared" si="13"/>
        <v>12840.975510254502</v>
      </c>
    </row>
    <row r="99" spans="7:22" x14ac:dyDescent="0.35">
      <c r="G99" s="59">
        <f t="shared" si="1"/>
        <v>0.5</v>
      </c>
      <c r="H99" s="64">
        <v>25</v>
      </c>
      <c r="I99" s="84">
        <f t="shared" si="14"/>
        <v>25</v>
      </c>
      <c r="J99" s="84">
        <v>50</v>
      </c>
      <c r="K99" s="60">
        <f t="shared" si="15"/>
        <v>180400</v>
      </c>
      <c r="L99" s="59">
        <f t="shared" si="11"/>
        <v>9.6</v>
      </c>
      <c r="M99" s="64">
        <f t="shared" si="12"/>
        <v>19.600000000000001</v>
      </c>
      <c r="N99" s="64" cm="1">
        <f t="array" ref="N99">drivePower($C$4,M99,$C$9,$C$10,$C$11)</f>
        <v>27.774000000000001</v>
      </c>
      <c r="O99" s="86">
        <f t="shared" si="10"/>
        <v>12014.640000000001</v>
      </c>
      <c r="P99" s="90">
        <f t="shared" si="4"/>
        <v>-1.5000000000000001E-4</v>
      </c>
      <c r="Q99" s="91">
        <f t="shared" si="5"/>
        <v>0.82280000000000009</v>
      </c>
      <c r="R99" s="98">
        <v>0.15</v>
      </c>
      <c r="S99" s="95">
        <f t="shared" si="16"/>
        <v>180400</v>
      </c>
      <c r="T99" s="92" cm="1">
        <f t="array" ref="T99">maxDepthToMinSOC($L$8,$L$9,$L$6,$L$7,$O99,$G$5,$G$6,drivePower($C$4,$M99,$G99,$C$10,$C$11),$I99,$G99,$G$4,$C$8)</f>
        <v>18131.550720483065</v>
      </c>
      <c r="U99" s="12" cm="1">
        <f t="array" ref="U99">maxDepthToMinSOC($L$8,$L$9,P99,Q99,$O99,$G$5,$G$6,drivePower($C$4,$M99,$G99,$C$10,$C$11),$I99,$G99,$G$4,$C$8)</f>
        <v>7645.350303798914</v>
      </c>
      <c r="V99" s="93">
        <f t="shared" si="13"/>
        <v>12888.450512140989</v>
      </c>
    </row>
    <row r="100" spans="7:22" x14ac:dyDescent="0.35">
      <c r="G100" s="59">
        <f t="shared" si="1"/>
        <v>0.5</v>
      </c>
      <c r="H100" s="64">
        <v>25</v>
      </c>
      <c r="I100" s="84">
        <f t="shared" si="14"/>
        <v>25</v>
      </c>
      <c r="J100" s="84">
        <v>50</v>
      </c>
      <c r="K100" s="60">
        <f t="shared" si="15"/>
        <v>182600</v>
      </c>
      <c r="L100" s="59">
        <f t="shared" si="11"/>
        <v>9.7200000000000006</v>
      </c>
      <c r="M100" s="64">
        <f t="shared" si="12"/>
        <v>19.72</v>
      </c>
      <c r="N100" s="64" cm="1">
        <f t="array" ref="N100">drivePower($C$4,M100,$C$9,$C$10,$C$11)</f>
        <v>27.931799999999999</v>
      </c>
      <c r="O100" s="86">
        <f t="shared" si="10"/>
        <v>12161.16</v>
      </c>
      <c r="P100" s="90">
        <f t="shared" si="4"/>
        <v>-1.5000000000000001E-4</v>
      </c>
      <c r="Q100" s="91">
        <f t="shared" si="5"/>
        <v>0.82280000000000009</v>
      </c>
      <c r="R100" s="98">
        <v>0.15</v>
      </c>
      <c r="S100" s="95">
        <f t="shared" si="16"/>
        <v>182600</v>
      </c>
      <c r="T100" s="92" cm="1">
        <f t="array" ref="T100">maxDepthToMinSOC($L$8,$L$9,$L$6,$L$7,$O100,$G$5,$G$6,drivePower($C$4,$M100,$G100,$C$10,$C$11),$I100,$G100,$G$4,$C$8)</f>
        <v>18208.800723552704</v>
      </c>
      <c r="U100" s="12" cm="1">
        <f t="array" ref="U100">maxDepthToMinSOC($L$8,$L$9,P100,Q100,$O100,$G$5,$G$6,drivePower($C$4,$M100,$G100,$C$10,$C$11),$I100,$G100,$G$4,$C$8)</f>
        <v>7661.4003044366837</v>
      </c>
      <c r="V100" s="93">
        <f t="shared" si="13"/>
        <v>12935.100513994694</v>
      </c>
    </row>
    <row r="101" spans="7:22" x14ac:dyDescent="0.35">
      <c r="G101" s="59">
        <f t="shared" si="1"/>
        <v>0.5</v>
      </c>
      <c r="H101" s="64">
        <v>25</v>
      </c>
      <c r="I101" s="84">
        <f t="shared" si="14"/>
        <v>25</v>
      </c>
      <c r="J101" s="84">
        <v>50</v>
      </c>
      <c r="K101" s="60">
        <f t="shared" si="15"/>
        <v>184800</v>
      </c>
      <c r="L101" s="59">
        <f t="shared" si="11"/>
        <v>9.84</v>
      </c>
      <c r="M101" s="64">
        <f t="shared" si="12"/>
        <v>19.84</v>
      </c>
      <c r="N101" s="64" cm="1">
        <f t="array" ref="N101">drivePower($C$4,M101,$C$9,$C$10,$C$11)</f>
        <v>28.089599999999997</v>
      </c>
      <c r="O101" s="86">
        <f t="shared" si="10"/>
        <v>12307.68</v>
      </c>
      <c r="P101" s="90">
        <f t="shared" si="4"/>
        <v>-1.5000000000000001E-4</v>
      </c>
      <c r="Q101" s="91">
        <f t="shared" si="5"/>
        <v>0.82280000000000009</v>
      </c>
      <c r="R101" s="98">
        <v>0.15</v>
      </c>
      <c r="S101" s="95">
        <f t="shared" si="16"/>
        <v>184800</v>
      </c>
      <c r="T101" s="92" cm="1">
        <f t="array" ref="T101">maxDepthToMinSOC($L$8,$L$9,$L$6,$L$7,$O101,$G$5,$G$6,drivePower($C$4,$M101,$G101,$C$10,$C$11),$I101,$G101,$G$4,$C$8)</f>
        <v>18284.850726574659</v>
      </c>
      <c r="U101" s="12" cm="1">
        <f t="array" ref="U101">maxDepthToMinSOC($L$8,$L$9,P101,Q101,$O101,$G$5,$G$6,drivePower($C$4,$M101,$G101,$C$10,$C$11),$I101,$G101,$G$4,$C$8)</f>
        <v>7677.000305056572</v>
      </c>
      <c r="V101" s="93">
        <f t="shared" si="13"/>
        <v>12980.925515815616</v>
      </c>
    </row>
    <row r="102" spans="7:22" x14ac:dyDescent="0.35">
      <c r="G102" s="59">
        <f t="shared" si="1"/>
        <v>0.5</v>
      </c>
      <c r="H102" s="64">
        <v>25</v>
      </c>
      <c r="I102" s="84">
        <f t="shared" si="14"/>
        <v>25</v>
      </c>
      <c r="J102" s="84">
        <v>50</v>
      </c>
      <c r="K102" s="60">
        <f t="shared" si="15"/>
        <v>187000</v>
      </c>
      <c r="L102" s="59">
        <f t="shared" si="11"/>
        <v>9.9600000000000009</v>
      </c>
      <c r="M102" s="64">
        <f t="shared" si="12"/>
        <v>19.96</v>
      </c>
      <c r="N102" s="64" cm="1">
        <f t="array" ref="N102">drivePower($C$4,M102,$C$9,$C$10,$C$11)</f>
        <v>28.247399999999999</v>
      </c>
      <c r="O102" s="86">
        <f t="shared" si="10"/>
        <v>12454.2</v>
      </c>
      <c r="P102" s="90">
        <f t="shared" si="4"/>
        <v>-1.5000000000000001E-4</v>
      </c>
      <c r="Q102" s="91">
        <f t="shared" si="5"/>
        <v>0.82280000000000009</v>
      </c>
      <c r="R102" s="98">
        <v>0.15</v>
      </c>
      <c r="S102" s="95">
        <f t="shared" si="16"/>
        <v>187000</v>
      </c>
      <c r="T102" s="92" cm="1">
        <f t="array" ref="T102">maxDepthToMinSOC($L$8,$L$9,$L$6,$L$7,$O102,$G$5,$G$6,drivePower($C$4,$M102,$G102,$C$10,$C$11),$I102,$G102,$G$4,$C$8)</f>
        <v>18359.700729548931</v>
      </c>
      <c r="U102" s="12" cm="1">
        <f t="array" ref="U102">maxDepthToMinSOC($L$8,$L$9,P102,Q102,$O102,$G$5,$G$6,drivePower($C$4,$M102,$G102,$C$10,$C$11),$I102,$G102,$G$4,$C$8)</f>
        <v>7692.4503056704998</v>
      </c>
      <c r="V102" s="93">
        <f t="shared" si="13"/>
        <v>13026.075517609715</v>
      </c>
    </row>
    <row r="103" spans="7:22" x14ac:dyDescent="0.35">
      <c r="G103" s="59">
        <f t="shared" si="1"/>
        <v>0.5</v>
      </c>
      <c r="H103" s="64">
        <v>25</v>
      </c>
      <c r="I103" s="84">
        <f t="shared" si="14"/>
        <v>25</v>
      </c>
      <c r="J103" s="84">
        <v>50</v>
      </c>
      <c r="K103" s="60">
        <f t="shared" si="15"/>
        <v>189200</v>
      </c>
      <c r="L103" s="59">
        <f t="shared" si="11"/>
        <v>10.08</v>
      </c>
      <c r="M103" s="64">
        <f t="shared" si="12"/>
        <v>20.079999999999998</v>
      </c>
      <c r="N103" s="64" cm="1">
        <f t="array" ref="N103">drivePower($C$4,M103,$C$9,$C$10,$C$11)</f>
        <v>28.405199999999997</v>
      </c>
      <c r="O103" s="86">
        <f t="shared" si="10"/>
        <v>12600.72</v>
      </c>
      <c r="P103" s="90">
        <f t="shared" si="4"/>
        <v>-1.5000000000000001E-4</v>
      </c>
      <c r="Q103" s="91">
        <f t="shared" si="5"/>
        <v>0.82280000000000009</v>
      </c>
      <c r="R103" s="98">
        <v>0.15</v>
      </c>
      <c r="S103" s="95">
        <f t="shared" si="16"/>
        <v>189200</v>
      </c>
      <c r="T103" s="92" cm="1">
        <f t="array" ref="T103">maxDepthToMinSOC($L$8,$L$9,$L$6,$L$7,$O103,$G$5,$G$6,drivePower($C$4,$M103,$G103,$C$10,$C$11),$I103,$G103,$G$4,$C$8)</f>
        <v>18433.50073248148</v>
      </c>
      <c r="U103" s="12" cm="1">
        <f t="array" ref="U103">maxDepthToMinSOC($L$8,$L$9,P103,Q103,$O103,$G$5,$G$6,drivePower($C$4,$M103,$G103,$C$10,$C$11),$I103,$G103,$G$4,$C$8)</f>
        <v>7707.6003062725067</v>
      </c>
      <c r="V103" s="93">
        <f t="shared" si="13"/>
        <v>13070.550519376993</v>
      </c>
    </row>
    <row r="104" spans="7:22" x14ac:dyDescent="0.35">
      <c r="G104" s="59">
        <f t="shared" si="1"/>
        <v>0.5</v>
      </c>
      <c r="H104" s="64">
        <v>25</v>
      </c>
      <c r="I104" s="84">
        <f t="shared" si="14"/>
        <v>25</v>
      </c>
      <c r="J104" s="84">
        <v>50</v>
      </c>
      <c r="K104" s="60">
        <f t="shared" si="15"/>
        <v>191400</v>
      </c>
      <c r="L104" s="59">
        <f t="shared" si="11"/>
        <v>10.199999999999999</v>
      </c>
      <c r="M104" s="64">
        <f t="shared" si="12"/>
        <v>20.2</v>
      </c>
      <c r="N104" s="64" cm="1">
        <f t="array" ref="N104">drivePower($C$4,M104,$C$9,$C$10,$C$11)</f>
        <v>28.562999999999999</v>
      </c>
      <c r="O104" s="86">
        <f t="shared" si="10"/>
        <v>12747.24</v>
      </c>
      <c r="P104" s="90">
        <f t="shared" si="4"/>
        <v>-1.5000000000000001E-4</v>
      </c>
      <c r="Q104" s="91">
        <f t="shared" si="5"/>
        <v>0.82280000000000009</v>
      </c>
      <c r="R104" s="98">
        <v>0.15</v>
      </c>
      <c r="S104" s="95">
        <f t="shared" si="16"/>
        <v>191400</v>
      </c>
      <c r="T104" s="92" cm="1">
        <f t="array" ref="T104">maxDepthToMinSOC($L$8,$L$9,$L$6,$L$7,$O104,$G$5,$G$6,drivePower($C$4,$M104,$G104,$C$10,$C$11),$I104,$G104,$G$4,$C$8)</f>
        <v>18506.100735366344</v>
      </c>
      <c r="U104" s="12" cm="1">
        <f t="array" ref="U104">maxDepthToMinSOC($L$8,$L$9,P104,Q104,$O104,$G$5,$G$6,drivePower($C$4,$M104,$G104,$C$10,$C$11),$I104,$G104,$G$4,$C$8)</f>
        <v>7722.3003068566322</v>
      </c>
      <c r="V104" s="93">
        <f t="shared" si="13"/>
        <v>13114.200521111488</v>
      </c>
    </row>
    <row r="105" spans="7:22" x14ac:dyDescent="0.35">
      <c r="G105" s="59">
        <f t="shared" si="1"/>
        <v>0.5</v>
      </c>
      <c r="H105" s="64">
        <v>25</v>
      </c>
      <c r="I105" s="84">
        <f t="shared" si="14"/>
        <v>25</v>
      </c>
      <c r="J105" s="84">
        <v>50</v>
      </c>
      <c r="K105" s="60">
        <f t="shared" si="15"/>
        <v>193600</v>
      </c>
      <c r="L105" s="59">
        <f t="shared" si="11"/>
        <v>10.32</v>
      </c>
      <c r="M105" s="64">
        <f t="shared" si="12"/>
        <v>20.32</v>
      </c>
      <c r="N105" s="64" cm="1">
        <f t="array" ref="N105">drivePower($C$4,M105,$C$9,$C$10,$C$11)</f>
        <v>28.720800000000001</v>
      </c>
      <c r="O105" s="86">
        <f t="shared" si="10"/>
        <v>12893.76</v>
      </c>
      <c r="P105" s="90">
        <f t="shared" si="4"/>
        <v>-1.5000000000000001E-4</v>
      </c>
      <c r="Q105" s="91">
        <f t="shared" si="5"/>
        <v>0.82280000000000009</v>
      </c>
      <c r="R105" s="98">
        <v>0.15</v>
      </c>
      <c r="S105" s="95">
        <f t="shared" si="16"/>
        <v>193600</v>
      </c>
      <c r="T105" s="92" cm="1">
        <f t="array" ref="T105">maxDepthToMinSOC($L$8,$L$9,$L$6,$L$7,$O105,$G$5,$G$6,drivePower($C$4,$M105,$G105,$C$10,$C$11),$I105,$G105,$G$4,$C$8)</f>
        <v>18577.500738203526</v>
      </c>
      <c r="U105" s="12" cm="1">
        <f t="array" ref="U105">maxDepthToMinSOC($L$8,$L$9,P105,Q105,$O105,$G$5,$G$6,drivePower($C$4,$M105,$G105,$C$10,$C$11),$I105,$G105,$G$4,$C$8)</f>
        <v>7736.8503074347973</v>
      </c>
      <c r="V105" s="93">
        <f t="shared" si="13"/>
        <v>13157.175522819161</v>
      </c>
    </row>
    <row r="106" spans="7:22" x14ac:dyDescent="0.35">
      <c r="G106" s="59">
        <f t="shared" si="1"/>
        <v>0.5</v>
      </c>
      <c r="H106" s="64">
        <v>25</v>
      </c>
      <c r="I106" s="84">
        <f t="shared" si="14"/>
        <v>25</v>
      </c>
      <c r="J106" s="84">
        <v>50</v>
      </c>
      <c r="K106" s="60">
        <f t="shared" si="15"/>
        <v>195800</v>
      </c>
      <c r="L106" s="59">
        <f t="shared" si="11"/>
        <v>10.44</v>
      </c>
      <c r="M106" s="64">
        <f t="shared" si="12"/>
        <v>20.439999999999998</v>
      </c>
      <c r="N106" s="64" cm="1">
        <f t="array" ref="N106">drivePower($C$4,M106,$C$9,$C$10,$C$11)</f>
        <v>28.878599999999995</v>
      </c>
      <c r="O106" s="86">
        <f t="shared" si="10"/>
        <v>13040.28</v>
      </c>
      <c r="P106" s="90">
        <f t="shared" si="4"/>
        <v>-1.5000000000000001E-4</v>
      </c>
      <c r="Q106" s="91">
        <f t="shared" si="5"/>
        <v>0.82280000000000009</v>
      </c>
      <c r="R106" s="98">
        <v>0.15</v>
      </c>
      <c r="S106" s="95">
        <f t="shared" si="16"/>
        <v>195800</v>
      </c>
      <c r="T106" s="92" cm="1">
        <f t="array" ref="T106">maxDepthToMinSOC($L$8,$L$9,$L$6,$L$7,$O106,$G$5,$G$6,drivePower($C$4,$M106,$G106,$C$10,$C$11),$I106,$G106,$G$4,$C$8)</f>
        <v>18647.850740998983</v>
      </c>
      <c r="U106" s="12" cm="1">
        <f t="array" ref="U106">maxDepthToMinSOC($L$8,$L$9,P106,Q106,$O106,$G$5,$G$6,drivePower($C$4,$M106,$G106,$C$10,$C$11),$I106,$G106,$G$4,$C$8)</f>
        <v>7751.1003080010414</v>
      </c>
      <c r="V106" s="93">
        <f t="shared" si="13"/>
        <v>13199.475524500012</v>
      </c>
    </row>
    <row r="107" spans="7:22" x14ac:dyDescent="0.35">
      <c r="G107" s="59">
        <f t="shared" si="1"/>
        <v>0.5</v>
      </c>
      <c r="H107" s="64">
        <v>25</v>
      </c>
      <c r="I107" s="84">
        <f t="shared" si="14"/>
        <v>25</v>
      </c>
      <c r="J107" s="84">
        <v>50</v>
      </c>
      <c r="K107" s="60">
        <f t="shared" si="15"/>
        <v>198000</v>
      </c>
      <c r="L107" s="59">
        <f t="shared" si="11"/>
        <v>10.56</v>
      </c>
      <c r="M107" s="64">
        <f t="shared" si="12"/>
        <v>20.560000000000002</v>
      </c>
      <c r="N107" s="64" cm="1">
        <f t="array" ref="N107">drivePower($C$4,M107,$C$9,$C$10,$C$11)</f>
        <v>29.0364</v>
      </c>
      <c r="O107" s="86">
        <f t="shared" si="10"/>
        <v>13186.8</v>
      </c>
      <c r="P107" s="90">
        <f t="shared" si="4"/>
        <v>-1.5000000000000001E-4</v>
      </c>
      <c r="Q107" s="91">
        <f t="shared" si="5"/>
        <v>0.82280000000000009</v>
      </c>
      <c r="R107" s="98">
        <v>0.15</v>
      </c>
      <c r="S107" s="95">
        <f t="shared" si="16"/>
        <v>198000</v>
      </c>
      <c r="T107" s="92" cm="1">
        <f t="array" ref="T107">maxDepthToMinSOC($L$8,$L$9,$L$6,$L$7,$O107,$G$5,$G$6,drivePower($C$4,$M107,$G107,$C$10,$C$11),$I107,$G107,$G$4,$C$8)</f>
        <v>18717.300743758678</v>
      </c>
      <c r="U107" s="12" cm="1">
        <f t="array" ref="U107">maxDepthToMinSOC($L$8,$L$9,P107,Q107,$O107,$G$5,$G$6,drivePower($C$4,$M107,$G107,$C$10,$C$11),$I107,$G107,$G$4,$C$8)</f>
        <v>7765.0503085553646</v>
      </c>
      <c r="V107" s="93">
        <f t="shared" si="13"/>
        <v>13241.175526157022</v>
      </c>
    </row>
    <row r="108" spans="7:22" x14ac:dyDescent="0.35">
      <c r="G108" s="59">
        <f t="shared" si="1"/>
        <v>0.5</v>
      </c>
      <c r="H108" s="64">
        <v>25</v>
      </c>
      <c r="I108" s="84">
        <f t="shared" si="14"/>
        <v>25</v>
      </c>
      <c r="J108" s="84">
        <v>50</v>
      </c>
      <c r="K108" s="60">
        <f t="shared" si="15"/>
        <v>200200</v>
      </c>
      <c r="L108" s="59">
        <f t="shared" si="11"/>
        <v>10.68</v>
      </c>
      <c r="M108" s="64">
        <f t="shared" si="12"/>
        <v>20.68</v>
      </c>
      <c r="N108" s="64" cm="1">
        <f t="array" ref="N108">drivePower($C$4,M108,$C$9,$C$10,$C$11)</f>
        <v>29.194199999999999</v>
      </c>
      <c r="O108" s="86">
        <f t="shared" si="10"/>
        <v>13333.32</v>
      </c>
      <c r="P108" s="90">
        <f t="shared" si="4"/>
        <v>-1.5000000000000001E-4</v>
      </c>
      <c r="Q108" s="91">
        <f t="shared" si="5"/>
        <v>0.82280000000000009</v>
      </c>
      <c r="R108" s="98">
        <v>0.15</v>
      </c>
      <c r="S108" s="95">
        <f t="shared" si="16"/>
        <v>200200</v>
      </c>
      <c r="T108" s="92" cm="1">
        <f t="array" ref="T108">maxDepthToMinSOC($L$8,$L$9,$L$6,$L$7,$O108,$G$5,$G$6,drivePower($C$4,$M108,$G108,$C$10,$C$11),$I108,$G108,$G$4,$C$8)</f>
        <v>18785.55074647069</v>
      </c>
      <c r="U108" s="12" cm="1">
        <f t="array" ref="U108">maxDepthToMinSOC($L$8,$L$9,P108,Q108,$O108,$G$5,$G$6,drivePower($C$4,$M108,$G108,$C$10,$C$11),$I108,$G108,$G$4,$C$8)</f>
        <v>7778.7003090977669</v>
      </c>
      <c r="V108" s="93">
        <f t="shared" si="13"/>
        <v>13282.125527784228</v>
      </c>
    </row>
    <row r="109" spans="7:22" x14ac:dyDescent="0.35">
      <c r="G109" s="59">
        <f t="shared" si="1"/>
        <v>0.5</v>
      </c>
      <c r="H109" s="64">
        <v>25</v>
      </c>
      <c r="I109" s="84">
        <f t="shared" si="14"/>
        <v>25</v>
      </c>
      <c r="J109" s="84">
        <v>50</v>
      </c>
      <c r="K109" s="60">
        <f t="shared" si="15"/>
        <v>202400</v>
      </c>
      <c r="L109" s="59">
        <f t="shared" si="11"/>
        <v>10.8</v>
      </c>
      <c r="M109" s="64">
        <f t="shared" si="12"/>
        <v>20.8</v>
      </c>
      <c r="N109" s="64" cm="1">
        <f t="array" ref="N109">drivePower($C$4,M109,$C$9,$C$10,$C$11)</f>
        <v>29.352</v>
      </c>
      <c r="O109" s="86">
        <f t="shared" si="10"/>
        <v>13479.84</v>
      </c>
      <c r="P109" s="90">
        <f t="shared" si="4"/>
        <v>-1.5000000000000001E-4</v>
      </c>
      <c r="Q109" s="91">
        <f t="shared" si="5"/>
        <v>0.82280000000000009</v>
      </c>
      <c r="R109" s="98">
        <v>0.15</v>
      </c>
      <c r="S109" s="95">
        <f t="shared" si="16"/>
        <v>202400</v>
      </c>
      <c r="T109" s="92" cm="1">
        <f t="array" ref="T109">maxDepthToMinSOC($L$8,$L$9,$L$6,$L$7,$O109,$G$5,$G$6,drivePower($C$4,$M109,$G109,$C$10,$C$11),$I109,$G109,$G$4,$C$8)</f>
        <v>18852.900749146938</v>
      </c>
      <c r="U109" s="12" cm="1">
        <f t="array" ref="U109">maxDepthToMinSOC($L$8,$L$9,P109,Q109,$O109,$G$5,$G$6,drivePower($C$4,$M109,$G109,$C$10,$C$11),$I109,$G109,$G$4,$C$8)</f>
        <v>7792.2003096342087</v>
      </c>
      <c r="V109" s="93">
        <f t="shared" si="13"/>
        <v>13322.550529390574</v>
      </c>
    </row>
    <row r="110" spans="7:22" x14ac:dyDescent="0.35">
      <c r="G110" s="59">
        <f t="shared" si="1"/>
        <v>0.5</v>
      </c>
      <c r="H110" s="64">
        <v>25</v>
      </c>
      <c r="I110" s="84">
        <f t="shared" si="14"/>
        <v>25</v>
      </c>
      <c r="J110" s="84">
        <v>50</v>
      </c>
      <c r="K110" s="60">
        <f t="shared" si="15"/>
        <v>204600</v>
      </c>
      <c r="L110" s="59">
        <f t="shared" si="11"/>
        <v>10.92</v>
      </c>
      <c r="M110" s="64">
        <f t="shared" si="12"/>
        <v>20.92</v>
      </c>
      <c r="N110" s="64" cm="1">
        <f t="array" ref="N110">drivePower($C$4,M110,$C$9,$C$10,$C$11)</f>
        <v>29.509800000000002</v>
      </c>
      <c r="O110" s="86">
        <f t="shared" si="10"/>
        <v>13626.359999999999</v>
      </c>
      <c r="P110" s="90">
        <f t="shared" si="4"/>
        <v>-1.5000000000000001E-4</v>
      </c>
      <c r="Q110" s="91">
        <f t="shared" si="5"/>
        <v>0.82280000000000009</v>
      </c>
      <c r="R110" s="98">
        <v>0.15</v>
      </c>
      <c r="S110" s="95">
        <f t="shared" si="16"/>
        <v>204600</v>
      </c>
      <c r="T110" s="92" cm="1">
        <f t="array" ref="T110">maxDepthToMinSOC($L$8,$L$9,$L$6,$L$7,$O110,$G$5,$G$6,drivePower($C$4,$M110,$G110,$C$10,$C$11),$I110,$G110,$G$4,$C$8)</f>
        <v>18919.200751781464</v>
      </c>
      <c r="U110" s="12" cm="1">
        <f t="array" ref="U110">maxDepthToMinSOC($L$8,$L$9,P110,Q110,$O110,$G$5,$G$6,drivePower($C$4,$M110,$G110,$C$10,$C$11),$I110,$G110,$G$4,$C$8)</f>
        <v>7805.4003101587296</v>
      </c>
      <c r="V110" s="93">
        <f t="shared" si="13"/>
        <v>13362.300530970097</v>
      </c>
    </row>
    <row r="111" spans="7:22" x14ac:dyDescent="0.35">
      <c r="G111" s="59">
        <f t="shared" si="1"/>
        <v>0.5</v>
      </c>
      <c r="H111" s="64">
        <v>25</v>
      </c>
      <c r="I111" s="84">
        <f t="shared" si="14"/>
        <v>25</v>
      </c>
      <c r="J111" s="84">
        <v>50</v>
      </c>
      <c r="K111" s="60">
        <f t="shared" si="15"/>
        <v>206800</v>
      </c>
      <c r="L111" s="59">
        <f t="shared" si="11"/>
        <v>11.04</v>
      </c>
      <c r="M111" s="64">
        <f t="shared" si="12"/>
        <v>21.04</v>
      </c>
      <c r="N111" s="64" cm="1">
        <f t="array" ref="N111">drivePower($C$4,M111,$C$9,$C$10,$C$11)</f>
        <v>29.667599999999997</v>
      </c>
      <c r="O111" s="86">
        <f t="shared" si="10"/>
        <v>13772.880000000001</v>
      </c>
      <c r="P111" s="90">
        <f t="shared" si="4"/>
        <v>-1.5000000000000001E-4</v>
      </c>
      <c r="Q111" s="91">
        <f t="shared" si="5"/>
        <v>0.82280000000000009</v>
      </c>
      <c r="R111" s="98">
        <v>0.15</v>
      </c>
      <c r="S111" s="95">
        <f t="shared" si="16"/>
        <v>206800</v>
      </c>
      <c r="T111" s="92" cm="1">
        <f t="array" ref="T111">maxDepthToMinSOC($L$8,$L$9,$L$6,$L$7,$O111,$G$5,$G$6,drivePower($C$4,$M111,$G111,$C$10,$C$11),$I111,$G111,$G$4,$C$8)</f>
        <v>18984.450754374266</v>
      </c>
      <c r="U111" s="12" cm="1">
        <f t="array" ref="U111">maxDepthToMinSOC($L$8,$L$9,P111,Q111,$O111,$G$5,$G$6,drivePower($C$4,$M111,$G111,$C$10,$C$11),$I111,$G111,$G$4,$C$8)</f>
        <v>7818.3003106713295</v>
      </c>
      <c r="V111" s="93">
        <f t="shared" si="13"/>
        <v>13401.375532522798</v>
      </c>
    </row>
    <row r="112" spans="7:22" x14ac:dyDescent="0.35">
      <c r="G112" s="59">
        <f t="shared" si="1"/>
        <v>0.5</v>
      </c>
      <c r="H112" s="64">
        <v>25</v>
      </c>
      <c r="I112" s="84">
        <f t="shared" si="14"/>
        <v>25</v>
      </c>
      <c r="J112" s="84">
        <v>50</v>
      </c>
      <c r="K112" s="60">
        <f t="shared" si="15"/>
        <v>209000</v>
      </c>
      <c r="L112" s="59">
        <f t="shared" si="11"/>
        <v>11.16</v>
      </c>
      <c r="M112" s="64">
        <f t="shared" si="12"/>
        <v>21.16</v>
      </c>
      <c r="N112" s="64" cm="1">
        <f t="array" ref="N112">drivePower($C$4,M112,$C$9,$C$10,$C$11)</f>
        <v>29.825399999999998</v>
      </c>
      <c r="O112" s="86">
        <f t="shared" si="10"/>
        <v>13919.4</v>
      </c>
      <c r="P112" s="90">
        <f t="shared" si="4"/>
        <v>-1.5000000000000001E-4</v>
      </c>
      <c r="Q112" s="91">
        <f t="shared" si="5"/>
        <v>0.82280000000000009</v>
      </c>
      <c r="R112" s="98">
        <v>0.15</v>
      </c>
      <c r="S112" s="95">
        <f t="shared" si="16"/>
        <v>209000</v>
      </c>
      <c r="T112" s="92" cm="1">
        <f t="array" ref="T112">maxDepthToMinSOC($L$8,$L$9,$L$6,$L$7,$O112,$G$5,$G$6,drivePower($C$4,$M112,$G112,$C$10,$C$11),$I112,$G112,$G$4,$C$8)</f>
        <v>19048.950756937265</v>
      </c>
      <c r="U112" s="12" cm="1">
        <f t="array" ref="U112">maxDepthToMinSOC($L$8,$L$9,P112,Q112,$O112,$G$5,$G$6,drivePower($C$4,$M112,$G112,$C$10,$C$11),$I112,$G112,$G$4,$C$8)</f>
        <v>7831.050311177969</v>
      </c>
      <c r="V112" s="93">
        <f t="shared" si="13"/>
        <v>13440.000534057617</v>
      </c>
    </row>
    <row r="113" spans="7:22" x14ac:dyDescent="0.35">
      <c r="G113" s="59">
        <f t="shared" si="1"/>
        <v>0.5</v>
      </c>
      <c r="H113" s="64">
        <v>25</v>
      </c>
      <c r="I113" s="84">
        <f t="shared" si="14"/>
        <v>25</v>
      </c>
      <c r="J113" s="84">
        <v>50</v>
      </c>
      <c r="K113" s="60">
        <f t="shared" si="15"/>
        <v>211200</v>
      </c>
      <c r="L113" s="59">
        <f t="shared" si="11"/>
        <v>11.28</v>
      </c>
      <c r="M113" s="64">
        <f t="shared" si="12"/>
        <v>21.28</v>
      </c>
      <c r="N113" s="64" cm="1">
        <f t="array" ref="N113">drivePower($C$4,M113,$C$9,$C$10,$C$11)</f>
        <v>29.9832</v>
      </c>
      <c r="O113" s="86">
        <f t="shared" si="10"/>
        <v>14065.92</v>
      </c>
      <c r="P113" s="90">
        <f t="shared" si="4"/>
        <v>-1.5000000000000001E-4</v>
      </c>
      <c r="Q113" s="91">
        <f t="shared" si="5"/>
        <v>0.82280000000000009</v>
      </c>
      <c r="R113" s="98">
        <v>0.15</v>
      </c>
      <c r="S113" s="95">
        <f t="shared" si="16"/>
        <v>211200</v>
      </c>
      <c r="T113" s="92" cm="1">
        <f t="array" ref="T113">maxDepthToMinSOC($L$8,$L$9,$L$6,$L$7,$O113,$G$5,$G$6,drivePower($C$4,$M113,$G113,$C$10,$C$11),$I113,$G113,$G$4,$C$8)</f>
        <v>19112.400759458542</v>
      </c>
      <c r="U113" s="12" cm="1">
        <f t="array" ref="U113">maxDepthToMinSOC($L$8,$L$9,P113,Q113,$O113,$G$5,$G$6,drivePower($C$4,$M113,$G113,$C$10,$C$11),$I113,$G113,$G$4,$C$8)</f>
        <v>7843.650311678648</v>
      </c>
      <c r="V113" s="93">
        <f t="shared" si="13"/>
        <v>13478.025535568595</v>
      </c>
    </row>
    <row r="114" spans="7:22" x14ac:dyDescent="0.35">
      <c r="G114" s="59">
        <f t="shared" si="1"/>
        <v>0.5</v>
      </c>
      <c r="H114" s="64">
        <v>25</v>
      </c>
      <c r="I114" s="84">
        <f t="shared" si="14"/>
        <v>25</v>
      </c>
      <c r="J114" s="84">
        <v>50</v>
      </c>
      <c r="K114" s="60">
        <f t="shared" si="15"/>
        <v>213400</v>
      </c>
      <c r="L114" s="59">
        <f t="shared" si="11"/>
        <v>11.4</v>
      </c>
      <c r="M114" s="64">
        <f t="shared" si="12"/>
        <v>21.4</v>
      </c>
      <c r="N114" s="64" cm="1">
        <f t="array" ref="N114">drivePower($C$4,M114,$C$9,$C$10,$C$11)</f>
        <v>30.140999999999998</v>
      </c>
      <c r="O114" s="86">
        <f t="shared" si="10"/>
        <v>14212.44</v>
      </c>
      <c r="P114" s="90">
        <f t="shared" si="4"/>
        <v>-1.5000000000000001E-4</v>
      </c>
      <c r="Q114" s="91">
        <f t="shared" si="5"/>
        <v>0.82280000000000009</v>
      </c>
      <c r="R114" s="98">
        <v>0.15</v>
      </c>
      <c r="S114" s="95">
        <f t="shared" si="16"/>
        <v>213400</v>
      </c>
      <c r="T114" s="92" cm="1">
        <f t="array" ref="T114">maxDepthToMinSOC($L$8,$L$9,$L$6,$L$7,$O114,$G$5,$G$6,drivePower($C$4,$M114,$G114,$C$10,$C$11),$I114,$G114,$G$4,$C$8)</f>
        <v>19174.950761944056</v>
      </c>
      <c r="U114" s="12" cm="1">
        <f t="array" ref="U114">maxDepthToMinSOC($L$8,$L$9,P114,Q114,$O114,$G$5,$G$6,drivePower($C$4,$M114,$G114,$C$10,$C$11),$I114,$G114,$G$4,$C$8)</f>
        <v>7855.9503121674061</v>
      </c>
      <c r="V114" s="93">
        <f t="shared" si="13"/>
        <v>13515.450537055731</v>
      </c>
    </row>
    <row r="115" spans="7:22" x14ac:dyDescent="0.35">
      <c r="G115" s="59">
        <f t="shared" si="1"/>
        <v>0.5</v>
      </c>
      <c r="H115" s="64">
        <v>25</v>
      </c>
      <c r="I115" s="84">
        <f t="shared" si="14"/>
        <v>25</v>
      </c>
      <c r="J115" s="84">
        <v>50</v>
      </c>
      <c r="K115" s="60">
        <f t="shared" si="15"/>
        <v>215600</v>
      </c>
      <c r="L115" s="59">
        <f t="shared" si="11"/>
        <v>11.52</v>
      </c>
      <c r="M115" s="64">
        <f t="shared" si="12"/>
        <v>21.52</v>
      </c>
      <c r="N115" s="64" cm="1">
        <f t="array" ref="N115">drivePower($C$4,M115,$C$9,$C$10,$C$11)</f>
        <v>30.2988</v>
      </c>
      <c r="O115" s="86">
        <f t="shared" si="10"/>
        <v>14358.96</v>
      </c>
      <c r="P115" s="90">
        <f t="shared" si="4"/>
        <v>-1.5000000000000001E-4</v>
      </c>
      <c r="Q115" s="91">
        <f t="shared" si="5"/>
        <v>0.82280000000000009</v>
      </c>
      <c r="R115" s="98">
        <v>0.15</v>
      </c>
      <c r="S115" s="95">
        <f t="shared" si="16"/>
        <v>215600</v>
      </c>
      <c r="T115" s="92" cm="1">
        <f t="array" ref="T115">maxDepthToMinSOC($L$8,$L$9,$L$6,$L$7,$O115,$G$5,$G$6,drivePower($C$4,$M115,$G115,$C$10,$C$11),$I115,$G115,$G$4,$C$8)</f>
        <v>19236.600764393806</v>
      </c>
      <c r="U115" s="12" cm="1">
        <f t="array" ref="U115">maxDepthToMinSOC($L$8,$L$9,P115,Q115,$O115,$G$5,$G$6,drivePower($C$4,$M115,$G115,$C$10,$C$11),$I115,$G115,$G$4,$C$8)</f>
        <v>7867.9503126442432</v>
      </c>
      <c r="V115" s="93">
        <f t="shared" si="13"/>
        <v>13552.275538519025</v>
      </c>
    </row>
    <row r="116" spans="7:22" x14ac:dyDescent="0.35">
      <c r="G116" s="59">
        <f t="shared" si="1"/>
        <v>0.5</v>
      </c>
      <c r="H116" s="64">
        <v>25</v>
      </c>
      <c r="I116" s="84">
        <f t="shared" si="14"/>
        <v>25</v>
      </c>
      <c r="J116" s="84">
        <v>50</v>
      </c>
      <c r="K116" s="60">
        <f t="shared" si="15"/>
        <v>217800</v>
      </c>
      <c r="L116" s="59">
        <f t="shared" si="11"/>
        <v>11.64</v>
      </c>
      <c r="M116" s="64">
        <f t="shared" si="12"/>
        <v>21.64</v>
      </c>
      <c r="N116" s="64" cm="1">
        <f t="array" ref="N116">drivePower($C$4,M116,$C$9,$C$10,$C$11)</f>
        <v>30.456599999999998</v>
      </c>
      <c r="O116" s="86">
        <f t="shared" si="10"/>
        <v>14505.480000000001</v>
      </c>
      <c r="P116" s="90">
        <f t="shared" si="4"/>
        <v>-1.5000000000000001E-4</v>
      </c>
      <c r="Q116" s="91">
        <f t="shared" si="5"/>
        <v>0.82280000000000009</v>
      </c>
      <c r="R116" s="98">
        <v>0.15</v>
      </c>
      <c r="S116" s="95">
        <f t="shared" si="16"/>
        <v>217800</v>
      </c>
      <c r="T116" s="92" cm="1">
        <f t="array" ref="T116">maxDepthToMinSOC($L$8,$L$9,$L$6,$L$7,$O116,$G$5,$G$6,drivePower($C$4,$M116,$G116,$C$10,$C$11),$I116,$G116,$G$4,$C$8)</f>
        <v>19297.500766813755</v>
      </c>
      <c r="U116" s="12" cm="1">
        <f t="array" ref="U116">maxDepthToMinSOC($L$8,$L$9,P116,Q116,$O116,$G$5,$G$6,drivePower($C$4,$M116,$G116,$C$10,$C$11),$I116,$G116,$G$4,$C$8)</f>
        <v>7879.8003131151199</v>
      </c>
      <c r="V116" s="93">
        <f t="shared" si="13"/>
        <v>13588.650539964437</v>
      </c>
    </row>
    <row r="117" spans="7:22" x14ac:dyDescent="0.35">
      <c r="G117" s="59">
        <f t="shared" si="1"/>
        <v>0.5</v>
      </c>
      <c r="H117" s="64">
        <v>25</v>
      </c>
      <c r="I117" s="84">
        <f t="shared" si="14"/>
        <v>25</v>
      </c>
      <c r="J117" s="84">
        <v>50</v>
      </c>
      <c r="K117" s="60">
        <f t="shared" si="15"/>
        <v>220000</v>
      </c>
      <c r="L117" s="59">
        <f t="shared" si="11"/>
        <v>11.76</v>
      </c>
      <c r="M117" s="64">
        <f t="shared" si="12"/>
        <v>21.759999999999998</v>
      </c>
      <c r="N117" s="64" cm="1">
        <f t="array" ref="N117">drivePower($C$4,M117,$C$9,$C$10,$C$11)</f>
        <v>30.614399999999996</v>
      </c>
      <c r="O117" s="86">
        <f t="shared" si="10"/>
        <v>14652</v>
      </c>
      <c r="P117" s="90">
        <f t="shared" si="4"/>
        <v>-1.5000000000000001E-4</v>
      </c>
      <c r="Q117" s="91">
        <f t="shared" si="5"/>
        <v>0.82280000000000009</v>
      </c>
      <c r="R117" s="98">
        <v>0.15</v>
      </c>
      <c r="S117" s="95">
        <f t="shared" si="16"/>
        <v>220000</v>
      </c>
      <c r="T117" s="92" cm="1">
        <f t="array" ref="T117">maxDepthToMinSOC($L$8,$L$9,$L$6,$L$7,$O117,$G$5,$G$6,drivePower($C$4,$M117,$G117,$C$10,$C$11),$I117,$G117,$G$4,$C$8)</f>
        <v>19357.35076919198</v>
      </c>
      <c r="U117" s="12" cm="1">
        <f t="array" ref="U117">maxDepthToMinSOC($L$8,$L$9,P117,Q117,$O117,$G$5,$G$6,drivePower($C$4,$M117,$G117,$C$10,$C$11),$I117,$G117,$G$4,$C$8)</f>
        <v>7891.5003135800362</v>
      </c>
      <c r="V117" s="93">
        <f t="shared" si="13"/>
        <v>13624.425541386008</v>
      </c>
    </row>
    <row r="118" spans="7:22" x14ac:dyDescent="0.35">
      <c r="G118" s="59">
        <f t="shared" si="1"/>
        <v>0.5</v>
      </c>
      <c r="H118" s="64">
        <v>25</v>
      </c>
      <c r="I118" s="84">
        <f t="shared" si="14"/>
        <v>25</v>
      </c>
      <c r="J118" s="84">
        <v>50</v>
      </c>
      <c r="K118" s="60">
        <f t="shared" si="15"/>
        <v>222200</v>
      </c>
      <c r="L118" s="59">
        <f t="shared" si="11"/>
        <v>11.88</v>
      </c>
      <c r="M118" s="64">
        <f t="shared" si="12"/>
        <v>21.880000000000003</v>
      </c>
      <c r="N118" s="64" cm="1">
        <f t="array" ref="N118">drivePower($C$4,M118,$C$9,$C$10,$C$11)</f>
        <v>30.772200000000002</v>
      </c>
      <c r="O118" s="86">
        <f t="shared" si="10"/>
        <v>14798.519999999999</v>
      </c>
      <c r="P118" s="90">
        <f t="shared" si="4"/>
        <v>-1.5000000000000001E-4</v>
      </c>
      <c r="Q118" s="91">
        <f t="shared" si="5"/>
        <v>0.82280000000000009</v>
      </c>
      <c r="R118" s="98">
        <v>0.15</v>
      </c>
      <c r="S118" s="95">
        <f t="shared" si="16"/>
        <v>222200</v>
      </c>
      <c r="T118" s="92" cm="1">
        <f t="array" ref="T118">maxDepthToMinSOC($L$8,$L$9,$L$6,$L$7,$O118,$G$5,$G$6,drivePower($C$4,$M118,$G118,$C$10,$C$11),$I118,$G118,$G$4,$C$8)</f>
        <v>19416.600771546364</v>
      </c>
      <c r="U118" s="12" cm="1">
        <f t="array" ref="U118">maxDepthToMinSOC($L$8,$L$9,P118,Q118,$O118,$G$5,$G$6,drivePower($C$4,$M118,$G118,$C$10,$C$11),$I118,$G118,$G$4,$C$8)</f>
        <v>7902.9003140330315</v>
      </c>
      <c r="V118" s="93">
        <f t="shared" si="13"/>
        <v>13659.750542789698</v>
      </c>
    </row>
    <row r="119" spans="7:22" x14ac:dyDescent="0.35">
      <c r="G119" s="59">
        <f t="shared" si="1"/>
        <v>0.5</v>
      </c>
      <c r="H119" s="64">
        <v>25</v>
      </c>
      <c r="I119" s="84">
        <f t="shared" si="14"/>
        <v>25</v>
      </c>
      <c r="J119" s="84">
        <v>50</v>
      </c>
      <c r="K119" s="60">
        <f t="shared" si="15"/>
        <v>224400</v>
      </c>
      <c r="L119" s="59">
        <f t="shared" si="11"/>
        <v>12</v>
      </c>
      <c r="M119" s="64">
        <f t="shared" si="12"/>
        <v>22</v>
      </c>
      <c r="N119" s="64" cm="1">
        <f t="array" ref="N119">drivePower($C$4,M119,$C$9,$C$10,$C$11)</f>
        <v>30.93</v>
      </c>
      <c r="O119" s="86">
        <f t="shared" si="10"/>
        <v>14945.04</v>
      </c>
      <c r="P119" s="90">
        <f t="shared" si="4"/>
        <v>-1.5000000000000001E-4</v>
      </c>
      <c r="Q119" s="91">
        <f t="shared" si="5"/>
        <v>0.82280000000000009</v>
      </c>
      <c r="R119" s="98">
        <v>0.15</v>
      </c>
      <c r="S119" s="95">
        <f t="shared" si="16"/>
        <v>224400</v>
      </c>
      <c r="T119" s="92" cm="1">
        <f t="array" ref="T119">maxDepthToMinSOC($L$8,$L$9,$L$6,$L$7,$O119,$G$5,$G$6,drivePower($C$4,$M119,$G119,$C$10,$C$11),$I119,$G119,$G$4,$C$8)</f>
        <v>19474.800773859024</v>
      </c>
      <c r="U119" s="12" cm="1">
        <f t="array" ref="U119">maxDepthToMinSOC($L$8,$L$9,P119,Q119,$O119,$G$5,$G$6,drivePower($C$4,$M119,$G119,$C$10,$C$11),$I119,$G119,$G$4,$C$8)</f>
        <v>7914.1503144800663</v>
      </c>
      <c r="V119" s="93">
        <f t="shared" si="13"/>
        <v>13694.475544169545</v>
      </c>
    </row>
    <row r="120" spans="7:22" x14ac:dyDescent="0.35">
      <c r="G120" s="59">
        <f t="shared" si="1"/>
        <v>0.5</v>
      </c>
      <c r="H120" s="64">
        <v>25</v>
      </c>
      <c r="I120" s="84">
        <f t="shared" si="14"/>
        <v>25</v>
      </c>
      <c r="J120" s="84">
        <v>50</v>
      </c>
      <c r="K120" s="60">
        <f t="shared" si="15"/>
        <v>226600</v>
      </c>
      <c r="L120" s="59">
        <f t="shared" si="11"/>
        <v>12.12</v>
      </c>
      <c r="M120" s="64">
        <f t="shared" si="12"/>
        <v>22.119999999999997</v>
      </c>
      <c r="N120" s="64" cm="1">
        <f t="array" ref="N120">drivePower($C$4,M120,$C$9,$C$10,$C$11)</f>
        <v>31.087799999999994</v>
      </c>
      <c r="O120" s="86">
        <f t="shared" si="10"/>
        <v>15091.56</v>
      </c>
      <c r="P120" s="90">
        <f t="shared" si="4"/>
        <v>-1.5000000000000001E-4</v>
      </c>
      <c r="Q120" s="91">
        <f t="shared" si="5"/>
        <v>0.82280000000000009</v>
      </c>
      <c r="R120" s="98">
        <v>0.15</v>
      </c>
      <c r="S120" s="95">
        <f t="shared" si="16"/>
        <v>226600</v>
      </c>
      <c r="T120" s="92" cm="1">
        <f t="array" ref="T120">maxDepthToMinSOC($L$8,$L$9,$L$6,$L$7,$O120,$G$5,$G$6,drivePower($C$4,$M120,$G120,$C$10,$C$11),$I120,$G120,$G$4,$C$8)</f>
        <v>19532.400776147842</v>
      </c>
      <c r="U120" s="12" cm="1">
        <f t="array" ref="U120">maxDepthToMinSOC($L$8,$L$9,P120,Q120,$O120,$G$5,$G$6,drivePower($C$4,$M120,$G120,$C$10,$C$11),$I120,$G120,$G$4,$C$8)</f>
        <v>7925.2503149211407</v>
      </c>
      <c r="V120" s="93">
        <f t="shared" si="13"/>
        <v>13728.825545534492</v>
      </c>
    </row>
    <row r="121" spans="7:22" x14ac:dyDescent="0.35">
      <c r="G121" s="59">
        <f t="shared" si="1"/>
        <v>0.5</v>
      </c>
      <c r="H121" s="64">
        <v>25</v>
      </c>
      <c r="I121" s="84">
        <f t="shared" si="14"/>
        <v>25</v>
      </c>
      <c r="J121" s="84">
        <v>50</v>
      </c>
      <c r="K121" s="60">
        <f t="shared" si="15"/>
        <v>228800</v>
      </c>
      <c r="L121" s="59">
        <f t="shared" si="11"/>
        <v>12.24</v>
      </c>
      <c r="M121" s="64">
        <f t="shared" si="12"/>
        <v>22.240000000000002</v>
      </c>
      <c r="N121" s="64" cm="1">
        <f t="array" ref="N121">drivePower($C$4,M121,$C$9,$C$10,$C$11)</f>
        <v>31.245600000000003</v>
      </c>
      <c r="O121" s="86">
        <f t="shared" si="10"/>
        <v>15238.08</v>
      </c>
      <c r="P121" s="90">
        <f t="shared" si="4"/>
        <v>-1.5000000000000001E-4</v>
      </c>
      <c r="Q121" s="91">
        <f t="shared" si="5"/>
        <v>0.82280000000000009</v>
      </c>
      <c r="R121" s="98">
        <v>0.15</v>
      </c>
      <c r="S121" s="95">
        <f t="shared" si="16"/>
        <v>228800</v>
      </c>
      <c r="T121" s="92" cm="1">
        <f t="array" ref="T121">maxDepthToMinSOC($L$8,$L$9,$L$6,$L$7,$O121,$G$5,$G$6,drivePower($C$4,$M121,$G121,$C$10,$C$11),$I121,$G121,$G$4,$C$8)</f>
        <v>19589.100778400898</v>
      </c>
      <c r="U121" s="12" cm="1">
        <f t="array" ref="U121">maxDepthToMinSOC($L$8,$L$9,P121,Q121,$O121,$G$5,$G$6,drivePower($C$4,$M121,$G121,$C$10,$C$11),$I121,$G121,$G$4,$C$8)</f>
        <v>7936.2003153562546</v>
      </c>
      <c r="V121" s="93">
        <f t="shared" si="13"/>
        <v>13762.650546878576</v>
      </c>
    </row>
    <row r="122" spans="7:22" x14ac:dyDescent="0.35">
      <c r="G122" s="59">
        <f t="shared" si="1"/>
        <v>0.5</v>
      </c>
      <c r="H122" s="64">
        <v>25</v>
      </c>
      <c r="I122" s="84">
        <f t="shared" si="14"/>
        <v>25</v>
      </c>
      <c r="J122" s="84">
        <v>50</v>
      </c>
      <c r="K122" s="60">
        <f t="shared" si="15"/>
        <v>231000</v>
      </c>
      <c r="L122" s="59">
        <f t="shared" si="11"/>
        <v>12.36</v>
      </c>
      <c r="M122" s="64">
        <f t="shared" si="12"/>
        <v>22.36</v>
      </c>
      <c r="N122" s="64" cm="1">
        <f t="array" ref="N122">drivePower($C$4,M122,$C$9,$C$10,$C$11)</f>
        <v>31.403399999999998</v>
      </c>
      <c r="O122" s="86">
        <f t="shared" si="10"/>
        <v>15384.6</v>
      </c>
      <c r="P122" s="90">
        <f t="shared" si="4"/>
        <v>-1.5000000000000001E-4</v>
      </c>
      <c r="Q122" s="91">
        <f t="shared" si="5"/>
        <v>0.82280000000000009</v>
      </c>
      <c r="R122" s="98">
        <v>0.15</v>
      </c>
      <c r="S122" s="95">
        <f t="shared" si="16"/>
        <v>231000</v>
      </c>
      <c r="T122" s="92" cm="1">
        <f t="array" ref="T122">maxDepthToMinSOC($L$8,$L$9,$L$6,$L$7,$O122,$G$5,$G$6,drivePower($C$4,$M122,$G122,$C$10,$C$11),$I122,$G122,$G$4,$C$8)</f>
        <v>19645.050780624151</v>
      </c>
      <c r="U122" s="12" cm="1">
        <f t="array" ref="U122">maxDepthToMinSOC($L$8,$L$9,P122,Q122,$O122,$G$5,$G$6,drivePower($C$4,$M122,$G122,$C$10,$C$11),$I122,$G122,$G$4,$C$8)</f>
        <v>7946.8503157794476</v>
      </c>
      <c r="V122" s="93">
        <f t="shared" si="13"/>
        <v>13795.950548201799</v>
      </c>
    </row>
    <row r="123" spans="7:22" x14ac:dyDescent="0.35">
      <c r="G123" s="59">
        <f t="shared" si="1"/>
        <v>0.5</v>
      </c>
      <c r="H123" s="64">
        <v>25</v>
      </c>
      <c r="I123" s="84">
        <f t="shared" si="14"/>
        <v>25</v>
      </c>
      <c r="J123" s="84">
        <v>50</v>
      </c>
      <c r="K123" s="60">
        <f t="shared" si="15"/>
        <v>233200</v>
      </c>
      <c r="L123" s="59">
        <f t="shared" si="11"/>
        <v>12.48</v>
      </c>
      <c r="M123" s="64">
        <f t="shared" si="12"/>
        <v>22.48</v>
      </c>
      <c r="N123" s="64" cm="1">
        <f t="array" ref="N123">drivePower($C$4,M123,$C$9,$C$10,$C$11)</f>
        <v>31.561199999999999</v>
      </c>
      <c r="O123" s="86">
        <f t="shared" si="10"/>
        <v>15531.119999999999</v>
      </c>
      <c r="P123" s="90">
        <f t="shared" si="4"/>
        <v>-1.5000000000000001E-4</v>
      </c>
      <c r="Q123" s="91">
        <f t="shared" si="5"/>
        <v>0.82280000000000009</v>
      </c>
      <c r="R123" s="98">
        <v>0.15</v>
      </c>
      <c r="S123" s="95">
        <f t="shared" si="16"/>
        <v>233200</v>
      </c>
      <c r="T123" s="92" cm="1">
        <f t="array" ref="T123">maxDepthToMinSOC($L$8,$L$9,$L$6,$L$7,$O123,$G$5,$G$6,drivePower($C$4,$M123,$G123,$C$10,$C$11),$I123,$G123,$G$4,$C$8)</f>
        <v>19700.250782817602</v>
      </c>
      <c r="U123" s="12" cm="1">
        <f t="array" ref="U123">maxDepthToMinSOC($L$8,$L$9,P123,Q123,$O123,$G$5,$G$6,drivePower($C$4,$M123,$G123,$C$10,$C$11),$I123,$G123,$G$4,$C$8)</f>
        <v>7957.3503161966801</v>
      </c>
      <c r="V123" s="93">
        <f t="shared" si="13"/>
        <v>13828.800549507141</v>
      </c>
    </row>
    <row r="124" spans="7:22" x14ac:dyDescent="0.35">
      <c r="G124" s="59">
        <f t="shared" si="1"/>
        <v>0.5</v>
      </c>
      <c r="H124" s="64">
        <v>25</v>
      </c>
      <c r="I124" s="84">
        <f t="shared" si="14"/>
        <v>25</v>
      </c>
      <c r="J124" s="84">
        <v>50</v>
      </c>
      <c r="K124" s="60">
        <f t="shared" si="15"/>
        <v>235400</v>
      </c>
      <c r="L124" s="59">
        <f t="shared" si="11"/>
        <v>12.6</v>
      </c>
      <c r="M124" s="64">
        <f t="shared" si="12"/>
        <v>22.6</v>
      </c>
      <c r="N124" s="64" cm="1">
        <f t="array" ref="N124">drivePower($C$4,M124,$C$9,$C$10,$C$11)</f>
        <v>31.719000000000001</v>
      </c>
      <c r="O124" s="86">
        <f t="shared" si="10"/>
        <v>15677.640000000001</v>
      </c>
      <c r="P124" s="90">
        <f t="shared" si="4"/>
        <v>-1.5000000000000001E-4</v>
      </c>
      <c r="Q124" s="91">
        <f t="shared" si="5"/>
        <v>0.82280000000000009</v>
      </c>
      <c r="R124" s="98">
        <v>0.15</v>
      </c>
      <c r="S124" s="95">
        <f t="shared" si="16"/>
        <v>235400</v>
      </c>
      <c r="T124" s="92" cm="1">
        <f t="array" ref="T124">maxDepthToMinSOC($L$8,$L$9,$L$6,$L$7,$O124,$G$5,$G$6,drivePower($C$4,$M124,$G124,$C$10,$C$11),$I124,$G124,$G$4,$C$8)</f>
        <v>19754.850784987211</v>
      </c>
      <c r="U124" s="12" cm="1">
        <f t="array" ref="U124">maxDepthToMinSOC($L$8,$L$9,P124,Q124,$O124,$G$5,$G$6,drivePower($C$4,$M124,$G124,$C$10,$C$11),$I124,$G124,$G$4,$C$8)</f>
        <v>7967.7003166079521</v>
      </c>
      <c r="V124" s="93">
        <f t="shared" si="13"/>
        <v>13861.275550797582</v>
      </c>
    </row>
    <row r="125" spans="7:22" x14ac:dyDescent="0.35">
      <c r="G125" s="59">
        <f t="shared" si="1"/>
        <v>0.5</v>
      </c>
      <c r="H125" s="64">
        <v>25</v>
      </c>
      <c r="I125" s="84">
        <f t="shared" si="14"/>
        <v>25</v>
      </c>
      <c r="J125" s="84">
        <v>50</v>
      </c>
      <c r="K125" s="60">
        <f t="shared" si="15"/>
        <v>237600</v>
      </c>
      <c r="L125" s="59">
        <f t="shared" si="11"/>
        <v>12.72</v>
      </c>
      <c r="M125" s="64">
        <f t="shared" si="12"/>
        <v>22.72</v>
      </c>
      <c r="N125" s="64" cm="1">
        <f t="array" ref="N125">drivePower($C$4,M125,$C$9,$C$10,$C$11)</f>
        <v>31.876799999999996</v>
      </c>
      <c r="O125" s="86">
        <f t="shared" si="10"/>
        <v>15824.16</v>
      </c>
      <c r="P125" s="90">
        <f t="shared" si="4"/>
        <v>-1.5000000000000001E-4</v>
      </c>
      <c r="Q125" s="91">
        <f t="shared" si="5"/>
        <v>0.82280000000000009</v>
      </c>
      <c r="R125" s="98">
        <v>0.15</v>
      </c>
      <c r="S125" s="95">
        <f t="shared" si="16"/>
        <v>237600</v>
      </c>
      <c r="T125" s="92" cm="1">
        <f t="array" ref="T125">maxDepthToMinSOC($L$8,$L$9,$L$6,$L$7,$O125,$G$5,$G$6,drivePower($C$4,$M125,$G125,$C$10,$C$11),$I125,$G125,$G$4,$C$8)</f>
        <v>19808.550787121058</v>
      </c>
      <c r="U125" s="12" cm="1">
        <f t="array" ref="U125">maxDepthToMinSOC($L$8,$L$9,P125,Q125,$O125,$G$5,$G$6,drivePower($C$4,$M125,$G125,$C$10,$C$11),$I125,$G125,$G$4,$C$8)</f>
        <v>7977.9003170132637</v>
      </c>
      <c r="V125" s="93">
        <f t="shared" si="13"/>
        <v>13893.225552067161</v>
      </c>
    </row>
    <row r="126" spans="7:22" x14ac:dyDescent="0.35">
      <c r="G126" s="59">
        <f t="shared" si="1"/>
        <v>0.5</v>
      </c>
      <c r="H126" s="64">
        <v>25</v>
      </c>
      <c r="I126" s="84">
        <f t="shared" si="14"/>
        <v>25</v>
      </c>
      <c r="J126" s="84">
        <v>50</v>
      </c>
      <c r="K126" s="60">
        <f t="shared" si="15"/>
        <v>239800</v>
      </c>
      <c r="L126" s="59">
        <f t="shared" si="11"/>
        <v>12.84</v>
      </c>
      <c r="M126" s="64">
        <f t="shared" si="12"/>
        <v>22.84</v>
      </c>
      <c r="N126" s="64" cm="1">
        <f t="array" ref="N126">drivePower($C$4,M126,$C$9,$C$10,$C$11)</f>
        <v>32.034599999999998</v>
      </c>
      <c r="O126" s="86">
        <f t="shared" si="10"/>
        <v>15970.68</v>
      </c>
      <c r="P126" s="90">
        <f t="shared" si="4"/>
        <v>-1.5000000000000001E-4</v>
      </c>
      <c r="Q126" s="91">
        <f t="shared" si="5"/>
        <v>0.82280000000000009</v>
      </c>
      <c r="R126" s="98">
        <v>0.15</v>
      </c>
      <c r="S126" s="95">
        <f t="shared" si="16"/>
        <v>239800</v>
      </c>
      <c r="T126" s="92" cm="1">
        <f t="array" ref="T126">maxDepthToMinSOC($L$8,$L$9,$L$6,$L$7,$O126,$G$5,$G$6,drivePower($C$4,$M126,$G126,$C$10,$C$11),$I126,$G126,$G$4,$C$8)</f>
        <v>19861.650789231062</v>
      </c>
      <c r="U126" s="12" cm="1">
        <f t="array" ref="U126">maxDepthToMinSOC($L$8,$L$9,P126,Q126,$O126,$G$5,$G$6,drivePower($C$4,$M126,$G126,$C$10,$C$11),$I126,$G126,$G$4,$C$8)</f>
        <v>7987.9503174126148</v>
      </c>
      <c r="V126" s="93">
        <f t="shared" si="13"/>
        <v>13924.800553321838</v>
      </c>
    </row>
    <row r="127" spans="7:22" x14ac:dyDescent="0.35">
      <c r="G127" s="59">
        <f t="shared" si="1"/>
        <v>0.5</v>
      </c>
      <c r="H127" s="64">
        <v>25</v>
      </c>
      <c r="I127" s="84">
        <f t="shared" si="14"/>
        <v>25</v>
      </c>
      <c r="J127" s="84">
        <v>50</v>
      </c>
      <c r="K127" s="60">
        <f t="shared" si="15"/>
        <v>242000</v>
      </c>
      <c r="L127" s="59">
        <f t="shared" si="11"/>
        <v>12.96</v>
      </c>
      <c r="M127" s="64">
        <f t="shared" si="12"/>
        <v>22.96</v>
      </c>
      <c r="N127" s="64" cm="1">
        <f t="array" ref="N127">drivePower($C$4,M127,$C$9,$C$10,$C$11)</f>
        <v>32.192399999999999</v>
      </c>
      <c r="O127" s="86">
        <f t="shared" si="10"/>
        <v>16117.2</v>
      </c>
      <c r="P127" s="90">
        <f t="shared" si="4"/>
        <v>-1.5000000000000001E-4</v>
      </c>
      <c r="Q127" s="91">
        <f t="shared" si="5"/>
        <v>0.82280000000000009</v>
      </c>
      <c r="R127" s="98">
        <v>0.15</v>
      </c>
      <c r="S127" s="95">
        <f t="shared" si="16"/>
        <v>242000</v>
      </c>
      <c r="T127" s="92" cm="1">
        <f t="array" ref="T127">maxDepthToMinSOC($L$8,$L$9,$L$6,$L$7,$O127,$G$5,$G$6,drivePower($C$4,$M127,$G127,$C$10,$C$11),$I127,$G127,$G$4,$C$8)</f>
        <v>19914.000791311264</v>
      </c>
      <c r="U127" s="12" cm="1">
        <f t="array" ref="U127">maxDepthToMinSOC($L$8,$L$9,P127,Q127,$O127,$G$5,$G$6,drivePower($C$4,$M127,$G127,$C$10,$C$11),$I127,$G127,$G$4,$C$8)</f>
        <v>7997.8503178060055</v>
      </c>
      <c r="V127" s="93">
        <f t="shared" si="13"/>
        <v>13955.925554558635</v>
      </c>
    </row>
    <row r="128" spans="7:22" x14ac:dyDescent="0.35">
      <c r="G128" s="59">
        <f t="shared" si="1"/>
        <v>0.5</v>
      </c>
      <c r="H128" s="64">
        <v>25</v>
      </c>
      <c r="I128" s="84">
        <f t="shared" si="14"/>
        <v>25</v>
      </c>
      <c r="J128" s="84">
        <v>50</v>
      </c>
      <c r="K128" s="60">
        <f t="shared" si="15"/>
        <v>244200</v>
      </c>
      <c r="L128" s="59">
        <f t="shared" si="11"/>
        <v>13.08</v>
      </c>
      <c r="M128" s="64">
        <f t="shared" si="12"/>
        <v>23.08</v>
      </c>
      <c r="N128" s="64" cm="1">
        <f t="array" ref="N128">drivePower($C$4,M128,$C$9,$C$10,$C$11)</f>
        <v>32.350200000000001</v>
      </c>
      <c r="O128" s="86">
        <f t="shared" si="10"/>
        <v>16263.72</v>
      </c>
      <c r="P128" s="90">
        <f t="shared" si="4"/>
        <v>-1.5000000000000001E-4</v>
      </c>
      <c r="Q128" s="91">
        <f t="shared" si="5"/>
        <v>0.82280000000000009</v>
      </c>
      <c r="R128" s="98">
        <v>0.15</v>
      </c>
      <c r="S128" s="95">
        <f t="shared" si="16"/>
        <v>244200</v>
      </c>
      <c r="T128" s="92" cm="1">
        <f t="array" ref="T128">maxDepthToMinSOC($L$8,$L$9,$L$6,$L$7,$O128,$G$5,$G$6,drivePower($C$4,$M128,$G128,$C$10,$C$11),$I128,$G128,$G$4,$C$8)</f>
        <v>19965.750793367624</v>
      </c>
      <c r="U128" s="12" cm="1">
        <f t="array" ref="U128">maxDepthToMinSOC($L$8,$L$9,P128,Q128,$O128,$G$5,$G$6,drivePower($C$4,$M128,$G128,$C$10,$C$11),$I128,$G128,$G$4,$C$8)</f>
        <v>8007.6003181934357</v>
      </c>
      <c r="V128" s="93">
        <f t="shared" si="13"/>
        <v>13986.67555578053</v>
      </c>
    </row>
    <row r="129" spans="7:22" x14ac:dyDescent="0.35">
      <c r="G129" s="59">
        <f t="shared" si="1"/>
        <v>0.5</v>
      </c>
      <c r="H129" s="64">
        <v>25</v>
      </c>
      <c r="I129" s="84">
        <f t="shared" si="14"/>
        <v>25</v>
      </c>
      <c r="J129" s="84">
        <v>50</v>
      </c>
      <c r="K129" s="60">
        <f t="shared" si="15"/>
        <v>246400</v>
      </c>
      <c r="L129" s="59">
        <f t="shared" si="11"/>
        <v>13.2</v>
      </c>
      <c r="M129" s="64">
        <f t="shared" si="12"/>
        <v>23.2</v>
      </c>
      <c r="N129" s="64" cm="1">
        <f t="array" ref="N129">drivePower($C$4,M129,$C$9,$C$10,$C$11)</f>
        <v>32.507999999999996</v>
      </c>
      <c r="O129" s="86">
        <f t="shared" si="10"/>
        <v>16410.239999999998</v>
      </c>
      <c r="P129" s="90">
        <f t="shared" si="4"/>
        <v>-1.5000000000000001E-4</v>
      </c>
      <c r="Q129" s="91">
        <f t="shared" si="5"/>
        <v>0.82280000000000009</v>
      </c>
      <c r="R129" s="98">
        <v>0.15</v>
      </c>
      <c r="S129" s="95">
        <f t="shared" si="16"/>
        <v>246400</v>
      </c>
      <c r="T129" s="92" cm="1">
        <f t="array" ref="T129">maxDepthToMinSOC($L$8,$L$9,$L$6,$L$7,$O129,$G$5,$G$6,drivePower($C$4,$M129,$G129,$C$10,$C$11),$I129,$G129,$G$4,$C$8)</f>
        <v>20016.750795394182</v>
      </c>
      <c r="U129" s="12" cm="1">
        <f t="array" ref="U129">maxDepthToMinSOC($L$8,$L$9,P129,Q129,$O129,$G$5,$G$6,drivePower($C$4,$M129,$G129,$C$10,$C$11),$I129,$G129,$G$4,$C$8)</f>
        <v>8017.2003185749054</v>
      </c>
      <c r="V129" s="93">
        <f t="shared" si="13"/>
        <v>14016.975556984544</v>
      </c>
    </row>
    <row r="130" spans="7:22" x14ac:dyDescent="0.35">
      <c r="G130" s="59">
        <f t="shared" si="1"/>
        <v>0.5</v>
      </c>
      <c r="H130" s="64">
        <v>25</v>
      </c>
      <c r="I130" s="84">
        <f t="shared" si="14"/>
        <v>25</v>
      </c>
      <c r="J130" s="84">
        <v>50</v>
      </c>
      <c r="K130" s="60">
        <f t="shared" si="15"/>
        <v>248600</v>
      </c>
      <c r="L130" s="59">
        <f t="shared" si="11"/>
        <v>13.32</v>
      </c>
      <c r="M130" s="64">
        <f t="shared" si="12"/>
        <v>23.32</v>
      </c>
      <c r="N130" s="64" cm="1">
        <f t="array" ref="N130">drivePower($C$4,M130,$C$9,$C$10,$C$11)</f>
        <v>32.665800000000004</v>
      </c>
      <c r="O130" s="86">
        <f t="shared" si="10"/>
        <v>16556.760000000002</v>
      </c>
      <c r="P130" s="90">
        <f t="shared" si="4"/>
        <v>-1.5000000000000001E-4</v>
      </c>
      <c r="Q130" s="91">
        <f t="shared" si="5"/>
        <v>0.82280000000000009</v>
      </c>
      <c r="R130" s="98">
        <v>0.15</v>
      </c>
      <c r="S130" s="95">
        <f t="shared" si="16"/>
        <v>248600</v>
      </c>
      <c r="T130" s="92" cm="1">
        <f t="array" ref="T130">maxDepthToMinSOC($L$8,$L$9,$L$6,$L$7,$O130,$G$5,$G$6,drivePower($C$4,$M130,$G130,$C$10,$C$11),$I130,$G130,$G$4,$C$8)</f>
        <v>20067.150797396898</v>
      </c>
      <c r="U130" s="12" cm="1">
        <f t="array" ref="U130">maxDepthToMinSOC($L$8,$L$9,P130,Q130,$O130,$G$5,$G$6,drivePower($C$4,$M130,$G130,$C$10,$C$11),$I130,$G130,$G$4,$C$8)</f>
        <v>8026.6503189504147</v>
      </c>
      <c r="V130" s="93">
        <f t="shared" si="13"/>
        <v>14046.900558173656</v>
      </c>
    </row>
    <row r="131" spans="7:22" x14ac:dyDescent="0.35">
      <c r="G131" s="59">
        <f t="shared" si="1"/>
        <v>0.5</v>
      </c>
      <c r="H131" s="64">
        <v>25</v>
      </c>
      <c r="I131" s="84">
        <f t="shared" si="14"/>
        <v>25</v>
      </c>
      <c r="J131" s="84">
        <v>50</v>
      </c>
      <c r="K131" s="60">
        <f t="shared" si="15"/>
        <v>250800</v>
      </c>
      <c r="L131" s="59">
        <f t="shared" si="11"/>
        <v>13.44</v>
      </c>
      <c r="M131" s="64">
        <f t="shared" si="12"/>
        <v>23.439999999999998</v>
      </c>
      <c r="N131" s="64" cm="1">
        <f t="array" ref="N131">drivePower($C$4,M131,$C$9,$C$10,$C$11)</f>
        <v>32.823599999999999</v>
      </c>
      <c r="O131" s="86">
        <f t="shared" si="10"/>
        <v>16703.28</v>
      </c>
      <c r="P131" s="90">
        <f t="shared" si="4"/>
        <v>-1.5000000000000001E-4</v>
      </c>
      <c r="Q131" s="91">
        <f t="shared" si="5"/>
        <v>0.82280000000000009</v>
      </c>
      <c r="R131" s="98">
        <v>0.15</v>
      </c>
      <c r="S131" s="95">
        <f t="shared" si="16"/>
        <v>250800</v>
      </c>
      <c r="T131" s="92" cm="1">
        <f t="array" ref="T131">maxDepthToMinSOC($L$8,$L$9,$L$6,$L$7,$O131,$G$5,$G$6,drivePower($C$4,$M131,$G131,$C$10,$C$11),$I131,$G131,$G$4,$C$8)</f>
        <v>20116.800799369812</v>
      </c>
      <c r="U131" s="12" cm="1">
        <f t="array" ref="U131">maxDepthToMinSOC($L$8,$L$9,P131,Q131,$O131,$G$5,$G$6,drivePower($C$4,$M131,$G131,$C$10,$C$11),$I131,$G131,$G$4,$C$8)</f>
        <v>8035.800319314003</v>
      </c>
      <c r="V131" s="93">
        <f t="shared" si="13"/>
        <v>14076.300559341908</v>
      </c>
    </row>
    <row r="132" spans="7:22" x14ac:dyDescent="0.35">
      <c r="G132" s="59">
        <f t="shared" si="1"/>
        <v>0.5</v>
      </c>
      <c r="H132" s="64">
        <v>25</v>
      </c>
      <c r="I132" s="84">
        <f t="shared" si="14"/>
        <v>25</v>
      </c>
      <c r="J132" s="84">
        <v>50</v>
      </c>
      <c r="K132" s="60">
        <f t="shared" si="15"/>
        <v>253000</v>
      </c>
      <c r="L132" s="59">
        <f t="shared" si="11"/>
        <v>13.56</v>
      </c>
      <c r="M132" s="64">
        <f t="shared" si="12"/>
        <v>23.560000000000002</v>
      </c>
      <c r="N132" s="64" cm="1">
        <f t="array" ref="N132">drivePower($C$4,M132,$C$9,$C$10,$C$11)</f>
        <v>32.981400000000001</v>
      </c>
      <c r="O132" s="86">
        <f t="shared" si="10"/>
        <v>16849.8</v>
      </c>
      <c r="P132" s="90">
        <f t="shared" si="4"/>
        <v>-1.5000000000000001E-4</v>
      </c>
      <c r="Q132" s="91">
        <f t="shared" si="5"/>
        <v>0.82280000000000009</v>
      </c>
      <c r="R132" s="98">
        <v>0.15</v>
      </c>
      <c r="S132" s="95">
        <f t="shared" si="16"/>
        <v>253000</v>
      </c>
      <c r="T132" s="92" cm="1">
        <f t="array" ref="T132">maxDepthToMinSOC($L$8,$L$9,$L$6,$L$7,$O132,$G$5,$G$6,drivePower($C$4,$M132,$G132,$C$10,$C$11),$I132,$G132,$G$4,$C$8)</f>
        <v>20165.850801318884</v>
      </c>
      <c r="U132" s="12" cm="1">
        <f t="array" ref="U132">maxDepthToMinSOC($L$8,$L$9,P132,Q132,$O132,$G$5,$G$6,drivePower($C$4,$M132,$G132,$C$10,$C$11),$I132,$G132,$G$4,$C$8)</f>
        <v>8044.9503196775913</v>
      </c>
      <c r="V132" s="93">
        <f t="shared" si="13"/>
        <v>14105.400560498238</v>
      </c>
    </row>
    <row r="133" spans="7:22" x14ac:dyDescent="0.35">
      <c r="G133" s="59">
        <f t="shared" si="1"/>
        <v>0.5</v>
      </c>
      <c r="H133" s="64">
        <v>25</v>
      </c>
      <c r="I133" s="84">
        <f t="shared" si="14"/>
        <v>25</v>
      </c>
      <c r="J133" s="84">
        <v>50</v>
      </c>
      <c r="K133" s="60">
        <f t="shared" si="15"/>
        <v>255200</v>
      </c>
      <c r="L133" s="59">
        <f t="shared" si="11"/>
        <v>13.68</v>
      </c>
      <c r="M133" s="64">
        <f t="shared" si="12"/>
        <v>23.68</v>
      </c>
      <c r="N133" s="64" cm="1">
        <f t="array" ref="N133">drivePower($C$4,M133,$C$9,$C$10,$C$11)</f>
        <v>33.139200000000002</v>
      </c>
      <c r="O133" s="86">
        <f t="shared" si="10"/>
        <v>16996.32</v>
      </c>
      <c r="P133" s="90">
        <f t="shared" si="4"/>
        <v>-1.5000000000000001E-4</v>
      </c>
      <c r="Q133" s="91">
        <f t="shared" si="5"/>
        <v>0.82280000000000009</v>
      </c>
      <c r="R133" s="98">
        <v>0.15</v>
      </c>
      <c r="S133" s="95">
        <f t="shared" si="16"/>
        <v>255200</v>
      </c>
      <c r="T133" s="92" cm="1">
        <f t="array" ref="T133">maxDepthToMinSOC($L$8,$L$9,$L$6,$L$7,$O133,$G$5,$G$6,drivePower($C$4,$M133,$G133,$C$10,$C$11),$I133,$G133,$G$4,$C$8)</f>
        <v>20214.450803250074</v>
      </c>
      <c r="U133" s="12" cm="1">
        <f t="array" ref="U133">maxDepthToMinSOC($L$8,$L$9,P133,Q133,$O133,$G$5,$G$6,drivePower($C$4,$M133,$G133,$C$10,$C$11),$I133,$G133,$G$4,$C$8)</f>
        <v>8053.9503200352192</v>
      </c>
      <c r="V133" s="93">
        <f t="shared" si="13"/>
        <v>14134.200561642647</v>
      </c>
    </row>
    <row r="134" spans="7:22" x14ac:dyDescent="0.35">
      <c r="G134" s="59">
        <f t="shared" si="1"/>
        <v>0.5</v>
      </c>
      <c r="H134" s="64">
        <v>25</v>
      </c>
      <c r="I134" s="84">
        <f t="shared" si="14"/>
        <v>25</v>
      </c>
      <c r="J134" s="84">
        <v>50</v>
      </c>
      <c r="K134" s="60">
        <f t="shared" si="15"/>
        <v>257400</v>
      </c>
      <c r="L134" s="59">
        <f t="shared" si="11"/>
        <v>13.8</v>
      </c>
      <c r="M134" s="64">
        <f t="shared" si="12"/>
        <v>23.8</v>
      </c>
      <c r="N134" s="64" cm="1">
        <f t="array" ref="N134">drivePower($C$4,M134,$C$9,$C$10,$C$11)</f>
        <v>33.296999999999997</v>
      </c>
      <c r="O134" s="86">
        <f t="shared" si="10"/>
        <v>17142.84</v>
      </c>
      <c r="P134" s="90">
        <f t="shared" si="4"/>
        <v>-1.5000000000000001E-4</v>
      </c>
      <c r="Q134" s="91">
        <f t="shared" si="5"/>
        <v>0.82280000000000009</v>
      </c>
      <c r="R134" s="98">
        <v>0.15</v>
      </c>
      <c r="S134" s="95">
        <f t="shared" si="16"/>
        <v>257400</v>
      </c>
      <c r="T134" s="92" cm="1">
        <f t="array" ref="T134">maxDepthToMinSOC($L$8,$L$9,$L$6,$L$7,$O134,$G$5,$G$6,drivePower($C$4,$M134,$G134,$C$10,$C$11),$I134,$G134,$G$4,$C$8)</f>
        <v>20262.300805151463</v>
      </c>
      <c r="U134" s="12" cm="1">
        <f t="array" ref="U134">maxDepthToMinSOC($L$8,$L$9,P134,Q134,$O134,$G$5,$G$6,drivePower($C$4,$M134,$G134,$C$10,$C$11),$I134,$G134,$G$4,$C$8)</f>
        <v>8062.8003203868866</v>
      </c>
      <c r="V134" s="93">
        <f t="shared" si="13"/>
        <v>14162.550562769175</v>
      </c>
    </row>
    <row r="135" spans="7:22" x14ac:dyDescent="0.35">
      <c r="G135" s="59">
        <f t="shared" si="1"/>
        <v>0.5</v>
      </c>
      <c r="H135" s="64">
        <v>25</v>
      </c>
      <c r="I135" s="84">
        <f t="shared" si="14"/>
        <v>25</v>
      </c>
      <c r="J135" s="84">
        <v>50</v>
      </c>
      <c r="K135" s="60">
        <f t="shared" si="15"/>
        <v>259600</v>
      </c>
      <c r="L135" s="59">
        <f t="shared" si="11"/>
        <v>13.92</v>
      </c>
      <c r="M135" s="64">
        <f t="shared" si="12"/>
        <v>23.92</v>
      </c>
      <c r="N135" s="64" cm="1">
        <f t="array" ref="N135">drivePower($C$4,M135,$C$9,$C$10,$C$11)</f>
        <v>33.454800000000006</v>
      </c>
      <c r="O135" s="86">
        <f t="shared" si="10"/>
        <v>17289.36</v>
      </c>
      <c r="P135" s="90">
        <f t="shared" si="4"/>
        <v>-1.5000000000000001E-4</v>
      </c>
      <c r="Q135" s="91">
        <f t="shared" si="5"/>
        <v>0.82280000000000009</v>
      </c>
      <c r="R135" s="98">
        <v>0.15</v>
      </c>
      <c r="S135" s="95">
        <f t="shared" si="16"/>
        <v>259600</v>
      </c>
      <c r="T135" s="92" cm="1">
        <f t="array" ref="T135">maxDepthToMinSOC($L$8,$L$9,$L$6,$L$7,$O135,$G$5,$G$6,drivePower($C$4,$M135,$G135,$C$10,$C$11),$I135,$G135,$G$4,$C$8)</f>
        <v>20309.550807029009</v>
      </c>
      <c r="U135" s="12" cm="1">
        <f t="array" ref="U135">maxDepthToMinSOC($L$8,$L$9,P135,Q135,$O135,$G$5,$G$6,drivePower($C$4,$M135,$G135,$C$10,$C$11),$I135,$G135,$G$4,$C$8)</f>
        <v>8071.650320738554</v>
      </c>
      <c r="V135" s="93">
        <f t="shared" si="13"/>
        <v>14190.600563883781</v>
      </c>
    </row>
    <row r="136" spans="7:22" x14ac:dyDescent="0.35">
      <c r="G136" s="59">
        <f t="shared" si="1"/>
        <v>0.5</v>
      </c>
      <c r="H136" s="64">
        <v>25</v>
      </c>
      <c r="I136" s="84">
        <f t="shared" si="14"/>
        <v>25</v>
      </c>
      <c r="J136" s="84">
        <v>50</v>
      </c>
      <c r="K136" s="60">
        <f t="shared" si="15"/>
        <v>261800</v>
      </c>
      <c r="L136" s="59">
        <f t="shared" si="11"/>
        <v>14.04</v>
      </c>
      <c r="M136" s="64">
        <f t="shared" si="12"/>
        <v>24.04</v>
      </c>
      <c r="N136" s="64" cm="1">
        <f t="array" ref="N136">drivePower($C$4,M136,$C$9,$C$10,$C$11)</f>
        <v>33.6126</v>
      </c>
      <c r="O136" s="86">
        <f t="shared" si="10"/>
        <v>17435.88</v>
      </c>
      <c r="P136" s="90">
        <f t="shared" si="4"/>
        <v>-1.5000000000000001E-4</v>
      </c>
      <c r="Q136" s="91">
        <f t="shared" si="5"/>
        <v>0.82280000000000009</v>
      </c>
      <c r="R136" s="98">
        <v>0.15</v>
      </c>
      <c r="S136" s="95">
        <f t="shared" si="16"/>
        <v>261800</v>
      </c>
      <c r="T136" s="92" cm="1">
        <f t="array" ref="T136">maxDepthToMinSOC($L$8,$L$9,$L$6,$L$7,$O136,$G$5,$G$6,drivePower($C$4,$M136,$G136,$C$10,$C$11),$I136,$G136,$G$4,$C$8)</f>
        <v>20356.350808888674</v>
      </c>
      <c r="U136" s="12" cm="1">
        <f t="array" ref="U136">maxDepthToMinSOC($L$8,$L$9,P136,Q136,$O136,$G$5,$G$6,drivePower($C$4,$M136,$G136,$C$10,$C$11),$I136,$G136,$G$4,$C$8)</f>
        <v>8080.2003210783005</v>
      </c>
      <c r="V136" s="93">
        <f t="shared" si="13"/>
        <v>14218.275564983487</v>
      </c>
    </row>
    <row r="137" spans="7:22" x14ac:dyDescent="0.35">
      <c r="G137" s="59">
        <f t="shared" si="1"/>
        <v>0.5</v>
      </c>
      <c r="H137" s="64">
        <v>25</v>
      </c>
      <c r="I137" s="84">
        <f t="shared" si="14"/>
        <v>25</v>
      </c>
      <c r="J137" s="84">
        <v>50</v>
      </c>
      <c r="K137" s="60">
        <f t="shared" si="15"/>
        <v>264000</v>
      </c>
      <c r="L137" s="59">
        <f t="shared" si="11"/>
        <v>14.16</v>
      </c>
      <c r="M137" s="64">
        <f t="shared" si="12"/>
        <v>24.16</v>
      </c>
      <c r="N137" s="64" cm="1">
        <f t="array" ref="N137">drivePower($C$4,M137,$C$9,$C$10,$C$11)</f>
        <v>33.770399999999995</v>
      </c>
      <c r="O137" s="86">
        <f t="shared" si="10"/>
        <v>17582.399999999998</v>
      </c>
      <c r="P137" s="90">
        <f t="shared" si="4"/>
        <v>-1.5000000000000001E-4</v>
      </c>
      <c r="Q137" s="91">
        <f t="shared" si="5"/>
        <v>0.82280000000000009</v>
      </c>
      <c r="R137" s="98">
        <v>0.15</v>
      </c>
      <c r="S137" s="95">
        <f t="shared" si="16"/>
        <v>264000</v>
      </c>
      <c r="T137" s="92" cm="1">
        <f t="array" ref="T137">maxDepthToMinSOC($L$8,$L$9,$L$6,$L$7,$O137,$G$5,$G$6,drivePower($C$4,$M137,$G137,$C$10,$C$11),$I137,$G137,$G$4,$C$8)</f>
        <v>20402.400810718536</v>
      </c>
      <c r="U137" s="12" cm="1">
        <f t="array" ref="U137">maxDepthToMinSOC($L$8,$L$9,P137,Q137,$O137,$G$5,$G$6,drivePower($C$4,$M137,$G137,$C$10,$C$11),$I137,$G137,$G$4,$C$8)</f>
        <v>8088.6003214120865</v>
      </c>
      <c r="V137" s="93">
        <f t="shared" si="13"/>
        <v>14245.500566065311</v>
      </c>
    </row>
    <row r="138" spans="7:22" x14ac:dyDescent="0.35">
      <c r="G138" s="59">
        <f t="shared" si="1"/>
        <v>0.5</v>
      </c>
      <c r="H138" s="64">
        <v>25</v>
      </c>
      <c r="I138" s="84">
        <f t="shared" si="14"/>
        <v>25</v>
      </c>
      <c r="J138" s="84">
        <v>50</v>
      </c>
      <c r="K138" s="60">
        <f t="shared" si="15"/>
        <v>266200</v>
      </c>
      <c r="L138" s="59">
        <f t="shared" si="11"/>
        <v>14.28</v>
      </c>
      <c r="M138" s="64">
        <f t="shared" si="12"/>
        <v>24.28</v>
      </c>
      <c r="N138" s="64" cm="1">
        <f t="array" ref="N138">drivePower($C$4,M138,$C$9,$C$10,$C$11)</f>
        <v>33.928200000000004</v>
      </c>
      <c r="O138" s="86">
        <f t="shared" si="10"/>
        <v>17728.920000000002</v>
      </c>
      <c r="P138" s="90">
        <f t="shared" si="4"/>
        <v>-1.5000000000000001E-4</v>
      </c>
      <c r="Q138" s="91">
        <f t="shared" si="5"/>
        <v>0.82280000000000009</v>
      </c>
      <c r="R138" s="98">
        <v>0.15</v>
      </c>
      <c r="S138" s="95">
        <f t="shared" si="16"/>
        <v>266200</v>
      </c>
      <c r="T138" s="92" cm="1">
        <f t="array" ref="T138">maxDepthToMinSOC($L$8,$L$9,$L$6,$L$7,$O138,$G$5,$G$6,drivePower($C$4,$M138,$G138,$C$10,$C$11),$I138,$G138,$G$4,$C$8)</f>
        <v>20448.000812530518</v>
      </c>
      <c r="U138" s="12" cm="1">
        <f t="array" ref="U138">maxDepthToMinSOC($L$8,$L$9,P138,Q138,$O138,$G$5,$G$6,drivePower($C$4,$M138,$G138,$C$10,$C$11),$I138,$G138,$G$4,$C$8)</f>
        <v>8097.0003217458725</v>
      </c>
      <c r="V138" s="93">
        <f t="shared" si="13"/>
        <v>14272.500567138195</v>
      </c>
    </row>
    <row r="139" spans="7:22" x14ac:dyDescent="0.35">
      <c r="G139" s="59">
        <f t="shared" si="1"/>
        <v>0.5</v>
      </c>
      <c r="H139" s="64">
        <v>25</v>
      </c>
      <c r="I139" s="84">
        <f t="shared" si="14"/>
        <v>25</v>
      </c>
      <c r="J139" s="84">
        <v>50</v>
      </c>
      <c r="K139" s="60">
        <f t="shared" si="15"/>
        <v>268400</v>
      </c>
      <c r="L139" s="59">
        <f t="shared" si="11"/>
        <v>14.4</v>
      </c>
      <c r="M139" s="64">
        <f t="shared" si="12"/>
        <v>24.4</v>
      </c>
      <c r="N139" s="64" cm="1">
        <f t="array" ref="N139">drivePower($C$4,M139,$C$9,$C$10,$C$11)</f>
        <v>34.085999999999999</v>
      </c>
      <c r="O139" s="86">
        <f t="shared" si="10"/>
        <v>17875.439999999999</v>
      </c>
      <c r="P139" s="90">
        <f t="shared" si="4"/>
        <v>-1.5000000000000001E-4</v>
      </c>
      <c r="Q139" s="91">
        <f t="shared" si="5"/>
        <v>0.82280000000000009</v>
      </c>
      <c r="R139" s="98">
        <v>0.15</v>
      </c>
      <c r="S139" s="95">
        <f t="shared" si="16"/>
        <v>268400</v>
      </c>
      <c r="T139" s="92" cm="1">
        <f t="array" ref="T139">maxDepthToMinSOC($L$8,$L$9,$L$6,$L$7,$O139,$G$5,$G$6,drivePower($C$4,$M139,$G139,$C$10,$C$11),$I139,$G139,$G$4,$C$8)</f>
        <v>20493.000814318657</v>
      </c>
      <c r="U139" s="12" cm="1">
        <f t="array" ref="U139">maxDepthToMinSOC($L$8,$L$9,P139,Q139,$O139,$G$5,$G$6,drivePower($C$4,$M139,$G139,$C$10,$C$11),$I139,$G139,$G$4,$C$8)</f>
        <v>8105.250322073698</v>
      </c>
      <c r="V139" s="93">
        <f t="shared" si="13"/>
        <v>14299.125568196177</v>
      </c>
    </row>
    <row r="140" spans="7:22" x14ac:dyDescent="0.35">
      <c r="G140" s="59">
        <f t="shared" si="1"/>
        <v>0.5</v>
      </c>
      <c r="H140" s="64">
        <v>25</v>
      </c>
      <c r="I140" s="84">
        <f t="shared" si="14"/>
        <v>25</v>
      </c>
      <c r="J140" s="84">
        <v>50</v>
      </c>
      <c r="K140" s="60">
        <f t="shared" si="15"/>
        <v>270600</v>
      </c>
      <c r="L140" s="59">
        <f t="shared" si="11"/>
        <v>14.52</v>
      </c>
      <c r="M140" s="64">
        <f t="shared" si="12"/>
        <v>24.52</v>
      </c>
      <c r="N140" s="64" cm="1">
        <f t="array" ref="N140">drivePower($C$4,M140,$C$9,$C$10,$C$11)</f>
        <v>34.2438</v>
      </c>
      <c r="O140" s="86">
        <f t="shared" si="10"/>
        <v>18021.96</v>
      </c>
      <c r="P140" s="90">
        <f t="shared" si="4"/>
        <v>-1.5000000000000001E-4</v>
      </c>
      <c r="Q140" s="91">
        <f t="shared" si="5"/>
        <v>0.82280000000000009</v>
      </c>
      <c r="R140" s="98">
        <v>0.15</v>
      </c>
      <c r="S140" s="95">
        <f t="shared" si="16"/>
        <v>270600</v>
      </c>
      <c r="T140" s="92" cm="1">
        <f t="array" ref="T140">maxDepthToMinSOC($L$8,$L$9,$L$6,$L$7,$O140,$G$5,$G$6,drivePower($C$4,$M140,$G140,$C$10,$C$11),$I140,$G140,$G$4,$C$8)</f>
        <v>20537.550816088915</v>
      </c>
      <c r="U140" s="12" cm="1">
        <f t="array" ref="U140">maxDepthToMinSOC($L$8,$L$9,P140,Q140,$O140,$G$5,$G$6,drivePower($C$4,$M140,$G140,$C$10,$C$11),$I140,$G140,$G$4,$C$8)</f>
        <v>8113.3503223955631</v>
      </c>
      <c r="V140" s="93">
        <f t="shared" si="13"/>
        <v>14325.450569242239</v>
      </c>
    </row>
    <row r="141" spans="7:22" x14ac:dyDescent="0.35">
      <c r="G141" s="59">
        <f t="shared" si="1"/>
        <v>0.5</v>
      </c>
      <c r="H141" s="64">
        <v>25</v>
      </c>
      <c r="I141" s="84">
        <f t="shared" si="14"/>
        <v>25</v>
      </c>
      <c r="J141" s="84">
        <v>50</v>
      </c>
      <c r="K141" s="60">
        <f t="shared" si="15"/>
        <v>272800</v>
      </c>
      <c r="L141" s="59">
        <f t="shared" si="11"/>
        <v>14.64</v>
      </c>
      <c r="M141" s="64">
        <f t="shared" si="12"/>
        <v>24.64</v>
      </c>
      <c r="N141" s="64" cm="1">
        <f t="array" ref="N141">drivePower($C$4,M141,$C$9,$C$10,$C$11)</f>
        <v>34.401600000000002</v>
      </c>
      <c r="O141" s="86">
        <f t="shared" si="10"/>
        <v>18168.48</v>
      </c>
      <c r="P141" s="90">
        <f t="shared" si="4"/>
        <v>-1.5000000000000001E-4</v>
      </c>
      <c r="Q141" s="91">
        <f t="shared" si="5"/>
        <v>0.82280000000000009</v>
      </c>
      <c r="R141" s="98">
        <v>0.15</v>
      </c>
      <c r="S141" s="95">
        <f t="shared" si="16"/>
        <v>272800</v>
      </c>
      <c r="T141" s="92" cm="1">
        <f t="array" ref="T141">maxDepthToMinSOC($L$8,$L$9,$L$6,$L$7,$O141,$G$5,$G$6,drivePower($C$4,$M141,$G141,$C$10,$C$11),$I141,$G141,$G$4,$C$8)</f>
        <v>20581.500817835331</v>
      </c>
      <c r="U141" s="12" cm="1">
        <f t="array" ref="U141">maxDepthToMinSOC($L$8,$L$9,P141,Q141,$O141,$G$5,$G$6,drivePower($C$4,$M141,$G141,$C$10,$C$11),$I141,$G141,$G$4,$C$8)</f>
        <v>8121.3003227114677</v>
      </c>
      <c r="V141" s="93">
        <f t="shared" si="13"/>
        <v>14351.400570273399</v>
      </c>
    </row>
    <row r="142" spans="7:22" x14ac:dyDescent="0.35">
      <c r="G142" s="59">
        <f t="shared" si="1"/>
        <v>0.5</v>
      </c>
      <c r="H142" s="64">
        <v>25</v>
      </c>
      <c r="I142" s="84">
        <f t="shared" si="14"/>
        <v>25</v>
      </c>
      <c r="J142" s="84">
        <v>50</v>
      </c>
      <c r="K142" s="60">
        <f t="shared" si="15"/>
        <v>275000</v>
      </c>
      <c r="L142" s="59">
        <f t="shared" si="11"/>
        <v>14.76</v>
      </c>
      <c r="M142" s="64">
        <f t="shared" si="12"/>
        <v>24.759999999999998</v>
      </c>
      <c r="N142" s="64" cm="1">
        <f t="array" ref="N142">drivePower($C$4,M142,$C$9,$C$10,$C$11)</f>
        <v>34.559399999999997</v>
      </c>
      <c r="O142" s="86">
        <f t="shared" si="10"/>
        <v>18315</v>
      </c>
      <c r="P142" s="90">
        <f t="shared" si="4"/>
        <v>-1.5000000000000001E-4</v>
      </c>
      <c r="Q142" s="91">
        <f t="shared" si="5"/>
        <v>0.82280000000000009</v>
      </c>
      <c r="R142" s="98">
        <v>0.15</v>
      </c>
      <c r="S142" s="95">
        <f t="shared" si="16"/>
        <v>275000</v>
      </c>
      <c r="T142" s="92" cm="1">
        <f t="array" ref="T142">maxDepthToMinSOC($L$8,$L$9,$L$6,$L$7,$O142,$G$5,$G$6,drivePower($C$4,$M142,$G142,$C$10,$C$11),$I142,$G142,$G$4,$C$8)</f>
        <v>20624.850819557905</v>
      </c>
      <c r="U142" s="12" cm="1">
        <f t="array" ref="U142">maxDepthToMinSOC($L$8,$L$9,P142,Q142,$O142,$G$5,$G$6,drivePower($C$4,$M142,$G142,$C$10,$C$11),$I142,$G142,$G$4,$C$8)</f>
        <v>8129.2503230273724</v>
      </c>
      <c r="V142" s="93">
        <f t="shared" si="13"/>
        <v>14377.050571292639</v>
      </c>
    </row>
    <row r="143" spans="7:22" x14ac:dyDescent="0.35">
      <c r="G143" s="59">
        <f t="shared" si="1"/>
        <v>0.5</v>
      </c>
      <c r="H143" s="64">
        <v>25</v>
      </c>
      <c r="I143" s="84">
        <f t="shared" si="14"/>
        <v>25</v>
      </c>
      <c r="J143" s="84">
        <v>50</v>
      </c>
      <c r="K143" s="60">
        <f t="shared" si="15"/>
        <v>277200</v>
      </c>
      <c r="L143" s="59">
        <f t="shared" si="11"/>
        <v>14.88</v>
      </c>
      <c r="M143" s="64">
        <f t="shared" si="12"/>
        <v>24.880000000000003</v>
      </c>
      <c r="N143" s="64" cm="1">
        <f t="array" ref="N143">drivePower($C$4,M143,$C$9,$C$10,$C$11)</f>
        <v>34.717200000000005</v>
      </c>
      <c r="O143" s="86">
        <f t="shared" si="10"/>
        <v>18461.52</v>
      </c>
      <c r="P143" s="90">
        <f t="shared" si="4"/>
        <v>-1.5000000000000001E-4</v>
      </c>
      <c r="Q143" s="91">
        <f t="shared" si="5"/>
        <v>0.82280000000000009</v>
      </c>
      <c r="R143" s="98">
        <v>0.15</v>
      </c>
      <c r="S143" s="95">
        <f t="shared" si="16"/>
        <v>277200</v>
      </c>
      <c r="T143" s="92" cm="1">
        <f t="array" ref="T143">maxDepthToMinSOC($L$8,$L$9,$L$6,$L$7,$O143,$G$5,$G$6,drivePower($C$4,$M143,$G143,$C$10,$C$11),$I143,$G143,$G$4,$C$8)</f>
        <v>20667.750821262598</v>
      </c>
      <c r="U143" s="12" cm="1">
        <f t="array" ref="U143">maxDepthToMinSOC($L$8,$L$9,P143,Q143,$O143,$G$5,$G$6,drivePower($C$4,$M143,$G143,$C$10,$C$11),$I143,$G143,$G$4,$C$8)</f>
        <v>8137.0503233373165</v>
      </c>
      <c r="V143" s="93">
        <f t="shared" si="13"/>
        <v>14402.400572299957</v>
      </c>
    </row>
    <row r="144" spans="7:22" x14ac:dyDescent="0.35">
      <c r="G144" s="59">
        <f t="shared" si="1"/>
        <v>0.5</v>
      </c>
      <c r="H144" s="64">
        <v>25</v>
      </c>
      <c r="I144" s="84">
        <f t="shared" si="14"/>
        <v>25</v>
      </c>
      <c r="J144" s="84">
        <v>50</v>
      </c>
      <c r="K144" s="60">
        <f t="shared" si="15"/>
        <v>279400</v>
      </c>
      <c r="L144" s="59">
        <f t="shared" si="11"/>
        <v>15</v>
      </c>
      <c r="M144" s="64">
        <f t="shared" si="12"/>
        <v>25</v>
      </c>
      <c r="N144" s="64" cm="1">
        <f t="array" ref="N144">drivePower($C$4,M144,$C$9,$C$10,$C$11)</f>
        <v>34.875</v>
      </c>
      <c r="O144" s="86">
        <f t="shared" si="10"/>
        <v>18608.04</v>
      </c>
      <c r="P144" s="90">
        <f t="shared" si="4"/>
        <v>-1.5000000000000001E-4</v>
      </c>
      <c r="Q144" s="91">
        <f t="shared" si="5"/>
        <v>0.82280000000000009</v>
      </c>
      <c r="R144" s="98">
        <v>0.15</v>
      </c>
      <c r="S144" s="95">
        <f t="shared" si="16"/>
        <v>279400</v>
      </c>
      <c r="T144" s="92" cm="1">
        <f t="array" ref="T144">maxDepthToMinSOC($L$8,$L$9,$L$6,$L$7,$O144,$G$5,$G$6,drivePower($C$4,$M144,$G144,$C$10,$C$11),$I144,$G144,$G$4,$C$8)</f>
        <v>20710.200822949409</v>
      </c>
      <c r="U144" s="12" cm="1">
        <f t="array" ref="U144">maxDepthToMinSOC($L$8,$L$9,P144,Q144,$O144,$G$5,$G$6,drivePower($C$4,$M144,$G144,$C$10,$C$11),$I144,$G144,$G$4,$C$8)</f>
        <v>8144.7003236413002</v>
      </c>
      <c r="V144" s="93">
        <f t="shared" si="13"/>
        <v>14427.450573295355</v>
      </c>
    </row>
    <row r="145" spans="7:22" x14ac:dyDescent="0.35">
      <c r="G145" s="59">
        <f t="shared" si="1"/>
        <v>0.5</v>
      </c>
      <c r="H145" s="64">
        <v>25</v>
      </c>
      <c r="I145" s="84">
        <f t="shared" si="14"/>
        <v>25</v>
      </c>
      <c r="J145" s="84">
        <v>50</v>
      </c>
      <c r="K145" s="60">
        <f t="shared" si="15"/>
        <v>281600</v>
      </c>
      <c r="L145" s="59">
        <f t="shared" si="11"/>
        <v>15.12</v>
      </c>
      <c r="M145" s="64">
        <f t="shared" si="12"/>
        <v>25.119999999999997</v>
      </c>
      <c r="N145" s="64" cm="1">
        <f t="array" ref="N145">drivePower($C$4,M145,$C$9,$C$10,$C$11)</f>
        <v>35.032799999999995</v>
      </c>
      <c r="O145" s="86">
        <f t="shared" si="10"/>
        <v>18754.560000000001</v>
      </c>
      <c r="P145" s="90">
        <f t="shared" si="4"/>
        <v>-1.5000000000000001E-4</v>
      </c>
      <c r="Q145" s="91">
        <f t="shared" si="5"/>
        <v>0.82280000000000009</v>
      </c>
      <c r="R145" s="98">
        <v>0.15</v>
      </c>
      <c r="S145" s="95">
        <f t="shared" si="16"/>
        <v>281600</v>
      </c>
      <c r="T145" s="92" cm="1">
        <f t="array" ref="T145">maxDepthToMinSOC($L$8,$L$9,$L$6,$L$7,$O145,$G$5,$G$6,drivePower($C$4,$M145,$G145,$C$10,$C$11),$I145,$G145,$G$4,$C$8)</f>
        <v>20752.050824612379</v>
      </c>
      <c r="U145" s="12" cm="1">
        <f t="array" ref="U145">maxDepthToMinSOC($L$8,$L$9,P145,Q145,$O145,$G$5,$G$6,drivePower($C$4,$M145,$G145,$C$10,$C$11),$I145,$G145,$G$4,$C$8)</f>
        <v>8152.2003239393234</v>
      </c>
      <c r="V145" s="93">
        <f t="shared" si="13"/>
        <v>14452.125574275851</v>
      </c>
    </row>
    <row r="146" spans="7:22" x14ac:dyDescent="0.35">
      <c r="G146" s="59">
        <f t="shared" si="1"/>
        <v>0.5</v>
      </c>
      <c r="H146" s="64">
        <v>25</v>
      </c>
      <c r="I146" s="84">
        <f t="shared" si="14"/>
        <v>25</v>
      </c>
      <c r="J146" s="84">
        <v>50</v>
      </c>
      <c r="K146" s="60">
        <f t="shared" si="15"/>
        <v>283800</v>
      </c>
      <c r="L146" s="59">
        <f t="shared" si="11"/>
        <v>15.24</v>
      </c>
      <c r="M146" s="64">
        <f t="shared" si="12"/>
        <v>25.240000000000002</v>
      </c>
      <c r="N146" s="64" cm="1">
        <f t="array" ref="N146">drivePower($C$4,M146,$C$9,$C$10,$C$11)</f>
        <v>35.190600000000003</v>
      </c>
      <c r="O146" s="86">
        <f t="shared" ref="O146:O209" si="17">K146*3.6/1000*$L$4</f>
        <v>18901.079999999998</v>
      </c>
      <c r="P146" s="90">
        <f t="shared" si="4"/>
        <v>-1.5000000000000001E-4</v>
      </c>
      <c r="Q146" s="91">
        <f t="shared" si="5"/>
        <v>0.82280000000000009</v>
      </c>
      <c r="R146" s="98">
        <v>0.15</v>
      </c>
      <c r="S146" s="95">
        <f t="shared" si="16"/>
        <v>283800</v>
      </c>
      <c r="T146" s="92" cm="1">
        <f t="array" ref="T146">maxDepthToMinSOC($L$8,$L$9,$L$6,$L$7,$O146,$G$5,$G$6,drivePower($C$4,$M146,$G146,$C$10,$C$11),$I146,$G146,$G$4,$C$8)</f>
        <v>20793.450826257467</v>
      </c>
      <c r="U146" s="12" cm="1">
        <f t="array" ref="U146">maxDepthToMinSOC($L$8,$L$9,P146,Q146,$O146,$G$5,$G$6,drivePower($C$4,$M146,$G146,$C$10,$C$11),$I146,$G146,$G$4,$C$8)</f>
        <v>8159.7003242373466</v>
      </c>
      <c r="V146" s="93">
        <f t="shared" si="13"/>
        <v>14476.575575247407</v>
      </c>
    </row>
    <row r="147" spans="7:22" x14ac:dyDescent="0.35">
      <c r="G147" s="59">
        <f t="shared" si="1"/>
        <v>0.5</v>
      </c>
      <c r="H147" s="64">
        <v>25</v>
      </c>
      <c r="I147" s="84">
        <f t="shared" si="14"/>
        <v>25</v>
      </c>
      <c r="J147" s="84">
        <v>50</v>
      </c>
      <c r="K147" s="60">
        <f t="shared" si="15"/>
        <v>286000</v>
      </c>
      <c r="L147" s="59">
        <f t="shared" ref="L147:L210" si="18">(K147-4400)*(5*0.048)/4400</f>
        <v>15.36</v>
      </c>
      <c r="M147" s="64">
        <f t="shared" ref="M147:M210" si="19">$C$5+L147</f>
        <v>25.36</v>
      </c>
      <c r="N147" s="64" cm="1">
        <f t="array" ref="N147">drivePower($C$4,M147,$C$9,$C$10,$C$11)</f>
        <v>35.348399999999998</v>
      </c>
      <c r="O147" s="86">
        <f t="shared" si="17"/>
        <v>19047.599999999999</v>
      </c>
      <c r="P147" s="90">
        <f t="shared" si="4"/>
        <v>-1.5000000000000001E-4</v>
      </c>
      <c r="Q147" s="91">
        <f t="shared" si="5"/>
        <v>0.82280000000000009</v>
      </c>
      <c r="R147" s="98">
        <v>0.15</v>
      </c>
      <c r="S147" s="95">
        <f t="shared" si="16"/>
        <v>286000</v>
      </c>
      <c r="T147" s="92" cm="1">
        <f t="array" ref="T147">maxDepthToMinSOC($L$8,$L$9,$L$6,$L$7,$O147,$G$5,$G$6,drivePower($C$4,$M147,$G147,$C$10,$C$11),$I147,$G147,$G$4,$C$8)</f>
        <v>20834.400827884674</v>
      </c>
      <c r="U147" s="12" cm="1">
        <f t="array" ref="U147">maxDepthToMinSOC($L$8,$L$9,P147,Q147,$O147,$G$5,$G$6,drivePower($C$4,$M147,$G147,$C$10,$C$11),$I147,$G147,$G$4,$C$8)</f>
        <v>8167.0503245294094</v>
      </c>
      <c r="V147" s="93">
        <f t="shared" ref="V147:V210" si="20">AVERAGE(T147:U147)</f>
        <v>14500.725576207042</v>
      </c>
    </row>
    <row r="148" spans="7:22" x14ac:dyDescent="0.35">
      <c r="G148" s="59">
        <f t="shared" si="1"/>
        <v>0.5</v>
      </c>
      <c r="H148" s="64">
        <v>25</v>
      </c>
      <c r="I148" s="84">
        <f t="shared" ref="I148:I211" si="21">I147</f>
        <v>25</v>
      </c>
      <c r="J148" s="84">
        <v>50</v>
      </c>
      <c r="K148" s="60">
        <f t="shared" si="15"/>
        <v>288200</v>
      </c>
      <c r="L148" s="59">
        <f t="shared" si="18"/>
        <v>15.48</v>
      </c>
      <c r="M148" s="64">
        <f t="shared" si="19"/>
        <v>25.48</v>
      </c>
      <c r="N148" s="64" cm="1">
        <f t="array" ref="N148">drivePower($C$4,M148,$C$9,$C$10,$C$11)</f>
        <v>35.5062</v>
      </c>
      <c r="O148" s="86">
        <f t="shared" si="17"/>
        <v>19194.12</v>
      </c>
      <c r="P148" s="90">
        <f t="shared" si="4"/>
        <v>-1.5000000000000001E-4</v>
      </c>
      <c r="Q148" s="91">
        <f t="shared" si="5"/>
        <v>0.82280000000000009</v>
      </c>
      <c r="R148" s="98">
        <v>0.15</v>
      </c>
      <c r="S148" s="95">
        <f t="shared" si="16"/>
        <v>288200</v>
      </c>
      <c r="T148" s="92" cm="1">
        <f t="array" ref="T148">maxDepthToMinSOC($L$8,$L$9,$L$6,$L$7,$O148,$G$5,$G$6,drivePower($C$4,$M148,$G148,$C$10,$C$11),$I148,$G148,$G$4,$C$8)</f>
        <v>20874.900829493999</v>
      </c>
      <c r="U148" s="12" cm="1">
        <f t="array" ref="U148">maxDepthToMinSOC($L$8,$L$9,P148,Q148,$O148,$G$5,$G$6,drivePower($C$4,$M148,$G148,$C$10,$C$11),$I148,$G148,$G$4,$C$8)</f>
        <v>8174.2503248155117</v>
      </c>
      <c r="V148" s="93">
        <f t="shared" si="20"/>
        <v>14524.575577154756</v>
      </c>
    </row>
    <row r="149" spans="7:22" x14ac:dyDescent="0.35">
      <c r="G149" s="59">
        <f t="shared" si="1"/>
        <v>0.5</v>
      </c>
      <c r="H149" s="64">
        <v>25</v>
      </c>
      <c r="I149" s="84">
        <f t="shared" si="21"/>
        <v>25</v>
      </c>
      <c r="J149" s="84">
        <v>50</v>
      </c>
      <c r="K149" s="60">
        <f t="shared" si="15"/>
        <v>290400</v>
      </c>
      <c r="L149" s="59">
        <f t="shared" si="18"/>
        <v>15.6</v>
      </c>
      <c r="M149" s="64">
        <f t="shared" si="19"/>
        <v>25.6</v>
      </c>
      <c r="N149" s="64" cm="1">
        <f t="array" ref="N149">drivePower($C$4,M149,$C$9,$C$10,$C$11)</f>
        <v>35.664000000000001</v>
      </c>
      <c r="O149" s="86">
        <f t="shared" si="17"/>
        <v>19340.64</v>
      </c>
      <c r="P149" s="90">
        <f t="shared" si="4"/>
        <v>-1.5000000000000001E-4</v>
      </c>
      <c r="Q149" s="91">
        <f t="shared" si="5"/>
        <v>0.82280000000000009</v>
      </c>
      <c r="R149" s="98">
        <v>0.15</v>
      </c>
      <c r="S149" s="95">
        <f t="shared" si="16"/>
        <v>290400</v>
      </c>
      <c r="T149" s="92" cm="1">
        <f t="array" ref="T149">maxDepthToMinSOC($L$8,$L$9,$L$6,$L$7,$O149,$G$5,$G$6,drivePower($C$4,$M149,$G149,$C$10,$C$11),$I149,$G149,$G$4,$C$8)</f>
        <v>20914.950831085443</v>
      </c>
      <c r="U149" s="12" cm="1">
        <f t="array" ref="U149">maxDepthToMinSOC($L$8,$L$9,P149,Q149,$O149,$G$5,$G$6,drivePower($C$4,$M149,$G149,$C$10,$C$11),$I149,$G149,$G$4,$C$8)</f>
        <v>8181.450325101614</v>
      </c>
      <c r="V149" s="93">
        <f t="shared" si="20"/>
        <v>14548.200578093529</v>
      </c>
    </row>
    <row r="150" spans="7:22" x14ac:dyDescent="0.35">
      <c r="G150" s="59">
        <f t="shared" si="1"/>
        <v>0.5</v>
      </c>
      <c r="H150" s="64">
        <v>25</v>
      </c>
      <c r="I150" s="84">
        <f t="shared" si="21"/>
        <v>25</v>
      </c>
      <c r="J150" s="84">
        <v>50</v>
      </c>
      <c r="K150" s="60">
        <f t="shared" si="15"/>
        <v>292600</v>
      </c>
      <c r="L150" s="59">
        <f t="shared" si="18"/>
        <v>15.72</v>
      </c>
      <c r="M150" s="64">
        <f t="shared" si="19"/>
        <v>25.72</v>
      </c>
      <c r="N150" s="64" cm="1">
        <f t="array" ref="N150">drivePower($C$4,M150,$C$9,$C$10,$C$11)</f>
        <v>35.821799999999996</v>
      </c>
      <c r="O150" s="86">
        <f t="shared" si="17"/>
        <v>19487.16</v>
      </c>
      <c r="P150" s="90">
        <f t="shared" si="4"/>
        <v>-1.5000000000000001E-4</v>
      </c>
      <c r="Q150" s="91">
        <f t="shared" si="5"/>
        <v>0.82280000000000009</v>
      </c>
      <c r="R150" s="98">
        <v>0.15</v>
      </c>
      <c r="S150" s="95">
        <f t="shared" si="16"/>
        <v>292600</v>
      </c>
      <c r="T150" s="92" cm="1">
        <f t="array" ref="T150">maxDepthToMinSOC($L$8,$L$9,$L$6,$L$7,$O150,$G$5,$G$6,drivePower($C$4,$M150,$G150,$C$10,$C$11),$I150,$G150,$G$4,$C$8)</f>
        <v>20954.550832659006</v>
      </c>
      <c r="U150" s="12" cm="1">
        <f t="array" ref="U150">maxDepthToMinSOC($L$8,$L$9,P150,Q150,$O150,$G$5,$G$6,drivePower($C$4,$M150,$G150,$C$10,$C$11),$I150,$G150,$G$4,$C$8)</f>
        <v>8188.5003253817558</v>
      </c>
      <c r="V150" s="93">
        <f t="shared" si="20"/>
        <v>14571.525579020381</v>
      </c>
    </row>
    <row r="151" spans="7:22" x14ac:dyDescent="0.35">
      <c r="G151" s="59">
        <f t="shared" si="1"/>
        <v>0.5</v>
      </c>
      <c r="H151" s="64">
        <v>25</v>
      </c>
      <c r="I151" s="84">
        <f t="shared" si="21"/>
        <v>25</v>
      </c>
      <c r="J151" s="84">
        <v>50</v>
      </c>
      <c r="K151" s="60">
        <f t="shared" ref="K151:K212" si="22">K150+2200</f>
        <v>294800</v>
      </c>
      <c r="L151" s="59">
        <f t="shared" si="18"/>
        <v>15.84</v>
      </c>
      <c r="M151" s="64">
        <f t="shared" si="19"/>
        <v>25.84</v>
      </c>
      <c r="N151" s="64" cm="1">
        <f t="array" ref="N151">drivePower($C$4,M151,$C$9,$C$10,$C$11)</f>
        <v>35.979599999999998</v>
      </c>
      <c r="O151" s="86">
        <f t="shared" si="17"/>
        <v>19633.68</v>
      </c>
      <c r="P151" s="90">
        <f t="shared" si="4"/>
        <v>-1.5000000000000001E-4</v>
      </c>
      <c r="Q151" s="91">
        <f t="shared" si="5"/>
        <v>0.82280000000000009</v>
      </c>
      <c r="R151" s="98">
        <v>0.15</v>
      </c>
      <c r="S151" s="95">
        <f t="shared" ref="S151:S212" si="23">S150+2200</f>
        <v>294800</v>
      </c>
      <c r="T151" s="92" cm="1">
        <f t="array" ref="T151">maxDepthToMinSOC($L$8,$L$9,$L$6,$L$7,$O151,$G$5,$G$6,drivePower($C$4,$M151,$G151,$C$10,$C$11),$I151,$G151,$G$4,$C$8)</f>
        <v>20993.550834208727</v>
      </c>
      <c r="U151" s="12" cm="1">
        <f t="array" ref="U151">maxDepthToMinSOC($L$8,$L$9,P151,Q151,$O151,$G$5,$G$6,drivePower($C$4,$M151,$G151,$C$10,$C$11),$I151,$G151,$G$4,$C$8)</f>
        <v>8195.5503256618977</v>
      </c>
      <c r="V151" s="93">
        <f t="shared" si="20"/>
        <v>14594.550579935312</v>
      </c>
    </row>
    <row r="152" spans="7:22" x14ac:dyDescent="0.35">
      <c r="G152" s="59">
        <f t="shared" si="1"/>
        <v>0.5</v>
      </c>
      <c r="H152" s="64">
        <v>25</v>
      </c>
      <c r="I152" s="84">
        <f t="shared" si="21"/>
        <v>25</v>
      </c>
      <c r="J152" s="84">
        <v>50</v>
      </c>
      <c r="K152" s="60">
        <f t="shared" si="22"/>
        <v>297000</v>
      </c>
      <c r="L152" s="59">
        <f t="shared" si="18"/>
        <v>15.96</v>
      </c>
      <c r="M152" s="64">
        <f t="shared" si="19"/>
        <v>25.96</v>
      </c>
      <c r="N152" s="64" cm="1">
        <f t="array" ref="N152">drivePower($C$4,M152,$C$9,$C$10,$C$11)</f>
        <v>36.1374</v>
      </c>
      <c r="O152" s="86">
        <f t="shared" si="17"/>
        <v>19780.2</v>
      </c>
      <c r="P152" s="90">
        <f t="shared" si="4"/>
        <v>-1.5000000000000001E-4</v>
      </c>
      <c r="Q152" s="91">
        <f t="shared" si="5"/>
        <v>0.82280000000000009</v>
      </c>
      <c r="R152" s="98">
        <v>0.15</v>
      </c>
      <c r="S152" s="95">
        <f t="shared" si="23"/>
        <v>297000</v>
      </c>
      <c r="T152" s="92" cm="1">
        <f t="array" ref="T152">maxDepthToMinSOC($L$8,$L$9,$L$6,$L$7,$O152,$G$5,$G$6,drivePower($C$4,$M152,$G152,$C$10,$C$11),$I152,$G152,$G$4,$C$8)</f>
        <v>21032.250835746527</v>
      </c>
      <c r="U152" s="12" cm="1">
        <f t="array" ref="U152">maxDepthToMinSOC($L$8,$L$9,P152,Q152,$O152,$G$5,$G$6,drivePower($C$4,$M152,$G152,$C$10,$C$11),$I152,$G152,$G$4,$C$8)</f>
        <v>8202.3003259301186</v>
      </c>
      <c r="V152" s="93">
        <f t="shared" si="20"/>
        <v>14617.275580838323</v>
      </c>
    </row>
    <row r="153" spans="7:22" x14ac:dyDescent="0.35">
      <c r="G153" s="59">
        <f t="shared" si="1"/>
        <v>0.5</v>
      </c>
      <c r="H153" s="64">
        <v>25</v>
      </c>
      <c r="I153" s="84">
        <f t="shared" si="21"/>
        <v>25</v>
      </c>
      <c r="J153" s="84">
        <v>50</v>
      </c>
      <c r="K153" s="60">
        <f t="shared" si="22"/>
        <v>299200</v>
      </c>
      <c r="L153" s="59">
        <f t="shared" si="18"/>
        <v>16.079999999999998</v>
      </c>
      <c r="M153" s="64">
        <f t="shared" si="19"/>
        <v>26.08</v>
      </c>
      <c r="N153" s="64" cm="1">
        <f t="array" ref="N153">drivePower($C$4,M153,$C$9,$C$10,$C$11)</f>
        <v>36.295199999999994</v>
      </c>
      <c r="O153" s="86">
        <f t="shared" si="17"/>
        <v>19926.719999999998</v>
      </c>
      <c r="P153" s="90">
        <f t="shared" si="4"/>
        <v>-1.5000000000000001E-4</v>
      </c>
      <c r="Q153" s="91">
        <f t="shared" si="5"/>
        <v>0.82280000000000009</v>
      </c>
      <c r="R153" s="98">
        <v>0.15</v>
      </c>
      <c r="S153" s="95">
        <f t="shared" si="23"/>
        <v>299200</v>
      </c>
      <c r="T153" s="92" cm="1">
        <f t="array" ref="T153">maxDepthToMinSOC($L$8,$L$9,$L$6,$L$7,$O153,$G$5,$G$6,drivePower($C$4,$M153,$G153,$C$10,$C$11),$I153,$G153,$G$4,$C$8)</f>
        <v>21070.500837266445</v>
      </c>
      <c r="U153" s="12" cm="1">
        <f t="array" ref="U153">maxDepthToMinSOC($L$8,$L$9,P153,Q153,$O153,$G$5,$G$6,drivePower($C$4,$M153,$G153,$C$10,$C$11),$I153,$G153,$G$4,$C$8)</f>
        <v>8209.2003262042999</v>
      </c>
      <c r="V153" s="93">
        <f t="shared" si="20"/>
        <v>14639.850581735373</v>
      </c>
    </row>
    <row r="154" spans="7:22" x14ac:dyDescent="0.35">
      <c r="G154" s="59">
        <f t="shared" si="1"/>
        <v>0.5</v>
      </c>
      <c r="H154" s="64">
        <v>25</v>
      </c>
      <c r="I154" s="84">
        <f t="shared" si="21"/>
        <v>25</v>
      </c>
      <c r="J154" s="84">
        <v>50</v>
      </c>
      <c r="K154" s="60">
        <f t="shared" si="22"/>
        <v>301400</v>
      </c>
      <c r="L154" s="59">
        <f t="shared" si="18"/>
        <v>16.2</v>
      </c>
      <c r="M154" s="64">
        <f t="shared" si="19"/>
        <v>26.2</v>
      </c>
      <c r="N154" s="64" cm="1">
        <f t="array" ref="N154">drivePower($C$4,M154,$C$9,$C$10,$C$11)</f>
        <v>36.452999999999996</v>
      </c>
      <c r="O154" s="86">
        <f t="shared" si="17"/>
        <v>20073.239999999998</v>
      </c>
      <c r="P154" s="90">
        <f t="shared" si="4"/>
        <v>-1.5000000000000001E-4</v>
      </c>
      <c r="Q154" s="91">
        <f t="shared" si="5"/>
        <v>0.82280000000000009</v>
      </c>
      <c r="R154" s="98">
        <v>0.15</v>
      </c>
      <c r="S154" s="95">
        <f t="shared" si="23"/>
        <v>301400</v>
      </c>
      <c r="T154" s="92" cm="1">
        <f t="array" ref="T154">maxDepthToMinSOC($L$8,$L$9,$L$6,$L$7,$O154,$G$5,$G$6,drivePower($C$4,$M154,$G154,$C$10,$C$11),$I154,$G154,$G$4,$C$8)</f>
        <v>21108.300838768482</v>
      </c>
      <c r="U154" s="12" cm="1">
        <f t="array" ref="U154">maxDepthToMinSOC($L$8,$L$9,P154,Q154,$O154,$G$5,$G$6,drivePower($C$4,$M154,$G154,$C$10,$C$11),$I154,$G154,$G$4,$C$8)</f>
        <v>8215.8003264665604</v>
      </c>
      <c r="V154" s="93">
        <f t="shared" si="20"/>
        <v>14662.050582617521</v>
      </c>
    </row>
    <row r="155" spans="7:22" x14ac:dyDescent="0.35">
      <c r="G155" s="59">
        <f t="shared" si="1"/>
        <v>0.5</v>
      </c>
      <c r="H155" s="64">
        <v>25</v>
      </c>
      <c r="I155" s="84">
        <f t="shared" si="21"/>
        <v>25</v>
      </c>
      <c r="J155" s="84">
        <v>50</v>
      </c>
      <c r="K155" s="60">
        <f t="shared" si="22"/>
        <v>303600</v>
      </c>
      <c r="L155" s="59">
        <f t="shared" si="18"/>
        <v>16.32</v>
      </c>
      <c r="M155" s="64">
        <f t="shared" si="19"/>
        <v>26.32</v>
      </c>
      <c r="N155" s="64" cm="1">
        <f t="array" ref="N155">drivePower($C$4,M155,$C$9,$C$10,$C$11)</f>
        <v>36.610799999999998</v>
      </c>
      <c r="O155" s="86">
        <f t="shared" si="17"/>
        <v>20219.760000000002</v>
      </c>
      <c r="P155" s="90">
        <f t="shared" si="4"/>
        <v>-1.5000000000000001E-4</v>
      </c>
      <c r="Q155" s="91">
        <f t="shared" si="5"/>
        <v>0.82280000000000009</v>
      </c>
      <c r="R155" s="98">
        <v>0.15</v>
      </c>
      <c r="S155" s="95">
        <f t="shared" si="23"/>
        <v>303600</v>
      </c>
      <c r="T155" s="92" cm="1">
        <f t="array" ref="T155">maxDepthToMinSOC($L$8,$L$9,$L$6,$L$7,$O155,$G$5,$G$6,drivePower($C$4,$M155,$G155,$C$10,$C$11),$I155,$G155,$G$4,$C$8)</f>
        <v>21145.800840258598</v>
      </c>
      <c r="U155" s="12" cm="1">
        <f t="array" ref="U155">maxDepthToMinSOC($L$8,$L$9,P155,Q155,$O155,$G$5,$G$6,drivePower($C$4,$M155,$G155,$C$10,$C$11),$I155,$G155,$G$4,$C$8)</f>
        <v>8222.4003267288208</v>
      </c>
      <c r="V155" s="93">
        <f t="shared" si="20"/>
        <v>14684.10058349371</v>
      </c>
    </row>
    <row r="156" spans="7:22" x14ac:dyDescent="0.35">
      <c r="G156" s="59">
        <f t="shared" si="1"/>
        <v>0.5</v>
      </c>
      <c r="H156" s="64">
        <v>25</v>
      </c>
      <c r="I156" s="84">
        <f t="shared" si="21"/>
        <v>25</v>
      </c>
      <c r="J156" s="84">
        <v>50</v>
      </c>
      <c r="K156" s="60">
        <f t="shared" si="22"/>
        <v>305800</v>
      </c>
      <c r="L156" s="59">
        <f t="shared" si="18"/>
        <v>16.440000000000001</v>
      </c>
      <c r="M156" s="64">
        <f t="shared" si="19"/>
        <v>26.44</v>
      </c>
      <c r="N156" s="64" cm="1">
        <f t="array" ref="N156">drivePower($C$4,M156,$C$9,$C$10,$C$11)</f>
        <v>36.768599999999999</v>
      </c>
      <c r="O156" s="86">
        <f t="shared" si="17"/>
        <v>20366.280000000002</v>
      </c>
      <c r="P156" s="90">
        <f t="shared" si="4"/>
        <v>-1.5000000000000001E-4</v>
      </c>
      <c r="Q156" s="91">
        <f t="shared" si="5"/>
        <v>0.82280000000000009</v>
      </c>
      <c r="R156" s="98">
        <v>0.15</v>
      </c>
      <c r="S156" s="95">
        <f t="shared" si="23"/>
        <v>305800</v>
      </c>
      <c r="T156" s="92" cm="1">
        <f t="array" ref="T156">maxDepthToMinSOC($L$8,$L$9,$L$6,$L$7,$O156,$G$5,$G$6,drivePower($C$4,$M156,$G156,$C$10,$C$11),$I156,$G156,$G$4,$C$8)</f>
        <v>21182.700841724873</v>
      </c>
      <c r="U156" s="12" cm="1">
        <f t="array" ref="U156">maxDepthToMinSOC($L$8,$L$9,P156,Q156,$O156,$G$5,$G$6,drivePower($C$4,$M156,$G156,$C$10,$C$11),$I156,$G156,$G$4,$C$8)</f>
        <v>8229.0003269910812</v>
      </c>
      <c r="V156" s="93">
        <f t="shared" si="20"/>
        <v>14705.850584357977</v>
      </c>
    </row>
    <row r="157" spans="7:22" x14ac:dyDescent="0.35">
      <c r="G157" s="59">
        <f t="shared" si="1"/>
        <v>0.5</v>
      </c>
      <c r="H157" s="64">
        <v>25</v>
      </c>
      <c r="I157" s="84">
        <f t="shared" si="21"/>
        <v>25</v>
      </c>
      <c r="J157" s="84">
        <v>50</v>
      </c>
      <c r="K157" s="60">
        <f t="shared" si="22"/>
        <v>308000</v>
      </c>
      <c r="L157" s="59">
        <f t="shared" si="18"/>
        <v>16.559999999999999</v>
      </c>
      <c r="M157" s="64">
        <f t="shared" si="19"/>
        <v>26.56</v>
      </c>
      <c r="N157" s="64" cm="1">
        <f t="array" ref="N157">drivePower($C$4,M157,$C$9,$C$10,$C$11)</f>
        <v>36.926399999999994</v>
      </c>
      <c r="O157" s="86">
        <f t="shared" si="17"/>
        <v>20512.8</v>
      </c>
      <c r="P157" s="90">
        <f t="shared" si="4"/>
        <v>-1.5000000000000001E-4</v>
      </c>
      <c r="Q157" s="91">
        <f t="shared" si="5"/>
        <v>0.82280000000000009</v>
      </c>
      <c r="R157" s="98">
        <v>0.15</v>
      </c>
      <c r="S157" s="95">
        <f t="shared" si="23"/>
        <v>308000</v>
      </c>
      <c r="T157" s="92" cm="1">
        <f t="array" ref="T157">maxDepthToMinSOC($L$8,$L$9,$L$6,$L$7,$O157,$G$5,$G$6,drivePower($C$4,$M157,$G157,$C$10,$C$11),$I157,$G157,$G$4,$C$8)</f>
        <v>21219.300843179226</v>
      </c>
      <c r="U157" s="12" cm="1">
        <f t="array" ref="U157">maxDepthToMinSOC($L$8,$L$9,P157,Q157,$O157,$G$5,$G$6,drivePower($C$4,$M157,$G157,$C$10,$C$11),$I157,$G157,$G$4,$C$8)</f>
        <v>8235.4503272473812</v>
      </c>
      <c r="V157" s="93">
        <f t="shared" si="20"/>
        <v>14727.375585213304</v>
      </c>
    </row>
    <row r="158" spans="7:22" x14ac:dyDescent="0.35">
      <c r="G158" s="59">
        <f t="shared" si="1"/>
        <v>0.5</v>
      </c>
      <c r="H158" s="64">
        <v>25</v>
      </c>
      <c r="I158" s="84">
        <f t="shared" si="21"/>
        <v>25</v>
      </c>
      <c r="J158" s="84">
        <v>50</v>
      </c>
      <c r="K158" s="60">
        <f t="shared" si="22"/>
        <v>310200</v>
      </c>
      <c r="L158" s="59">
        <f t="shared" si="18"/>
        <v>16.68</v>
      </c>
      <c r="M158" s="64">
        <f t="shared" si="19"/>
        <v>26.68</v>
      </c>
      <c r="N158" s="64" cm="1">
        <f t="array" ref="N158">drivePower($C$4,M158,$C$9,$C$10,$C$11)</f>
        <v>37.084199999999996</v>
      </c>
      <c r="O158" s="86">
        <f t="shared" si="17"/>
        <v>20659.32</v>
      </c>
      <c r="P158" s="90">
        <f t="shared" si="4"/>
        <v>-1.5000000000000001E-4</v>
      </c>
      <c r="Q158" s="91">
        <f t="shared" si="5"/>
        <v>0.82280000000000009</v>
      </c>
      <c r="R158" s="98">
        <v>0.15</v>
      </c>
      <c r="S158" s="95">
        <f t="shared" si="23"/>
        <v>310200</v>
      </c>
      <c r="T158" s="92" cm="1">
        <f t="array" ref="T158">maxDepthToMinSOC($L$8,$L$9,$L$6,$L$7,$O158,$G$5,$G$6,drivePower($C$4,$M158,$G158,$C$10,$C$11),$I158,$G158,$G$4,$C$8)</f>
        <v>21255.450844615698</v>
      </c>
      <c r="U158" s="12" cm="1">
        <f t="array" ref="U158">maxDepthToMinSOC($L$8,$L$9,P158,Q158,$O158,$G$5,$G$6,drivePower($C$4,$M158,$G158,$C$10,$C$11),$I158,$G158,$G$4,$C$8)</f>
        <v>8241.7503274977207</v>
      </c>
      <c r="V158" s="93">
        <f t="shared" si="20"/>
        <v>14748.600586056709</v>
      </c>
    </row>
    <row r="159" spans="7:22" x14ac:dyDescent="0.35">
      <c r="G159" s="59">
        <f t="shared" si="1"/>
        <v>0.5</v>
      </c>
      <c r="H159" s="64">
        <v>25</v>
      </c>
      <c r="I159" s="84">
        <f t="shared" si="21"/>
        <v>25</v>
      </c>
      <c r="J159" s="84">
        <v>50</v>
      </c>
      <c r="K159" s="60">
        <f t="shared" si="22"/>
        <v>312400</v>
      </c>
      <c r="L159" s="59">
        <f t="shared" si="18"/>
        <v>16.8</v>
      </c>
      <c r="M159" s="64">
        <f t="shared" si="19"/>
        <v>26.8</v>
      </c>
      <c r="N159" s="64" cm="1">
        <f t="array" ref="N159">drivePower($C$4,M159,$C$9,$C$10,$C$11)</f>
        <v>37.241999999999997</v>
      </c>
      <c r="O159" s="86">
        <f t="shared" si="17"/>
        <v>20805.84</v>
      </c>
      <c r="P159" s="90">
        <f t="shared" si="4"/>
        <v>-1.5000000000000001E-4</v>
      </c>
      <c r="Q159" s="91">
        <f t="shared" si="5"/>
        <v>0.82280000000000009</v>
      </c>
      <c r="R159" s="98">
        <v>0.15</v>
      </c>
      <c r="S159" s="95">
        <f t="shared" si="23"/>
        <v>312400</v>
      </c>
      <c r="T159" s="92" cm="1">
        <f t="array" ref="T159">maxDepthToMinSOC($L$8,$L$9,$L$6,$L$7,$O159,$G$5,$G$6,drivePower($C$4,$M159,$G159,$C$10,$C$11),$I159,$G159,$G$4,$C$8)</f>
        <v>21291.300846040249</v>
      </c>
      <c r="U159" s="12" cm="1">
        <f t="array" ref="U159">maxDepthToMinSOC($L$8,$L$9,P159,Q159,$O159,$G$5,$G$6,drivePower($C$4,$M159,$G159,$C$10,$C$11),$I159,$G159,$G$4,$C$8)</f>
        <v>8248.0503277480602</v>
      </c>
      <c r="V159" s="93">
        <f t="shared" si="20"/>
        <v>14769.675586894155</v>
      </c>
    </row>
    <row r="160" spans="7:22" x14ac:dyDescent="0.35">
      <c r="G160" s="59">
        <f t="shared" si="1"/>
        <v>0.5</v>
      </c>
      <c r="H160" s="64">
        <v>25</v>
      </c>
      <c r="I160" s="84">
        <f t="shared" si="21"/>
        <v>25</v>
      </c>
      <c r="J160" s="84">
        <v>50</v>
      </c>
      <c r="K160" s="60">
        <f t="shared" si="22"/>
        <v>314600</v>
      </c>
      <c r="L160" s="59">
        <f t="shared" si="18"/>
        <v>16.920000000000002</v>
      </c>
      <c r="M160" s="64">
        <f t="shared" si="19"/>
        <v>26.92</v>
      </c>
      <c r="N160" s="64" cm="1">
        <f t="array" ref="N160">drivePower($C$4,M160,$C$9,$C$10,$C$11)</f>
        <v>37.399799999999999</v>
      </c>
      <c r="O160" s="86">
        <f t="shared" si="17"/>
        <v>20952.36</v>
      </c>
      <c r="P160" s="90">
        <f t="shared" si="4"/>
        <v>-1.5000000000000001E-4</v>
      </c>
      <c r="Q160" s="91">
        <f t="shared" si="5"/>
        <v>0.82280000000000009</v>
      </c>
      <c r="R160" s="98">
        <v>0.15</v>
      </c>
      <c r="S160" s="95">
        <f t="shared" si="23"/>
        <v>314600</v>
      </c>
      <c r="T160" s="92" cm="1">
        <f t="array" ref="T160">maxDepthToMinSOC($L$8,$L$9,$L$6,$L$7,$O160,$G$5,$G$6,drivePower($C$4,$M160,$G160,$C$10,$C$11),$I160,$G160,$G$4,$C$8)</f>
        <v>21326.700847446918</v>
      </c>
      <c r="U160" s="12" cm="1">
        <f t="array" ref="U160">maxDepthToMinSOC($L$8,$L$9,P160,Q160,$O160,$G$5,$G$6,drivePower($C$4,$M160,$G160,$C$10,$C$11),$I160,$G160,$G$4,$C$8)</f>
        <v>8254.2003279924393</v>
      </c>
      <c r="V160" s="93">
        <f t="shared" si="20"/>
        <v>14790.450587719679</v>
      </c>
    </row>
    <row r="161" spans="7:22" x14ac:dyDescent="0.35">
      <c r="G161" s="59">
        <f t="shared" si="1"/>
        <v>0.5</v>
      </c>
      <c r="H161" s="64">
        <v>25</v>
      </c>
      <c r="I161" s="84">
        <f t="shared" si="21"/>
        <v>25</v>
      </c>
      <c r="J161" s="84">
        <v>50</v>
      </c>
      <c r="K161" s="60">
        <f t="shared" si="22"/>
        <v>316800</v>
      </c>
      <c r="L161" s="59">
        <f t="shared" si="18"/>
        <v>17.04</v>
      </c>
      <c r="M161" s="64">
        <f t="shared" si="19"/>
        <v>27.04</v>
      </c>
      <c r="N161" s="64" cm="1">
        <f t="array" ref="N161">drivePower($C$4,M161,$C$9,$C$10,$C$11)</f>
        <v>37.557600000000001</v>
      </c>
      <c r="O161" s="86">
        <f t="shared" si="17"/>
        <v>21098.880000000001</v>
      </c>
      <c r="P161" s="90">
        <f t="shared" si="4"/>
        <v>-1.5000000000000001E-4</v>
      </c>
      <c r="Q161" s="91">
        <f t="shared" si="5"/>
        <v>0.82280000000000009</v>
      </c>
      <c r="R161" s="98">
        <v>0.15</v>
      </c>
      <c r="S161" s="95">
        <f t="shared" si="23"/>
        <v>316800</v>
      </c>
      <c r="T161" s="92" cm="1">
        <f t="array" ref="T161">maxDepthToMinSOC($L$8,$L$9,$L$6,$L$7,$O161,$G$5,$G$6,drivePower($C$4,$M161,$G161,$C$10,$C$11),$I161,$G161,$G$4,$C$8)</f>
        <v>21361.800848841667</v>
      </c>
      <c r="U161" s="12" cm="1">
        <f t="array" ref="U161">maxDepthToMinSOC($L$8,$L$9,P161,Q161,$O161,$G$5,$G$6,drivePower($C$4,$M161,$G161,$C$10,$C$11),$I161,$G161,$G$4,$C$8)</f>
        <v>8260.3503282368183</v>
      </c>
      <c r="V161" s="93">
        <f t="shared" si="20"/>
        <v>14811.075588539243</v>
      </c>
    </row>
    <row r="162" spans="7:22" x14ac:dyDescent="0.35">
      <c r="G162" s="59">
        <f t="shared" si="1"/>
        <v>0.5</v>
      </c>
      <c r="H162" s="64">
        <v>25</v>
      </c>
      <c r="I162" s="84">
        <f t="shared" si="21"/>
        <v>25</v>
      </c>
      <c r="J162" s="84">
        <v>50</v>
      </c>
      <c r="K162" s="60">
        <f t="shared" si="22"/>
        <v>319000</v>
      </c>
      <c r="L162" s="59">
        <f t="shared" si="18"/>
        <v>17.16</v>
      </c>
      <c r="M162" s="64">
        <f t="shared" si="19"/>
        <v>27.16</v>
      </c>
      <c r="N162" s="64" cm="1">
        <f t="array" ref="N162">drivePower($C$4,M162,$C$9,$C$10,$C$11)</f>
        <v>37.715399999999995</v>
      </c>
      <c r="O162" s="86">
        <f t="shared" si="17"/>
        <v>21245.4</v>
      </c>
      <c r="P162" s="90">
        <f t="shared" si="4"/>
        <v>-1.5000000000000001E-4</v>
      </c>
      <c r="Q162" s="91">
        <f t="shared" si="5"/>
        <v>0.82280000000000009</v>
      </c>
      <c r="R162" s="98">
        <v>0.15</v>
      </c>
      <c r="S162" s="95">
        <f t="shared" si="23"/>
        <v>319000</v>
      </c>
      <c r="T162" s="92" cm="1">
        <f t="array" ref="T162">maxDepthToMinSOC($L$8,$L$9,$L$6,$L$7,$O162,$G$5,$G$6,drivePower($C$4,$M162,$G162,$C$10,$C$11),$I162,$G162,$G$4,$C$8)</f>
        <v>21396.450850218534</v>
      </c>
      <c r="U162" s="12" cm="1">
        <f t="array" ref="U162">maxDepthToMinSOC($L$8,$L$9,P162,Q162,$O162,$G$5,$G$6,drivePower($C$4,$M162,$G162,$C$10,$C$11),$I162,$G162,$G$4,$C$8)</f>
        <v>8266.3503284752369</v>
      </c>
      <c r="V162" s="93">
        <f t="shared" si="20"/>
        <v>14831.400589346886</v>
      </c>
    </row>
    <row r="163" spans="7:22" x14ac:dyDescent="0.35">
      <c r="G163" s="59">
        <f t="shared" si="1"/>
        <v>0.5</v>
      </c>
      <c r="H163" s="64">
        <v>25</v>
      </c>
      <c r="I163" s="84">
        <f t="shared" si="21"/>
        <v>25</v>
      </c>
      <c r="J163" s="84">
        <v>50</v>
      </c>
      <c r="K163" s="60">
        <f t="shared" si="22"/>
        <v>321200</v>
      </c>
      <c r="L163" s="59">
        <f t="shared" si="18"/>
        <v>17.28</v>
      </c>
      <c r="M163" s="64">
        <f t="shared" si="19"/>
        <v>27.28</v>
      </c>
      <c r="N163" s="64" cm="1">
        <f t="array" ref="N163">drivePower($C$4,M163,$C$9,$C$10,$C$11)</f>
        <v>37.873199999999997</v>
      </c>
      <c r="O163" s="86">
        <f t="shared" si="17"/>
        <v>21391.919999999998</v>
      </c>
      <c r="P163" s="90">
        <f t="shared" si="4"/>
        <v>-1.5000000000000001E-4</v>
      </c>
      <c r="Q163" s="91">
        <f t="shared" si="5"/>
        <v>0.82280000000000009</v>
      </c>
      <c r="R163" s="98">
        <v>0.15</v>
      </c>
      <c r="S163" s="95">
        <f t="shared" si="23"/>
        <v>321200</v>
      </c>
      <c r="T163" s="92" cm="1">
        <f t="array" ref="T163">maxDepthToMinSOC($L$8,$L$9,$L$6,$L$7,$O163,$G$5,$G$6,drivePower($C$4,$M163,$G163,$C$10,$C$11),$I163,$G163,$G$4,$C$8)</f>
        <v>21430.800851583481</v>
      </c>
      <c r="U163" s="12" cm="1">
        <f t="array" ref="U163">maxDepthToMinSOC($L$8,$L$9,P163,Q163,$O163,$G$5,$G$6,drivePower($C$4,$M163,$G163,$C$10,$C$11),$I163,$G163,$G$4,$C$8)</f>
        <v>8272.3503287136555</v>
      </c>
      <c r="V163" s="93">
        <f t="shared" si="20"/>
        <v>14851.575590148568</v>
      </c>
    </row>
    <row r="164" spans="7:22" x14ac:dyDescent="0.35">
      <c r="G164" s="59">
        <f t="shared" si="1"/>
        <v>0.5</v>
      </c>
      <c r="H164" s="64">
        <v>25</v>
      </c>
      <c r="I164" s="84">
        <f t="shared" si="21"/>
        <v>25</v>
      </c>
      <c r="J164" s="84">
        <v>50</v>
      </c>
      <c r="K164" s="60">
        <f t="shared" si="22"/>
        <v>323400</v>
      </c>
      <c r="L164" s="59">
        <f t="shared" si="18"/>
        <v>17.399999999999999</v>
      </c>
      <c r="M164" s="64">
        <f t="shared" si="19"/>
        <v>27.4</v>
      </c>
      <c r="N164" s="64" cm="1">
        <f t="array" ref="N164">drivePower($C$4,M164,$C$9,$C$10,$C$11)</f>
        <v>38.030999999999999</v>
      </c>
      <c r="O164" s="86">
        <f t="shared" si="17"/>
        <v>21538.44</v>
      </c>
      <c r="P164" s="90">
        <f t="shared" si="4"/>
        <v>-1.5000000000000001E-4</v>
      </c>
      <c r="Q164" s="91">
        <f t="shared" si="5"/>
        <v>0.82280000000000009</v>
      </c>
      <c r="R164" s="98">
        <v>0.15</v>
      </c>
      <c r="S164" s="95">
        <f t="shared" si="23"/>
        <v>323400</v>
      </c>
      <c r="T164" s="92" cm="1">
        <f t="array" ref="T164">maxDepthToMinSOC($L$8,$L$9,$L$6,$L$7,$O164,$G$5,$G$6,drivePower($C$4,$M164,$G164,$C$10,$C$11),$I164,$G164,$G$4,$C$8)</f>
        <v>21464.700852930546</v>
      </c>
      <c r="U164" s="12" cm="1">
        <f t="array" ref="U164">maxDepthToMinSOC($L$8,$L$9,P164,Q164,$O164,$G$5,$G$6,drivePower($C$4,$M164,$G164,$C$10,$C$11),$I164,$G164,$G$4,$C$8)</f>
        <v>8278.2003289461136</v>
      </c>
      <c r="V164" s="93">
        <f t="shared" si="20"/>
        <v>14871.45059093833</v>
      </c>
    </row>
    <row r="165" spans="7:22" x14ac:dyDescent="0.35">
      <c r="G165" s="59">
        <f t="shared" si="1"/>
        <v>0.5</v>
      </c>
      <c r="H165" s="64">
        <v>25</v>
      </c>
      <c r="I165" s="84">
        <f t="shared" si="21"/>
        <v>25</v>
      </c>
      <c r="J165" s="84">
        <v>50</v>
      </c>
      <c r="K165" s="60">
        <f t="shared" si="22"/>
        <v>325600</v>
      </c>
      <c r="L165" s="59">
        <f t="shared" si="18"/>
        <v>17.52</v>
      </c>
      <c r="M165" s="64">
        <f t="shared" si="19"/>
        <v>27.52</v>
      </c>
      <c r="N165" s="64" cm="1">
        <f t="array" ref="N165">drivePower($C$4,M165,$C$9,$C$10,$C$11)</f>
        <v>38.188800000000001</v>
      </c>
      <c r="O165" s="86">
        <f t="shared" si="17"/>
        <v>21684.960000000003</v>
      </c>
      <c r="P165" s="90">
        <f t="shared" si="4"/>
        <v>-1.5000000000000001E-4</v>
      </c>
      <c r="Q165" s="91">
        <f t="shared" si="5"/>
        <v>0.82280000000000009</v>
      </c>
      <c r="R165" s="98">
        <v>0.15</v>
      </c>
      <c r="S165" s="95">
        <f t="shared" si="23"/>
        <v>325600</v>
      </c>
      <c r="T165" s="92" cm="1">
        <f t="array" ref="T165">maxDepthToMinSOC($L$8,$L$9,$L$6,$L$7,$O165,$G$5,$G$6,drivePower($C$4,$M165,$G165,$C$10,$C$11),$I165,$G165,$G$4,$C$8)</f>
        <v>21498.30085426569</v>
      </c>
      <c r="U165" s="12" cm="1">
        <f t="array" ref="U165">maxDepthToMinSOC($L$8,$L$9,P165,Q165,$O165,$G$5,$G$6,drivePower($C$4,$M165,$G165,$C$10,$C$11),$I165,$G165,$G$4,$C$8)</f>
        <v>8284.0503291785717</v>
      </c>
      <c r="V165" s="93">
        <f t="shared" si="20"/>
        <v>14891.175591722131</v>
      </c>
    </row>
    <row r="166" spans="7:22" x14ac:dyDescent="0.35">
      <c r="G166" s="59">
        <f t="shared" si="1"/>
        <v>0.5</v>
      </c>
      <c r="H166" s="64">
        <v>25</v>
      </c>
      <c r="I166" s="84">
        <f t="shared" si="21"/>
        <v>25</v>
      </c>
      <c r="J166" s="84">
        <v>50</v>
      </c>
      <c r="K166" s="60">
        <f t="shared" si="22"/>
        <v>327800</v>
      </c>
      <c r="L166" s="59">
        <f t="shared" si="18"/>
        <v>17.64</v>
      </c>
      <c r="M166" s="64">
        <f t="shared" si="19"/>
        <v>27.64</v>
      </c>
      <c r="N166" s="64" cm="1">
        <f t="array" ref="N166">drivePower($C$4,M166,$C$9,$C$10,$C$11)</f>
        <v>38.346600000000002</v>
      </c>
      <c r="O166" s="86">
        <f t="shared" si="17"/>
        <v>21831.48</v>
      </c>
      <c r="P166" s="90">
        <f t="shared" si="4"/>
        <v>-1.5000000000000001E-4</v>
      </c>
      <c r="Q166" s="91">
        <f t="shared" si="5"/>
        <v>0.82280000000000009</v>
      </c>
      <c r="R166" s="98">
        <v>0.15</v>
      </c>
      <c r="S166" s="95">
        <f t="shared" si="23"/>
        <v>327800</v>
      </c>
      <c r="T166" s="92" cm="1">
        <f t="array" ref="T166">maxDepthToMinSOC($L$8,$L$9,$L$6,$L$7,$O166,$G$5,$G$6,drivePower($C$4,$M166,$G166,$C$10,$C$11),$I166,$G166,$G$4,$C$8)</f>
        <v>21531.450855582952</v>
      </c>
      <c r="U166" s="12" cm="1">
        <f t="array" ref="U166">maxDepthToMinSOC($L$8,$L$9,P166,Q166,$O166,$G$5,$G$6,drivePower($C$4,$M166,$G166,$C$10,$C$11),$I166,$G166,$G$4,$C$8)</f>
        <v>8289.9003294110298</v>
      </c>
      <c r="V166" s="93">
        <f t="shared" si="20"/>
        <v>14910.675592496991</v>
      </c>
    </row>
    <row r="167" spans="7:22" x14ac:dyDescent="0.35">
      <c r="G167" s="59">
        <f t="shared" si="1"/>
        <v>0.5</v>
      </c>
      <c r="H167" s="64">
        <v>25</v>
      </c>
      <c r="I167" s="84">
        <f t="shared" si="21"/>
        <v>25</v>
      </c>
      <c r="J167" s="84">
        <v>50</v>
      </c>
      <c r="K167" s="60">
        <f t="shared" si="22"/>
        <v>330000</v>
      </c>
      <c r="L167" s="59">
        <f t="shared" si="18"/>
        <v>17.760000000000002</v>
      </c>
      <c r="M167" s="64">
        <f t="shared" si="19"/>
        <v>27.76</v>
      </c>
      <c r="N167" s="64" cm="1">
        <f t="array" ref="N167">drivePower($C$4,M167,$C$9,$C$10,$C$11)</f>
        <v>38.504400000000004</v>
      </c>
      <c r="O167" s="86">
        <f t="shared" si="17"/>
        <v>21978</v>
      </c>
      <c r="P167" s="90">
        <f t="shared" si="4"/>
        <v>-1.5000000000000001E-4</v>
      </c>
      <c r="Q167" s="91">
        <f t="shared" si="5"/>
        <v>0.82280000000000009</v>
      </c>
      <c r="R167" s="98">
        <v>0.15</v>
      </c>
      <c r="S167" s="95">
        <f t="shared" si="23"/>
        <v>330000</v>
      </c>
      <c r="T167" s="92" cm="1">
        <f t="array" ref="T167">maxDepthToMinSOC($L$8,$L$9,$L$6,$L$7,$O167,$G$5,$G$6,drivePower($C$4,$M167,$G167,$C$10,$C$11),$I167,$G167,$G$4,$C$8)</f>
        <v>21564.450856894255</v>
      </c>
      <c r="U167" s="12" cm="1">
        <f t="array" ref="U167">maxDepthToMinSOC($L$8,$L$9,P167,Q167,$O167,$G$5,$G$6,drivePower($C$4,$M167,$G167,$C$10,$C$11),$I167,$G167,$G$4,$C$8)</f>
        <v>8295.450329631567</v>
      </c>
      <c r="V167" s="93">
        <f t="shared" si="20"/>
        <v>14929.950593262911</v>
      </c>
    </row>
    <row r="168" spans="7:22" x14ac:dyDescent="0.35">
      <c r="G168" s="59">
        <f t="shared" si="1"/>
        <v>0.5</v>
      </c>
      <c r="H168" s="64">
        <v>25</v>
      </c>
      <c r="I168" s="84">
        <f t="shared" si="21"/>
        <v>25</v>
      </c>
      <c r="J168" s="84">
        <v>50</v>
      </c>
      <c r="K168" s="60">
        <f t="shared" si="22"/>
        <v>332200</v>
      </c>
      <c r="L168" s="59">
        <f t="shared" si="18"/>
        <v>17.88</v>
      </c>
      <c r="M168" s="64">
        <f t="shared" si="19"/>
        <v>27.88</v>
      </c>
      <c r="N168" s="64" cm="1">
        <f t="array" ref="N168">drivePower($C$4,M168,$C$9,$C$10,$C$11)</f>
        <v>38.662199999999999</v>
      </c>
      <c r="O168" s="86">
        <f t="shared" si="17"/>
        <v>22124.52</v>
      </c>
      <c r="P168" s="90">
        <f t="shared" si="4"/>
        <v>-1.5000000000000001E-4</v>
      </c>
      <c r="Q168" s="91">
        <f t="shared" si="5"/>
        <v>0.82280000000000009</v>
      </c>
      <c r="R168" s="98">
        <v>0.15</v>
      </c>
      <c r="S168" s="95">
        <f t="shared" si="23"/>
        <v>332200</v>
      </c>
      <c r="T168" s="92" cm="1">
        <f t="array" ref="T168">maxDepthToMinSOC($L$8,$L$9,$L$6,$L$7,$O168,$G$5,$G$6,drivePower($C$4,$M168,$G168,$C$10,$C$11),$I168,$G168,$G$4,$C$8)</f>
        <v>21597.000858187675</v>
      </c>
      <c r="U168" s="12" cm="1">
        <f t="array" ref="U168">maxDepthToMinSOC($L$8,$L$9,P168,Q168,$O168,$G$5,$G$6,drivePower($C$4,$M168,$G168,$C$10,$C$11),$I168,$G168,$G$4,$C$8)</f>
        <v>8301.1503298580647</v>
      </c>
      <c r="V168" s="93">
        <f t="shared" si="20"/>
        <v>14949.07559402287</v>
      </c>
    </row>
    <row r="169" spans="7:22" x14ac:dyDescent="0.35">
      <c r="G169" s="59">
        <f t="shared" si="1"/>
        <v>0.5</v>
      </c>
      <c r="H169" s="64">
        <v>25</v>
      </c>
      <c r="I169" s="84">
        <f t="shared" si="21"/>
        <v>25</v>
      </c>
      <c r="J169" s="84">
        <v>50</v>
      </c>
      <c r="K169" s="60">
        <f t="shared" si="22"/>
        <v>334400</v>
      </c>
      <c r="L169" s="59">
        <f t="shared" si="18"/>
        <v>18</v>
      </c>
      <c r="M169" s="64">
        <f t="shared" si="19"/>
        <v>28</v>
      </c>
      <c r="N169" s="64" cm="1">
        <f t="array" ref="N169">drivePower($C$4,M169,$C$9,$C$10,$C$11)</f>
        <v>38.82</v>
      </c>
      <c r="O169" s="86">
        <f t="shared" si="17"/>
        <v>22271.039999999997</v>
      </c>
      <c r="P169" s="90">
        <f t="shared" si="4"/>
        <v>-1.5000000000000001E-4</v>
      </c>
      <c r="Q169" s="91">
        <f t="shared" si="5"/>
        <v>0.82280000000000009</v>
      </c>
      <c r="R169" s="98">
        <v>0.15</v>
      </c>
      <c r="S169" s="95">
        <f t="shared" si="23"/>
        <v>334400</v>
      </c>
      <c r="T169" s="92" cm="1">
        <f t="array" ref="T169">maxDepthToMinSOC($L$8,$L$9,$L$6,$L$7,$O169,$G$5,$G$6,drivePower($C$4,$M169,$G169,$C$10,$C$11),$I169,$G169,$G$4,$C$8)</f>
        <v>21629.100859463215</v>
      </c>
      <c r="U169" s="12" cm="1">
        <f t="array" ref="U169">maxDepthToMinSOC($L$8,$L$9,P169,Q169,$O169,$G$5,$G$6,drivePower($C$4,$M169,$G169,$C$10,$C$11),$I169,$G169,$G$4,$C$8)</f>
        <v>8306.7003300786018</v>
      </c>
      <c r="V169" s="93">
        <f t="shared" si="20"/>
        <v>14967.900594770908</v>
      </c>
    </row>
    <row r="170" spans="7:22" x14ac:dyDescent="0.35">
      <c r="G170" s="59">
        <f t="shared" si="1"/>
        <v>0.5</v>
      </c>
      <c r="H170" s="64">
        <v>25</v>
      </c>
      <c r="I170" s="84">
        <f t="shared" si="21"/>
        <v>25</v>
      </c>
      <c r="J170" s="84">
        <v>50</v>
      </c>
      <c r="K170" s="60">
        <f t="shared" si="22"/>
        <v>336600</v>
      </c>
      <c r="L170" s="59">
        <f t="shared" si="18"/>
        <v>18.12</v>
      </c>
      <c r="M170" s="64">
        <f t="shared" si="19"/>
        <v>28.12</v>
      </c>
      <c r="N170" s="64" cm="1">
        <f t="array" ref="N170">drivePower($C$4,M170,$C$9,$C$10,$C$11)</f>
        <v>38.977800000000002</v>
      </c>
      <c r="O170" s="86">
        <f t="shared" si="17"/>
        <v>22417.56</v>
      </c>
      <c r="P170" s="90">
        <f t="shared" si="4"/>
        <v>-1.5000000000000001E-4</v>
      </c>
      <c r="Q170" s="91">
        <f t="shared" si="5"/>
        <v>0.82280000000000009</v>
      </c>
      <c r="R170" s="98">
        <v>0.15</v>
      </c>
      <c r="S170" s="95">
        <f t="shared" si="23"/>
        <v>336600</v>
      </c>
      <c r="T170" s="92" cm="1">
        <f t="array" ref="T170">maxDepthToMinSOC($L$8,$L$9,$L$6,$L$7,$O170,$G$5,$G$6,drivePower($C$4,$M170,$G170,$C$10,$C$11),$I170,$G170,$G$4,$C$8)</f>
        <v>21661.050860732794</v>
      </c>
      <c r="U170" s="12" cm="1">
        <f t="array" ref="U170">maxDepthToMinSOC($L$8,$L$9,P170,Q170,$O170,$G$5,$G$6,drivePower($C$4,$M170,$G170,$C$10,$C$11),$I170,$G170,$G$4,$C$8)</f>
        <v>8312.1003302931786</v>
      </c>
      <c r="V170" s="93">
        <f t="shared" si="20"/>
        <v>14986.575595512986</v>
      </c>
    </row>
    <row r="171" spans="7:22" x14ac:dyDescent="0.35">
      <c r="G171" s="59">
        <f t="shared" si="1"/>
        <v>0.5</v>
      </c>
      <c r="H171" s="64">
        <v>25</v>
      </c>
      <c r="I171" s="84">
        <f t="shared" si="21"/>
        <v>25</v>
      </c>
      <c r="J171" s="84">
        <v>50</v>
      </c>
      <c r="K171" s="60">
        <f t="shared" si="22"/>
        <v>338800</v>
      </c>
      <c r="L171" s="59">
        <f t="shared" si="18"/>
        <v>18.239999999999998</v>
      </c>
      <c r="M171" s="64">
        <f t="shared" si="19"/>
        <v>28.24</v>
      </c>
      <c r="N171" s="64" cm="1">
        <f t="array" ref="N171">drivePower($C$4,M171,$C$9,$C$10,$C$11)</f>
        <v>39.135599999999997</v>
      </c>
      <c r="O171" s="86">
        <f t="shared" si="17"/>
        <v>22564.080000000002</v>
      </c>
      <c r="P171" s="90">
        <f t="shared" si="4"/>
        <v>-1.5000000000000001E-4</v>
      </c>
      <c r="Q171" s="91">
        <f t="shared" si="5"/>
        <v>0.82280000000000009</v>
      </c>
      <c r="R171" s="98">
        <v>0.15</v>
      </c>
      <c r="S171" s="95">
        <f t="shared" si="23"/>
        <v>338800</v>
      </c>
      <c r="T171" s="92" cm="1">
        <f t="array" ref="T171">maxDepthToMinSOC($L$8,$L$9,$L$6,$L$7,$O171,$G$5,$G$6,drivePower($C$4,$M171,$G171,$C$10,$C$11),$I171,$G171,$G$4,$C$8)</f>
        <v>21692.550861984491</v>
      </c>
      <c r="U171" s="12" cm="1">
        <f t="array" ref="U171">maxDepthToMinSOC($L$8,$L$9,P171,Q171,$O171,$G$5,$G$6,drivePower($C$4,$M171,$G171,$C$10,$C$11),$I171,$G171,$G$4,$C$8)</f>
        <v>8317.6503305137157</v>
      </c>
      <c r="V171" s="93">
        <f t="shared" si="20"/>
        <v>15005.100596249104</v>
      </c>
    </row>
    <row r="172" spans="7:22" x14ac:dyDescent="0.35">
      <c r="G172" s="59">
        <f t="shared" si="1"/>
        <v>0.5</v>
      </c>
      <c r="H172" s="64">
        <v>25</v>
      </c>
      <c r="I172" s="84">
        <f t="shared" si="21"/>
        <v>25</v>
      </c>
      <c r="J172" s="84">
        <v>50</v>
      </c>
      <c r="K172" s="60">
        <f t="shared" si="22"/>
        <v>341000</v>
      </c>
      <c r="L172" s="59">
        <f t="shared" si="18"/>
        <v>18.36</v>
      </c>
      <c r="M172" s="64">
        <f t="shared" si="19"/>
        <v>28.36</v>
      </c>
      <c r="N172" s="64" cm="1">
        <f t="array" ref="N172">drivePower($C$4,M172,$C$9,$C$10,$C$11)</f>
        <v>39.293399999999998</v>
      </c>
      <c r="O172" s="86">
        <f t="shared" si="17"/>
        <v>22710.6</v>
      </c>
      <c r="P172" s="90">
        <f t="shared" si="4"/>
        <v>-1.5000000000000001E-4</v>
      </c>
      <c r="Q172" s="91">
        <f t="shared" si="5"/>
        <v>0.82280000000000009</v>
      </c>
      <c r="R172" s="98">
        <v>0.15</v>
      </c>
      <c r="S172" s="95">
        <f t="shared" si="23"/>
        <v>341000</v>
      </c>
      <c r="T172" s="92" cm="1">
        <f t="array" ref="T172">maxDepthToMinSOC($L$8,$L$9,$L$6,$L$7,$O172,$G$5,$G$6,drivePower($C$4,$M172,$G172,$C$10,$C$11),$I172,$G172,$G$4,$C$8)</f>
        <v>21723.900863230228</v>
      </c>
      <c r="U172" s="12" cm="1">
        <f t="array" ref="U172">maxDepthToMinSOC($L$8,$L$9,P172,Q172,$O172,$G$5,$G$6,drivePower($C$4,$M172,$G172,$C$10,$C$11),$I172,$G172,$G$4,$C$8)</f>
        <v>8322.900330722332</v>
      </c>
      <c r="V172" s="93">
        <f t="shared" si="20"/>
        <v>15023.40059697628</v>
      </c>
    </row>
    <row r="173" spans="7:22" x14ac:dyDescent="0.35">
      <c r="G173" s="59">
        <f t="shared" si="1"/>
        <v>0.5</v>
      </c>
      <c r="H173" s="64">
        <v>25</v>
      </c>
      <c r="I173" s="84">
        <f t="shared" si="21"/>
        <v>25</v>
      </c>
      <c r="J173" s="84">
        <v>50</v>
      </c>
      <c r="K173" s="60">
        <f t="shared" si="22"/>
        <v>343200</v>
      </c>
      <c r="L173" s="59">
        <f t="shared" si="18"/>
        <v>18.48</v>
      </c>
      <c r="M173" s="64">
        <f t="shared" si="19"/>
        <v>28.48</v>
      </c>
      <c r="N173" s="64" cm="1">
        <f t="array" ref="N173">drivePower($C$4,M173,$C$9,$C$10,$C$11)</f>
        <v>39.4512</v>
      </c>
      <c r="O173" s="86">
        <f t="shared" si="17"/>
        <v>22857.119999999999</v>
      </c>
      <c r="P173" s="90">
        <f t="shared" si="4"/>
        <v>-1.5000000000000001E-4</v>
      </c>
      <c r="Q173" s="91">
        <f t="shared" si="5"/>
        <v>0.82280000000000009</v>
      </c>
      <c r="R173" s="98">
        <v>0.15</v>
      </c>
      <c r="S173" s="95">
        <f t="shared" si="23"/>
        <v>343200</v>
      </c>
      <c r="T173" s="92" cm="1">
        <f t="array" ref="T173">maxDepthToMinSOC($L$8,$L$9,$L$6,$L$7,$O173,$G$5,$G$6,drivePower($C$4,$M173,$G173,$C$10,$C$11),$I173,$G173,$G$4,$C$8)</f>
        <v>21754.800864458084</v>
      </c>
      <c r="U173" s="12" cm="1">
        <f t="array" ref="U173">maxDepthToMinSOC($L$8,$L$9,P173,Q173,$O173,$G$5,$G$6,drivePower($C$4,$M173,$G173,$C$10,$C$11),$I173,$G173,$G$4,$C$8)</f>
        <v>8328.3003309369087</v>
      </c>
      <c r="V173" s="93">
        <f t="shared" si="20"/>
        <v>15041.550597697496</v>
      </c>
    </row>
    <row r="174" spans="7:22" x14ac:dyDescent="0.35">
      <c r="G174" s="59">
        <f t="shared" si="1"/>
        <v>0.5</v>
      </c>
      <c r="H174" s="64">
        <v>25</v>
      </c>
      <c r="I174" s="84">
        <f t="shared" si="21"/>
        <v>25</v>
      </c>
      <c r="J174" s="84">
        <v>50</v>
      </c>
      <c r="K174" s="60">
        <f t="shared" si="22"/>
        <v>345400</v>
      </c>
      <c r="L174" s="59">
        <f t="shared" si="18"/>
        <v>18.600000000000001</v>
      </c>
      <c r="M174" s="64">
        <f t="shared" si="19"/>
        <v>28.6</v>
      </c>
      <c r="N174" s="64" cm="1">
        <f t="array" ref="N174">drivePower($C$4,M174,$C$9,$C$10,$C$11)</f>
        <v>39.609000000000002</v>
      </c>
      <c r="O174" s="86">
        <f t="shared" si="17"/>
        <v>23003.64</v>
      </c>
      <c r="P174" s="90">
        <f t="shared" si="4"/>
        <v>-1.5000000000000001E-4</v>
      </c>
      <c r="Q174" s="91">
        <f t="shared" si="5"/>
        <v>0.82280000000000009</v>
      </c>
      <c r="R174" s="98">
        <v>0.15</v>
      </c>
      <c r="S174" s="95">
        <f t="shared" si="23"/>
        <v>345400</v>
      </c>
      <c r="T174" s="92" cm="1">
        <f t="array" ref="T174">maxDepthToMinSOC($L$8,$L$9,$L$6,$L$7,$O174,$G$5,$G$6,drivePower($C$4,$M174,$G174,$C$10,$C$11),$I174,$G174,$G$4,$C$8)</f>
        <v>21785.400865674019</v>
      </c>
      <c r="U174" s="12" cm="1">
        <f t="array" ref="U174">maxDepthToMinSOC($L$8,$L$9,P174,Q174,$O174,$G$5,$G$6,drivePower($C$4,$M174,$G174,$C$10,$C$11),$I174,$G174,$G$4,$C$8)</f>
        <v>8333.550331145525</v>
      </c>
      <c r="V174" s="93">
        <f t="shared" si="20"/>
        <v>15059.475598409772</v>
      </c>
    </row>
    <row r="175" spans="7:22" x14ac:dyDescent="0.35">
      <c r="G175" s="59">
        <f t="shared" si="1"/>
        <v>0.5</v>
      </c>
      <c r="H175" s="64">
        <v>25</v>
      </c>
      <c r="I175" s="84">
        <f t="shared" si="21"/>
        <v>25</v>
      </c>
      <c r="J175" s="84">
        <v>50</v>
      </c>
      <c r="K175" s="60">
        <f t="shared" si="22"/>
        <v>347600</v>
      </c>
      <c r="L175" s="59">
        <f t="shared" si="18"/>
        <v>18.72</v>
      </c>
      <c r="M175" s="64">
        <f t="shared" si="19"/>
        <v>28.72</v>
      </c>
      <c r="N175" s="64" cm="1">
        <f t="array" ref="N175">drivePower($C$4,M175,$C$9,$C$10,$C$11)</f>
        <v>39.766799999999996</v>
      </c>
      <c r="O175" s="86">
        <f t="shared" si="17"/>
        <v>23150.16</v>
      </c>
      <c r="P175" s="90">
        <f t="shared" si="4"/>
        <v>-1.5000000000000001E-4</v>
      </c>
      <c r="Q175" s="91">
        <f t="shared" si="5"/>
        <v>0.82280000000000009</v>
      </c>
      <c r="R175" s="98">
        <v>0.15</v>
      </c>
      <c r="S175" s="95">
        <f t="shared" si="23"/>
        <v>347600</v>
      </c>
      <c r="T175" s="92" cm="1">
        <f t="array" ref="T175">maxDepthToMinSOC($L$8,$L$9,$L$6,$L$7,$O175,$G$5,$G$6,drivePower($C$4,$M175,$G175,$C$10,$C$11),$I175,$G175,$G$4,$C$8)</f>
        <v>21815.700866878033</v>
      </c>
      <c r="U175" s="12" cm="1">
        <f t="array" ref="U175">maxDepthToMinSOC($L$8,$L$9,P175,Q175,$O175,$G$5,$G$6,drivePower($C$4,$M175,$G175,$C$10,$C$11),$I175,$G175,$G$4,$C$8)</f>
        <v>8338.6503313481808</v>
      </c>
      <c r="V175" s="93">
        <f t="shared" si="20"/>
        <v>15077.175599113107</v>
      </c>
    </row>
    <row r="176" spans="7:22" x14ac:dyDescent="0.35">
      <c r="G176" s="59">
        <f t="shared" si="1"/>
        <v>0.5</v>
      </c>
      <c r="H176" s="64">
        <v>25</v>
      </c>
      <c r="I176" s="84">
        <f t="shared" si="21"/>
        <v>25</v>
      </c>
      <c r="J176" s="84">
        <v>50</v>
      </c>
      <c r="K176" s="60">
        <f t="shared" si="22"/>
        <v>349800</v>
      </c>
      <c r="L176" s="59">
        <f t="shared" si="18"/>
        <v>18.84</v>
      </c>
      <c r="M176" s="64">
        <f t="shared" si="19"/>
        <v>28.84</v>
      </c>
      <c r="N176" s="64" cm="1">
        <f t="array" ref="N176">drivePower($C$4,M176,$C$9,$C$10,$C$11)</f>
        <v>39.924599999999998</v>
      </c>
      <c r="O176" s="86">
        <f t="shared" si="17"/>
        <v>23296.68</v>
      </c>
      <c r="P176" s="90">
        <f t="shared" si="4"/>
        <v>-1.5000000000000001E-4</v>
      </c>
      <c r="Q176" s="91">
        <f t="shared" si="5"/>
        <v>0.82280000000000009</v>
      </c>
      <c r="R176" s="98">
        <v>0.15</v>
      </c>
      <c r="S176" s="95">
        <f t="shared" si="23"/>
        <v>349800</v>
      </c>
      <c r="T176" s="92" cm="1">
        <f t="array" ref="T176">maxDepthToMinSOC($L$8,$L$9,$L$6,$L$7,$O176,$G$5,$G$6,drivePower($C$4,$M176,$G176,$C$10,$C$11),$I176,$G176,$G$4,$C$8)</f>
        <v>21845.700868070126</v>
      </c>
      <c r="U176" s="12" cm="1">
        <f t="array" ref="U176">maxDepthToMinSOC($L$8,$L$9,P176,Q176,$O176,$G$5,$G$6,drivePower($C$4,$M176,$G176,$C$10,$C$11),$I176,$G176,$G$4,$C$8)</f>
        <v>8343.7503315508366</v>
      </c>
      <c r="V176" s="93">
        <f t="shared" si="20"/>
        <v>15094.725599810481</v>
      </c>
    </row>
    <row r="177" spans="7:22" x14ac:dyDescent="0.35">
      <c r="G177" s="59">
        <f t="shared" si="1"/>
        <v>0.5</v>
      </c>
      <c r="H177" s="64">
        <v>25</v>
      </c>
      <c r="I177" s="84">
        <f t="shared" si="21"/>
        <v>25</v>
      </c>
      <c r="J177" s="84">
        <v>50</v>
      </c>
      <c r="K177" s="60">
        <f t="shared" si="22"/>
        <v>352000</v>
      </c>
      <c r="L177" s="59">
        <f t="shared" si="18"/>
        <v>18.96</v>
      </c>
      <c r="M177" s="64">
        <f t="shared" si="19"/>
        <v>28.96</v>
      </c>
      <c r="N177" s="64" cm="1">
        <f t="array" ref="N177">drivePower($C$4,M177,$C$9,$C$10,$C$11)</f>
        <v>40.0824</v>
      </c>
      <c r="O177" s="86">
        <f t="shared" si="17"/>
        <v>23443.200000000001</v>
      </c>
      <c r="P177" s="90">
        <f t="shared" si="4"/>
        <v>-1.5000000000000001E-4</v>
      </c>
      <c r="Q177" s="91">
        <f t="shared" si="5"/>
        <v>0.82280000000000009</v>
      </c>
      <c r="R177" s="98">
        <v>0.15</v>
      </c>
      <c r="S177" s="95">
        <f t="shared" si="23"/>
        <v>352000</v>
      </c>
      <c r="T177" s="92" cm="1">
        <f t="array" ref="T177">maxDepthToMinSOC($L$8,$L$9,$L$6,$L$7,$O177,$G$5,$G$6,drivePower($C$4,$M177,$G177,$C$10,$C$11),$I177,$G177,$G$4,$C$8)</f>
        <v>21875.550869256258</v>
      </c>
      <c r="U177" s="12" cm="1">
        <f t="array" ref="U177">maxDepthToMinSOC($L$8,$L$9,P177,Q177,$O177,$G$5,$G$6,drivePower($C$4,$M177,$G177,$C$10,$C$11),$I177,$G177,$G$4,$C$8)</f>
        <v>8348.8503317534924</v>
      </c>
      <c r="V177" s="93">
        <f t="shared" si="20"/>
        <v>15112.200600504875</v>
      </c>
    </row>
    <row r="178" spans="7:22" x14ac:dyDescent="0.35">
      <c r="G178" s="59">
        <f t="shared" si="1"/>
        <v>0.5</v>
      </c>
      <c r="H178" s="64">
        <v>25</v>
      </c>
      <c r="I178" s="84">
        <f t="shared" si="21"/>
        <v>25</v>
      </c>
      <c r="J178" s="84">
        <v>50</v>
      </c>
      <c r="K178" s="60">
        <f t="shared" si="22"/>
        <v>354200</v>
      </c>
      <c r="L178" s="59">
        <f t="shared" si="18"/>
        <v>19.079999999999998</v>
      </c>
      <c r="M178" s="64">
        <f t="shared" si="19"/>
        <v>29.08</v>
      </c>
      <c r="N178" s="64" cm="1">
        <f t="array" ref="N178">drivePower($C$4,M178,$C$9,$C$10,$C$11)</f>
        <v>40.240199999999994</v>
      </c>
      <c r="O178" s="86">
        <f t="shared" si="17"/>
        <v>23589.719999999998</v>
      </c>
      <c r="P178" s="90">
        <f t="shared" si="4"/>
        <v>-1.5000000000000001E-4</v>
      </c>
      <c r="Q178" s="91">
        <f t="shared" si="5"/>
        <v>0.82280000000000009</v>
      </c>
      <c r="R178" s="98">
        <v>0.15</v>
      </c>
      <c r="S178" s="95">
        <f t="shared" si="23"/>
        <v>354200</v>
      </c>
      <c r="T178" s="92" cm="1">
        <f t="array" ref="T178">maxDepthToMinSOC($L$8,$L$9,$L$6,$L$7,$O178,$G$5,$G$6,drivePower($C$4,$M178,$G178,$C$10,$C$11),$I178,$G178,$G$4,$C$8)</f>
        <v>21904.950870424509</v>
      </c>
      <c r="U178" s="12" cm="1">
        <f t="array" ref="U178">maxDepthToMinSOC($L$8,$L$9,P178,Q178,$O178,$G$5,$G$6,drivePower($C$4,$M178,$G178,$C$10,$C$11),$I178,$G178,$G$4,$C$8)</f>
        <v>8353.8003319501877</v>
      </c>
      <c r="V178" s="93">
        <f t="shared" si="20"/>
        <v>15129.375601187348</v>
      </c>
    </row>
    <row r="179" spans="7:22" x14ac:dyDescent="0.35">
      <c r="G179" s="59">
        <f t="shared" si="1"/>
        <v>0.5</v>
      </c>
      <c r="H179" s="64">
        <v>25</v>
      </c>
      <c r="I179" s="84">
        <f t="shared" si="21"/>
        <v>25</v>
      </c>
      <c r="J179" s="84">
        <v>50</v>
      </c>
      <c r="K179" s="60">
        <f t="shared" si="22"/>
        <v>356400</v>
      </c>
      <c r="L179" s="59">
        <f t="shared" si="18"/>
        <v>19.2</v>
      </c>
      <c r="M179" s="64">
        <f t="shared" si="19"/>
        <v>29.2</v>
      </c>
      <c r="N179" s="64" cm="1">
        <f t="array" ref="N179">drivePower($C$4,M179,$C$9,$C$10,$C$11)</f>
        <v>40.397999999999996</v>
      </c>
      <c r="O179" s="86">
        <f t="shared" si="17"/>
        <v>23736.239999999998</v>
      </c>
      <c r="P179" s="90">
        <f t="shared" si="4"/>
        <v>-1.5000000000000001E-4</v>
      </c>
      <c r="Q179" s="91">
        <f t="shared" si="5"/>
        <v>0.82280000000000009</v>
      </c>
      <c r="R179" s="98">
        <v>0.15</v>
      </c>
      <c r="S179" s="95">
        <f t="shared" si="23"/>
        <v>356400</v>
      </c>
      <c r="T179" s="92" cm="1">
        <f t="array" ref="T179">maxDepthToMinSOC($L$8,$L$9,$L$6,$L$7,$O179,$G$5,$G$6,drivePower($C$4,$M179,$G179,$C$10,$C$11),$I179,$G179,$G$4,$C$8)</f>
        <v>21934.050871580839</v>
      </c>
      <c r="U179" s="12" cm="1">
        <f t="array" ref="U179">maxDepthToMinSOC($L$8,$L$9,P179,Q179,$O179,$G$5,$G$6,drivePower($C$4,$M179,$G179,$C$10,$C$11),$I179,$G179,$G$4,$C$8)</f>
        <v>8358.750332146883</v>
      </c>
      <c r="V179" s="93">
        <f t="shared" si="20"/>
        <v>15146.400601863861</v>
      </c>
    </row>
    <row r="180" spans="7:22" x14ac:dyDescent="0.35">
      <c r="G180" s="59">
        <f t="shared" si="1"/>
        <v>0.5</v>
      </c>
      <c r="H180" s="64">
        <v>25</v>
      </c>
      <c r="I180" s="84">
        <f t="shared" si="21"/>
        <v>25</v>
      </c>
      <c r="J180" s="84">
        <v>50</v>
      </c>
      <c r="K180" s="60">
        <f t="shared" si="22"/>
        <v>358600</v>
      </c>
      <c r="L180" s="59">
        <f t="shared" si="18"/>
        <v>19.32</v>
      </c>
      <c r="M180" s="64">
        <f t="shared" si="19"/>
        <v>29.32</v>
      </c>
      <c r="N180" s="64" cm="1">
        <f t="array" ref="N180">drivePower($C$4,M180,$C$9,$C$10,$C$11)</f>
        <v>40.555799999999998</v>
      </c>
      <c r="O180" s="86">
        <f t="shared" si="17"/>
        <v>23882.760000000002</v>
      </c>
      <c r="P180" s="90">
        <f t="shared" si="4"/>
        <v>-1.5000000000000001E-4</v>
      </c>
      <c r="Q180" s="91">
        <f t="shared" si="5"/>
        <v>0.82280000000000009</v>
      </c>
      <c r="R180" s="98">
        <v>0.15</v>
      </c>
      <c r="S180" s="95">
        <f t="shared" si="23"/>
        <v>358600</v>
      </c>
      <c r="T180" s="92" cm="1">
        <f t="array" ref="T180">maxDepthToMinSOC($L$8,$L$9,$L$6,$L$7,$O180,$G$5,$G$6,drivePower($C$4,$M180,$G180,$C$10,$C$11),$I180,$G180,$G$4,$C$8)</f>
        <v>21963.000872731209</v>
      </c>
      <c r="U180" s="12" cm="1">
        <f t="array" ref="U180">maxDepthToMinSOC($L$8,$L$9,P180,Q180,$O180,$G$5,$G$6,drivePower($C$4,$M180,$G180,$C$10,$C$11),$I180,$G180,$G$4,$C$8)</f>
        <v>8363.7003323435783</v>
      </c>
      <c r="V180" s="93">
        <f t="shared" si="20"/>
        <v>15163.350602537394</v>
      </c>
    </row>
    <row r="181" spans="7:22" x14ac:dyDescent="0.35">
      <c r="G181" s="59">
        <f t="shared" si="1"/>
        <v>0.5</v>
      </c>
      <c r="H181" s="64">
        <v>25</v>
      </c>
      <c r="I181" s="84">
        <f t="shared" si="21"/>
        <v>25</v>
      </c>
      <c r="J181" s="84">
        <v>50</v>
      </c>
      <c r="K181" s="60">
        <f t="shared" si="22"/>
        <v>360800</v>
      </c>
      <c r="L181" s="59">
        <f t="shared" si="18"/>
        <v>19.440000000000001</v>
      </c>
      <c r="M181" s="64">
        <f t="shared" si="19"/>
        <v>29.44</v>
      </c>
      <c r="N181" s="64" cm="1">
        <f t="array" ref="N181">drivePower($C$4,M181,$C$9,$C$10,$C$11)</f>
        <v>40.7136</v>
      </c>
      <c r="O181" s="86">
        <f t="shared" si="17"/>
        <v>24029.280000000002</v>
      </c>
      <c r="P181" s="90">
        <f t="shared" si="4"/>
        <v>-1.5000000000000001E-4</v>
      </c>
      <c r="Q181" s="91">
        <f t="shared" si="5"/>
        <v>0.82280000000000009</v>
      </c>
      <c r="R181" s="98">
        <v>0.15</v>
      </c>
      <c r="S181" s="95">
        <f t="shared" si="23"/>
        <v>360800</v>
      </c>
      <c r="T181" s="92" cm="1">
        <f t="array" ref="T181">maxDepthToMinSOC($L$8,$L$9,$L$6,$L$7,$O181,$G$5,$G$6,drivePower($C$4,$M181,$G181,$C$10,$C$11),$I181,$G181,$G$4,$C$8)</f>
        <v>21991.500873863697</v>
      </c>
      <c r="U181" s="12" cm="1">
        <f t="array" ref="U181">maxDepthToMinSOC($L$8,$L$9,P181,Q181,$O181,$G$5,$G$6,drivePower($C$4,$M181,$G181,$C$10,$C$11),$I181,$G181,$G$4,$C$8)</f>
        <v>8368.5003325343132</v>
      </c>
      <c r="V181" s="93">
        <f t="shared" si="20"/>
        <v>15180.000603199005</v>
      </c>
    </row>
    <row r="182" spans="7:22" x14ac:dyDescent="0.35">
      <c r="G182" s="59">
        <f t="shared" si="1"/>
        <v>0.5</v>
      </c>
      <c r="H182" s="64">
        <v>25</v>
      </c>
      <c r="I182" s="84">
        <f t="shared" si="21"/>
        <v>25</v>
      </c>
      <c r="J182" s="84">
        <v>50</v>
      </c>
      <c r="K182" s="60">
        <f t="shared" si="22"/>
        <v>363000</v>
      </c>
      <c r="L182" s="59">
        <f t="shared" si="18"/>
        <v>19.559999999999999</v>
      </c>
      <c r="M182" s="64">
        <f t="shared" si="19"/>
        <v>29.56</v>
      </c>
      <c r="N182" s="64" cm="1">
        <f t="array" ref="N182">drivePower($C$4,M182,$C$9,$C$10,$C$11)</f>
        <v>40.871399999999994</v>
      </c>
      <c r="O182" s="86">
        <f t="shared" si="17"/>
        <v>24175.8</v>
      </c>
      <c r="P182" s="90">
        <f t="shared" si="4"/>
        <v>-1.5000000000000001E-4</v>
      </c>
      <c r="Q182" s="91">
        <f t="shared" si="5"/>
        <v>0.82280000000000009</v>
      </c>
      <c r="R182" s="98">
        <v>0.15</v>
      </c>
      <c r="S182" s="95">
        <f t="shared" si="23"/>
        <v>363000</v>
      </c>
      <c r="T182" s="92" cm="1">
        <f t="array" ref="T182">maxDepthToMinSOC($L$8,$L$9,$L$6,$L$7,$O182,$G$5,$G$6,drivePower($C$4,$M182,$G182,$C$10,$C$11),$I182,$G182,$G$4,$C$8)</f>
        <v>22019.850874990225</v>
      </c>
      <c r="U182" s="12" cm="1">
        <f t="array" ref="U182">maxDepthToMinSOC($L$8,$L$9,P182,Q182,$O182,$G$5,$G$6,drivePower($C$4,$M182,$G182,$C$10,$C$11),$I182,$G182,$G$4,$C$8)</f>
        <v>8373.3003327250481</v>
      </c>
      <c r="V182" s="93">
        <f t="shared" si="20"/>
        <v>15196.575603857636</v>
      </c>
    </row>
    <row r="183" spans="7:22" x14ac:dyDescent="0.35">
      <c r="G183" s="59">
        <f t="shared" si="1"/>
        <v>0.5</v>
      </c>
      <c r="H183" s="64">
        <v>25</v>
      </c>
      <c r="I183" s="84">
        <f t="shared" si="21"/>
        <v>25</v>
      </c>
      <c r="J183" s="84">
        <v>50</v>
      </c>
      <c r="K183" s="60">
        <f t="shared" si="22"/>
        <v>365200</v>
      </c>
      <c r="L183" s="59">
        <f t="shared" si="18"/>
        <v>19.68</v>
      </c>
      <c r="M183" s="64">
        <f t="shared" si="19"/>
        <v>29.68</v>
      </c>
      <c r="N183" s="64" cm="1">
        <f t="array" ref="N183">drivePower($C$4,M183,$C$9,$C$10,$C$11)</f>
        <v>41.029199999999996</v>
      </c>
      <c r="O183" s="86">
        <f t="shared" si="17"/>
        <v>24322.32</v>
      </c>
      <c r="P183" s="90">
        <f t="shared" si="4"/>
        <v>-1.5000000000000001E-4</v>
      </c>
      <c r="Q183" s="91">
        <f t="shared" si="5"/>
        <v>0.82280000000000009</v>
      </c>
      <c r="R183" s="98">
        <v>0.15</v>
      </c>
      <c r="S183" s="95">
        <f t="shared" si="23"/>
        <v>365200</v>
      </c>
      <c r="T183" s="92" cm="1">
        <f t="array" ref="T183">maxDepthToMinSOC($L$8,$L$9,$L$6,$L$7,$O183,$G$5,$G$6,drivePower($C$4,$M183,$G183,$C$10,$C$11),$I183,$G183,$G$4,$C$8)</f>
        <v>22047.900876104832</v>
      </c>
      <c r="U183" s="12" cm="1">
        <f t="array" ref="U183">maxDepthToMinSOC($L$8,$L$9,P183,Q183,$O183,$G$5,$G$6,drivePower($C$4,$M183,$G183,$C$10,$C$11),$I183,$G183,$G$4,$C$8)</f>
        <v>8377.9503329098225</v>
      </c>
      <c r="V183" s="93">
        <f t="shared" si="20"/>
        <v>15212.925604507327</v>
      </c>
    </row>
    <row r="184" spans="7:22" x14ac:dyDescent="0.35">
      <c r="G184" s="59">
        <f t="shared" si="1"/>
        <v>0.5</v>
      </c>
      <c r="H184" s="64">
        <v>25</v>
      </c>
      <c r="I184" s="84">
        <f t="shared" si="21"/>
        <v>25</v>
      </c>
      <c r="J184" s="84">
        <v>50</v>
      </c>
      <c r="K184" s="60">
        <f t="shared" si="22"/>
        <v>367400</v>
      </c>
      <c r="L184" s="59">
        <f t="shared" si="18"/>
        <v>19.8</v>
      </c>
      <c r="M184" s="64">
        <f t="shared" si="19"/>
        <v>29.8</v>
      </c>
      <c r="N184" s="64" cm="1">
        <f t="array" ref="N184">drivePower($C$4,M184,$C$9,$C$10,$C$11)</f>
        <v>41.186999999999998</v>
      </c>
      <c r="O184" s="86">
        <f t="shared" si="17"/>
        <v>24468.84</v>
      </c>
      <c r="P184" s="90">
        <f t="shared" si="4"/>
        <v>-1.5000000000000001E-4</v>
      </c>
      <c r="Q184" s="91">
        <f t="shared" si="5"/>
        <v>0.82280000000000009</v>
      </c>
      <c r="R184" s="98">
        <v>0.15</v>
      </c>
      <c r="S184" s="95">
        <f t="shared" si="23"/>
        <v>367400</v>
      </c>
      <c r="T184" s="92" cm="1">
        <f t="array" ref="T184">maxDepthToMinSOC($L$8,$L$9,$L$6,$L$7,$O184,$G$5,$G$6,drivePower($C$4,$M184,$G184,$C$10,$C$11),$I184,$G184,$G$4,$C$8)</f>
        <v>22075.650877207518</v>
      </c>
      <c r="U184" s="12" cm="1">
        <f t="array" ref="U184">maxDepthToMinSOC($L$8,$L$9,P184,Q184,$O184,$G$5,$G$6,drivePower($C$4,$M184,$G184,$C$10,$C$11),$I184,$G184,$G$4,$C$8)</f>
        <v>8382.7503331005573</v>
      </c>
      <c r="V184" s="93">
        <f t="shared" si="20"/>
        <v>15229.200605154037</v>
      </c>
    </row>
    <row r="185" spans="7:22" x14ac:dyDescent="0.35">
      <c r="G185" s="59">
        <f t="shared" si="1"/>
        <v>0.5</v>
      </c>
      <c r="H185" s="64">
        <v>25</v>
      </c>
      <c r="I185" s="84">
        <f t="shared" si="21"/>
        <v>25</v>
      </c>
      <c r="J185" s="84">
        <v>50</v>
      </c>
      <c r="K185" s="60">
        <f t="shared" si="22"/>
        <v>369600</v>
      </c>
      <c r="L185" s="59">
        <f t="shared" si="18"/>
        <v>19.920000000000002</v>
      </c>
      <c r="M185" s="64">
        <f t="shared" si="19"/>
        <v>29.92</v>
      </c>
      <c r="N185" s="64" cm="1">
        <f t="array" ref="N185">drivePower($C$4,M185,$C$9,$C$10,$C$11)</f>
        <v>41.344799999999999</v>
      </c>
      <c r="O185" s="86">
        <f t="shared" si="17"/>
        <v>24615.360000000001</v>
      </c>
      <c r="P185" s="90">
        <f t="shared" si="4"/>
        <v>-1.5000000000000001E-4</v>
      </c>
      <c r="Q185" s="91">
        <f t="shared" si="5"/>
        <v>0.82280000000000009</v>
      </c>
      <c r="R185" s="98">
        <v>0.15</v>
      </c>
      <c r="S185" s="95">
        <f t="shared" si="23"/>
        <v>369600</v>
      </c>
      <c r="T185" s="92" cm="1">
        <f t="array" ref="T185">maxDepthToMinSOC($L$8,$L$9,$L$6,$L$7,$O185,$G$5,$G$6,drivePower($C$4,$M185,$G185,$C$10,$C$11),$I185,$G185,$G$4,$C$8)</f>
        <v>22103.100878298283</v>
      </c>
      <c r="U185" s="12" cm="1">
        <f t="array" ref="U185">maxDepthToMinSOC($L$8,$L$9,P185,Q185,$O185,$G$5,$G$6,drivePower($C$4,$M185,$G185,$C$10,$C$11),$I185,$G185,$G$4,$C$8)</f>
        <v>8387.2503332793713</v>
      </c>
      <c r="V185" s="93">
        <f t="shared" si="20"/>
        <v>15245.175605788827</v>
      </c>
    </row>
    <row r="186" spans="7:22" x14ac:dyDescent="0.35">
      <c r="G186" s="59">
        <f t="shared" si="1"/>
        <v>0.5</v>
      </c>
      <c r="H186" s="64">
        <v>25</v>
      </c>
      <c r="I186" s="84">
        <f t="shared" si="21"/>
        <v>25</v>
      </c>
      <c r="J186" s="84">
        <v>50</v>
      </c>
      <c r="K186" s="60">
        <f t="shared" si="22"/>
        <v>371800</v>
      </c>
      <c r="L186" s="59">
        <f t="shared" si="18"/>
        <v>20.04</v>
      </c>
      <c r="M186" s="64">
        <f t="shared" si="19"/>
        <v>30.04</v>
      </c>
      <c r="N186" s="64" cm="1">
        <f t="array" ref="N186">drivePower($C$4,M186,$C$9,$C$10,$C$11)</f>
        <v>41.502599999999994</v>
      </c>
      <c r="O186" s="86">
        <f t="shared" si="17"/>
        <v>24761.88</v>
      </c>
      <c r="P186" s="90">
        <f t="shared" si="4"/>
        <v>-1.5000000000000001E-4</v>
      </c>
      <c r="Q186" s="91">
        <f t="shared" si="5"/>
        <v>0.82280000000000009</v>
      </c>
      <c r="R186" s="98">
        <v>0.15</v>
      </c>
      <c r="S186" s="95">
        <f t="shared" si="23"/>
        <v>371800</v>
      </c>
      <c r="T186" s="92" cm="1">
        <f t="array" ref="T186">maxDepthToMinSOC($L$8,$L$9,$L$6,$L$7,$O186,$G$5,$G$6,drivePower($C$4,$M186,$G186,$C$10,$C$11),$I186,$G186,$G$4,$C$8)</f>
        <v>22130.400879383087</v>
      </c>
      <c r="U186" s="12" cm="1">
        <f t="array" ref="U186">maxDepthToMinSOC($L$8,$L$9,P186,Q186,$O186,$G$5,$G$6,drivePower($C$4,$M186,$G186,$C$10,$C$11),$I186,$G186,$G$4,$C$8)</f>
        <v>8391.9003334641457</v>
      </c>
      <c r="V186" s="93">
        <f t="shared" si="20"/>
        <v>15261.150606423616</v>
      </c>
    </row>
    <row r="187" spans="7:22" x14ac:dyDescent="0.35">
      <c r="G187" s="59">
        <f t="shared" si="1"/>
        <v>0.5</v>
      </c>
      <c r="H187" s="64">
        <v>25</v>
      </c>
      <c r="I187" s="84">
        <f t="shared" si="21"/>
        <v>25</v>
      </c>
      <c r="J187" s="84">
        <v>50</v>
      </c>
      <c r="K187" s="60">
        <f t="shared" si="22"/>
        <v>374000</v>
      </c>
      <c r="L187" s="59">
        <f t="shared" si="18"/>
        <v>20.16</v>
      </c>
      <c r="M187" s="64">
        <f t="shared" si="19"/>
        <v>30.16</v>
      </c>
      <c r="N187" s="64" cm="1">
        <f t="array" ref="N187">drivePower($C$4,M187,$C$9,$C$10,$C$11)</f>
        <v>41.660399999999996</v>
      </c>
      <c r="O187" s="86">
        <f t="shared" si="17"/>
        <v>24908.400000000001</v>
      </c>
      <c r="P187" s="90">
        <f t="shared" si="4"/>
        <v>-1.5000000000000001E-4</v>
      </c>
      <c r="Q187" s="91">
        <f t="shared" si="5"/>
        <v>0.82280000000000009</v>
      </c>
      <c r="R187" s="98">
        <v>0.15</v>
      </c>
      <c r="S187" s="95">
        <f t="shared" si="23"/>
        <v>374000</v>
      </c>
      <c r="T187" s="92" cm="1">
        <f t="array" ref="T187">maxDepthToMinSOC($L$8,$L$9,$L$6,$L$7,$O187,$G$5,$G$6,drivePower($C$4,$M187,$G187,$C$10,$C$11),$I187,$G187,$G$4,$C$8)</f>
        <v>22157.400880455971</v>
      </c>
      <c r="U187" s="12" cm="1">
        <f t="array" ref="U187">maxDepthToMinSOC($L$8,$L$9,P187,Q187,$O187,$G$5,$G$6,drivePower($C$4,$M187,$G187,$C$10,$C$11),$I187,$G187,$G$4,$C$8)</f>
        <v>8396.4003336429596</v>
      </c>
      <c r="V187" s="93">
        <f t="shared" si="20"/>
        <v>15276.900607049465</v>
      </c>
    </row>
    <row r="188" spans="7:22" x14ac:dyDescent="0.35">
      <c r="G188" s="59">
        <f t="shared" si="1"/>
        <v>0.5</v>
      </c>
      <c r="H188" s="64">
        <v>25</v>
      </c>
      <c r="I188" s="84">
        <f t="shared" si="21"/>
        <v>25</v>
      </c>
      <c r="J188" s="84">
        <v>50</v>
      </c>
      <c r="K188" s="60">
        <f t="shared" si="22"/>
        <v>376200</v>
      </c>
      <c r="L188" s="59">
        <f t="shared" si="18"/>
        <v>20.28</v>
      </c>
      <c r="M188" s="64">
        <f t="shared" si="19"/>
        <v>30.28</v>
      </c>
      <c r="N188" s="64" cm="1">
        <f t="array" ref="N188">drivePower($C$4,M188,$C$9,$C$10,$C$11)</f>
        <v>41.818199999999997</v>
      </c>
      <c r="O188" s="86">
        <f t="shared" si="17"/>
        <v>25054.92</v>
      </c>
      <c r="P188" s="90">
        <f t="shared" si="4"/>
        <v>-1.5000000000000001E-4</v>
      </c>
      <c r="Q188" s="91">
        <f t="shared" si="5"/>
        <v>0.82280000000000009</v>
      </c>
      <c r="R188" s="98">
        <v>0.15</v>
      </c>
      <c r="S188" s="95">
        <f t="shared" si="23"/>
        <v>376200</v>
      </c>
      <c r="T188" s="92" cm="1">
        <f t="array" ref="T188">maxDepthToMinSOC($L$8,$L$9,$L$6,$L$7,$O188,$G$5,$G$6,drivePower($C$4,$M188,$G188,$C$10,$C$11),$I188,$G188,$G$4,$C$8)</f>
        <v>22184.100881516933</v>
      </c>
      <c r="U188" s="12" cm="1">
        <f t="array" ref="U188">maxDepthToMinSOC($L$8,$L$9,P188,Q188,$O188,$G$5,$G$6,drivePower($C$4,$M188,$G188,$C$10,$C$11),$I188,$G188,$G$4,$C$8)</f>
        <v>8400.9003338217735</v>
      </c>
      <c r="V188" s="93">
        <f t="shared" si="20"/>
        <v>15292.500607669353</v>
      </c>
    </row>
    <row r="189" spans="7:22" x14ac:dyDescent="0.35">
      <c r="G189" s="59">
        <f t="shared" si="1"/>
        <v>0.5</v>
      </c>
      <c r="H189" s="64">
        <v>25</v>
      </c>
      <c r="I189" s="84">
        <f t="shared" si="21"/>
        <v>25</v>
      </c>
      <c r="J189" s="84">
        <v>50</v>
      </c>
      <c r="K189" s="60">
        <f t="shared" si="22"/>
        <v>378400</v>
      </c>
      <c r="L189" s="59">
        <f t="shared" si="18"/>
        <v>20.399999999999999</v>
      </c>
      <c r="M189" s="64">
        <f t="shared" si="19"/>
        <v>30.4</v>
      </c>
      <c r="N189" s="64" cm="1">
        <f t="array" ref="N189">drivePower($C$4,M189,$C$9,$C$10,$C$11)</f>
        <v>41.975999999999999</v>
      </c>
      <c r="O189" s="86">
        <f t="shared" si="17"/>
        <v>25201.439999999999</v>
      </c>
      <c r="P189" s="90">
        <f t="shared" si="4"/>
        <v>-1.5000000000000001E-4</v>
      </c>
      <c r="Q189" s="91">
        <f t="shared" si="5"/>
        <v>0.82280000000000009</v>
      </c>
      <c r="R189" s="98">
        <v>0.15</v>
      </c>
      <c r="S189" s="95">
        <f t="shared" si="23"/>
        <v>378400</v>
      </c>
      <c r="T189" s="92" cm="1">
        <f t="array" ref="T189">maxDepthToMinSOC($L$8,$L$9,$L$6,$L$7,$O189,$G$5,$G$6,drivePower($C$4,$M189,$G189,$C$10,$C$11),$I189,$G189,$G$4,$C$8)</f>
        <v>22210.650882571936</v>
      </c>
      <c r="U189" s="12" cm="1">
        <f t="array" ref="U189">maxDepthToMinSOC($L$8,$L$9,P189,Q189,$O189,$G$5,$G$6,drivePower($C$4,$M189,$G189,$C$10,$C$11),$I189,$G189,$G$4,$C$8)</f>
        <v>8405.250333994627</v>
      </c>
      <c r="V189" s="93">
        <f t="shared" si="20"/>
        <v>15307.950608283281</v>
      </c>
    </row>
    <row r="190" spans="7:22" x14ac:dyDescent="0.35">
      <c r="G190" s="59">
        <f t="shared" si="1"/>
        <v>0.5</v>
      </c>
      <c r="H190" s="64">
        <v>25</v>
      </c>
      <c r="I190" s="84">
        <f t="shared" si="21"/>
        <v>25</v>
      </c>
      <c r="J190" s="84">
        <v>50</v>
      </c>
      <c r="K190" s="60">
        <f t="shared" si="22"/>
        <v>380600</v>
      </c>
      <c r="L190" s="59">
        <f t="shared" si="18"/>
        <v>20.52</v>
      </c>
      <c r="M190" s="64">
        <f t="shared" si="19"/>
        <v>30.52</v>
      </c>
      <c r="N190" s="64" cm="1">
        <f t="array" ref="N190">drivePower($C$4,M190,$C$9,$C$10,$C$11)</f>
        <v>42.133800000000001</v>
      </c>
      <c r="O190" s="86">
        <f t="shared" si="17"/>
        <v>25347.960000000003</v>
      </c>
      <c r="P190" s="90">
        <f t="shared" si="4"/>
        <v>-1.5000000000000001E-4</v>
      </c>
      <c r="Q190" s="91">
        <f t="shared" si="5"/>
        <v>0.82280000000000009</v>
      </c>
      <c r="R190" s="98">
        <v>0.15</v>
      </c>
      <c r="S190" s="95">
        <f t="shared" si="23"/>
        <v>380600</v>
      </c>
      <c r="T190" s="92" cm="1">
        <f t="array" ref="T190">maxDepthToMinSOC($L$8,$L$9,$L$6,$L$7,$O190,$G$5,$G$6,drivePower($C$4,$M190,$G190,$C$10,$C$11),$I190,$G190,$G$4,$C$8)</f>
        <v>22236.900883615017</v>
      </c>
      <c r="U190" s="12" cm="1">
        <f t="array" ref="U190">maxDepthToMinSOC($L$8,$L$9,P190,Q190,$O190,$G$5,$G$6,drivePower($C$4,$M190,$G190,$C$10,$C$11),$I190,$G190,$G$4,$C$8)</f>
        <v>8409.7503341734409</v>
      </c>
      <c r="V190" s="93">
        <f t="shared" si="20"/>
        <v>15323.325608894229</v>
      </c>
    </row>
    <row r="191" spans="7:22" x14ac:dyDescent="0.35">
      <c r="G191" s="59">
        <f t="shared" si="1"/>
        <v>0.5</v>
      </c>
      <c r="H191" s="64">
        <v>25</v>
      </c>
      <c r="I191" s="84">
        <f t="shared" si="21"/>
        <v>25</v>
      </c>
      <c r="J191" s="84">
        <v>50</v>
      </c>
      <c r="K191" s="60">
        <f t="shared" si="22"/>
        <v>382800</v>
      </c>
      <c r="L191" s="59">
        <f t="shared" si="18"/>
        <v>20.64</v>
      </c>
      <c r="M191" s="64">
        <f t="shared" si="19"/>
        <v>30.64</v>
      </c>
      <c r="N191" s="64" cm="1">
        <f t="array" ref="N191">drivePower($C$4,M191,$C$9,$C$10,$C$11)</f>
        <v>42.291600000000003</v>
      </c>
      <c r="O191" s="86">
        <f t="shared" si="17"/>
        <v>25494.48</v>
      </c>
      <c r="P191" s="90">
        <f t="shared" si="4"/>
        <v>-1.5000000000000001E-4</v>
      </c>
      <c r="Q191" s="91">
        <f t="shared" si="5"/>
        <v>0.82280000000000009</v>
      </c>
      <c r="R191" s="98">
        <v>0.15</v>
      </c>
      <c r="S191" s="95">
        <f t="shared" si="23"/>
        <v>382800</v>
      </c>
      <c r="T191" s="92" cm="1">
        <f t="array" ref="T191">maxDepthToMinSOC($L$8,$L$9,$L$6,$L$7,$O191,$G$5,$G$6,drivePower($C$4,$M191,$G191,$C$10,$C$11),$I191,$G191,$G$4,$C$8)</f>
        <v>22262.850884646177</v>
      </c>
      <c r="U191" s="12" cm="1">
        <f t="array" ref="U191">maxDepthToMinSOC($L$8,$L$9,P191,Q191,$O191,$G$5,$G$6,drivePower($C$4,$M191,$G191,$C$10,$C$11),$I191,$G191,$G$4,$C$8)</f>
        <v>8414.1003343462944</v>
      </c>
      <c r="V191" s="93">
        <f t="shared" si="20"/>
        <v>15338.475609496236</v>
      </c>
    </row>
    <row r="192" spans="7:22" x14ac:dyDescent="0.35">
      <c r="G192" s="59">
        <f t="shared" si="1"/>
        <v>0.5</v>
      </c>
      <c r="H192" s="64">
        <v>25</v>
      </c>
      <c r="I192" s="84">
        <f t="shared" si="21"/>
        <v>25</v>
      </c>
      <c r="J192" s="84">
        <v>50</v>
      </c>
      <c r="K192" s="60">
        <f t="shared" si="22"/>
        <v>385000</v>
      </c>
      <c r="L192" s="59">
        <f t="shared" si="18"/>
        <v>20.76</v>
      </c>
      <c r="M192" s="64">
        <f t="shared" si="19"/>
        <v>30.76</v>
      </c>
      <c r="N192" s="64" cm="1">
        <f t="array" ref="N192">drivePower($C$4,M192,$C$9,$C$10,$C$11)</f>
        <v>42.449399999999997</v>
      </c>
      <c r="O192" s="86">
        <f t="shared" si="17"/>
        <v>25641</v>
      </c>
      <c r="P192" s="90">
        <f t="shared" si="4"/>
        <v>-1.5000000000000001E-4</v>
      </c>
      <c r="Q192" s="91">
        <f t="shared" si="5"/>
        <v>0.82280000000000009</v>
      </c>
      <c r="R192" s="98">
        <v>0.15</v>
      </c>
      <c r="S192" s="95">
        <f t="shared" si="23"/>
        <v>385000</v>
      </c>
      <c r="T192" s="92" cm="1">
        <f t="array" ref="T192">maxDepthToMinSOC($L$8,$L$9,$L$6,$L$7,$O192,$G$5,$G$6,drivePower($C$4,$M192,$G192,$C$10,$C$11),$I192,$G192,$G$4,$C$8)</f>
        <v>22288.650885671377</v>
      </c>
      <c r="U192" s="12" cm="1">
        <f t="array" ref="U192">maxDepthToMinSOC($L$8,$L$9,P192,Q192,$O192,$G$5,$G$6,drivePower($C$4,$M192,$G192,$C$10,$C$11),$I192,$G192,$G$4,$C$8)</f>
        <v>8418.3003345131874</v>
      </c>
      <c r="V192" s="93">
        <f t="shared" si="20"/>
        <v>15353.475610092282</v>
      </c>
    </row>
    <row r="193" spans="7:22" x14ac:dyDescent="0.35">
      <c r="G193" s="59">
        <f t="shared" si="1"/>
        <v>0.5</v>
      </c>
      <c r="H193" s="64">
        <v>25</v>
      </c>
      <c r="I193" s="84">
        <f t="shared" si="21"/>
        <v>25</v>
      </c>
      <c r="J193" s="84">
        <v>50</v>
      </c>
      <c r="K193" s="60">
        <f t="shared" si="22"/>
        <v>387200</v>
      </c>
      <c r="L193" s="59">
        <f t="shared" si="18"/>
        <v>20.88</v>
      </c>
      <c r="M193" s="64">
        <f t="shared" si="19"/>
        <v>30.88</v>
      </c>
      <c r="N193" s="64" cm="1">
        <f t="array" ref="N193">drivePower($C$4,M193,$C$9,$C$10,$C$11)</f>
        <v>42.607199999999999</v>
      </c>
      <c r="O193" s="86">
        <f t="shared" si="17"/>
        <v>25787.52</v>
      </c>
      <c r="P193" s="90">
        <f t="shared" si="4"/>
        <v>-1.5000000000000001E-4</v>
      </c>
      <c r="Q193" s="91">
        <f t="shared" si="5"/>
        <v>0.82280000000000009</v>
      </c>
      <c r="R193" s="98">
        <v>0.15</v>
      </c>
      <c r="S193" s="95">
        <f t="shared" si="23"/>
        <v>387200</v>
      </c>
      <c r="T193" s="92" cm="1">
        <f t="array" ref="T193">maxDepthToMinSOC($L$8,$L$9,$L$6,$L$7,$O193,$G$5,$G$6,drivePower($C$4,$M193,$G193,$C$10,$C$11),$I193,$G193,$G$4,$C$8)</f>
        <v>22314.150886684656</v>
      </c>
      <c r="U193" s="12" cm="1">
        <f t="array" ref="U193">maxDepthToMinSOC($L$8,$L$9,P193,Q193,$O193,$G$5,$G$6,drivePower($C$4,$M193,$G193,$C$10,$C$11),$I193,$G193,$G$4,$C$8)</f>
        <v>8422.6503346860409</v>
      </c>
      <c r="V193" s="93">
        <f t="shared" si="20"/>
        <v>15368.400610685349</v>
      </c>
    </row>
    <row r="194" spans="7:22" x14ac:dyDescent="0.35">
      <c r="G194" s="59">
        <f t="shared" si="1"/>
        <v>0.5</v>
      </c>
      <c r="H194" s="64">
        <v>25</v>
      </c>
      <c r="I194" s="84">
        <f t="shared" si="21"/>
        <v>25</v>
      </c>
      <c r="J194" s="84">
        <v>50</v>
      </c>
      <c r="K194" s="60">
        <f t="shared" si="22"/>
        <v>389400</v>
      </c>
      <c r="L194" s="59">
        <f t="shared" si="18"/>
        <v>21</v>
      </c>
      <c r="M194" s="64">
        <f t="shared" si="19"/>
        <v>31</v>
      </c>
      <c r="N194" s="64" cm="1">
        <f t="array" ref="N194">drivePower($C$4,M194,$C$9,$C$10,$C$11)</f>
        <v>42.765000000000001</v>
      </c>
      <c r="O194" s="86">
        <f t="shared" si="17"/>
        <v>25934.039999999997</v>
      </c>
      <c r="P194" s="90">
        <f t="shared" si="4"/>
        <v>-1.5000000000000001E-4</v>
      </c>
      <c r="Q194" s="91">
        <f t="shared" si="5"/>
        <v>0.82280000000000009</v>
      </c>
      <c r="R194" s="98">
        <v>0.15</v>
      </c>
      <c r="S194" s="95">
        <f t="shared" si="23"/>
        <v>389400</v>
      </c>
      <c r="T194" s="92" cm="1">
        <f t="array" ref="T194">maxDepthToMinSOC($L$8,$L$9,$L$6,$L$7,$O194,$G$5,$G$6,drivePower($C$4,$M194,$G194,$C$10,$C$11),$I194,$G194,$G$4,$C$8)</f>
        <v>22339.500887691975</v>
      </c>
      <c r="U194" s="12" cm="1">
        <f t="array" ref="U194">maxDepthToMinSOC($L$8,$L$9,P194,Q194,$O194,$G$5,$G$6,drivePower($C$4,$M194,$G194,$C$10,$C$11),$I194,$G194,$G$4,$C$8)</f>
        <v>8426.8503348529339</v>
      </c>
      <c r="V194" s="93">
        <f t="shared" si="20"/>
        <v>15383.175611272454</v>
      </c>
    </row>
    <row r="195" spans="7:22" x14ac:dyDescent="0.35">
      <c r="G195" s="59">
        <f t="shared" si="1"/>
        <v>0.5</v>
      </c>
      <c r="H195" s="64">
        <v>25</v>
      </c>
      <c r="I195" s="84">
        <f t="shared" si="21"/>
        <v>25</v>
      </c>
      <c r="J195" s="84">
        <v>50</v>
      </c>
      <c r="K195" s="60">
        <f t="shared" si="22"/>
        <v>391600</v>
      </c>
      <c r="L195" s="59">
        <f t="shared" si="18"/>
        <v>21.12</v>
      </c>
      <c r="M195" s="64">
        <f t="shared" si="19"/>
        <v>31.12</v>
      </c>
      <c r="N195" s="64" cm="1">
        <f t="array" ref="N195">drivePower($C$4,M195,$C$9,$C$10,$C$11)</f>
        <v>42.922800000000002</v>
      </c>
      <c r="O195" s="86">
        <f t="shared" si="17"/>
        <v>26080.560000000001</v>
      </c>
      <c r="P195" s="90">
        <f t="shared" si="4"/>
        <v>-1.5000000000000001E-4</v>
      </c>
      <c r="Q195" s="91">
        <f t="shared" si="5"/>
        <v>0.82280000000000009</v>
      </c>
      <c r="R195" s="98">
        <v>0.15</v>
      </c>
      <c r="S195" s="95">
        <f t="shared" si="23"/>
        <v>391600</v>
      </c>
      <c r="T195" s="92" cm="1">
        <f t="array" ref="T195">maxDepthToMinSOC($L$8,$L$9,$L$6,$L$7,$O195,$G$5,$G$6,drivePower($C$4,$M195,$G195,$C$10,$C$11),$I195,$G195,$G$4,$C$8)</f>
        <v>22364.550888687372</v>
      </c>
      <c r="U195" s="12" cm="1">
        <f t="array" ref="U195">maxDepthToMinSOC($L$8,$L$9,P195,Q195,$O195,$G$5,$G$6,drivePower($C$4,$M195,$G195,$C$10,$C$11),$I195,$G195,$G$4,$C$8)</f>
        <v>8430.9003350138664</v>
      </c>
      <c r="V195" s="93">
        <f t="shared" si="20"/>
        <v>15397.725611850619</v>
      </c>
    </row>
    <row r="196" spans="7:22" x14ac:dyDescent="0.35">
      <c r="G196" s="59">
        <f t="shared" si="1"/>
        <v>0.5</v>
      </c>
      <c r="H196" s="64">
        <v>25</v>
      </c>
      <c r="I196" s="84">
        <f t="shared" si="21"/>
        <v>25</v>
      </c>
      <c r="J196" s="84">
        <v>50</v>
      </c>
      <c r="K196" s="60">
        <f t="shared" si="22"/>
        <v>393800</v>
      </c>
      <c r="L196" s="59">
        <f t="shared" si="18"/>
        <v>21.24</v>
      </c>
      <c r="M196" s="64">
        <f t="shared" si="19"/>
        <v>31.24</v>
      </c>
      <c r="N196" s="64" cm="1">
        <f t="array" ref="N196">drivePower($C$4,M196,$C$9,$C$10,$C$11)</f>
        <v>43.080599999999997</v>
      </c>
      <c r="O196" s="86">
        <f t="shared" si="17"/>
        <v>26227.08</v>
      </c>
      <c r="P196" s="90">
        <f t="shared" si="4"/>
        <v>-1.5000000000000001E-4</v>
      </c>
      <c r="Q196" s="91">
        <f t="shared" si="5"/>
        <v>0.82280000000000009</v>
      </c>
      <c r="R196" s="98">
        <v>0.15</v>
      </c>
      <c r="S196" s="95">
        <f t="shared" si="23"/>
        <v>393800</v>
      </c>
      <c r="T196" s="92" cm="1">
        <f t="array" ref="T196">maxDepthToMinSOC($L$8,$L$9,$L$6,$L$7,$O196,$G$5,$G$6,drivePower($C$4,$M196,$G196,$C$10,$C$11),$I196,$G196,$G$4,$C$8)</f>
        <v>22389.450889676809</v>
      </c>
      <c r="U196" s="12" cm="1">
        <f t="array" ref="U196">maxDepthToMinSOC($L$8,$L$9,P196,Q196,$O196,$G$5,$G$6,drivePower($C$4,$M196,$G196,$C$10,$C$11),$I196,$G196,$G$4,$C$8)</f>
        <v>8435.1003351807594</v>
      </c>
      <c r="V196" s="93">
        <f t="shared" si="20"/>
        <v>15412.275612428784</v>
      </c>
    </row>
    <row r="197" spans="7:22" x14ac:dyDescent="0.35">
      <c r="G197" s="59">
        <f t="shared" si="1"/>
        <v>0.5</v>
      </c>
      <c r="H197" s="64">
        <v>25</v>
      </c>
      <c r="I197" s="84">
        <f t="shared" si="21"/>
        <v>25</v>
      </c>
      <c r="J197" s="84">
        <v>50</v>
      </c>
      <c r="K197" s="60">
        <f t="shared" si="22"/>
        <v>396000</v>
      </c>
      <c r="L197" s="59">
        <f t="shared" si="18"/>
        <v>21.36</v>
      </c>
      <c r="M197" s="64">
        <f t="shared" si="19"/>
        <v>31.36</v>
      </c>
      <c r="N197" s="64" cm="1">
        <f t="array" ref="N197">drivePower($C$4,M197,$C$9,$C$10,$C$11)</f>
        <v>43.238399999999999</v>
      </c>
      <c r="O197" s="86">
        <f t="shared" si="17"/>
        <v>26373.599999999999</v>
      </c>
      <c r="P197" s="90">
        <f t="shared" si="4"/>
        <v>-1.5000000000000001E-4</v>
      </c>
      <c r="Q197" s="91">
        <f t="shared" si="5"/>
        <v>0.82280000000000009</v>
      </c>
      <c r="R197" s="98">
        <v>0.15</v>
      </c>
      <c r="S197" s="95">
        <f t="shared" si="23"/>
        <v>396000</v>
      </c>
      <c r="T197" s="92" cm="1">
        <f t="array" ref="T197">maxDepthToMinSOC($L$8,$L$9,$L$6,$L$7,$O197,$G$5,$G$6,drivePower($C$4,$M197,$G197,$C$10,$C$11),$I197,$G197,$G$4,$C$8)</f>
        <v>22414.050890654325</v>
      </c>
      <c r="U197" s="12" cm="1">
        <f t="array" ref="U197">maxDepthToMinSOC($L$8,$L$9,P197,Q197,$O197,$G$5,$G$6,drivePower($C$4,$M197,$G197,$C$10,$C$11),$I197,$G197,$G$4,$C$8)</f>
        <v>8439.150335341692</v>
      </c>
      <c r="V197" s="93">
        <f t="shared" si="20"/>
        <v>15426.600612998009</v>
      </c>
    </row>
    <row r="198" spans="7:22" x14ac:dyDescent="0.35">
      <c r="G198" s="59">
        <f t="shared" si="1"/>
        <v>0.5</v>
      </c>
      <c r="H198" s="64">
        <v>25</v>
      </c>
      <c r="I198" s="84">
        <f t="shared" si="21"/>
        <v>25</v>
      </c>
      <c r="J198" s="84">
        <v>50</v>
      </c>
      <c r="K198" s="60">
        <f t="shared" si="22"/>
        <v>398200</v>
      </c>
      <c r="L198" s="59">
        <f t="shared" si="18"/>
        <v>21.48</v>
      </c>
      <c r="M198" s="64">
        <f t="shared" si="19"/>
        <v>31.48</v>
      </c>
      <c r="N198" s="64" cm="1">
        <f t="array" ref="N198">drivePower($C$4,M198,$C$9,$C$10,$C$11)</f>
        <v>43.3962</v>
      </c>
      <c r="O198" s="86">
        <f t="shared" si="17"/>
        <v>26520.12</v>
      </c>
      <c r="P198" s="90">
        <f t="shared" si="4"/>
        <v>-1.5000000000000001E-4</v>
      </c>
      <c r="Q198" s="91">
        <f t="shared" si="5"/>
        <v>0.82280000000000009</v>
      </c>
      <c r="R198" s="98">
        <v>0.15</v>
      </c>
      <c r="S198" s="95">
        <f t="shared" si="23"/>
        <v>398200</v>
      </c>
      <c r="T198" s="92" cm="1">
        <f t="array" ref="T198">maxDepthToMinSOC($L$8,$L$9,$L$6,$L$7,$O198,$G$5,$G$6,drivePower($C$4,$M198,$G198,$C$10,$C$11),$I198,$G198,$G$4,$C$8)</f>
        <v>22438.500891625881</v>
      </c>
      <c r="U198" s="12" cm="1">
        <f t="array" ref="U198">maxDepthToMinSOC($L$8,$L$9,P198,Q198,$O198,$G$5,$G$6,drivePower($C$4,$M198,$G198,$C$10,$C$11),$I198,$G198,$G$4,$C$8)</f>
        <v>8443.2003355026245</v>
      </c>
      <c r="V198" s="93">
        <f t="shared" si="20"/>
        <v>15440.850613564253</v>
      </c>
    </row>
    <row r="199" spans="7:22" x14ac:dyDescent="0.35">
      <c r="G199" s="59">
        <f t="shared" si="1"/>
        <v>0.5</v>
      </c>
      <c r="H199" s="64">
        <v>25</v>
      </c>
      <c r="I199" s="84">
        <f t="shared" si="21"/>
        <v>25</v>
      </c>
      <c r="J199" s="84">
        <v>50</v>
      </c>
      <c r="K199" s="60">
        <f t="shared" si="22"/>
        <v>400400</v>
      </c>
      <c r="L199" s="59">
        <f t="shared" si="18"/>
        <v>21.6</v>
      </c>
      <c r="M199" s="64">
        <f t="shared" si="19"/>
        <v>31.6</v>
      </c>
      <c r="N199" s="64" cm="1">
        <f t="array" ref="N199">drivePower($C$4,M199,$C$9,$C$10,$C$11)</f>
        <v>43.554000000000002</v>
      </c>
      <c r="O199" s="86">
        <f t="shared" si="17"/>
        <v>26666.639999999999</v>
      </c>
      <c r="P199" s="90">
        <f t="shared" si="4"/>
        <v>-1.5000000000000001E-4</v>
      </c>
      <c r="Q199" s="91">
        <f t="shared" si="5"/>
        <v>0.82280000000000009</v>
      </c>
      <c r="R199" s="98">
        <v>0.15</v>
      </c>
      <c r="S199" s="95">
        <f t="shared" si="23"/>
        <v>400400</v>
      </c>
      <c r="T199" s="92" cm="1">
        <f t="array" ref="T199">maxDepthToMinSOC($L$8,$L$9,$L$6,$L$7,$O199,$G$5,$G$6,drivePower($C$4,$M199,$G199,$C$10,$C$11),$I199,$G199,$G$4,$C$8)</f>
        <v>22462.650892585516</v>
      </c>
      <c r="U199" s="12" cm="1">
        <f t="array" ref="U199">maxDepthToMinSOC($L$8,$L$9,P199,Q199,$O199,$G$5,$G$6,drivePower($C$4,$M199,$G199,$C$10,$C$11),$I199,$G199,$G$4,$C$8)</f>
        <v>8447.1003356575966</v>
      </c>
      <c r="V199" s="93">
        <f t="shared" si="20"/>
        <v>15454.875614121556</v>
      </c>
    </row>
    <row r="200" spans="7:22" x14ac:dyDescent="0.35">
      <c r="G200" s="59">
        <f t="shared" si="1"/>
        <v>0.5</v>
      </c>
      <c r="H200" s="64">
        <v>25</v>
      </c>
      <c r="I200" s="84">
        <f t="shared" si="21"/>
        <v>25</v>
      </c>
      <c r="J200" s="84">
        <v>50</v>
      </c>
      <c r="K200" s="60">
        <f t="shared" si="22"/>
        <v>402600</v>
      </c>
      <c r="L200" s="59">
        <f t="shared" si="18"/>
        <v>21.72</v>
      </c>
      <c r="M200" s="64">
        <f t="shared" si="19"/>
        <v>31.72</v>
      </c>
      <c r="N200" s="64" cm="1">
        <f t="array" ref="N200">drivePower($C$4,M200,$C$9,$C$10,$C$11)</f>
        <v>43.711799999999997</v>
      </c>
      <c r="O200" s="86">
        <f t="shared" si="17"/>
        <v>26813.16</v>
      </c>
      <c r="P200" s="90">
        <f t="shared" si="4"/>
        <v>-1.5000000000000001E-4</v>
      </c>
      <c r="Q200" s="91">
        <f t="shared" si="5"/>
        <v>0.82280000000000009</v>
      </c>
      <c r="R200" s="98">
        <v>0.15</v>
      </c>
      <c r="S200" s="95">
        <f t="shared" si="23"/>
        <v>402600</v>
      </c>
      <c r="T200" s="92" cm="1">
        <f t="array" ref="T200">maxDepthToMinSOC($L$8,$L$9,$L$6,$L$7,$O200,$G$5,$G$6,drivePower($C$4,$M200,$G200,$C$10,$C$11),$I200,$G200,$G$4,$C$8)</f>
        <v>22486.65089353919</v>
      </c>
      <c r="U200" s="12" cm="1">
        <f t="array" ref="U200">maxDepthToMinSOC($L$8,$L$9,P200,Q200,$O200,$G$5,$G$6,drivePower($C$4,$M200,$G200,$C$10,$C$11),$I200,$G200,$G$4,$C$8)</f>
        <v>8451.1503358185291</v>
      </c>
      <c r="V200" s="93">
        <f t="shared" si="20"/>
        <v>15468.90061467886</v>
      </c>
    </row>
    <row r="201" spans="7:22" x14ac:dyDescent="0.35">
      <c r="G201" s="59">
        <f t="shared" si="1"/>
        <v>0.5</v>
      </c>
      <c r="H201" s="64">
        <v>25</v>
      </c>
      <c r="I201" s="84">
        <f t="shared" si="21"/>
        <v>25</v>
      </c>
      <c r="J201" s="84">
        <v>50</v>
      </c>
      <c r="K201" s="60">
        <f t="shared" si="22"/>
        <v>404800</v>
      </c>
      <c r="L201" s="59">
        <f t="shared" si="18"/>
        <v>21.84</v>
      </c>
      <c r="M201" s="64">
        <f t="shared" si="19"/>
        <v>31.84</v>
      </c>
      <c r="N201" s="64" cm="1">
        <f t="array" ref="N201">drivePower($C$4,M201,$C$9,$C$10,$C$11)</f>
        <v>43.869599999999998</v>
      </c>
      <c r="O201" s="86">
        <f t="shared" si="17"/>
        <v>26959.68</v>
      </c>
      <c r="P201" s="90">
        <f t="shared" si="4"/>
        <v>-1.5000000000000001E-4</v>
      </c>
      <c r="Q201" s="91">
        <f t="shared" si="5"/>
        <v>0.82280000000000009</v>
      </c>
      <c r="R201" s="98">
        <v>0.15</v>
      </c>
      <c r="S201" s="95">
        <f t="shared" si="23"/>
        <v>404800</v>
      </c>
      <c r="T201" s="92" cm="1">
        <f t="array" ref="T201">maxDepthToMinSOC($L$8,$L$9,$L$6,$L$7,$O201,$G$5,$G$6,drivePower($C$4,$M201,$G201,$C$10,$C$11),$I201,$G201,$G$4,$C$8)</f>
        <v>22510.350894480944</v>
      </c>
      <c r="U201" s="12" cm="1">
        <f t="array" ref="U201">maxDepthToMinSOC($L$8,$L$9,P201,Q201,$O201,$G$5,$G$6,drivePower($C$4,$M201,$G201,$C$10,$C$11),$I201,$G201,$G$4,$C$8)</f>
        <v>8455.0503359735012</v>
      </c>
      <c r="V201" s="93">
        <f t="shared" si="20"/>
        <v>15482.700615227222</v>
      </c>
    </row>
    <row r="202" spans="7:22" x14ac:dyDescent="0.35">
      <c r="G202" s="59">
        <f t="shared" si="1"/>
        <v>0.5</v>
      </c>
      <c r="H202" s="64">
        <v>25</v>
      </c>
      <c r="I202" s="84">
        <f t="shared" si="21"/>
        <v>25</v>
      </c>
      <c r="J202" s="84">
        <v>50</v>
      </c>
      <c r="K202" s="60">
        <f t="shared" si="22"/>
        <v>407000</v>
      </c>
      <c r="L202" s="59">
        <f t="shared" si="18"/>
        <v>21.96</v>
      </c>
      <c r="M202" s="64">
        <f t="shared" si="19"/>
        <v>31.96</v>
      </c>
      <c r="N202" s="64" cm="1">
        <f t="array" ref="N202">drivePower($C$4,M202,$C$9,$C$10,$C$11)</f>
        <v>44.0274</v>
      </c>
      <c r="O202" s="86">
        <f t="shared" si="17"/>
        <v>27106.2</v>
      </c>
      <c r="P202" s="90">
        <f t="shared" si="4"/>
        <v>-1.5000000000000001E-4</v>
      </c>
      <c r="Q202" s="91">
        <f t="shared" si="5"/>
        <v>0.82280000000000009</v>
      </c>
      <c r="R202" s="98">
        <v>0.15</v>
      </c>
      <c r="S202" s="95">
        <f t="shared" si="23"/>
        <v>407000</v>
      </c>
      <c r="T202" s="92" cm="1">
        <f t="array" ref="T202">maxDepthToMinSOC($L$8,$L$9,$L$6,$L$7,$O202,$G$5,$G$6,drivePower($C$4,$M202,$G202,$C$10,$C$11),$I202,$G202,$G$4,$C$8)</f>
        <v>22533.900895416737</v>
      </c>
      <c r="U202" s="12" cm="1">
        <f t="array" ref="U202">maxDepthToMinSOC($L$8,$L$9,P202,Q202,$O202,$G$5,$G$6,drivePower($C$4,$M202,$G202,$C$10,$C$11),$I202,$G202,$G$4,$C$8)</f>
        <v>8458.9503361284733</v>
      </c>
      <c r="V202" s="93">
        <f t="shared" si="20"/>
        <v>15496.425615772605</v>
      </c>
    </row>
    <row r="203" spans="7:22" x14ac:dyDescent="0.35">
      <c r="G203" s="59">
        <f t="shared" si="1"/>
        <v>0.5</v>
      </c>
      <c r="H203" s="64">
        <v>25</v>
      </c>
      <c r="I203" s="84">
        <f t="shared" si="21"/>
        <v>25</v>
      </c>
      <c r="J203" s="84">
        <v>50</v>
      </c>
      <c r="K203" s="60">
        <f t="shared" si="22"/>
        <v>409200</v>
      </c>
      <c r="L203" s="59">
        <f t="shared" si="18"/>
        <v>22.08</v>
      </c>
      <c r="M203" s="64">
        <f t="shared" si="19"/>
        <v>32.08</v>
      </c>
      <c r="N203" s="64" cm="1">
        <f t="array" ref="N203">drivePower($C$4,M203,$C$9,$C$10,$C$11)</f>
        <v>44.185199999999995</v>
      </c>
      <c r="O203" s="86">
        <f t="shared" si="17"/>
        <v>27252.719999999998</v>
      </c>
      <c r="P203" s="90">
        <f t="shared" si="4"/>
        <v>-1.5000000000000001E-4</v>
      </c>
      <c r="Q203" s="91">
        <f t="shared" si="5"/>
        <v>0.82280000000000009</v>
      </c>
      <c r="R203" s="98">
        <v>0.15</v>
      </c>
      <c r="S203" s="95">
        <f t="shared" si="23"/>
        <v>409200</v>
      </c>
      <c r="T203" s="92" cm="1">
        <f t="array" ref="T203">maxDepthToMinSOC($L$8,$L$9,$L$6,$L$7,$O203,$G$5,$G$6,drivePower($C$4,$M203,$G203,$C$10,$C$11),$I203,$G203,$G$4,$C$8)</f>
        <v>22557.300896346569</v>
      </c>
      <c r="U203" s="12" cm="1">
        <f t="array" ref="U203">maxDepthToMinSOC($L$8,$L$9,P203,Q203,$O203,$G$5,$G$6,drivePower($C$4,$M203,$G203,$C$10,$C$11),$I203,$G203,$G$4,$C$8)</f>
        <v>8462.7003362774849</v>
      </c>
      <c r="V203" s="93">
        <f t="shared" si="20"/>
        <v>15510.000616312027</v>
      </c>
    </row>
    <row r="204" spans="7:22" x14ac:dyDescent="0.35">
      <c r="G204" s="59">
        <f t="shared" si="1"/>
        <v>0.5</v>
      </c>
      <c r="H204" s="64">
        <v>25</v>
      </c>
      <c r="I204" s="84">
        <f t="shared" si="21"/>
        <v>25</v>
      </c>
      <c r="J204" s="84">
        <v>50</v>
      </c>
      <c r="K204" s="60">
        <f t="shared" si="22"/>
        <v>411400</v>
      </c>
      <c r="L204" s="59">
        <f t="shared" si="18"/>
        <v>22.2</v>
      </c>
      <c r="M204" s="64">
        <f t="shared" si="19"/>
        <v>32.200000000000003</v>
      </c>
      <c r="N204" s="64" cm="1">
        <f t="array" ref="N204">drivePower($C$4,M204,$C$9,$C$10,$C$11)</f>
        <v>44.343000000000004</v>
      </c>
      <c r="O204" s="86">
        <f t="shared" si="17"/>
        <v>27399.239999999998</v>
      </c>
      <c r="P204" s="90">
        <f t="shared" si="4"/>
        <v>-1.5000000000000001E-4</v>
      </c>
      <c r="Q204" s="91">
        <f t="shared" si="5"/>
        <v>0.82280000000000009</v>
      </c>
      <c r="R204" s="98">
        <v>0.15</v>
      </c>
      <c r="S204" s="95">
        <f t="shared" si="23"/>
        <v>411400</v>
      </c>
      <c r="T204" s="92" cm="1">
        <f t="array" ref="T204">maxDepthToMinSOC($L$8,$L$9,$L$6,$L$7,$O204,$G$5,$G$6,drivePower($C$4,$M204,$G204,$C$10,$C$11),$I204,$G204,$G$4,$C$8)</f>
        <v>22580.400897264481</v>
      </c>
      <c r="U204" s="12" cm="1">
        <f t="array" ref="U204">maxDepthToMinSOC($L$8,$L$9,P204,Q204,$O204,$G$5,$G$6,drivePower($C$4,$M204,$G204,$C$10,$C$11),$I204,$G204,$G$4,$C$8)</f>
        <v>8466.600336432457</v>
      </c>
      <c r="V204" s="93">
        <f t="shared" si="20"/>
        <v>15523.500616848469</v>
      </c>
    </row>
    <row r="205" spans="7:22" x14ac:dyDescent="0.35">
      <c r="G205" s="59">
        <f t="shared" si="1"/>
        <v>0.5</v>
      </c>
      <c r="H205" s="64">
        <v>25</v>
      </c>
      <c r="I205" s="84">
        <f t="shared" si="21"/>
        <v>25</v>
      </c>
      <c r="J205" s="84">
        <v>50</v>
      </c>
      <c r="K205" s="60">
        <f t="shared" si="22"/>
        <v>413600</v>
      </c>
      <c r="L205" s="59">
        <f t="shared" si="18"/>
        <v>22.32</v>
      </c>
      <c r="M205" s="64">
        <f t="shared" si="19"/>
        <v>32.32</v>
      </c>
      <c r="N205" s="64" cm="1">
        <f t="array" ref="N205">drivePower($C$4,M205,$C$9,$C$10,$C$11)</f>
        <v>44.500799999999998</v>
      </c>
      <c r="O205" s="86">
        <f t="shared" si="17"/>
        <v>27545.760000000002</v>
      </c>
      <c r="P205" s="90">
        <f t="shared" si="4"/>
        <v>-1.5000000000000001E-4</v>
      </c>
      <c r="Q205" s="91">
        <f t="shared" si="5"/>
        <v>0.82280000000000009</v>
      </c>
      <c r="R205" s="98">
        <v>0.15</v>
      </c>
      <c r="S205" s="95">
        <f t="shared" si="23"/>
        <v>413600</v>
      </c>
      <c r="T205" s="92" cm="1">
        <f t="array" ref="T205">maxDepthToMinSOC($L$8,$L$9,$L$6,$L$7,$O205,$G$5,$G$6,drivePower($C$4,$M205,$G205,$C$10,$C$11),$I205,$G205,$G$4,$C$8)</f>
        <v>22603.350898176432</v>
      </c>
      <c r="U205" s="12" cm="1">
        <f t="array" ref="U205">maxDepthToMinSOC($L$8,$L$9,P205,Q205,$O205,$G$5,$G$6,drivePower($C$4,$M205,$G205,$C$10,$C$11),$I205,$G205,$G$4,$C$8)</f>
        <v>8470.3503365814686</v>
      </c>
      <c r="V205" s="93">
        <f t="shared" si="20"/>
        <v>15536.85061737895</v>
      </c>
    </row>
    <row r="206" spans="7:22" x14ac:dyDescent="0.35">
      <c r="G206" s="59">
        <f t="shared" si="1"/>
        <v>0.5</v>
      </c>
      <c r="H206" s="64">
        <v>25</v>
      </c>
      <c r="I206" s="84">
        <f t="shared" si="21"/>
        <v>25</v>
      </c>
      <c r="J206" s="84">
        <v>50</v>
      </c>
      <c r="K206" s="60">
        <f t="shared" si="22"/>
        <v>415800</v>
      </c>
      <c r="L206" s="59">
        <f t="shared" si="18"/>
        <v>22.44</v>
      </c>
      <c r="M206" s="64">
        <f t="shared" si="19"/>
        <v>32.44</v>
      </c>
      <c r="N206" s="64" cm="1">
        <f t="array" ref="N206">drivePower($C$4,M206,$C$9,$C$10,$C$11)</f>
        <v>44.658599999999993</v>
      </c>
      <c r="O206" s="86">
        <f t="shared" si="17"/>
        <v>27692.280000000002</v>
      </c>
      <c r="P206" s="90">
        <f t="shared" si="4"/>
        <v>-1.5000000000000001E-4</v>
      </c>
      <c r="Q206" s="91">
        <f t="shared" si="5"/>
        <v>0.82280000000000009</v>
      </c>
      <c r="R206" s="98">
        <v>0.15</v>
      </c>
      <c r="S206" s="95">
        <f t="shared" si="23"/>
        <v>415800</v>
      </c>
      <c r="T206" s="92" cm="1">
        <f t="array" ref="T206">maxDepthToMinSOC($L$8,$L$9,$L$6,$L$7,$O206,$G$5,$G$6,drivePower($C$4,$M206,$G206,$C$10,$C$11),$I206,$G206,$G$4,$C$8)</f>
        <v>22626.150899082422</v>
      </c>
      <c r="U206" s="12" cm="1">
        <f t="array" ref="U206">maxDepthToMinSOC($L$8,$L$9,P206,Q206,$O206,$G$5,$G$6,drivePower($C$4,$M206,$G206,$C$10,$C$11),$I206,$G206,$G$4,$C$8)</f>
        <v>8474.1003367304802</v>
      </c>
      <c r="V206" s="93">
        <f t="shared" si="20"/>
        <v>15550.125617906451</v>
      </c>
    </row>
    <row r="207" spans="7:22" x14ac:dyDescent="0.35">
      <c r="G207" s="59">
        <f t="shared" si="1"/>
        <v>0.5</v>
      </c>
      <c r="H207" s="64">
        <v>25</v>
      </c>
      <c r="I207" s="84">
        <f t="shared" si="21"/>
        <v>25</v>
      </c>
      <c r="J207" s="84">
        <v>50</v>
      </c>
      <c r="K207" s="60">
        <f t="shared" si="22"/>
        <v>418000</v>
      </c>
      <c r="L207" s="59">
        <f t="shared" si="18"/>
        <v>22.56</v>
      </c>
      <c r="M207" s="64">
        <f t="shared" si="19"/>
        <v>32.56</v>
      </c>
      <c r="N207" s="64" cm="1">
        <f t="array" ref="N207">drivePower($C$4,M207,$C$9,$C$10,$C$11)</f>
        <v>44.816400000000002</v>
      </c>
      <c r="O207" s="86">
        <f t="shared" si="17"/>
        <v>27838.799999999999</v>
      </c>
      <c r="P207" s="90">
        <f t="shared" si="4"/>
        <v>-1.5000000000000001E-4</v>
      </c>
      <c r="Q207" s="91">
        <f t="shared" si="5"/>
        <v>0.82280000000000009</v>
      </c>
      <c r="R207" s="98">
        <v>0.15</v>
      </c>
      <c r="S207" s="95">
        <f t="shared" si="23"/>
        <v>418000</v>
      </c>
      <c r="T207" s="92" cm="1">
        <f t="array" ref="T207">maxDepthToMinSOC($L$8,$L$9,$L$6,$L$7,$O207,$G$5,$G$6,drivePower($C$4,$M207,$G207,$C$10,$C$11),$I207,$G207,$G$4,$C$8)</f>
        <v>22648.800899982452</v>
      </c>
      <c r="U207" s="12" cm="1">
        <f t="array" ref="U207">maxDepthToMinSOC($L$8,$L$9,P207,Q207,$O207,$G$5,$G$6,drivePower($C$4,$M207,$G207,$C$10,$C$11),$I207,$G207,$G$4,$C$8)</f>
        <v>8477.7003368735313</v>
      </c>
      <c r="V207" s="93">
        <f t="shared" si="20"/>
        <v>15563.250618427992</v>
      </c>
    </row>
    <row r="208" spans="7:22" x14ac:dyDescent="0.35">
      <c r="G208" s="59">
        <f t="shared" si="1"/>
        <v>0.5</v>
      </c>
      <c r="H208" s="64">
        <v>25</v>
      </c>
      <c r="I208" s="84">
        <f t="shared" si="21"/>
        <v>25</v>
      </c>
      <c r="J208" s="84">
        <v>50</v>
      </c>
      <c r="K208" s="60">
        <f t="shared" si="22"/>
        <v>420200</v>
      </c>
      <c r="L208" s="59">
        <f t="shared" si="18"/>
        <v>22.68</v>
      </c>
      <c r="M208" s="64">
        <f t="shared" si="19"/>
        <v>32.68</v>
      </c>
      <c r="N208" s="64" cm="1">
        <f t="array" ref="N208">drivePower($C$4,M208,$C$9,$C$10,$C$11)</f>
        <v>44.974199999999996</v>
      </c>
      <c r="O208" s="86">
        <f t="shared" si="17"/>
        <v>27985.32</v>
      </c>
      <c r="P208" s="90">
        <f t="shared" si="4"/>
        <v>-1.5000000000000001E-4</v>
      </c>
      <c r="Q208" s="91">
        <f t="shared" si="5"/>
        <v>0.82280000000000009</v>
      </c>
      <c r="R208" s="98">
        <v>0.15</v>
      </c>
      <c r="S208" s="95">
        <f t="shared" si="23"/>
        <v>420200</v>
      </c>
      <c r="T208" s="92" cm="1">
        <f t="array" ref="T208">maxDepthToMinSOC($L$8,$L$9,$L$6,$L$7,$O208,$G$5,$G$6,drivePower($C$4,$M208,$G208,$C$10,$C$11),$I208,$G208,$G$4,$C$8)</f>
        <v>22671.150900870562</v>
      </c>
      <c r="U208" s="12" cm="1">
        <f t="array" ref="U208">maxDepthToMinSOC($L$8,$L$9,P208,Q208,$O208,$G$5,$G$6,drivePower($C$4,$M208,$G208,$C$10,$C$11),$I208,$G208,$G$4,$C$8)</f>
        <v>8481.450337022543</v>
      </c>
      <c r="V208" s="93">
        <f t="shared" si="20"/>
        <v>15576.300618946552</v>
      </c>
    </row>
    <row r="209" spans="7:22" x14ac:dyDescent="0.35">
      <c r="G209" s="59">
        <f t="shared" si="1"/>
        <v>0.5</v>
      </c>
      <c r="H209" s="64">
        <v>25</v>
      </c>
      <c r="I209" s="84">
        <f t="shared" si="21"/>
        <v>25</v>
      </c>
      <c r="J209" s="84">
        <v>50</v>
      </c>
      <c r="K209" s="60">
        <f t="shared" si="22"/>
        <v>422400</v>
      </c>
      <c r="L209" s="59">
        <f t="shared" si="18"/>
        <v>22.8</v>
      </c>
      <c r="M209" s="64">
        <f t="shared" si="19"/>
        <v>32.799999999999997</v>
      </c>
      <c r="N209" s="64" cm="1">
        <f t="array" ref="N209">drivePower($C$4,M209,$C$9,$C$10,$C$11)</f>
        <v>45.131999999999998</v>
      </c>
      <c r="O209" s="86">
        <f t="shared" si="17"/>
        <v>28131.84</v>
      </c>
      <c r="P209" s="90">
        <f t="shared" si="4"/>
        <v>-1.5000000000000001E-4</v>
      </c>
      <c r="Q209" s="91">
        <f t="shared" si="5"/>
        <v>0.82280000000000009</v>
      </c>
      <c r="R209" s="98">
        <v>0.15</v>
      </c>
      <c r="S209" s="95">
        <f t="shared" si="23"/>
        <v>422400</v>
      </c>
      <c r="T209" s="92" cm="1">
        <f t="array" ref="T209">maxDepthToMinSOC($L$8,$L$9,$L$6,$L$7,$O209,$G$5,$G$6,drivePower($C$4,$M209,$G209,$C$10,$C$11),$I209,$G209,$G$4,$C$8)</f>
        <v>22693.20090174675</v>
      </c>
      <c r="U209" s="12" cm="1">
        <f t="array" ref="U209">maxDepthToMinSOC($L$8,$L$9,P209,Q209,$O209,$G$5,$G$6,drivePower($C$4,$M209,$G209,$C$10,$C$11),$I209,$G209,$G$4,$C$8)</f>
        <v>8485.0503371655941</v>
      </c>
      <c r="V209" s="93">
        <f t="shared" si="20"/>
        <v>15589.125619456172</v>
      </c>
    </row>
    <row r="210" spans="7:22" x14ac:dyDescent="0.35">
      <c r="G210" s="59">
        <f t="shared" si="1"/>
        <v>0.5</v>
      </c>
      <c r="H210" s="64">
        <v>25</v>
      </c>
      <c r="I210" s="84">
        <f t="shared" si="21"/>
        <v>25</v>
      </c>
      <c r="J210" s="84">
        <v>50</v>
      </c>
      <c r="K210" s="60">
        <f t="shared" si="22"/>
        <v>424600</v>
      </c>
      <c r="L210" s="59">
        <f t="shared" si="18"/>
        <v>22.92</v>
      </c>
      <c r="M210" s="64">
        <f t="shared" si="19"/>
        <v>32.92</v>
      </c>
      <c r="N210" s="64" cm="1">
        <f t="array" ref="N210">drivePower($C$4,M210,$C$9,$C$10,$C$11)</f>
        <v>45.2898</v>
      </c>
      <c r="O210" s="86">
        <f t="shared" ref="O210:O212" si="24">K210*3.6/1000*$L$4</f>
        <v>28278.36</v>
      </c>
      <c r="P210" s="90">
        <f t="shared" si="4"/>
        <v>-1.5000000000000001E-4</v>
      </c>
      <c r="Q210" s="91">
        <f t="shared" si="5"/>
        <v>0.82280000000000009</v>
      </c>
      <c r="R210" s="98">
        <v>0.15</v>
      </c>
      <c r="S210" s="95">
        <f t="shared" si="23"/>
        <v>424600</v>
      </c>
      <c r="T210" s="92" cm="1">
        <f t="array" ref="T210">maxDepthToMinSOC($L$8,$L$9,$L$6,$L$7,$O210,$G$5,$G$6,drivePower($C$4,$M210,$G210,$C$10,$C$11),$I210,$G210,$G$4,$C$8)</f>
        <v>22715.250902622938</v>
      </c>
      <c r="U210" s="12" cm="1">
        <f t="array" ref="U210">maxDepthToMinSOC($L$8,$L$9,P210,Q210,$O210,$G$5,$G$6,drivePower($C$4,$M210,$G210,$C$10,$C$11),$I210,$G210,$G$4,$C$8)</f>
        <v>8488.6503373086452</v>
      </c>
      <c r="V210" s="93">
        <f t="shared" si="20"/>
        <v>15601.950619965792</v>
      </c>
    </row>
    <row r="211" spans="7:22" x14ac:dyDescent="0.35">
      <c r="G211" s="59">
        <f t="shared" si="1"/>
        <v>0.5</v>
      </c>
      <c r="H211" s="64">
        <v>25</v>
      </c>
      <c r="I211" s="84">
        <f t="shared" si="21"/>
        <v>25</v>
      </c>
      <c r="J211" s="84">
        <v>50</v>
      </c>
      <c r="K211" s="60">
        <f t="shared" si="22"/>
        <v>426800</v>
      </c>
      <c r="L211" s="59">
        <f t="shared" ref="L211:L212" si="25">(K211-4400)*(5*0.048)/4400</f>
        <v>23.04</v>
      </c>
      <c r="M211" s="64">
        <f t="shared" ref="M211:M212" si="26">$C$5+L211</f>
        <v>33.04</v>
      </c>
      <c r="N211" s="64" cm="1">
        <f t="array" ref="N211">drivePower($C$4,M211,$C$9,$C$10,$C$11)</f>
        <v>45.447599999999994</v>
      </c>
      <c r="O211" s="86">
        <f t="shared" si="24"/>
        <v>28424.880000000001</v>
      </c>
      <c r="P211" s="90">
        <f t="shared" si="4"/>
        <v>-1.5000000000000001E-4</v>
      </c>
      <c r="Q211" s="91">
        <f t="shared" si="5"/>
        <v>0.82280000000000009</v>
      </c>
      <c r="R211" s="98">
        <v>0.15</v>
      </c>
      <c r="S211" s="95">
        <f t="shared" si="23"/>
        <v>426800</v>
      </c>
      <c r="T211" s="92" cm="1">
        <f t="array" ref="T211">maxDepthToMinSOC($L$8,$L$9,$L$6,$L$7,$O211,$G$5,$G$6,drivePower($C$4,$M211,$G211,$C$10,$C$11),$I211,$G211,$G$4,$C$8)</f>
        <v>22737.000903487206</v>
      </c>
      <c r="U211" s="12" cm="1">
        <f t="array" ref="U211">maxDepthToMinSOC($L$8,$L$9,P211,Q211,$O211,$G$5,$G$6,drivePower($C$4,$M211,$G211,$C$10,$C$11),$I211,$G211,$G$4,$C$8)</f>
        <v>8492.1003374457359</v>
      </c>
      <c r="V211" s="93">
        <f t="shared" ref="V211:V212" si="27">AVERAGE(T211:U211)</f>
        <v>15614.550620466471</v>
      </c>
    </row>
    <row r="212" spans="7:22" x14ac:dyDescent="0.35">
      <c r="G212" s="59">
        <f t="shared" si="1"/>
        <v>0.5</v>
      </c>
      <c r="H212" s="64">
        <v>25</v>
      </c>
      <c r="I212" s="84">
        <f t="shared" ref="I212" si="28">I211</f>
        <v>25</v>
      </c>
      <c r="J212" s="84">
        <v>50</v>
      </c>
      <c r="K212" s="60">
        <f t="shared" si="22"/>
        <v>429000</v>
      </c>
      <c r="L212" s="59">
        <f t="shared" si="25"/>
        <v>23.16</v>
      </c>
      <c r="M212" s="64">
        <f t="shared" si="26"/>
        <v>33.159999999999997</v>
      </c>
      <c r="N212" s="64" cm="1">
        <f t="array" ref="N212">drivePower($C$4,M212,$C$9,$C$10,$C$11)</f>
        <v>45.605399999999996</v>
      </c>
      <c r="O212" s="86">
        <f t="shared" si="24"/>
        <v>28571.4</v>
      </c>
      <c r="P212" s="90">
        <f t="shared" si="4"/>
        <v>-1.5000000000000001E-4</v>
      </c>
      <c r="Q212" s="91">
        <f t="shared" si="5"/>
        <v>0.82280000000000009</v>
      </c>
      <c r="R212" s="98">
        <v>0.15</v>
      </c>
      <c r="S212" s="95">
        <f t="shared" si="23"/>
        <v>429000</v>
      </c>
      <c r="T212" s="92" cm="1">
        <f t="array" ref="T212">maxDepthToMinSOC($L$8,$L$9,$L$6,$L$7,$O212,$G$5,$G$6,drivePower($C$4,$M212,$G212,$C$10,$C$11),$I212,$G212,$G$4,$C$8)</f>
        <v>22758.600904345512</v>
      </c>
      <c r="U212" s="12" cm="1">
        <f t="array" ref="U212">maxDepthToMinSOC($L$8,$L$9,P212,Q212,$O212,$G$5,$G$6,drivePower($C$4,$M212,$G212,$C$10,$C$11),$I212,$G212,$G$4,$C$8)</f>
        <v>8495.7003375887871</v>
      </c>
      <c r="V212" s="93">
        <f t="shared" si="27"/>
        <v>15627.15062096715</v>
      </c>
    </row>
  </sheetData>
  <mergeCells count="3">
    <mergeCell ref="B2:F2"/>
    <mergeCell ref="P16:Q16"/>
    <mergeCell ref="S16:V16"/>
  </mergeCells>
  <conditionalFormatting sqref="C12">
    <cfRule type="cellIs" dxfId="0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5</vt:i4>
      </vt:variant>
    </vt:vector>
  </HeadingPairs>
  <TitlesOfParts>
    <vt:vector size="13" baseType="lpstr">
      <vt:lpstr>Drilling Summary</vt:lpstr>
      <vt:lpstr>Operating Loads</vt:lpstr>
      <vt:lpstr>Graph Data</vt:lpstr>
      <vt:lpstr>Power Draw Plot</vt:lpstr>
      <vt:lpstr>Back of Envelope Graphs</vt:lpstr>
      <vt:lpstr>Depth vs Battery Mars</vt:lpstr>
      <vt:lpstr>Depth vs Battery Encel</vt:lpstr>
      <vt:lpstr>Depth vs Battery Europa</vt:lpstr>
      <vt:lpstr>Chart2</vt:lpstr>
      <vt:lpstr>Chart1</vt:lpstr>
      <vt:lpstr>Chart1 (2)</vt:lpstr>
      <vt:lpstr>Chart1 (3)</vt:lpstr>
      <vt:lpstr>Chart1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cp:lastPrinted>2021-12-07T07:51:46Z</cp:lastPrinted>
  <dcterms:created xsi:type="dcterms:W3CDTF">2015-06-05T18:17:20Z</dcterms:created>
  <dcterms:modified xsi:type="dcterms:W3CDTF">2021-12-13T08:14:17Z</dcterms:modified>
</cp:coreProperties>
</file>