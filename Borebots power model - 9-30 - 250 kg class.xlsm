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dcc74b66f115349/PROJECTS/Planet Enterprises/NIAC/ARD3/PHASE II PROJECT FOLDER/MARS SOCIETY 23/"/>
    </mc:Choice>
  </mc:AlternateContent>
  <xr:revisionPtr revIDLastSave="1633" documentId="8_{CCBA41D8-B156-4114-A902-77A944F2235D}" xr6:coauthVersionLast="47" xr6:coauthVersionMax="47" xr10:uidLastSave="{60C27555-CC2B-4E93-BEAF-BB2399AB11FD}"/>
  <bookViews>
    <workbookView xWindow="-110" yWindow="-110" windowWidth="19420" windowHeight="10420" xr2:uid="{F10BE696-5501-46F1-ACB5-1C34F3A632C9}"/>
  </bookViews>
  <sheets>
    <sheet name="Depth vs Battery Pluto" sheetId="24" r:id="rId1"/>
    <sheet name="Pluto" sheetId="25" r:id="rId2"/>
    <sheet name="xxxxx" sheetId="7" r:id="rId3"/>
    <sheet name="xxxx" sheetId="2" r:id="rId4"/>
    <sheet name="xxx" sheetId="8" r:id="rId5"/>
    <sheet name="xx" sheetId="6" r:id="rId6"/>
    <sheet name="xxxxxxxxxx" sheetId="9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0" i="24" l="1"/>
  <c r="Q11" i="24"/>
  <c r="Q62" i="24"/>
  <c r="P62" i="24"/>
  <c r="G62" i="24"/>
  <c r="Q61" i="24"/>
  <c r="P61" i="24"/>
  <c r="G61" i="24"/>
  <c r="Q60" i="24"/>
  <c r="P60" i="24"/>
  <c r="G60" i="24"/>
  <c r="Q59" i="24"/>
  <c r="P59" i="24"/>
  <c r="G59" i="24"/>
  <c r="Q58" i="24"/>
  <c r="P58" i="24"/>
  <c r="G58" i="24"/>
  <c r="Q57" i="24"/>
  <c r="P57" i="24"/>
  <c r="G57" i="24"/>
  <c r="Q56" i="24"/>
  <c r="P56" i="24"/>
  <c r="G56" i="24"/>
  <c r="Q55" i="24"/>
  <c r="P55" i="24"/>
  <c r="G55" i="24"/>
  <c r="Q54" i="24"/>
  <c r="P54" i="24"/>
  <c r="G54" i="24"/>
  <c r="Q53" i="24"/>
  <c r="P53" i="24"/>
  <c r="G53" i="24"/>
  <c r="Q52" i="24"/>
  <c r="P52" i="24"/>
  <c r="G52" i="24"/>
  <c r="Q51" i="24"/>
  <c r="P51" i="24"/>
  <c r="G51" i="24"/>
  <c r="Q50" i="24"/>
  <c r="P50" i="24"/>
  <c r="G50" i="24"/>
  <c r="Q49" i="24"/>
  <c r="P49" i="24"/>
  <c r="G49" i="24"/>
  <c r="Q48" i="24"/>
  <c r="P48" i="24"/>
  <c r="G48" i="24"/>
  <c r="Q47" i="24"/>
  <c r="P47" i="24"/>
  <c r="G47" i="24"/>
  <c r="Q46" i="24"/>
  <c r="P46" i="24"/>
  <c r="G46" i="24"/>
  <c r="Q45" i="24"/>
  <c r="P45" i="24"/>
  <c r="G45" i="24"/>
  <c r="Q44" i="24"/>
  <c r="P44" i="24"/>
  <c r="G44" i="24"/>
  <c r="Q43" i="24"/>
  <c r="P43" i="24"/>
  <c r="G43" i="24"/>
  <c r="Q42" i="24"/>
  <c r="P42" i="24"/>
  <c r="G42" i="24"/>
  <c r="Q41" i="24"/>
  <c r="P41" i="24"/>
  <c r="G41" i="24"/>
  <c r="Q40" i="24"/>
  <c r="P40" i="24"/>
  <c r="G40" i="24"/>
  <c r="Q39" i="24"/>
  <c r="P39" i="24"/>
  <c r="G39" i="24"/>
  <c r="Q38" i="24"/>
  <c r="P38" i="24"/>
  <c r="G38" i="24"/>
  <c r="Q37" i="24"/>
  <c r="P37" i="24"/>
  <c r="G37" i="24"/>
  <c r="Q36" i="24"/>
  <c r="P36" i="24"/>
  <c r="G36" i="24"/>
  <c r="Q35" i="24"/>
  <c r="P35" i="24"/>
  <c r="G35" i="24"/>
  <c r="Q34" i="24"/>
  <c r="P34" i="24"/>
  <c r="G34" i="24"/>
  <c r="Q33" i="24"/>
  <c r="P33" i="24"/>
  <c r="G33" i="24"/>
  <c r="Q32" i="24"/>
  <c r="P32" i="24"/>
  <c r="G32" i="24"/>
  <c r="Q31" i="24"/>
  <c r="P31" i="24"/>
  <c r="G31" i="24"/>
  <c r="Q30" i="24"/>
  <c r="P30" i="24"/>
  <c r="G30" i="24"/>
  <c r="Q29" i="24"/>
  <c r="P29" i="24"/>
  <c r="G29" i="24"/>
  <c r="Q28" i="24"/>
  <c r="P28" i="24"/>
  <c r="G28" i="24"/>
  <c r="Q27" i="24"/>
  <c r="P27" i="24"/>
  <c r="G27" i="24"/>
  <c r="Q26" i="24"/>
  <c r="P26" i="24"/>
  <c r="G26" i="24"/>
  <c r="Q25" i="24"/>
  <c r="P25" i="24"/>
  <c r="G25" i="24"/>
  <c r="Q24" i="24"/>
  <c r="P24" i="24"/>
  <c r="K24" i="24"/>
  <c r="K25" i="24" s="1"/>
  <c r="S25" i="24" s="1"/>
  <c r="G24" i="24"/>
  <c r="Q23" i="24"/>
  <c r="P23" i="24"/>
  <c r="L23" i="24"/>
  <c r="M23" i="24" s="1"/>
  <c r="G23" i="24"/>
  <c r="S22" i="24"/>
  <c r="Q22" i="24"/>
  <c r="P22" i="24"/>
  <c r="L22" i="24"/>
  <c r="M22" i="24" s="1"/>
  <c r="K22" i="24"/>
  <c r="K23" i="24" s="1"/>
  <c r="S23" i="24" s="1"/>
  <c r="G22" i="24"/>
  <c r="S21" i="24"/>
  <c r="Q21" i="24"/>
  <c r="P21" i="24"/>
  <c r="O21" i="24"/>
  <c r="L21" i="24"/>
  <c r="M21" i="24" s="1"/>
  <c r="G21" i="24"/>
  <c r="S20" i="24"/>
  <c r="Q20" i="24"/>
  <c r="P20" i="24"/>
  <c r="O20" i="24"/>
  <c r="L20" i="24"/>
  <c r="M20" i="24" s="1"/>
  <c r="G20" i="24"/>
  <c r="S19" i="24"/>
  <c r="Q19" i="24"/>
  <c r="P19" i="24"/>
  <c r="O19" i="24"/>
  <c r="L19" i="24"/>
  <c r="M19" i="24" s="1"/>
  <c r="G19" i="24"/>
  <c r="S18" i="24"/>
  <c r="Q18" i="24"/>
  <c r="P18" i="24"/>
  <c r="O18" i="24"/>
  <c r="L18" i="24"/>
  <c r="M18" i="24" s="1"/>
  <c r="G18" i="24"/>
  <c r="G13" i="24"/>
  <c r="G14" i="24" s="1"/>
  <c r="Q9" i="24"/>
  <c r="C7" i="24"/>
  <c r="I18" i="24" s="1"/>
  <c r="I19" i="24" s="1"/>
  <c r="I20" i="24" s="1"/>
  <c r="I21" i="24" s="1"/>
  <c r="I22" i="24" s="1"/>
  <c r="I23" i="24" s="1"/>
  <c r="I24" i="24" s="1"/>
  <c r="I25" i="24" s="1"/>
  <c r="I26" i="24" s="1"/>
  <c r="I27" i="24" s="1"/>
  <c r="I28" i="24" s="1"/>
  <c r="I29" i="24" s="1"/>
  <c r="I30" i="24" s="1"/>
  <c r="I31" i="24" s="1"/>
  <c r="I32" i="24" s="1"/>
  <c r="I33" i="24" s="1"/>
  <c r="I34" i="24" s="1"/>
  <c r="I35" i="24" s="1"/>
  <c r="I36" i="24" s="1"/>
  <c r="I37" i="24" s="1"/>
  <c r="I38" i="24" s="1"/>
  <c r="I39" i="24" s="1"/>
  <c r="I40" i="24" s="1"/>
  <c r="I41" i="24" s="1"/>
  <c r="I42" i="24" s="1"/>
  <c r="I43" i="24" s="1"/>
  <c r="I44" i="24" s="1"/>
  <c r="I45" i="24" s="1"/>
  <c r="I46" i="24" s="1"/>
  <c r="I47" i="24" s="1"/>
  <c r="I48" i="24" s="1"/>
  <c r="I49" i="24" s="1"/>
  <c r="I50" i="24" s="1"/>
  <c r="I51" i="24" s="1"/>
  <c r="I52" i="24" s="1"/>
  <c r="I53" i="24" s="1"/>
  <c r="I54" i="24" s="1"/>
  <c r="I55" i="24" s="1"/>
  <c r="I56" i="24" s="1"/>
  <c r="I57" i="24" s="1"/>
  <c r="I58" i="24" s="1"/>
  <c r="I59" i="24" s="1"/>
  <c r="I60" i="24" s="1"/>
  <c r="I61" i="24" s="1"/>
  <c r="I62" i="24" s="1"/>
  <c r="C6" i="24"/>
  <c r="G5" i="24"/>
  <c r="D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Q50" i="6"/>
  <c r="R50" i="6" s="1"/>
  <c r="T50" i="6"/>
  <c r="Q51" i="6"/>
  <c r="R51" i="6" s="1"/>
  <c r="T51" i="6"/>
  <c r="Q52" i="6"/>
  <c r="R52" i="6" s="1"/>
  <c r="T52" i="6"/>
  <c r="Q32" i="6"/>
  <c r="R32" i="6" s="1"/>
  <c r="T32" i="6"/>
  <c r="Q33" i="6"/>
  <c r="R33" i="6" s="1"/>
  <c r="T33" i="6"/>
  <c r="Q34" i="6"/>
  <c r="R34" i="6" s="1"/>
  <c r="T34" i="6"/>
  <c r="Q35" i="6"/>
  <c r="R35" i="6" s="1"/>
  <c r="T35" i="6"/>
  <c r="Q36" i="6"/>
  <c r="R36" i="6" s="1"/>
  <c r="T36" i="6"/>
  <c r="Q37" i="6"/>
  <c r="R37" i="6" s="1"/>
  <c r="T37" i="6"/>
  <c r="Q38" i="6"/>
  <c r="R38" i="6" s="1"/>
  <c r="T38" i="6"/>
  <c r="Q39" i="6"/>
  <c r="R39" i="6" s="1"/>
  <c r="T39" i="6"/>
  <c r="Q40" i="6"/>
  <c r="R40" i="6" s="1"/>
  <c r="T40" i="6"/>
  <c r="Q41" i="6"/>
  <c r="R41" i="6" s="1"/>
  <c r="T41" i="6"/>
  <c r="Q42" i="6"/>
  <c r="R42" i="6" s="1"/>
  <c r="T42" i="6"/>
  <c r="Q43" i="6"/>
  <c r="R43" i="6" s="1"/>
  <c r="T43" i="6"/>
  <c r="Q44" i="6"/>
  <c r="R44" i="6" s="1"/>
  <c r="T44" i="6"/>
  <c r="Q45" i="6"/>
  <c r="R45" i="6" s="1"/>
  <c r="T45" i="6"/>
  <c r="Q46" i="6"/>
  <c r="R46" i="6" s="1"/>
  <c r="T46" i="6"/>
  <c r="Q47" i="6"/>
  <c r="R47" i="6" s="1"/>
  <c r="T47" i="6"/>
  <c r="Q48" i="6"/>
  <c r="R48" i="6" s="1"/>
  <c r="T48" i="6"/>
  <c r="Q49" i="6"/>
  <c r="R49" i="6" s="1"/>
  <c r="T49" i="6"/>
  <c r="C7" i="2"/>
  <c r="F27" i="9"/>
  <c r="C30" i="9"/>
  <c r="C31" i="9"/>
  <c r="C32" i="9"/>
  <c r="C33" i="9"/>
  <c r="C34" i="9"/>
  <c r="C35" i="9"/>
  <c r="R18" i="8"/>
  <c r="S18" i="8" s="1"/>
  <c r="U18" i="8"/>
  <c r="R19" i="8"/>
  <c r="S19" i="8"/>
  <c r="U19" i="8"/>
  <c r="R20" i="8"/>
  <c r="S20" i="8" s="1"/>
  <c r="U20" i="8"/>
  <c r="R21" i="8"/>
  <c r="S21" i="8"/>
  <c r="U21" i="8"/>
  <c r="R22" i="8"/>
  <c r="S22" i="8" s="1"/>
  <c r="U22" i="8"/>
  <c r="R23" i="8"/>
  <c r="S23" i="8"/>
  <c r="U23" i="8"/>
  <c r="R24" i="8"/>
  <c r="S24" i="8" s="1"/>
  <c r="U24" i="8"/>
  <c r="R25" i="8"/>
  <c r="S25" i="8"/>
  <c r="U25" i="8"/>
  <c r="R26" i="8"/>
  <c r="S26" i="8" s="1"/>
  <c r="U26" i="8"/>
  <c r="G5" i="8"/>
  <c r="B41" i="6"/>
  <c r="B42" i="6" s="1"/>
  <c r="Q27" i="6"/>
  <c r="R27" i="6"/>
  <c r="T27" i="6"/>
  <c r="Q28" i="6"/>
  <c r="R28" i="6" s="1"/>
  <c r="T28" i="6"/>
  <c r="Q29" i="6"/>
  <c r="R29" i="6" s="1"/>
  <c r="T29" i="6"/>
  <c r="Q30" i="6"/>
  <c r="R30" i="6"/>
  <c r="T30" i="6"/>
  <c r="Q31" i="6"/>
  <c r="R31" i="6" s="1"/>
  <c r="T31" i="6"/>
  <c r="G5" i="6"/>
  <c r="G5" i="2"/>
  <c r="D26" i="9"/>
  <c r="E24" i="9"/>
  <c r="F26" i="9"/>
  <c r="G26" i="9"/>
  <c r="H27" i="9"/>
  <c r="D24" i="9"/>
  <c r="K10" i="2"/>
  <c r="K51" i="6" a="1"/>
  <c r="L41" i="6" a="1"/>
  <c r="O43" i="6" a="1"/>
  <c r="N20" i="8" a="1"/>
  <c r="M20" i="8" a="1"/>
  <c r="L49" i="6" a="1"/>
  <c r="H36" i="6" a="1"/>
  <c r="N34" i="6" a="1"/>
  <c r="K48" i="6" a="1"/>
  <c r="N27" i="8" a="1"/>
  <c r="P27" i="8" a="1"/>
  <c r="L26" i="8" a="1"/>
  <c r="S39" i="6" a="1"/>
  <c r="O32" i="6" a="1"/>
  <c r="P21" i="8" a="1"/>
  <c r="J37" i="6" a="1"/>
  <c r="H38" i="6" a="1"/>
  <c r="N35" i="6" a="1"/>
  <c r="K49" i="6" a="1"/>
  <c r="P30" i="8" a="1"/>
  <c r="L20" i="8" a="1"/>
  <c r="L51" i="6" a="1"/>
  <c r="S48" i="6" a="1"/>
  <c r="O41" i="6" a="1"/>
  <c r="P22" i="8" a="1"/>
  <c r="L22" i="8" a="1"/>
  <c r="S45" i="6" a="1"/>
  <c r="H50" i="6" a="1"/>
  <c r="M41" i="6" a="1"/>
  <c r="K34" i="6" a="1"/>
  <c r="K31" i="8" a="1"/>
  <c r="J45" i="6" a="1"/>
  <c r="N50" i="6" a="1"/>
  <c r="M46" i="6" a="1"/>
  <c r="K39" i="6" a="1"/>
  <c r="M26" i="8" a="1"/>
  <c r="H42" i="6" a="1"/>
  <c r="K28" i="8" a="1"/>
  <c r="L34" i="6" a="1"/>
  <c r="O29" i="8" a="1"/>
  <c r="P18" i="8" a="1"/>
  <c r="N31" i="8" a="1"/>
  <c r="N45" i="6" a="1"/>
  <c r="O25" i="8" a="1"/>
  <c r="H35" i="6" a="1"/>
  <c r="J34" i="6" a="1"/>
  <c r="O47" i="6" a="1"/>
  <c r="T18" i="8" a="1"/>
  <c r="M23" i="8" a="1"/>
  <c r="H44" i="6" a="1"/>
  <c r="N38" i="6" a="1"/>
  <c r="L36" i="6" a="1"/>
  <c r="M27" i="8" a="1"/>
  <c r="S27" i="6" a="1"/>
  <c r="M51" i="6" a="1"/>
  <c r="S43" i="6" a="1"/>
  <c r="O36" i="6" a="1"/>
  <c r="N19" i="8" a="1"/>
  <c r="O34" i="6" a="1"/>
  <c r="H46" i="6" a="1"/>
  <c r="N39" i="6" a="1"/>
  <c r="L42" i="6" a="1"/>
  <c r="T25" i="8" a="1"/>
  <c r="N18" i="8" a="1"/>
  <c r="L52" i="6" a="1"/>
  <c r="J32" i="6" a="1"/>
  <c r="O45" i="6" a="1"/>
  <c r="M24" i="8" a="1"/>
  <c r="P29" i="8" a="1"/>
  <c r="J41" i="6" a="1"/>
  <c r="S52" i="6" a="1"/>
  <c r="M45" i="6" a="1"/>
  <c r="K38" i="6" a="1"/>
  <c r="N22" i="8" a="1"/>
  <c r="O46" i="6" a="1"/>
  <c r="O50" i="6" a="1"/>
  <c r="N49" i="6" a="1"/>
  <c r="K43" i="6" a="1"/>
  <c r="K30" i="8" a="1"/>
  <c r="O27" i="8" a="1"/>
  <c r="L31" i="8" a="1"/>
  <c r="T19" i="8" a="1"/>
  <c r="N37" i="6" a="1"/>
  <c r="L32" i="6" a="1"/>
  <c r="M21" i="8" a="1"/>
  <c r="L37" i="6" a="1"/>
  <c r="N40" i="6" a="1"/>
  <c r="M30" i="8" a="1"/>
  <c r="M34" i="6" a="1"/>
  <c r="H43" i="6" a="1"/>
  <c r="J38" i="6" a="1"/>
  <c r="L35" i="6" a="1"/>
  <c r="O20" i="8" a="1"/>
  <c r="O28" i="8" a="1"/>
  <c r="L44" i="6" a="1"/>
  <c r="N42" i="6" a="1"/>
  <c r="O23" i="8" a="1"/>
  <c r="K50" i="6" a="1"/>
  <c r="J52" i="6" a="1"/>
  <c r="S47" i="6" a="1"/>
  <c r="O40" i="6" a="1"/>
  <c r="P25" i="8" a="1"/>
  <c r="M32" i="6" a="1"/>
  <c r="N43" i="6" a="1"/>
  <c r="P28" i="8" a="1"/>
  <c r="S31" i="6" a="1"/>
  <c r="H39" i="6" a="1"/>
  <c r="J36" i="6" a="1"/>
  <c r="L33" i="6" a="1"/>
  <c r="L28" i="8" a="1"/>
  <c r="L30" i="8" a="1"/>
  <c r="O38" i="6" a="1"/>
  <c r="L50" i="6" a="1"/>
  <c r="M49" i="6" a="1"/>
  <c r="K42" i="6" a="1"/>
  <c r="L24" i="8" a="1"/>
  <c r="K20" i="8" a="1"/>
  <c r="H34" i="6" a="1"/>
  <c r="N33" i="6" a="1"/>
  <c r="K47" i="6" a="1"/>
  <c r="O26" i="8" a="1"/>
  <c r="K24" i="8" a="1"/>
  <c r="M29" i="8" a="1"/>
  <c r="K19" i="8" a="1"/>
  <c r="N25" i="8" a="1"/>
  <c r="N41" i="6" a="1"/>
  <c r="K23" i="8" a="1"/>
  <c r="H48" i="6" a="1"/>
  <c r="L39" i="6" a="1"/>
  <c r="J42" i="6" a="1"/>
  <c r="K25" i="8" a="1"/>
  <c r="C41" i="6" a="1"/>
  <c r="L21" i="8" a="1"/>
  <c r="M35" i="6" a="1"/>
  <c r="N46" i="6" a="1"/>
  <c r="M22" i="8" a="1"/>
  <c r="O42" i="6" a="1"/>
  <c r="K52" i="6" a="1"/>
  <c r="N47" i="6" a="1"/>
  <c r="O44" i="6" a="1"/>
  <c r="N29" i="8" a="1"/>
  <c r="O22" i="8" a="1"/>
  <c r="M36" i="6" a="1"/>
  <c r="J48" i="6" a="1"/>
  <c r="M31" i="8" a="1"/>
  <c r="S30" i="6" a="1"/>
  <c r="H47" i="6" a="1"/>
  <c r="J40" i="6" a="1"/>
  <c r="L45" i="6" a="1"/>
  <c r="P24" i="8" a="1"/>
  <c r="T20" i="8" a="1"/>
  <c r="H32" i="6" a="1"/>
  <c r="N32" i="6" a="1"/>
  <c r="K46" i="6" a="1"/>
  <c r="M18" i="8" a="1"/>
  <c r="S34" i="6" a="1"/>
  <c r="J46" i="6" a="1"/>
  <c r="N24" i="8" a="1"/>
  <c r="H33" i="6" a="1"/>
  <c r="K22" i="8" a="1"/>
  <c r="M39" i="6" a="1"/>
  <c r="K32" i="6" a="1"/>
  <c r="T21" i="8" a="1"/>
  <c r="H37" i="6" a="1"/>
  <c r="J35" i="6" a="1"/>
  <c r="O48" i="6" a="1"/>
  <c r="P20" i="8" a="1"/>
  <c r="P26" i="8" a="1"/>
  <c r="M40" i="6" a="1"/>
  <c r="K33" i="6" a="1"/>
  <c r="L23" i="8" a="1"/>
  <c r="S32" i="6" a="1"/>
  <c r="J44" i="6" a="1"/>
  <c r="L19" i="8" a="1"/>
  <c r="S28" i="6" a="1"/>
  <c r="H40" i="6" a="1"/>
  <c r="N36" i="6" a="1"/>
  <c r="S38" i="6" a="1"/>
  <c r="L43" i="6" a="1"/>
  <c r="N28" i="8" a="1"/>
  <c r="S41" i="6" a="1"/>
  <c r="S50" i="6" a="1"/>
  <c r="M43" i="6" a="1"/>
  <c r="K36" i="6" a="1"/>
  <c r="O21" i="8" a="1"/>
  <c r="L18" i="8" a="1"/>
  <c r="H45" i="6" a="1"/>
  <c r="J39" i="6" a="1"/>
  <c r="L38" i="6" a="1"/>
  <c r="N21" i="8" a="1"/>
  <c r="N23" i="8" a="1"/>
  <c r="S51" i="6" a="1"/>
  <c r="M44" i="6" a="1"/>
  <c r="K37" i="6" a="1"/>
  <c r="O30" i="8" a="1"/>
  <c r="K21" i="8" a="1"/>
  <c r="S36" i="6" a="1"/>
  <c r="N48" i="6" a="1"/>
  <c r="M28" i="8" a="1"/>
  <c r="H51" i="6" a="1"/>
  <c r="M50" i="6" a="1"/>
  <c r="S42" i="6" a="1"/>
  <c r="O35" i="6" a="1"/>
  <c r="O24" i="8" a="1"/>
  <c r="J33" i="6" a="1"/>
  <c r="N51" i="6" a="1"/>
  <c r="M47" i="6" a="1"/>
  <c r="K40" i="6" a="1"/>
  <c r="P19" i="8" a="1"/>
  <c r="K27" i="8" a="1"/>
  <c r="L47" i="6" a="1"/>
  <c r="J43" i="6" a="1"/>
  <c r="N30" i="8" a="1"/>
  <c r="J50" i="6" a="1"/>
  <c r="N52" i="6" a="1"/>
  <c r="M48" i="6" a="1"/>
  <c r="K41" i="6" a="1"/>
  <c r="P31" i="8" a="1"/>
  <c r="L27" i="8" a="1"/>
  <c r="O19" i="8" a="1"/>
  <c r="S40" i="6" a="1"/>
  <c r="O33" i="6" a="1"/>
  <c r="L29" i="8" a="1"/>
  <c r="H49" i="6" a="1"/>
  <c r="M33" i="6" a="1"/>
  <c r="N44" i="6" a="1"/>
  <c r="L25" i="8" a="1"/>
  <c r="H41" i="6" a="1"/>
  <c r="T26" i="8" a="1"/>
  <c r="M38" i="6" a="1"/>
  <c r="L40" i="6" a="1"/>
  <c r="T22" i="8" a="1"/>
  <c r="S29" i="6" a="1"/>
  <c r="T24" i="8" a="1"/>
  <c r="H52" i="6" a="1"/>
  <c r="K35" i="6" a="1"/>
  <c r="M25" i="8" a="1"/>
  <c r="J51" i="6" a="1"/>
  <c r="S46" i="6" a="1"/>
  <c r="O39" i="6" a="1"/>
  <c r="O18" i="8" a="1"/>
  <c r="O49" i="6" a="1"/>
  <c r="O51" i="6" a="1"/>
  <c r="L46" i="6" a="1"/>
  <c r="K44" i="6" a="1"/>
  <c r="O31" i="8" a="1"/>
  <c r="K18" i="8" a="1"/>
  <c r="K26" i="8" a="1"/>
  <c r="S35" i="6" a="1"/>
  <c r="J47" i="6" a="1"/>
  <c r="M19" i="8" a="1"/>
  <c r="S37" i="6" a="1"/>
  <c r="O52" i="6" a="1"/>
  <c r="L48" i="6" a="1"/>
  <c r="K45" i="6" a="1"/>
  <c r="N26" i="8" a="1"/>
  <c r="P23" i="8" a="1"/>
  <c r="M52" i="6" a="1"/>
  <c r="S44" i="6" a="1"/>
  <c r="O37" i="6" a="1"/>
  <c r="T23" i="8" a="1"/>
  <c r="S33" i="6" a="1"/>
  <c r="C42" i="6" a="1"/>
  <c r="M37" i="6" a="1"/>
  <c r="J49" i="6" a="1"/>
  <c r="S49" i="6" a="1"/>
  <c r="M42" i="6" a="1"/>
  <c r="K29" i="8" a="1"/>
  <c r="H49" i="24" a="1"/>
  <c r="H44" i="24" a="1"/>
  <c r="H58" i="24" a="1"/>
  <c r="H22" i="24" a="1"/>
  <c r="U19" i="24" a="1"/>
  <c r="H18" i="24" a="1"/>
  <c r="H19" i="24" a="1"/>
  <c r="N20" i="24" a="1"/>
  <c r="N23" i="24" a="1"/>
  <c r="H47" i="24" a="1"/>
  <c r="H20" i="24" a="1"/>
  <c r="H36" i="24" a="1"/>
  <c r="U20" i="24" a="1"/>
  <c r="H48" i="24" a="1"/>
  <c r="N19" i="24" a="1"/>
  <c r="N21" i="24" a="1"/>
  <c r="V19" i="24" a="1"/>
  <c r="H61" i="24" a="1"/>
  <c r="H34" i="24" a="1"/>
  <c r="H41" i="24" a="1"/>
  <c r="H33" i="24" a="1"/>
  <c r="V18" i="24" a="1"/>
  <c r="H59" i="24" a="1"/>
  <c r="H52" i="24" a="1"/>
  <c r="H56" i="24" a="1"/>
  <c r="H32" i="24" a="1"/>
  <c r="H60" i="24" a="1"/>
  <c r="H23" i="24" a="1"/>
  <c r="T21" i="24" a="1"/>
  <c r="H57" i="24" a="1"/>
  <c r="H40" i="24" a="1"/>
  <c r="H46" i="24" a="1"/>
  <c r="H30" i="24" a="1"/>
  <c r="H42" i="24" a="1"/>
  <c r="H37" i="24" a="1"/>
  <c r="H50" i="24" a="1"/>
  <c r="V20" i="24" a="1"/>
  <c r="C12" i="24" a="1"/>
  <c r="H55" i="24" a="1"/>
  <c r="H43" i="24" a="1"/>
  <c r="H28" i="24" a="1"/>
  <c r="H38" i="24" a="1"/>
  <c r="T19" i="24" a="1"/>
  <c r="H35" i="24" a="1"/>
  <c r="T18" i="24" a="1"/>
  <c r="H53" i="24" a="1"/>
  <c r="H54" i="24" a="1"/>
  <c r="H39" i="24" a="1"/>
  <c r="H26" i="24" a="1"/>
  <c r="U18" i="24" a="1"/>
  <c r="H21" i="24" a="1"/>
  <c r="H27" i="24" a="1"/>
  <c r="H31" i="24" a="1"/>
  <c r="N22" i="24" a="1"/>
  <c r="H51" i="24" a="1"/>
  <c r="H45" i="24" a="1"/>
  <c r="H24" i="24" a="1"/>
  <c r="H62" i="24" a="1"/>
  <c r="N18" i="24" a="1"/>
  <c r="U21" i="24" a="1"/>
  <c r="H25" i="24" a="1"/>
  <c r="V21" i="24" a="1"/>
  <c r="H29" i="24" a="1"/>
  <c r="T20" i="24" a="1"/>
  <c r="Q12" i="24" l="1"/>
  <c r="Q13" i="24" s="1"/>
  <c r="L5" i="24" s="1"/>
  <c r="V18" i="24"/>
  <c r="V19" i="24"/>
  <c r="T20" i="24"/>
  <c r="C12" i="24"/>
  <c r="T21" i="24"/>
  <c r="N21" i="24"/>
  <c r="N23" i="24"/>
  <c r="H29" i="24"/>
  <c r="J29" i="24" s="1"/>
  <c r="N19" i="24"/>
  <c r="N20" i="24"/>
  <c r="V21" i="24"/>
  <c r="N22" i="24"/>
  <c r="H19" i="24"/>
  <c r="J19" i="24" s="1"/>
  <c r="H25" i="24"/>
  <c r="J25" i="24" s="1"/>
  <c r="H31" i="24"/>
  <c r="J31" i="24" s="1"/>
  <c r="T18" i="24"/>
  <c r="V20" i="24"/>
  <c r="H23" i="24"/>
  <c r="J23" i="24" s="1"/>
  <c r="H33" i="24"/>
  <c r="J33" i="24" s="1"/>
  <c r="H18" i="24"/>
  <c r="J18" i="24" s="1"/>
  <c r="U21" i="24"/>
  <c r="H27" i="24"/>
  <c r="J27" i="24" s="1"/>
  <c r="H21" i="24"/>
  <c r="J21" i="24" s="1"/>
  <c r="H35" i="24"/>
  <c r="J35" i="24" s="1"/>
  <c r="H50" i="24"/>
  <c r="J50" i="24" s="1"/>
  <c r="U19" i="24"/>
  <c r="N18" i="24"/>
  <c r="U18" i="24"/>
  <c r="T19" i="24"/>
  <c r="H37" i="24"/>
  <c r="J37" i="24" s="1"/>
  <c r="H41" i="24"/>
  <c r="J41" i="24" s="1"/>
  <c r="H48" i="24"/>
  <c r="J48" i="24" s="1"/>
  <c r="H62" i="24"/>
  <c r="J62" i="24" s="1"/>
  <c r="H38" i="24"/>
  <c r="J38" i="24" s="1"/>
  <c r="H42" i="24"/>
  <c r="J42" i="24" s="1"/>
  <c r="H60" i="24"/>
  <c r="J60" i="24" s="1"/>
  <c r="U20" i="24"/>
  <c r="H22" i="24"/>
  <c r="J22" i="24" s="1"/>
  <c r="H24" i="24"/>
  <c r="J24" i="24" s="1"/>
  <c r="H26" i="24"/>
  <c r="J26" i="24" s="1"/>
  <c r="H28" i="24"/>
  <c r="J28" i="24" s="1"/>
  <c r="H30" i="24"/>
  <c r="J30" i="24" s="1"/>
  <c r="H32" i="24"/>
  <c r="J32" i="24" s="1"/>
  <c r="H34" i="24"/>
  <c r="J34" i="24" s="1"/>
  <c r="H36" i="24"/>
  <c r="J36" i="24" s="1"/>
  <c r="H58" i="24"/>
  <c r="J58" i="24" s="1"/>
  <c r="H39" i="24"/>
  <c r="J39" i="24" s="1"/>
  <c r="H43" i="24"/>
  <c r="J43" i="24" s="1"/>
  <c r="H46" i="24"/>
  <c r="J46" i="24" s="1"/>
  <c r="H56" i="24"/>
  <c r="J56" i="24" s="1"/>
  <c r="H20" i="24"/>
  <c r="J20" i="24" s="1"/>
  <c r="H44" i="24"/>
  <c r="J44" i="24" s="1"/>
  <c r="H45" i="24"/>
  <c r="J45" i="24" s="1"/>
  <c r="H54" i="24"/>
  <c r="J54" i="24" s="1"/>
  <c r="H40" i="24"/>
  <c r="J40" i="24" s="1"/>
  <c r="H52" i="24"/>
  <c r="J52" i="24" s="1"/>
  <c r="H47" i="24"/>
  <c r="J47" i="24" s="1"/>
  <c r="H49" i="24"/>
  <c r="J49" i="24" s="1"/>
  <c r="H51" i="24"/>
  <c r="J51" i="24" s="1"/>
  <c r="H53" i="24"/>
  <c r="J53" i="24" s="1"/>
  <c r="H55" i="24"/>
  <c r="J55" i="24" s="1"/>
  <c r="H57" i="24"/>
  <c r="J57" i="24" s="1"/>
  <c r="H59" i="24"/>
  <c r="J59" i="24" s="1"/>
  <c r="H61" i="24"/>
  <c r="J61" i="24" s="1"/>
  <c r="L10" i="24"/>
  <c r="Q5" i="24"/>
  <c r="Q6" i="24" s="1"/>
  <c r="Q7" i="24" s="1"/>
  <c r="L12" i="24"/>
  <c r="L13" i="24" s="1"/>
  <c r="L24" i="24"/>
  <c r="M24" i="24" s="1"/>
  <c r="L25" i="24"/>
  <c r="M25" i="24" s="1"/>
  <c r="O24" i="24"/>
  <c r="O25" i="24"/>
  <c r="O22" i="24"/>
  <c r="O23" i="24"/>
  <c r="S24" i="24"/>
  <c r="K26" i="24"/>
  <c r="L52" i="6"/>
  <c r="O52" i="6"/>
  <c r="K52" i="6"/>
  <c r="O51" i="6"/>
  <c r="K51" i="6"/>
  <c r="O50" i="6"/>
  <c r="K50" i="6"/>
  <c r="L50" i="6"/>
  <c r="L51" i="6"/>
  <c r="N52" i="6"/>
  <c r="J52" i="6"/>
  <c r="N51" i="6"/>
  <c r="J51" i="6"/>
  <c r="N50" i="6"/>
  <c r="J50" i="6"/>
  <c r="S52" i="6"/>
  <c r="M52" i="6"/>
  <c r="S51" i="6"/>
  <c r="M51" i="6"/>
  <c r="S50" i="6"/>
  <c r="M50" i="6"/>
  <c r="H52" i="6"/>
  <c r="I52" i="6" s="1"/>
  <c r="H51" i="6"/>
  <c r="I51" i="6" s="1"/>
  <c r="H50" i="6"/>
  <c r="I50" i="6" s="1"/>
  <c r="L45" i="6"/>
  <c r="L42" i="6"/>
  <c r="L38" i="6"/>
  <c r="L36" i="6"/>
  <c r="L35" i="6"/>
  <c r="L32" i="6"/>
  <c r="L49" i="6"/>
  <c r="L37" i="6"/>
  <c r="L33" i="6"/>
  <c r="K49" i="6"/>
  <c r="O48" i="6"/>
  <c r="K48" i="6"/>
  <c r="O47" i="6"/>
  <c r="K47" i="6"/>
  <c r="O46" i="6"/>
  <c r="K46" i="6"/>
  <c r="O45" i="6"/>
  <c r="K45" i="6"/>
  <c r="O44" i="6"/>
  <c r="K44" i="6"/>
  <c r="O43" i="6"/>
  <c r="K43" i="6"/>
  <c r="O42" i="6"/>
  <c r="K42" i="6"/>
  <c r="O41" i="6"/>
  <c r="K41" i="6"/>
  <c r="O40" i="6"/>
  <c r="K40" i="6"/>
  <c r="O39" i="6"/>
  <c r="K39" i="6"/>
  <c r="O38" i="6"/>
  <c r="K38" i="6"/>
  <c r="O37" i="6"/>
  <c r="K37" i="6"/>
  <c r="O36" i="6"/>
  <c r="K36" i="6"/>
  <c r="O35" i="6"/>
  <c r="K35" i="6"/>
  <c r="O34" i="6"/>
  <c r="K34" i="6"/>
  <c r="O33" i="6"/>
  <c r="K33" i="6"/>
  <c r="O32" i="6"/>
  <c r="K32" i="6"/>
  <c r="L43" i="6"/>
  <c r="L40" i="6"/>
  <c r="O49" i="6"/>
  <c r="J49" i="6"/>
  <c r="N48" i="6"/>
  <c r="J48" i="6"/>
  <c r="J47" i="6"/>
  <c r="N46" i="6"/>
  <c r="J46" i="6"/>
  <c r="N45" i="6"/>
  <c r="J45" i="6"/>
  <c r="N44" i="6"/>
  <c r="J44" i="6"/>
  <c r="N43" i="6"/>
  <c r="J43" i="6"/>
  <c r="N42" i="6"/>
  <c r="J42" i="6"/>
  <c r="N41" i="6"/>
  <c r="J41" i="6"/>
  <c r="N40" i="6"/>
  <c r="J40" i="6"/>
  <c r="N39" i="6"/>
  <c r="J39" i="6"/>
  <c r="N38" i="6"/>
  <c r="J38" i="6"/>
  <c r="N37" i="6"/>
  <c r="J37" i="6"/>
  <c r="N36" i="6"/>
  <c r="J36" i="6"/>
  <c r="N35" i="6"/>
  <c r="J35" i="6"/>
  <c r="N34" i="6"/>
  <c r="J34" i="6"/>
  <c r="N33" i="6"/>
  <c r="J33" i="6"/>
  <c r="N32" i="6"/>
  <c r="J32" i="6"/>
  <c r="L48" i="6"/>
  <c r="N47" i="6"/>
  <c r="L46" i="6"/>
  <c r="L41" i="6"/>
  <c r="N49" i="6"/>
  <c r="S49" i="6"/>
  <c r="M49" i="6"/>
  <c r="S48" i="6"/>
  <c r="M48" i="6"/>
  <c r="S47" i="6"/>
  <c r="M47" i="6"/>
  <c r="S46" i="6"/>
  <c r="M46" i="6"/>
  <c r="S45" i="6"/>
  <c r="M45" i="6"/>
  <c r="S44" i="6"/>
  <c r="M44" i="6"/>
  <c r="S43" i="6"/>
  <c r="M43" i="6"/>
  <c r="S42" i="6"/>
  <c r="M42" i="6"/>
  <c r="S41" i="6"/>
  <c r="M41" i="6"/>
  <c r="S40" i="6"/>
  <c r="M40" i="6"/>
  <c r="S39" i="6"/>
  <c r="M39" i="6"/>
  <c r="S38" i="6"/>
  <c r="M38" i="6"/>
  <c r="S37" i="6"/>
  <c r="M37" i="6"/>
  <c r="S36" i="6"/>
  <c r="M36" i="6"/>
  <c r="S35" i="6"/>
  <c r="M35" i="6"/>
  <c r="S34" i="6"/>
  <c r="M34" i="6"/>
  <c r="S33" i="6"/>
  <c r="M33" i="6"/>
  <c r="S32" i="6"/>
  <c r="M32" i="6"/>
  <c r="L47" i="6"/>
  <c r="L44" i="6"/>
  <c r="L39" i="6"/>
  <c r="L34" i="6"/>
  <c r="H49" i="6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43" i="6"/>
  <c r="I43" i="6" s="1"/>
  <c r="H42" i="6"/>
  <c r="I42" i="6" s="1"/>
  <c r="H41" i="6"/>
  <c r="I41" i="6" s="1"/>
  <c r="H40" i="6"/>
  <c r="I40" i="6" s="1"/>
  <c r="H39" i="6"/>
  <c r="I39" i="6" s="1"/>
  <c r="H38" i="6"/>
  <c r="I38" i="6" s="1"/>
  <c r="H37" i="6"/>
  <c r="I37" i="6" s="1"/>
  <c r="H36" i="6"/>
  <c r="I36" i="6" s="1"/>
  <c r="H35" i="6"/>
  <c r="I35" i="6" s="1"/>
  <c r="H34" i="6"/>
  <c r="I34" i="6" s="1"/>
  <c r="H33" i="6"/>
  <c r="I33" i="6" s="1"/>
  <c r="H32" i="6"/>
  <c r="I32" i="6" s="1"/>
  <c r="P30" i="8"/>
  <c r="P22" i="8"/>
  <c r="P26" i="8"/>
  <c r="P29" i="8"/>
  <c r="P25" i="8"/>
  <c r="P21" i="8"/>
  <c r="P28" i="8"/>
  <c r="P24" i="8"/>
  <c r="P20" i="8"/>
  <c r="P31" i="8"/>
  <c r="P27" i="8"/>
  <c r="P23" i="8"/>
  <c r="P19" i="8"/>
  <c r="P18" i="8"/>
  <c r="L30" i="8"/>
  <c r="L26" i="8"/>
  <c r="L22" i="8"/>
  <c r="L29" i="8"/>
  <c r="L25" i="8"/>
  <c r="L21" i="8"/>
  <c r="L28" i="8"/>
  <c r="L24" i="8"/>
  <c r="L20" i="8"/>
  <c r="L31" i="8"/>
  <c r="L27" i="8"/>
  <c r="L23" i="8"/>
  <c r="L19" i="8"/>
  <c r="L18" i="8"/>
  <c r="K22" i="8"/>
  <c r="K26" i="8"/>
  <c r="K29" i="8"/>
  <c r="K25" i="8"/>
  <c r="K21" i="8"/>
  <c r="K30" i="8"/>
  <c r="K28" i="8"/>
  <c r="K24" i="8"/>
  <c r="K20" i="8"/>
  <c r="K31" i="8"/>
  <c r="K27" i="8"/>
  <c r="K23" i="8"/>
  <c r="K19" i="8"/>
  <c r="K18" i="8"/>
  <c r="N31" i="8"/>
  <c r="O30" i="8"/>
  <c r="M28" i="8"/>
  <c r="N27" i="8"/>
  <c r="O26" i="8"/>
  <c r="M24" i="8"/>
  <c r="N23" i="8"/>
  <c r="O22" i="8"/>
  <c r="M20" i="8"/>
  <c r="N19" i="8"/>
  <c r="M31" i="8"/>
  <c r="O29" i="8"/>
  <c r="M27" i="8"/>
  <c r="N26" i="8"/>
  <c r="O25" i="8"/>
  <c r="M23" i="8"/>
  <c r="N22" i="8"/>
  <c r="O21" i="8"/>
  <c r="M19" i="8"/>
  <c r="N30" i="8"/>
  <c r="M30" i="8"/>
  <c r="N29" i="8"/>
  <c r="O28" i="8"/>
  <c r="M26" i="8"/>
  <c r="N25" i="8"/>
  <c r="O24" i="8"/>
  <c r="M22" i="8"/>
  <c r="N21" i="8"/>
  <c r="O20" i="8"/>
  <c r="O31" i="8"/>
  <c r="M29" i="8"/>
  <c r="N28" i="8"/>
  <c r="O27" i="8"/>
  <c r="M25" i="8"/>
  <c r="N24" i="8"/>
  <c r="O23" i="8"/>
  <c r="M21" i="8"/>
  <c r="N20" i="8"/>
  <c r="O19" i="8"/>
  <c r="O18" i="8"/>
  <c r="N18" i="8"/>
  <c r="M18" i="8"/>
  <c r="T18" i="8"/>
  <c r="T19" i="8"/>
  <c r="T20" i="8"/>
  <c r="T21" i="8"/>
  <c r="T22" i="8"/>
  <c r="T23" i="8"/>
  <c r="T24" i="8"/>
  <c r="T25" i="8"/>
  <c r="T26" i="8"/>
  <c r="C41" i="6"/>
  <c r="C42" i="6"/>
  <c r="S31" i="6"/>
  <c r="S30" i="6"/>
  <c r="S29" i="6"/>
  <c r="S28" i="6"/>
  <c r="S27" i="6"/>
  <c r="G27" i="9"/>
  <c r="E26" i="9"/>
  <c r="E27" i="9"/>
  <c r="D27" i="9"/>
  <c r="H25" i="9"/>
  <c r="G25" i="9"/>
  <c r="H26" i="9"/>
  <c r="F25" i="9"/>
  <c r="E25" i="9"/>
  <c r="D25" i="9"/>
  <c r="H24" i="9"/>
  <c r="G24" i="9"/>
  <c r="F24" i="9"/>
  <c r="H17" i="9"/>
  <c r="G18" i="9"/>
  <c r="H19" i="9"/>
  <c r="G20" i="9"/>
  <c r="H21" i="9"/>
  <c r="H22" i="9"/>
  <c r="H15" i="9"/>
  <c r="D17" i="9"/>
  <c r="D19" i="9"/>
  <c r="E16" i="9"/>
  <c r="Y61" i="8"/>
  <c r="Z61" i="8" s="1"/>
  <c r="AB60" i="8"/>
  <c r="AB59" i="8"/>
  <c r="Y59" i="8"/>
  <c r="Z59" i="8" s="1"/>
  <c r="AB58" i="8"/>
  <c r="Y58" i="8"/>
  <c r="Z58" i="8" s="1"/>
  <c r="AB57" i="8"/>
  <c r="Y57" i="8"/>
  <c r="Z57" i="8" s="1"/>
  <c r="AB56" i="8"/>
  <c r="Y56" i="8"/>
  <c r="Z56" i="8" s="1"/>
  <c r="Y40" i="8"/>
  <c r="Z40" i="8" s="1"/>
  <c r="Y39" i="8"/>
  <c r="Z39" i="8" s="1"/>
  <c r="Y38" i="8"/>
  <c r="Z38" i="8" s="1"/>
  <c r="Y37" i="8"/>
  <c r="Z37" i="8" s="1"/>
  <c r="Y36" i="8"/>
  <c r="Z36" i="8" s="1"/>
  <c r="U49" i="6" a="1"/>
  <c r="V44" i="6" a="1"/>
  <c r="U36" i="6" a="1"/>
  <c r="S57" i="8" a="1"/>
  <c r="V38" i="6" a="1"/>
  <c r="S45" i="8" a="1"/>
  <c r="S58" i="8" a="1"/>
  <c r="S44" i="8" a="1"/>
  <c r="U43" i="6" a="1"/>
  <c r="W20" i="8" a="1"/>
  <c r="U38" i="6" a="1"/>
  <c r="S37" i="8" a="1"/>
  <c r="U40" i="6" a="1"/>
  <c r="W23" i="8" a="1"/>
  <c r="V33" i="6" a="1"/>
  <c r="W25" i="8" a="1"/>
  <c r="S38" i="8" a="1"/>
  <c r="V39" i="6" a="1"/>
  <c r="V21" i="8" a="1"/>
  <c r="U50" i="6" a="1"/>
  <c r="S69" i="8" a="1"/>
  <c r="V36" i="6" a="1"/>
  <c r="S46" i="8" a="1"/>
  <c r="S65" i="8" a="1"/>
  <c r="U41" i="6" a="1"/>
  <c r="V23" i="8" a="1"/>
  <c r="V22" i="8" a="1"/>
  <c r="W22" i="8" a="1"/>
  <c r="U47" i="6" a="1"/>
  <c r="W26" i="8" a="1"/>
  <c r="V49" i="6" a="1"/>
  <c r="AA56" i="8" a="1"/>
  <c r="S66" i="8" a="1"/>
  <c r="S48" i="8" a="1"/>
  <c r="S42" i="8" a="1"/>
  <c r="V18" i="8" a="1"/>
  <c r="W21" i="8" a="1"/>
  <c r="U37" i="6" a="1"/>
  <c r="U51" i="6" a="1"/>
  <c r="V50" i="6" a="1"/>
  <c r="V51" i="6" a="1"/>
  <c r="S40" i="8" a="1"/>
  <c r="W18" i="8" a="1"/>
  <c r="U45" i="6" a="1"/>
  <c r="V40" i="6" a="1"/>
  <c r="AA59" i="8" a="1"/>
  <c r="V41" i="6" a="1"/>
  <c r="S63" i="8" a="1"/>
  <c r="S67" i="8" a="1"/>
  <c r="S61" i="8" a="1"/>
  <c r="S41" i="8" a="1"/>
  <c r="S43" i="8" a="1"/>
  <c r="AA40" i="8" a="1"/>
  <c r="AA58" i="8" a="1"/>
  <c r="S59" i="8" a="1"/>
  <c r="V43" i="6" a="1"/>
  <c r="V35" i="6" a="1"/>
  <c r="AA61" i="8" a="1"/>
  <c r="V19" i="8" a="1"/>
  <c r="U46" i="6" a="1"/>
  <c r="AA36" i="8" a="1"/>
  <c r="V25" i="8" a="1"/>
  <c r="U32" i="6" a="1"/>
  <c r="S60" i="8" a="1"/>
  <c r="V34" i="6" a="1"/>
  <c r="W24" i="8" a="1"/>
  <c r="AA38" i="8" a="1"/>
  <c r="V26" i="8" a="1"/>
  <c r="V42" i="6" a="1"/>
  <c r="S68" i="8" a="1"/>
  <c r="V45" i="6" a="1"/>
  <c r="V48" i="6" a="1"/>
  <c r="V37" i="6" a="1"/>
  <c r="AA37" i="8" a="1"/>
  <c r="U33" i="6" a="1"/>
  <c r="U35" i="6" a="1"/>
  <c r="U44" i="6" a="1"/>
  <c r="U52" i="6" a="1"/>
  <c r="W19" i="8" a="1"/>
  <c r="S47" i="8" a="1"/>
  <c r="U34" i="6" a="1"/>
  <c r="S64" i="8" a="1"/>
  <c r="U42" i="6" a="1"/>
  <c r="V20" i="8" a="1"/>
  <c r="V47" i="6" a="1"/>
  <c r="AA39" i="8" a="1"/>
  <c r="V46" i="6" a="1"/>
  <c r="S36" i="8" a="1"/>
  <c r="U48" i="6" a="1"/>
  <c r="S49" i="8" a="1"/>
  <c r="V52" i="6" a="1"/>
  <c r="V32" i="6" a="1"/>
  <c r="S56" i="8" a="1"/>
  <c r="S39" i="8" a="1"/>
  <c r="U39" i="6" a="1"/>
  <c r="V24" i="8" a="1"/>
  <c r="AA57" i="8" a="1"/>
  <c r="S62" i="8" a="1"/>
  <c r="L11" i="24" a="1"/>
  <c r="T25" i="24" a="1"/>
  <c r="N25" i="24" a="1"/>
  <c r="U22" i="24" a="1"/>
  <c r="U25" i="24" a="1"/>
  <c r="V24" i="24" a="1"/>
  <c r="V25" i="24" a="1"/>
  <c r="U23" i="24" a="1"/>
  <c r="T22" i="24" a="1"/>
  <c r="U24" i="24" a="1"/>
  <c r="N24" i="24" a="1"/>
  <c r="T23" i="24" a="1"/>
  <c r="T24" i="24" a="1"/>
  <c r="V24" i="24" l="1"/>
  <c r="U25" i="24"/>
  <c r="N25" i="24"/>
  <c r="T25" i="24"/>
  <c r="V25" i="24"/>
  <c r="T24" i="24"/>
  <c r="N24" i="24"/>
  <c r="U24" i="24"/>
  <c r="T23" i="24"/>
  <c r="U23" i="24"/>
  <c r="L11" i="24"/>
  <c r="U22" i="24"/>
  <c r="T22" i="24"/>
  <c r="O26" i="24"/>
  <c r="K27" i="24"/>
  <c r="L26" i="24"/>
  <c r="M26" i="24" s="1"/>
  <c r="S26" i="24"/>
  <c r="G10" i="24"/>
  <c r="G9" i="24"/>
  <c r="V46" i="6"/>
  <c r="V47" i="6"/>
  <c r="V48" i="6"/>
  <c r="V45" i="6"/>
  <c r="V50" i="6"/>
  <c r="U50" i="6"/>
  <c r="U51" i="6"/>
  <c r="U52" i="6"/>
  <c r="V49" i="6"/>
  <c r="V51" i="6"/>
  <c r="V52" i="6"/>
  <c r="V34" i="6"/>
  <c r="V38" i="6"/>
  <c r="V42" i="6"/>
  <c r="V35" i="6"/>
  <c r="V39" i="6"/>
  <c r="V43" i="6"/>
  <c r="V32" i="6"/>
  <c r="V36" i="6"/>
  <c r="V40" i="6"/>
  <c r="V44" i="6"/>
  <c r="V33" i="6"/>
  <c r="V37" i="6"/>
  <c r="V41" i="6"/>
  <c r="U34" i="6"/>
  <c r="U38" i="6"/>
  <c r="U42" i="6"/>
  <c r="U46" i="6"/>
  <c r="U35" i="6"/>
  <c r="U39" i="6"/>
  <c r="U43" i="6"/>
  <c r="U47" i="6"/>
  <c r="U32" i="6"/>
  <c r="U36" i="6"/>
  <c r="U40" i="6"/>
  <c r="U44" i="6"/>
  <c r="U48" i="6"/>
  <c r="U33" i="6"/>
  <c r="U37" i="6"/>
  <c r="U41" i="6"/>
  <c r="U45" i="6"/>
  <c r="U49" i="6"/>
  <c r="W24" i="8"/>
  <c r="V24" i="8"/>
  <c r="W20" i="8"/>
  <c r="V20" i="8"/>
  <c r="W25" i="8"/>
  <c r="V25" i="8"/>
  <c r="W23" i="8"/>
  <c r="V23" i="8"/>
  <c r="W19" i="8"/>
  <c r="V19" i="8"/>
  <c r="W26" i="8"/>
  <c r="V26" i="8"/>
  <c r="W22" i="8"/>
  <c r="V22" i="8"/>
  <c r="W18" i="8"/>
  <c r="V18" i="8"/>
  <c r="W21" i="8"/>
  <c r="V21" i="8"/>
  <c r="G19" i="9"/>
  <c r="G15" i="9"/>
  <c r="F19" i="9"/>
  <c r="E23" i="9"/>
  <c r="D20" i="9"/>
  <c r="D21" i="9"/>
  <c r="D22" i="9"/>
  <c r="D23" i="9"/>
  <c r="G22" i="9"/>
  <c r="G16" i="9"/>
  <c r="F16" i="9"/>
  <c r="D18" i="9"/>
  <c r="F22" i="9"/>
  <c r="H20" i="9"/>
  <c r="E19" i="9"/>
  <c r="G17" i="9"/>
  <c r="H23" i="9"/>
  <c r="E22" i="9"/>
  <c r="F17" i="9"/>
  <c r="D15" i="9"/>
  <c r="D16" i="9"/>
  <c r="G23" i="9"/>
  <c r="F20" i="9"/>
  <c r="H18" i="9"/>
  <c r="E17" i="9"/>
  <c r="E15" i="9"/>
  <c r="F23" i="9"/>
  <c r="E20" i="9"/>
  <c r="F15" i="9"/>
  <c r="G21" i="9"/>
  <c r="F18" i="9"/>
  <c r="H16" i="9"/>
  <c r="F21" i="9"/>
  <c r="E18" i="9"/>
  <c r="E21" i="9"/>
  <c r="AA61" i="8"/>
  <c r="S56" i="8"/>
  <c r="AA59" i="8"/>
  <c r="S65" i="8"/>
  <c r="S64" i="8"/>
  <c r="S67" i="8"/>
  <c r="S68" i="8"/>
  <c r="S63" i="8"/>
  <c r="AA58" i="8"/>
  <c r="AA57" i="8"/>
  <c r="S62" i="8"/>
  <c r="S61" i="8"/>
  <c r="S69" i="8"/>
  <c r="AA56" i="8"/>
  <c r="S60" i="8"/>
  <c r="S66" i="8"/>
  <c r="S58" i="8"/>
  <c r="S57" i="8"/>
  <c r="S59" i="8"/>
  <c r="Y63" i="8"/>
  <c r="Z63" i="8" s="1"/>
  <c r="AB63" i="8"/>
  <c r="Y60" i="8"/>
  <c r="Z60" i="8" s="1"/>
  <c r="AB61" i="8"/>
  <c r="AB62" i="8"/>
  <c r="Y62" i="8"/>
  <c r="Z62" i="8" s="1"/>
  <c r="AA40" i="8"/>
  <c r="S44" i="8"/>
  <c r="AA38" i="8"/>
  <c r="S38" i="8"/>
  <c r="S48" i="8"/>
  <c r="S40" i="8"/>
  <c r="AA36" i="8"/>
  <c r="S36" i="8"/>
  <c r="S47" i="8"/>
  <c r="S42" i="8"/>
  <c r="S49" i="8"/>
  <c r="S46" i="8"/>
  <c r="S41" i="8"/>
  <c r="S43" i="8"/>
  <c r="S45" i="8"/>
  <c r="S39" i="8"/>
  <c r="AA37" i="8"/>
  <c r="AA39" i="8"/>
  <c r="S37" i="8"/>
  <c r="AA62" i="8" a="1"/>
  <c r="AA63" i="8" a="1"/>
  <c r="AA60" i="8" a="1"/>
  <c r="T26" i="24" a="1"/>
  <c r="V26" i="24" a="1"/>
  <c r="N26" i="24" a="1"/>
  <c r="U26" i="24" a="1"/>
  <c r="V22" i="24" a="1"/>
  <c r="V23" i="24" a="1"/>
  <c r="V26" i="24" l="1"/>
  <c r="V22" i="24"/>
  <c r="V23" i="24"/>
  <c r="U26" i="24"/>
  <c r="T26" i="24"/>
  <c r="N26" i="24"/>
  <c r="L27" i="24"/>
  <c r="M27" i="24" s="1"/>
  <c r="S27" i="24"/>
  <c r="O27" i="24"/>
  <c r="K28" i="24"/>
  <c r="U39" i="8"/>
  <c r="U40" i="8"/>
  <c r="U61" i="8"/>
  <c r="U62" i="8"/>
  <c r="U45" i="8"/>
  <c r="U63" i="8"/>
  <c r="U41" i="8"/>
  <c r="U68" i="8"/>
  <c r="U66" i="8"/>
  <c r="U44" i="8"/>
  <c r="U43" i="8"/>
  <c r="U46" i="8"/>
  <c r="U67" i="8"/>
  <c r="U58" i="8"/>
  <c r="U49" i="8"/>
  <c r="U64" i="8"/>
  <c r="U42" i="8"/>
  <c r="U65" i="8"/>
  <c r="U47" i="8"/>
  <c r="U59" i="8"/>
  <c r="U36" i="8"/>
  <c r="U57" i="8"/>
  <c r="U56" i="8"/>
  <c r="U48" i="8"/>
  <c r="U60" i="8"/>
  <c r="U38" i="8"/>
  <c r="U37" i="8"/>
  <c r="U69" i="8"/>
  <c r="AA60" i="8"/>
  <c r="AA63" i="8"/>
  <c r="AA62" i="8"/>
  <c r="Y64" i="8"/>
  <c r="Z64" i="8" s="1"/>
  <c r="AB64" i="8"/>
  <c r="Y41" i="8"/>
  <c r="Z41" i="8" s="1"/>
  <c r="L12" i="8"/>
  <c r="C6" i="8"/>
  <c r="AB41" i="8"/>
  <c r="Q19" i="6"/>
  <c r="R19" i="6" s="1"/>
  <c r="Q20" i="6"/>
  <c r="R20" i="6" s="1"/>
  <c r="Q21" i="6"/>
  <c r="R21" i="6" s="1"/>
  <c r="Q18" i="6"/>
  <c r="R18" i="6" s="1"/>
  <c r="H27" i="8" a="1"/>
  <c r="H23" i="8" a="1"/>
  <c r="H20" i="8" a="1"/>
  <c r="H22" i="8" a="1"/>
  <c r="H29" i="8" a="1"/>
  <c r="H24" i="8" a="1"/>
  <c r="H25" i="8" a="1"/>
  <c r="H31" i="8" a="1"/>
  <c r="H26" i="8" a="1"/>
  <c r="H30" i="8" a="1"/>
  <c r="AA64" i="8" a="1"/>
  <c r="S20" i="6" a="1"/>
  <c r="H18" i="8" a="1"/>
  <c r="S21" i="6" a="1"/>
  <c r="S19" i="6" a="1"/>
  <c r="H28" i="8" a="1"/>
  <c r="C12" i="8" a="1"/>
  <c r="H21" i="8" a="1"/>
  <c r="S18" i="6" a="1"/>
  <c r="AA41" i="8" a="1"/>
  <c r="H19" i="8" a="1"/>
  <c r="U27" i="24" a="1"/>
  <c r="N27" i="24" a="1"/>
  <c r="T27" i="24" a="1"/>
  <c r="V27" i="24" a="1"/>
  <c r="T27" i="24" l="1"/>
  <c r="N27" i="24"/>
  <c r="U27" i="24"/>
  <c r="V27" i="24"/>
  <c r="O28" i="24"/>
  <c r="K29" i="24"/>
  <c r="L28" i="24"/>
  <c r="M28" i="24" s="1"/>
  <c r="S28" i="24"/>
  <c r="AA64" i="8"/>
  <c r="L10" i="8"/>
  <c r="AB39" i="8"/>
  <c r="AB37" i="8"/>
  <c r="AB36" i="8"/>
  <c r="AB38" i="8"/>
  <c r="AB40" i="8"/>
  <c r="AA41" i="8"/>
  <c r="Y42" i="8"/>
  <c r="Z42" i="8" s="1"/>
  <c r="AB42" i="8"/>
  <c r="L13" i="8"/>
  <c r="H18" i="8"/>
  <c r="H30" i="8"/>
  <c r="H27" i="8"/>
  <c r="H26" i="8"/>
  <c r="C12" i="8"/>
  <c r="H25" i="8"/>
  <c r="H24" i="8"/>
  <c r="H23" i="8"/>
  <c r="H31" i="8"/>
  <c r="H22" i="8"/>
  <c r="H28" i="8"/>
  <c r="H21" i="8"/>
  <c r="H20" i="8"/>
  <c r="H29" i="8"/>
  <c r="H19" i="8"/>
  <c r="S19" i="6"/>
  <c r="S21" i="6"/>
  <c r="S20" i="6"/>
  <c r="S18" i="6"/>
  <c r="V65" i="8" a="1"/>
  <c r="V67" i="8" a="1"/>
  <c r="V58" i="8" a="1"/>
  <c r="V61" i="8" a="1"/>
  <c r="V37" i="8" a="1"/>
  <c r="V63" i="8" a="1"/>
  <c r="V49" i="8" a="1"/>
  <c r="V40" i="8" a="1"/>
  <c r="V36" i="8" a="1"/>
  <c r="V47" i="8" a="1"/>
  <c r="V48" i="8" a="1"/>
  <c r="V62" i="8" a="1"/>
  <c r="AA42" i="8" a="1"/>
  <c r="V39" i="8" a="1"/>
  <c r="V44" i="8" a="1"/>
  <c r="V60" i="8" a="1"/>
  <c r="V69" i="8" a="1"/>
  <c r="V68" i="8" a="1"/>
  <c r="V57" i="8" a="1"/>
  <c r="V56" i="8" a="1"/>
  <c r="V43" i="8" a="1"/>
  <c r="V64" i="8" a="1"/>
  <c r="V41" i="8" a="1"/>
  <c r="V59" i="8" a="1"/>
  <c r="V42" i="8" a="1"/>
  <c r="V38" i="8" a="1"/>
  <c r="V66" i="8" a="1"/>
  <c r="V46" i="8" a="1"/>
  <c r="V45" i="8" a="1"/>
  <c r="L11" i="8" a="1"/>
  <c r="T28" i="24" a="1"/>
  <c r="N28" i="24" a="1"/>
  <c r="V28" i="24" a="1"/>
  <c r="U28" i="24" a="1"/>
  <c r="T28" i="24" l="1"/>
  <c r="N28" i="24"/>
  <c r="U28" i="24"/>
  <c r="V28" i="24"/>
  <c r="L29" i="24"/>
  <c r="M29" i="24" s="1"/>
  <c r="S29" i="24"/>
  <c r="O29" i="24"/>
  <c r="K30" i="24"/>
  <c r="V38" i="8"/>
  <c r="V41" i="8"/>
  <c r="V49" i="8"/>
  <c r="V65" i="8"/>
  <c r="V62" i="8"/>
  <c r="V61" i="8"/>
  <c r="V66" i="8"/>
  <c r="V40" i="8"/>
  <c r="V56" i="8"/>
  <c r="V44" i="8"/>
  <c r="V60" i="8"/>
  <c r="V67" i="8"/>
  <c r="V45" i="8"/>
  <c r="V42" i="8"/>
  <c r="V46" i="8"/>
  <c r="V63" i="8"/>
  <c r="V43" i="8"/>
  <c r="V58" i="8"/>
  <c r="V36" i="8"/>
  <c r="V59" i="8"/>
  <c r="V57" i="8"/>
  <c r="V69" i="8"/>
  <c r="V37" i="8"/>
  <c r="V64" i="8"/>
  <c r="V68" i="8"/>
  <c r="V39" i="8"/>
  <c r="V48" i="8"/>
  <c r="V47" i="8"/>
  <c r="AA42" i="8"/>
  <c r="AB43" i="8"/>
  <c r="Y43" i="8"/>
  <c r="Z43" i="8" s="1"/>
  <c r="J22" i="8"/>
  <c r="J31" i="8"/>
  <c r="J24" i="8"/>
  <c r="J25" i="8"/>
  <c r="J28" i="8"/>
  <c r="J23" i="8"/>
  <c r="J26" i="8"/>
  <c r="J30" i="8"/>
  <c r="J18" i="8"/>
  <c r="J19" i="8"/>
  <c r="J29" i="8"/>
  <c r="J27" i="8"/>
  <c r="J20" i="8"/>
  <c r="J21" i="8"/>
  <c r="L11" i="8"/>
  <c r="C15" i="2"/>
  <c r="B17" i="2"/>
  <c r="C17" i="2" s="1"/>
  <c r="B18" i="2"/>
  <c r="B16" i="2"/>
  <c r="C16" i="2" s="1"/>
  <c r="K12" i="2"/>
  <c r="K13" i="2" s="1"/>
  <c r="C6" i="2"/>
  <c r="K12" i="6"/>
  <c r="B19" i="6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C6" i="6"/>
  <c r="AA43" i="8" a="1"/>
  <c r="C36" i="6" a="1"/>
  <c r="N29" i="24" a="1"/>
  <c r="U29" i="24" a="1"/>
  <c r="V29" i="24" a="1"/>
  <c r="T29" i="24" a="1"/>
  <c r="V29" i="24" l="1"/>
  <c r="T29" i="24"/>
  <c r="N29" i="24"/>
  <c r="U29" i="24"/>
  <c r="O30" i="24"/>
  <c r="K31" i="24"/>
  <c r="L30" i="24"/>
  <c r="M30" i="24" s="1"/>
  <c r="S30" i="24"/>
  <c r="B19" i="2"/>
  <c r="C18" i="2"/>
  <c r="C36" i="6"/>
  <c r="B37" i="6"/>
  <c r="AA43" i="8"/>
  <c r="Y44" i="8"/>
  <c r="Z44" i="8" s="1"/>
  <c r="AB44" i="8"/>
  <c r="C32" i="7"/>
  <c r="G28" i="7"/>
  <c r="G27" i="7"/>
  <c r="C30" i="7" s="1"/>
  <c r="G26" i="7"/>
  <c r="G30" i="7" s="1"/>
  <c r="E17" i="7"/>
  <c r="G17" i="7" s="1"/>
  <c r="D16" i="7"/>
  <c r="E16" i="7" s="1"/>
  <c r="G16" i="7" s="1"/>
  <c r="G15" i="7"/>
  <c r="D14" i="7"/>
  <c r="E14" i="7" s="1"/>
  <c r="G14" i="7" s="1"/>
  <c r="E13" i="7"/>
  <c r="G13" i="7" s="1"/>
  <c r="G12" i="7"/>
  <c r="E8" i="7"/>
  <c r="G8" i="7" s="1"/>
  <c r="G7" i="7"/>
  <c r="E5" i="7"/>
  <c r="E6" i="7" s="1"/>
  <c r="G6" i="7" s="1"/>
  <c r="G4" i="7"/>
  <c r="C25" i="6" a="1"/>
  <c r="H30" i="6" a="1"/>
  <c r="H26" i="6" a="1"/>
  <c r="C34" i="6" a="1"/>
  <c r="C31" i="6" a="1"/>
  <c r="C12" i="6" a="1"/>
  <c r="H20" i="6" a="1"/>
  <c r="H24" i="6" a="1"/>
  <c r="C30" i="6" a="1"/>
  <c r="C35" i="6" a="1"/>
  <c r="C24" i="6" a="1"/>
  <c r="H21" i="6" a="1"/>
  <c r="C28" i="6" a="1"/>
  <c r="H19" i="6" a="1"/>
  <c r="C29" i="6" a="1"/>
  <c r="C33" i="6" a="1"/>
  <c r="C27" i="6" a="1"/>
  <c r="C18" i="6" a="1"/>
  <c r="C21" i="6" a="1"/>
  <c r="C37" i="6" a="1"/>
  <c r="C19" i="6" a="1"/>
  <c r="H18" i="6" a="1"/>
  <c r="C20" i="6" a="1"/>
  <c r="C32" i="6" a="1"/>
  <c r="AA44" i="8" a="1"/>
  <c r="H22" i="6" a="1"/>
  <c r="K11" i="2" a="1"/>
  <c r="C12" i="2" a="1"/>
  <c r="H28" i="6" a="1"/>
  <c r="C23" i="6" a="1"/>
  <c r="H25" i="6" a="1"/>
  <c r="H31" i="6" a="1"/>
  <c r="C22" i="6" a="1"/>
  <c r="H29" i="6" a="1"/>
  <c r="H27" i="6" a="1"/>
  <c r="C26" i="6" a="1"/>
  <c r="H23" i="6" a="1"/>
  <c r="N30" i="24" a="1"/>
  <c r="T30" i="24" a="1"/>
  <c r="U30" i="24" a="1"/>
  <c r="V30" i="24" a="1"/>
  <c r="T30" i="24" l="1"/>
  <c r="N30" i="24"/>
  <c r="U30" i="24"/>
  <c r="V30" i="24"/>
  <c r="L31" i="24"/>
  <c r="M31" i="24" s="1"/>
  <c r="S31" i="24"/>
  <c r="O31" i="24"/>
  <c r="K32" i="24"/>
  <c r="B20" i="2"/>
  <c r="C19" i="2"/>
  <c r="C37" i="6"/>
  <c r="B38" i="6"/>
  <c r="AA44" i="8"/>
  <c r="C7" i="8"/>
  <c r="C7" i="6"/>
  <c r="K11" i="2"/>
  <c r="C12" i="2"/>
  <c r="T21" i="6"/>
  <c r="K10" i="6"/>
  <c r="K13" i="6"/>
  <c r="H22" i="6"/>
  <c r="I22" i="6" s="1"/>
  <c r="H28" i="6"/>
  <c r="H19" i="6"/>
  <c r="H26" i="6"/>
  <c r="I26" i="6" s="1"/>
  <c r="H29" i="6"/>
  <c r="I29" i="6" s="1"/>
  <c r="H20" i="6"/>
  <c r="H25" i="6"/>
  <c r="H24" i="6"/>
  <c r="H30" i="6"/>
  <c r="I30" i="6" s="1"/>
  <c r="H21" i="6"/>
  <c r="H27" i="6"/>
  <c r="H31" i="6"/>
  <c r="I31" i="6" s="1"/>
  <c r="H23" i="6"/>
  <c r="I23" i="6" s="1"/>
  <c r="H18" i="6"/>
  <c r="I18" i="6" s="1"/>
  <c r="C12" i="6"/>
  <c r="C25" i="6"/>
  <c r="C20" i="6"/>
  <c r="C27" i="6"/>
  <c r="C26" i="6"/>
  <c r="C32" i="6"/>
  <c r="C24" i="6"/>
  <c r="C21" i="6"/>
  <c r="C34" i="6"/>
  <c r="C23" i="6"/>
  <c r="C29" i="6"/>
  <c r="C35" i="6"/>
  <c r="C33" i="6"/>
  <c r="C31" i="6"/>
  <c r="C28" i="6"/>
  <c r="C19" i="6"/>
  <c r="C30" i="6"/>
  <c r="C22" i="6"/>
  <c r="C18" i="6"/>
  <c r="T18" i="6"/>
  <c r="T20" i="6"/>
  <c r="T19" i="6"/>
  <c r="G32" i="7"/>
  <c r="E9" i="7"/>
  <c r="G9" i="7" s="1"/>
  <c r="G5" i="7"/>
  <c r="C31" i="7" s="1"/>
  <c r="D30" i="6" a="1"/>
  <c r="D37" i="6" a="1"/>
  <c r="D31" i="6" a="1"/>
  <c r="J22" i="6" a="1"/>
  <c r="U21" i="6" a="1"/>
  <c r="AC62" i="8" a="1"/>
  <c r="AD62" i="8" a="1"/>
  <c r="D27" i="6" a="1"/>
  <c r="J23" i="6" a="1"/>
  <c r="AC39" i="8" a="1"/>
  <c r="D25" i="6" a="1"/>
  <c r="AD43" i="8" a="1"/>
  <c r="D26" i="6" a="1"/>
  <c r="J18" i="6" a="1"/>
  <c r="U28" i="6" a="1"/>
  <c r="D34" i="6" a="1"/>
  <c r="E17" i="2" a="1"/>
  <c r="J25" i="6" a="1"/>
  <c r="U20" i="6" a="1"/>
  <c r="J20" i="6" a="1"/>
  <c r="U29" i="6" a="1"/>
  <c r="E26" i="6" a="1"/>
  <c r="D19" i="2" a="1"/>
  <c r="E22" i="6" a="1"/>
  <c r="V20" i="6" a="1"/>
  <c r="E28" i="6" a="1"/>
  <c r="D16" i="2" a="1"/>
  <c r="E30" i="6" a="1"/>
  <c r="D17" i="2" a="1"/>
  <c r="E41" i="6" a="1"/>
  <c r="AC64" i="8" a="1"/>
  <c r="D35" i="6" a="1"/>
  <c r="E29" i="6" a="1"/>
  <c r="D41" i="6" a="1"/>
  <c r="E19" i="2" a="1"/>
  <c r="AC43" i="8" a="1"/>
  <c r="D33" i="6" a="1"/>
  <c r="C38" i="6" a="1"/>
  <c r="J26" i="6" a="1"/>
  <c r="D32" i="6" a="1"/>
  <c r="E42" i="6" a="1"/>
  <c r="V27" i="6" a="1"/>
  <c r="D15" i="2" a="1"/>
  <c r="AC37" i="8" a="1"/>
  <c r="AC42" i="8" a="1"/>
  <c r="J31" i="6" a="1"/>
  <c r="E32" i="6" a="1"/>
  <c r="E31" i="6" a="1"/>
  <c r="J28" i="6" a="1"/>
  <c r="D22" i="6" a="1"/>
  <c r="U31" i="6" a="1"/>
  <c r="U18" i="6" a="1"/>
  <c r="AC38" i="8" a="1"/>
  <c r="V28" i="6" a="1"/>
  <c r="E23" i="6" a="1"/>
  <c r="E21" i="6" a="1"/>
  <c r="D18" i="2" a="1"/>
  <c r="K11" i="6" a="1"/>
  <c r="E25" i="6" a="1"/>
  <c r="AD38" i="8" a="1"/>
  <c r="AC63" i="8" a="1"/>
  <c r="V30" i="6" a="1"/>
  <c r="D18" i="6" a="1"/>
  <c r="D21" i="6" a="1"/>
  <c r="AC58" i="8" a="1"/>
  <c r="AD37" i="8" a="1"/>
  <c r="V29" i="6" a="1"/>
  <c r="AC61" i="8" a="1"/>
  <c r="D20" i="6" a="1"/>
  <c r="AD39" i="8" a="1"/>
  <c r="D19" i="6" a="1"/>
  <c r="E19" i="6" a="1"/>
  <c r="U30" i="6" a="1"/>
  <c r="AC56" i="8" a="1"/>
  <c r="AD41" i="8" a="1"/>
  <c r="AC44" i="8" a="1"/>
  <c r="D36" i="6" a="1"/>
  <c r="AC59" i="8" a="1"/>
  <c r="J21" i="6" a="1"/>
  <c r="AD36" i="8" a="1"/>
  <c r="AC41" i="8" a="1"/>
  <c r="U19" i="6" a="1"/>
  <c r="J19" i="6" a="1"/>
  <c r="E18" i="6" a="1"/>
  <c r="E34" i="6" a="1"/>
  <c r="E27" i="6" a="1"/>
  <c r="E24" i="6" a="1"/>
  <c r="E33" i="6" a="1"/>
  <c r="E15" i="2" a="1"/>
  <c r="AD56" i="8" a="1"/>
  <c r="D28" i="6" a="1"/>
  <c r="E16" i="2" a="1"/>
  <c r="AD58" i="8" a="1"/>
  <c r="AD63" i="8" a="1"/>
  <c r="E20" i="6" a="1"/>
  <c r="AD42" i="8" a="1"/>
  <c r="AD60" i="8" a="1"/>
  <c r="V31" i="6" a="1"/>
  <c r="J27" i="6" a="1"/>
  <c r="J29" i="6" a="1"/>
  <c r="U27" i="6" a="1"/>
  <c r="E18" i="2" a="1"/>
  <c r="AC40" i="8" a="1"/>
  <c r="E36" i="6" a="1"/>
  <c r="AC36" i="8" a="1"/>
  <c r="D24" i="6" a="1"/>
  <c r="D29" i="6" a="1"/>
  <c r="AD57" i="8" a="1"/>
  <c r="J24" i="6" a="1"/>
  <c r="AC60" i="8" a="1"/>
  <c r="AD44" i="8" a="1"/>
  <c r="V19" i="6" a="1"/>
  <c r="AD40" i="8" a="1"/>
  <c r="D42" i="6" a="1"/>
  <c r="E37" i="6" a="1"/>
  <c r="AC57" i="8" a="1"/>
  <c r="AD64" i="8" a="1"/>
  <c r="J30" i="6" a="1"/>
  <c r="V18" i="6" a="1"/>
  <c r="AD59" i="8" a="1"/>
  <c r="D23" i="6" a="1"/>
  <c r="AD61" i="8" a="1"/>
  <c r="V21" i="6" a="1"/>
  <c r="E35" i="6" a="1"/>
  <c r="N31" i="24" a="1"/>
  <c r="T31" i="24" a="1"/>
  <c r="V31" i="24" a="1"/>
  <c r="U31" i="24" a="1"/>
  <c r="V31" i="24" l="1"/>
  <c r="T31" i="24"/>
  <c r="N31" i="24"/>
  <c r="U31" i="24"/>
  <c r="O32" i="24"/>
  <c r="K33" i="24"/>
  <c r="L32" i="24"/>
  <c r="M32" i="24" s="1"/>
  <c r="S32" i="24"/>
  <c r="D41" i="6"/>
  <c r="E42" i="6"/>
  <c r="E41" i="6"/>
  <c r="D42" i="6"/>
  <c r="B21" i="2"/>
  <c r="C20" i="2"/>
  <c r="D36" i="6"/>
  <c r="E36" i="6"/>
  <c r="C38" i="6"/>
  <c r="E37" i="6"/>
  <c r="D37" i="6"/>
  <c r="B39" i="6"/>
  <c r="J30" i="6"/>
  <c r="J20" i="6"/>
  <c r="J22" i="6"/>
  <c r="J24" i="6"/>
  <c r="J26" i="6"/>
  <c r="J28" i="6"/>
  <c r="J18" i="6"/>
  <c r="V31" i="6"/>
  <c r="U31" i="6"/>
  <c r="V30" i="6"/>
  <c r="U30" i="6"/>
  <c r="U29" i="6"/>
  <c r="V29" i="6"/>
  <c r="U28" i="6"/>
  <c r="V28" i="6"/>
  <c r="V27" i="6"/>
  <c r="U27" i="6"/>
  <c r="J19" i="6"/>
  <c r="J21" i="6"/>
  <c r="J23" i="6"/>
  <c r="J25" i="6"/>
  <c r="J27" i="6"/>
  <c r="J29" i="6"/>
  <c r="J31" i="6"/>
  <c r="I20" i="6"/>
  <c r="I25" i="6"/>
  <c r="I27" i="6"/>
  <c r="I19" i="6"/>
  <c r="I21" i="6"/>
  <c r="I28" i="6"/>
  <c r="I24" i="6"/>
  <c r="AC56" i="8"/>
  <c r="AC59" i="8"/>
  <c r="AD56" i="8"/>
  <c r="AC61" i="8"/>
  <c r="AD58" i="8"/>
  <c r="AC58" i="8"/>
  <c r="AD61" i="8"/>
  <c r="AC57" i="8"/>
  <c r="AD59" i="8"/>
  <c r="AD57" i="8"/>
  <c r="AC62" i="8"/>
  <c r="AD60" i="8"/>
  <c r="AC63" i="8"/>
  <c r="AD63" i="8"/>
  <c r="AC60" i="8"/>
  <c r="AD62" i="8"/>
  <c r="AD64" i="8"/>
  <c r="AC64" i="8"/>
  <c r="AD39" i="8"/>
  <c r="AD37" i="8"/>
  <c r="AD40" i="8"/>
  <c r="AC40" i="8"/>
  <c r="AD38" i="8"/>
  <c r="AC38" i="8"/>
  <c r="AC37" i="8"/>
  <c r="AC39" i="8"/>
  <c r="AC36" i="8"/>
  <c r="AD36" i="8"/>
  <c r="AC41" i="8"/>
  <c r="AD41" i="8"/>
  <c r="AD42" i="8"/>
  <c r="AC42" i="8"/>
  <c r="AC43" i="8"/>
  <c r="AD43" i="8"/>
  <c r="AC44" i="8"/>
  <c r="AD44" i="8"/>
  <c r="G12" i="8"/>
  <c r="G11" i="8"/>
  <c r="D18" i="2"/>
  <c r="D17" i="2"/>
  <c r="E17" i="2"/>
  <c r="E15" i="2"/>
  <c r="D15" i="2"/>
  <c r="D19" i="2"/>
  <c r="E16" i="2"/>
  <c r="D16" i="2"/>
  <c r="E18" i="2"/>
  <c r="E19" i="2"/>
  <c r="V21" i="6"/>
  <c r="U21" i="6"/>
  <c r="U19" i="6"/>
  <c r="V19" i="6"/>
  <c r="V20" i="6"/>
  <c r="U20" i="6"/>
  <c r="V18" i="6"/>
  <c r="U18" i="6"/>
  <c r="G12" i="6"/>
  <c r="G11" i="6"/>
  <c r="K11" i="6"/>
  <c r="D18" i="6"/>
  <c r="E35" i="6"/>
  <c r="D35" i="6"/>
  <c r="E32" i="6"/>
  <c r="D32" i="6"/>
  <c r="E27" i="6"/>
  <c r="D27" i="6"/>
  <c r="E23" i="6"/>
  <c r="D23" i="6"/>
  <c r="E20" i="6"/>
  <c r="D20" i="6"/>
  <c r="E22" i="6"/>
  <c r="D22" i="6"/>
  <c r="E30" i="6"/>
  <c r="D30" i="6"/>
  <c r="E34" i="6"/>
  <c r="D34" i="6"/>
  <c r="E26" i="6"/>
  <c r="D26" i="6"/>
  <c r="E19" i="6"/>
  <c r="D19" i="6"/>
  <c r="E31" i="6"/>
  <c r="D31" i="6"/>
  <c r="E28" i="6"/>
  <c r="D28" i="6"/>
  <c r="E24" i="6"/>
  <c r="D24" i="6"/>
  <c r="E18" i="6"/>
  <c r="E33" i="6"/>
  <c r="D33" i="6"/>
  <c r="E21" i="6"/>
  <c r="D21" i="6"/>
  <c r="E25" i="6"/>
  <c r="D25" i="6"/>
  <c r="E29" i="6"/>
  <c r="D29" i="6"/>
  <c r="C33" i="7"/>
  <c r="G31" i="7"/>
  <c r="G33" i="7" s="1"/>
  <c r="E20" i="2" a="1"/>
  <c r="D20" i="2" a="1"/>
  <c r="D38" i="6" a="1"/>
  <c r="E38" i="6" a="1"/>
  <c r="C39" i="6" a="1"/>
  <c r="U32" i="24" a="1"/>
  <c r="T32" i="24" a="1"/>
  <c r="V32" i="24" a="1"/>
  <c r="N32" i="24" a="1"/>
  <c r="T32" i="24" l="1"/>
  <c r="N32" i="24"/>
  <c r="U32" i="24"/>
  <c r="V32" i="24"/>
  <c r="L33" i="24"/>
  <c r="M33" i="24" s="1"/>
  <c r="S33" i="24"/>
  <c r="O33" i="24"/>
  <c r="K34" i="24"/>
  <c r="E20" i="2"/>
  <c r="D20" i="2"/>
  <c r="B22" i="2"/>
  <c r="C21" i="2"/>
  <c r="C39" i="6"/>
  <c r="D38" i="6"/>
  <c r="E38" i="6"/>
  <c r="B40" i="6"/>
  <c r="Q22" i="6"/>
  <c r="R22" i="6" s="1"/>
  <c r="G15" i="2"/>
  <c r="H15" i="2" s="1"/>
  <c r="S22" i="6" a="1"/>
  <c r="I15" i="2" a="1"/>
  <c r="D39" i="6" a="1"/>
  <c r="E21" i="2" a="1"/>
  <c r="C40" i="6" a="1"/>
  <c r="D21" i="2" a="1"/>
  <c r="E39" i="6" a="1"/>
  <c r="V33" i="24" a="1"/>
  <c r="U33" i="24" a="1"/>
  <c r="N33" i="24" a="1"/>
  <c r="T33" i="24" a="1"/>
  <c r="V33" i="24" l="1"/>
  <c r="T33" i="24"/>
  <c r="N33" i="24"/>
  <c r="U33" i="24"/>
  <c r="O34" i="24"/>
  <c r="K35" i="24"/>
  <c r="L34" i="24"/>
  <c r="M34" i="24" s="1"/>
  <c r="S34" i="24"/>
  <c r="I15" i="2"/>
  <c r="D21" i="2"/>
  <c r="E21" i="2"/>
  <c r="B23" i="2"/>
  <c r="C22" i="2"/>
  <c r="C40" i="6"/>
  <c r="D39" i="6"/>
  <c r="E39" i="6"/>
  <c r="S22" i="6"/>
  <c r="E33" i="7"/>
  <c r="E32" i="7"/>
  <c r="E31" i="7"/>
  <c r="E30" i="7"/>
  <c r="Q23" i="6"/>
  <c r="R23" i="6" s="1"/>
  <c r="T22" i="6"/>
  <c r="G16" i="2"/>
  <c r="H16" i="2" s="1"/>
  <c r="G17" i="2"/>
  <c r="H17" i="2" s="1"/>
  <c r="K15" i="2" a="1"/>
  <c r="S6" i="2" a="1"/>
  <c r="I16" i="2" a="1"/>
  <c r="S23" i="6" a="1"/>
  <c r="K18" i="6" a="1"/>
  <c r="K31" i="6" a="1"/>
  <c r="K21" i="6" a="1"/>
  <c r="E22" i="2" a="1"/>
  <c r="K24" i="6" a="1"/>
  <c r="K27" i="6" a="1"/>
  <c r="V22" i="6" a="1"/>
  <c r="U22" i="6" a="1"/>
  <c r="K29" i="6" a="1"/>
  <c r="K26" i="6" a="1"/>
  <c r="K20" i="6" a="1"/>
  <c r="D40" i="6" a="1"/>
  <c r="D22" i="2" a="1"/>
  <c r="I17" i="2" a="1"/>
  <c r="E40" i="6" a="1"/>
  <c r="K22" i="6" a="1"/>
  <c r="K19" i="6" a="1"/>
  <c r="K25" i="6" a="1"/>
  <c r="K23" i="6" a="1"/>
  <c r="K30" i="6" a="1"/>
  <c r="K28" i="6" a="1"/>
  <c r="N34" i="24" a="1"/>
  <c r="T34" i="24" a="1"/>
  <c r="U34" i="24" a="1"/>
  <c r="V34" i="24" a="1"/>
  <c r="T34" i="24" l="1"/>
  <c r="U34" i="24"/>
  <c r="N34" i="24"/>
  <c r="V34" i="24"/>
  <c r="L35" i="24"/>
  <c r="M35" i="24" s="1"/>
  <c r="S35" i="24"/>
  <c r="O35" i="24"/>
  <c r="K36" i="24"/>
  <c r="I17" i="2"/>
  <c r="E22" i="2"/>
  <c r="D22" i="2"/>
  <c r="I16" i="2"/>
  <c r="K15" i="2"/>
  <c r="B24" i="2"/>
  <c r="C23" i="2"/>
  <c r="L15" i="2"/>
  <c r="N15" i="2"/>
  <c r="K23" i="6"/>
  <c r="K25" i="6"/>
  <c r="K27" i="6"/>
  <c r="K31" i="6"/>
  <c r="K26" i="6"/>
  <c r="K30" i="6"/>
  <c r="K20" i="6"/>
  <c r="K22" i="6"/>
  <c r="K18" i="6"/>
  <c r="K29" i="6"/>
  <c r="K24" i="6"/>
  <c r="K28" i="6"/>
  <c r="K19" i="6"/>
  <c r="K21" i="6"/>
  <c r="D40" i="6"/>
  <c r="E40" i="6"/>
  <c r="V22" i="6"/>
  <c r="U22" i="6"/>
  <c r="S23" i="6"/>
  <c r="Q24" i="6"/>
  <c r="R24" i="6" s="1"/>
  <c r="T23" i="6"/>
  <c r="S6" i="2"/>
  <c r="G18" i="2"/>
  <c r="H18" i="2" s="1"/>
  <c r="L18" i="6" a="1"/>
  <c r="I18" i="2" a="1"/>
  <c r="V23" i="6" a="1"/>
  <c r="L28" i="6" a="1"/>
  <c r="E23" i="2" a="1"/>
  <c r="L29" i="6" a="1"/>
  <c r="K16" i="2" a="1"/>
  <c r="L30" i="6" a="1"/>
  <c r="U23" i="6" a="1"/>
  <c r="L26" i="6" a="1"/>
  <c r="D23" i="2" a="1"/>
  <c r="S24" i="6" a="1"/>
  <c r="L20" i="6" a="1"/>
  <c r="L31" i="6" a="1"/>
  <c r="L19" i="6" a="1"/>
  <c r="L23" i="6" a="1"/>
  <c r="L22" i="6" a="1"/>
  <c r="L24" i="6" a="1"/>
  <c r="L21" i="6" a="1"/>
  <c r="L27" i="6" a="1"/>
  <c r="L25" i="6" a="1"/>
  <c r="K17" i="2" a="1"/>
  <c r="N35" i="24" a="1"/>
  <c r="V35" i="24" a="1"/>
  <c r="U35" i="24" a="1"/>
  <c r="T35" i="24" a="1"/>
  <c r="V35" i="24" l="1"/>
  <c r="T35" i="24"/>
  <c r="U35" i="24"/>
  <c r="N35" i="24"/>
  <c r="O36" i="24"/>
  <c r="K37" i="24"/>
  <c r="L36" i="24"/>
  <c r="M36" i="24" s="1"/>
  <c r="S36" i="24"/>
  <c r="E23" i="2"/>
  <c r="D23" i="2"/>
  <c r="K16" i="2"/>
  <c r="I18" i="2"/>
  <c r="K17" i="2"/>
  <c r="B25" i="2"/>
  <c r="C24" i="2"/>
  <c r="N16" i="2"/>
  <c r="L16" i="2"/>
  <c r="N17" i="2"/>
  <c r="L17" i="2"/>
  <c r="L25" i="6"/>
  <c r="L31" i="6"/>
  <c r="L19" i="6"/>
  <c r="L21" i="6"/>
  <c r="L23" i="6"/>
  <c r="L27" i="6"/>
  <c r="L29" i="6"/>
  <c r="L18" i="6"/>
  <c r="L20" i="6"/>
  <c r="L22" i="6"/>
  <c r="L24" i="6"/>
  <c r="L26" i="6"/>
  <c r="L28" i="6"/>
  <c r="L30" i="6"/>
  <c r="S24" i="6"/>
  <c r="U23" i="6"/>
  <c r="V23" i="6"/>
  <c r="Q25" i="6"/>
  <c r="R25" i="6" s="1"/>
  <c r="T24" i="6"/>
  <c r="G19" i="2"/>
  <c r="H19" i="2" s="1"/>
  <c r="K18" i="2" a="1"/>
  <c r="F15" i="2" a="1"/>
  <c r="F18" i="2" a="1"/>
  <c r="M23" i="6" a="1"/>
  <c r="E24" i="2" a="1"/>
  <c r="M22" i="6" a="1"/>
  <c r="M19" i="6" a="1"/>
  <c r="M21" i="6" a="1"/>
  <c r="M27" i="6" a="1"/>
  <c r="M28" i="6" a="1"/>
  <c r="F17" i="2" a="1"/>
  <c r="M31" i="6" a="1"/>
  <c r="M30" i="6" a="1"/>
  <c r="M20" i="6" a="1"/>
  <c r="M24" i="6" a="1"/>
  <c r="I19" i="2" a="1"/>
  <c r="M18" i="6" a="1"/>
  <c r="F19" i="2" a="1"/>
  <c r="D24" i="2" a="1"/>
  <c r="U24" i="6" a="1"/>
  <c r="V24" i="6" a="1"/>
  <c r="S25" i="6" a="1"/>
  <c r="M29" i="6" a="1"/>
  <c r="M26" i="6" a="1"/>
  <c r="F20" i="2" a="1"/>
  <c r="M25" i="6" a="1"/>
  <c r="F16" i="2" a="1"/>
  <c r="N36" i="24" a="1"/>
  <c r="T36" i="24" a="1"/>
  <c r="V36" i="24" a="1"/>
  <c r="U36" i="24" a="1"/>
  <c r="T36" i="24" l="1"/>
  <c r="U36" i="24"/>
  <c r="N36" i="24"/>
  <c r="V36" i="24"/>
  <c r="K38" i="24"/>
  <c r="L37" i="24"/>
  <c r="M37" i="24" s="1"/>
  <c r="S37" i="24"/>
  <c r="O37" i="24"/>
  <c r="I19" i="2"/>
  <c r="K18" i="2"/>
  <c r="E24" i="2"/>
  <c r="D24" i="2"/>
  <c r="B26" i="2"/>
  <c r="C25" i="2"/>
  <c r="N18" i="2"/>
  <c r="L18" i="2"/>
  <c r="M22" i="6"/>
  <c r="M24" i="6"/>
  <c r="M26" i="6"/>
  <c r="M28" i="6"/>
  <c r="M31" i="6"/>
  <c r="M19" i="6"/>
  <c r="M21" i="6"/>
  <c r="M23" i="6"/>
  <c r="M30" i="6"/>
  <c r="M20" i="6"/>
  <c r="M25" i="6"/>
  <c r="M27" i="6"/>
  <c r="M29" i="6"/>
  <c r="M18" i="6"/>
  <c r="S25" i="6"/>
  <c r="V24" i="6"/>
  <c r="U24" i="6"/>
  <c r="F15" i="2"/>
  <c r="T25" i="6"/>
  <c r="F16" i="2"/>
  <c r="F20" i="2"/>
  <c r="F19" i="2"/>
  <c r="F18" i="2"/>
  <c r="F17" i="2"/>
  <c r="G20" i="2"/>
  <c r="H20" i="2" s="1"/>
  <c r="V25" i="6" a="1"/>
  <c r="N27" i="6" a="1"/>
  <c r="N25" i="6" a="1"/>
  <c r="N23" i="6" a="1"/>
  <c r="N24" i="6" a="1"/>
  <c r="N20" i="6" a="1"/>
  <c r="N26" i="6" a="1"/>
  <c r="N22" i="6" a="1"/>
  <c r="E25" i="2" a="1"/>
  <c r="N21" i="6" a="1"/>
  <c r="K19" i="2" a="1"/>
  <c r="N18" i="6" a="1"/>
  <c r="N29" i="6" a="1"/>
  <c r="D25" i="2" a="1"/>
  <c r="N19" i="6" a="1"/>
  <c r="N31" i="6" a="1"/>
  <c r="U25" i="6" a="1"/>
  <c r="I20" i="2" a="1"/>
  <c r="N28" i="6" a="1"/>
  <c r="N30" i="6" a="1"/>
  <c r="N37" i="24" a="1"/>
  <c r="T37" i="24" a="1"/>
  <c r="U37" i="24" a="1"/>
  <c r="V37" i="24" a="1"/>
  <c r="V37" i="24" l="1"/>
  <c r="U37" i="24"/>
  <c r="T37" i="24"/>
  <c r="N37" i="24"/>
  <c r="S38" i="24"/>
  <c r="O38" i="24"/>
  <c r="L38" i="24"/>
  <c r="M38" i="24" s="1"/>
  <c r="K39" i="24"/>
  <c r="I20" i="2"/>
  <c r="D25" i="2"/>
  <c r="E25" i="2"/>
  <c r="K19" i="2"/>
  <c r="M19" i="2" s="1"/>
  <c r="L19" i="2"/>
  <c r="N19" i="2"/>
  <c r="B27" i="2"/>
  <c r="C26" i="2"/>
  <c r="N28" i="6"/>
  <c r="N20" i="6"/>
  <c r="N22" i="6"/>
  <c r="N24" i="6"/>
  <c r="N26" i="6"/>
  <c r="N30" i="6"/>
  <c r="N18" i="6"/>
  <c r="N19" i="6"/>
  <c r="N21" i="6"/>
  <c r="N23" i="6"/>
  <c r="N25" i="6"/>
  <c r="N27" i="6"/>
  <c r="N29" i="6"/>
  <c r="N31" i="6"/>
  <c r="U25" i="6"/>
  <c r="V25" i="6"/>
  <c r="T26" i="6"/>
  <c r="Q26" i="6"/>
  <c r="R26" i="6" s="1"/>
  <c r="M18" i="2"/>
  <c r="O18" i="2" s="1"/>
  <c r="J16" i="2"/>
  <c r="J19" i="2"/>
  <c r="J17" i="2"/>
  <c r="J18" i="2"/>
  <c r="J15" i="2"/>
  <c r="M15" i="2"/>
  <c r="M16" i="2"/>
  <c r="O16" i="2" s="1"/>
  <c r="M17" i="2"/>
  <c r="O17" i="2" s="1"/>
  <c r="G21" i="2"/>
  <c r="H21" i="2" s="1"/>
  <c r="O27" i="6" a="1"/>
  <c r="O30" i="6" a="1"/>
  <c r="O18" i="6" a="1"/>
  <c r="D26" i="2" a="1"/>
  <c r="O22" i="6" a="1"/>
  <c r="E26" i="2" a="1"/>
  <c r="O21" i="6" a="1"/>
  <c r="O19" i="6" a="1"/>
  <c r="K20" i="2" a="1"/>
  <c r="S26" i="6" a="1"/>
  <c r="O31" i="6" a="1"/>
  <c r="O28" i="6" a="1"/>
  <c r="O29" i="6" a="1"/>
  <c r="O26" i="6" a="1"/>
  <c r="I21" i="2" a="1"/>
  <c r="O23" i="6" a="1"/>
  <c r="F21" i="2" a="1"/>
  <c r="O25" i="6" a="1"/>
  <c r="O24" i="6" a="1"/>
  <c r="O20" i="6" a="1"/>
  <c r="T38" i="24" a="1"/>
  <c r="V38" i="24" a="1"/>
  <c r="U38" i="24" a="1"/>
  <c r="N38" i="24" a="1"/>
  <c r="T38" i="24" l="1"/>
  <c r="N38" i="24"/>
  <c r="U38" i="24"/>
  <c r="V38" i="24"/>
  <c r="O39" i="24"/>
  <c r="K40" i="24"/>
  <c r="L39" i="24"/>
  <c r="M39" i="24" s="1"/>
  <c r="S39" i="24"/>
  <c r="K20" i="2"/>
  <c r="E26" i="2"/>
  <c r="D26" i="2"/>
  <c r="I21" i="2"/>
  <c r="N20" i="2"/>
  <c r="L20" i="2"/>
  <c r="B28" i="2"/>
  <c r="C27" i="2"/>
  <c r="O18" i="6"/>
  <c r="O22" i="6"/>
  <c r="O20" i="6"/>
  <c r="O28" i="6"/>
  <c r="O24" i="6"/>
  <c r="O26" i="6"/>
  <c r="O29" i="6"/>
  <c r="O27" i="6"/>
  <c r="O23" i="6"/>
  <c r="O21" i="6"/>
  <c r="O19" i="6"/>
  <c r="O30" i="6"/>
  <c r="O31" i="6"/>
  <c r="O25" i="6"/>
  <c r="S26" i="6"/>
  <c r="J20" i="2"/>
  <c r="F21" i="2"/>
  <c r="P17" i="2"/>
  <c r="P18" i="2"/>
  <c r="P16" i="2"/>
  <c r="O19" i="2"/>
  <c r="O15" i="2"/>
  <c r="P15" i="2"/>
  <c r="G22" i="2"/>
  <c r="H22" i="2" s="1"/>
  <c r="E27" i="2" a="1"/>
  <c r="K21" i="2" a="1"/>
  <c r="D27" i="2" a="1"/>
  <c r="V26" i="6" a="1"/>
  <c r="F22" i="2" a="1"/>
  <c r="U26" i="6" a="1"/>
  <c r="I22" i="2" a="1"/>
  <c r="T39" i="24" a="1"/>
  <c r="U39" i="24" a="1"/>
  <c r="N39" i="24" a="1"/>
  <c r="V39" i="24" a="1"/>
  <c r="U39" i="24" l="1"/>
  <c r="N39" i="24"/>
  <c r="T39" i="24"/>
  <c r="V39" i="24"/>
  <c r="O40" i="24"/>
  <c r="K41" i="24"/>
  <c r="L40" i="24"/>
  <c r="M40" i="24" s="1"/>
  <c r="S40" i="24"/>
  <c r="D27" i="2"/>
  <c r="E27" i="2"/>
  <c r="K21" i="2"/>
  <c r="I22" i="2"/>
  <c r="L21" i="2"/>
  <c r="N21" i="2"/>
  <c r="B29" i="2"/>
  <c r="C28" i="2"/>
  <c r="V26" i="6"/>
  <c r="U26" i="6"/>
  <c r="M20" i="2"/>
  <c r="O20" i="2" s="1"/>
  <c r="F22" i="2"/>
  <c r="J21" i="2"/>
  <c r="P20" i="2"/>
  <c r="P19" i="2"/>
  <c r="G23" i="2"/>
  <c r="H23" i="2" s="1"/>
  <c r="E28" i="2" a="1"/>
  <c r="F23" i="2" a="1"/>
  <c r="K22" i="2" a="1"/>
  <c r="D28" i="2" a="1"/>
  <c r="I23" i="2" a="1"/>
  <c r="V40" i="24" a="1"/>
  <c r="U40" i="24" a="1"/>
  <c r="T40" i="24" a="1"/>
  <c r="N40" i="24" a="1"/>
  <c r="N40" i="24" l="1"/>
  <c r="U40" i="24"/>
  <c r="T40" i="24"/>
  <c r="V40" i="24"/>
  <c r="K42" i="24"/>
  <c r="L41" i="24"/>
  <c r="M41" i="24" s="1"/>
  <c r="S41" i="24"/>
  <c r="O41" i="24"/>
  <c r="D28" i="2"/>
  <c r="E28" i="2"/>
  <c r="K22" i="2"/>
  <c r="I23" i="2"/>
  <c r="B30" i="2"/>
  <c r="C29" i="2"/>
  <c r="N22" i="2"/>
  <c r="L22" i="2"/>
  <c r="M21" i="2"/>
  <c r="O21" i="2" s="1"/>
  <c r="J22" i="2"/>
  <c r="F23" i="2"/>
  <c r="P21" i="2"/>
  <c r="G24" i="2"/>
  <c r="H24" i="2" s="1"/>
  <c r="D29" i="2" a="1"/>
  <c r="F24" i="2" a="1"/>
  <c r="K23" i="2" a="1"/>
  <c r="I24" i="2" a="1"/>
  <c r="E29" i="2" a="1"/>
  <c r="N41" i="24" a="1"/>
  <c r="V41" i="24" a="1"/>
  <c r="T41" i="24" a="1"/>
  <c r="U41" i="24" a="1"/>
  <c r="V41" i="24" l="1"/>
  <c r="U41" i="24"/>
  <c r="N41" i="24"/>
  <c r="T41" i="24"/>
  <c r="S42" i="24"/>
  <c r="O42" i="24"/>
  <c r="K43" i="24"/>
  <c r="L42" i="24"/>
  <c r="M42" i="24" s="1"/>
  <c r="I24" i="2"/>
  <c r="D29" i="2"/>
  <c r="E29" i="2"/>
  <c r="K23" i="2"/>
  <c r="B31" i="2"/>
  <c r="C30" i="2"/>
  <c r="L23" i="2"/>
  <c r="N23" i="2"/>
  <c r="M22" i="2"/>
  <c r="O22" i="2" s="1"/>
  <c r="J23" i="2"/>
  <c r="F24" i="2"/>
  <c r="P22" i="2"/>
  <c r="G25" i="2"/>
  <c r="H25" i="2" s="1"/>
  <c r="D30" i="2" a="1"/>
  <c r="E30" i="2" a="1"/>
  <c r="F25" i="2" a="1"/>
  <c r="K24" i="2" a="1"/>
  <c r="I25" i="2" a="1"/>
  <c r="V42" i="24" a="1"/>
  <c r="N42" i="24" a="1"/>
  <c r="U42" i="24" a="1"/>
  <c r="T42" i="24" a="1"/>
  <c r="T42" i="24" l="1"/>
  <c r="N42" i="24"/>
  <c r="U42" i="24"/>
  <c r="V42" i="24"/>
  <c r="O43" i="24"/>
  <c r="K44" i="24"/>
  <c r="L43" i="24"/>
  <c r="M43" i="24" s="1"/>
  <c r="S43" i="24"/>
  <c r="I25" i="2"/>
  <c r="K24" i="2"/>
  <c r="E30" i="2"/>
  <c r="D30" i="2"/>
  <c r="B32" i="2"/>
  <c r="C31" i="2"/>
  <c r="N24" i="2"/>
  <c r="L24" i="2"/>
  <c r="M23" i="2"/>
  <c r="O23" i="2" s="1"/>
  <c r="J24" i="2"/>
  <c r="F25" i="2"/>
  <c r="G26" i="2"/>
  <c r="H26" i="2" s="1"/>
  <c r="I26" i="2" a="1"/>
  <c r="K25" i="2" a="1"/>
  <c r="D31" i="2" a="1"/>
  <c r="E31" i="2" a="1"/>
  <c r="F26" i="2" a="1"/>
  <c r="N43" i="24" a="1"/>
  <c r="U43" i="24" a="1"/>
  <c r="T43" i="24" a="1"/>
  <c r="V43" i="24" a="1"/>
  <c r="U43" i="24" l="1"/>
  <c r="N43" i="24"/>
  <c r="T43" i="24"/>
  <c r="V43" i="24"/>
  <c r="L44" i="24"/>
  <c r="M44" i="24" s="1"/>
  <c r="O44" i="24"/>
  <c r="S44" i="24"/>
  <c r="K45" i="24"/>
  <c r="I26" i="2"/>
  <c r="K25" i="2"/>
  <c r="D31" i="2"/>
  <c r="E31" i="2"/>
  <c r="N25" i="2"/>
  <c r="L25" i="2"/>
  <c r="B33" i="2"/>
  <c r="C32" i="2"/>
  <c r="M24" i="2"/>
  <c r="O24" i="2" s="1"/>
  <c r="J25" i="2"/>
  <c r="F26" i="2"/>
  <c r="P23" i="2"/>
  <c r="G27" i="2"/>
  <c r="H27" i="2" s="1"/>
  <c r="F27" i="2" a="1"/>
  <c r="E32" i="2" a="1"/>
  <c r="K26" i="2" a="1"/>
  <c r="D32" i="2" a="1"/>
  <c r="I27" i="2" a="1"/>
  <c r="N44" i="24" a="1"/>
  <c r="U44" i="24" a="1"/>
  <c r="T44" i="24" a="1"/>
  <c r="V44" i="24" a="1"/>
  <c r="V44" i="24" l="1"/>
  <c r="T44" i="24"/>
  <c r="N44" i="24"/>
  <c r="U44" i="24"/>
  <c r="O45" i="24"/>
  <c r="S45" i="24"/>
  <c r="K46" i="24"/>
  <c r="L45" i="24"/>
  <c r="M45" i="24" s="1"/>
  <c r="K26" i="2"/>
  <c r="I27" i="2"/>
  <c r="D32" i="2"/>
  <c r="E32" i="2"/>
  <c r="L26" i="2"/>
  <c r="N26" i="2"/>
  <c r="B34" i="2"/>
  <c r="C33" i="2"/>
  <c r="M25" i="2"/>
  <c r="O25" i="2" s="1"/>
  <c r="J26" i="2"/>
  <c r="F27" i="2"/>
  <c r="P25" i="2"/>
  <c r="P24" i="2"/>
  <c r="G28" i="2"/>
  <c r="H28" i="2" s="1"/>
  <c r="E33" i="2" a="1"/>
  <c r="F28" i="2" a="1"/>
  <c r="I28" i="2" a="1"/>
  <c r="K27" i="2" a="1"/>
  <c r="D33" i="2" a="1"/>
  <c r="T45" i="24" a="1"/>
  <c r="V45" i="24" a="1"/>
  <c r="U45" i="24" a="1"/>
  <c r="N45" i="24" a="1"/>
  <c r="N45" i="24" l="1"/>
  <c r="U45" i="24"/>
  <c r="T45" i="24"/>
  <c r="V45" i="24"/>
  <c r="L46" i="24"/>
  <c r="M46" i="24" s="1"/>
  <c r="S46" i="24"/>
  <c r="K47" i="24"/>
  <c r="O46" i="24"/>
  <c r="E33" i="2"/>
  <c r="D33" i="2"/>
  <c r="K27" i="2"/>
  <c r="I28" i="2"/>
  <c r="B35" i="2"/>
  <c r="C34" i="2"/>
  <c r="L27" i="2"/>
  <c r="N27" i="2"/>
  <c r="M26" i="2"/>
  <c r="O26" i="2" s="1"/>
  <c r="J27" i="2"/>
  <c r="F28" i="2"/>
  <c r="G29" i="2"/>
  <c r="H29" i="2" s="1"/>
  <c r="D34" i="2" a="1"/>
  <c r="F29" i="2" a="1"/>
  <c r="I29" i="2" a="1"/>
  <c r="K28" i="2" a="1"/>
  <c r="E34" i="2" a="1"/>
  <c r="T46" i="24" a="1"/>
  <c r="U46" i="24" a="1"/>
  <c r="V46" i="24" a="1"/>
  <c r="N46" i="24" a="1"/>
  <c r="V46" i="24" l="1"/>
  <c r="T46" i="24"/>
  <c r="N46" i="24"/>
  <c r="U46" i="24"/>
  <c r="O47" i="24"/>
  <c r="K48" i="24"/>
  <c r="L47" i="24"/>
  <c r="M47" i="24" s="1"/>
  <c r="S47" i="24"/>
  <c r="D34" i="2"/>
  <c r="E34" i="2"/>
  <c r="I29" i="2"/>
  <c r="K28" i="2"/>
  <c r="B36" i="2"/>
  <c r="C35" i="2"/>
  <c r="L28" i="2"/>
  <c r="N28" i="2"/>
  <c r="M27" i="2"/>
  <c r="O27" i="2" s="1"/>
  <c r="J28" i="2"/>
  <c r="F29" i="2"/>
  <c r="P27" i="2"/>
  <c r="P26" i="2"/>
  <c r="G30" i="2"/>
  <c r="H30" i="2" s="1"/>
  <c r="D35" i="2" a="1"/>
  <c r="I30" i="2" a="1"/>
  <c r="F30" i="2" a="1"/>
  <c r="E35" i="2" a="1"/>
  <c r="K29" i="2" a="1"/>
  <c r="T47" i="24" a="1"/>
  <c r="N47" i="24" a="1"/>
  <c r="V47" i="24" a="1"/>
  <c r="U47" i="24" a="1"/>
  <c r="U47" i="24" l="1"/>
  <c r="T47" i="24"/>
  <c r="N47" i="24"/>
  <c r="V47" i="24"/>
  <c r="L48" i="24"/>
  <c r="M48" i="24" s="1"/>
  <c r="S48" i="24"/>
  <c r="K49" i="24"/>
  <c r="O48" i="24"/>
  <c r="D35" i="2"/>
  <c r="E35" i="2"/>
  <c r="K29" i="2"/>
  <c r="I30" i="2"/>
  <c r="B37" i="2"/>
  <c r="C36" i="2"/>
  <c r="N29" i="2"/>
  <c r="L29" i="2"/>
  <c r="M28" i="2"/>
  <c r="O28" i="2" s="1"/>
  <c r="J29" i="2"/>
  <c r="F30" i="2"/>
  <c r="P28" i="2"/>
  <c r="G31" i="2"/>
  <c r="H31" i="2" s="1"/>
  <c r="D36" i="2" a="1"/>
  <c r="I31" i="2" a="1"/>
  <c r="E36" i="2" a="1"/>
  <c r="F31" i="2" a="1"/>
  <c r="K30" i="2" a="1"/>
  <c r="T48" i="24" a="1"/>
  <c r="U48" i="24" a="1"/>
  <c r="N48" i="24" a="1"/>
  <c r="V48" i="24" a="1"/>
  <c r="V48" i="24" l="1"/>
  <c r="T48" i="24"/>
  <c r="N48" i="24"/>
  <c r="U48" i="24"/>
  <c r="O49" i="24"/>
  <c r="K50" i="24"/>
  <c r="S49" i="24"/>
  <c r="L49" i="24"/>
  <c r="M49" i="24" s="1"/>
  <c r="K30" i="2"/>
  <c r="I31" i="2"/>
  <c r="E36" i="2"/>
  <c r="D36" i="2"/>
  <c r="B38" i="2"/>
  <c r="C37" i="2"/>
  <c r="L30" i="2"/>
  <c r="N30" i="2"/>
  <c r="M29" i="2"/>
  <c r="O29" i="2" s="1"/>
  <c r="J30" i="2"/>
  <c r="F31" i="2"/>
  <c r="P29" i="2"/>
  <c r="G32" i="2"/>
  <c r="H32" i="2" s="1"/>
  <c r="D37" i="2" a="1"/>
  <c r="F32" i="2" a="1"/>
  <c r="K31" i="2" a="1"/>
  <c r="I32" i="2" a="1"/>
  <c r="E37" i="2" a="1"/>
  <c r="T49" i="24" a="1"/>
  <c r="N49" i="24" a="1"/>
  <c r="V49" i="24" a="1"/>
  <c r="U49" i="24" a="1"/>
  <c r="U49" i="24" l="1"/>
  <c r="N49" i="24"/>
  <c r="T49" i="24"/>
  <c r="V49" i="24"/>
  <c r="L50" i="24"/>
  <c r="M50" i="24" s="1"/>
  <c r="S50" i="24"/>
  <c r="K51" i="24"/>
  <c r="O50" i="24"/>
  <c r="I32" i="2"/>
  <c r="D37" i="2"/>
  <c r="E37" i="2"/>
  <c r="K31" i="2"/>
  <c r="B39" i="2"/>
  <c r="C38" i="2"/>
  <c r="N31" i="2"/>
  <c r="L31" i="2"/>
  <c r="M30" i="2"/>
  <c r="O30" i="2" s="1"/>
  <c r="J31" i="2"/>
  <c r="F32" i="2"/>
  <c r="P30" i="2"/>
  <c r="G33" i="2"/>
  <c r="H33" i="2" s="1"/>
  <c r="E38" i="2" a="1"/>
  <c r="K32" i="2" a="1"/>
  <c r="D38" i="2" a="1"/>
  <c r="F33" i="2" a="1"/>
  <c r="I33" i="2" a="1"/>
  <c r="U50" i="24" a="1"/>
  <c r="V50" i="24" a="1"/>
  <c r="T50" i="24" a="1"/>
  <c r="N50" i="24" a="1"/>
  <c r="T50" i="24" l="1"/>
  <c r="N50" i="24"/>
  <c r="U50" i="24"/>
  <c r="V50" i="24"/>
  <c r="O51" i="24"/>
  <c r="K52" i="24"/>
  <c r="L51" i="24"/>
  <c r="M51" i="24" s="1"/>
  <c r="S51" i="24"/>
  <c r="E38" i="2"/>
  <c r="D38" i="2"/>
  <c r="I33" i="2"/>
  <c r="K32" i="2"/>
  <c r="B40" i="2"/>
  <c r="C39" i="2"/>
  <c r="L32" i="2"/>
  <c r="N32" i="2"/>
  <c r="M31" i="2"/>
  <c r="O31" i="2" s="1"/>
  <c r="J32" i="2"/>
  <c r="F33" i="2"/>
  <c r="P31" i="2"/>
  <c r="G34" i="2"/>
  <c r="H34" i="2" s="1"/>
  <c r="D39" i="2" a="1"/>
  <c r="I34" i="2" a="1"/>
  <c r="K33" i="2" a="1"/>
  <c r="F34" i="2" a="1"/>
  <c r="E39" i="2" a="1"/>
  <c r="V51" i="24" a="1"/>
  <c r="N51" i="24" a="1"/>
  <c r="U51" i="24" a="1"/>
  <c r="T51" i="24" a="1"/>
  <c r="U51" i="24" l="1"/>
  <c r="N51" i="24"/>
  <c r="T51" i="24"/>
  <c r="V51" i="24"/>
  <c r="L52" i="24"/>
  <c r="M52" i="24" s="1"/>
  <c r="S52" i="24"/>
  <c r="K53" i="24"/>
  <c r="O52" i="24"/>
  <c r="D39" i="2"/>
  <c r="E39" i="2"/>
  <c r="I34" i="2"/>
  <c r="K33" i="2"/>
  <c r="B41" i="2"/>
  <c r="C40" i="2"/>
  <c r="N33" i="2"/>
  <c r="L33" i="2"/>
  <c r="M32" i="2"/>
  <c r="O32" i="2" s="1"/>
  <c r="F34" i="2"/>
  <c r="J33" i="2"/>
  <c r="P32" i="2"/>
  <c r="G35" i="2"/>
  <c r="H35" i="2" s="1"/>
  <c r="E40" i="2" a="1"/>
  <c r="I35" i="2" a="1"/>
  <c r="D40" i="2" a="1"/>
  <c r="K34" i="2" a="1"/>
  <c r="F35" i="2" a="1"/>
  <c r="U52" i="24" a="1"/>
  <c r="T52" i="24" a="1"/>
  <c r="N52" i="24" a="1"/>
  <c r="V52" i="24" a="1"/>
  <c r="V52" i="24" l="1"/>
  <c r="T52" i="24"/>
  <c r="U52" i="24"/>
  <c r="N52" i="24"/>
  <c r="O53" i="24"/>
  <c r="K54" i="24"/>
  <c r="L53" i="24"/>
  <c r="M53" i="24" s="1"/>
  <c r="S53" i="24"/>
  <c r="D40" i="2"/>
  <c r="E40" i="2"/>
  <c r="I35" i="2"/>
  <c r="K34" i="2"/>
  <c r="B42" i="2"/>
  <c r="C41" i="2"/>
  <c r="N34" i="2"/>
  <c r="L34" i="2"/>
  <c r="M33" i="2"/>
  <c r="O33" i="2" s="1"/>
  <c r="J34" i="2"/>
  <c r="F35" i="2"/>
  <c r="P33" i="2"/>
  <c r="G36" i="2"/>
  <c r="H36" i="2" s="1"/>
  <c r="D41" i="2" a="1"/>
  <c r="F36" i="2" a="1"/>
  <c r="I36" i="2" a="1"/>
  <c r="E41" i="2" a="1"/>
  <c r="K35" i="2" a="1"/>
  <c r="N53" i="24" a="1"/>
  <c r="T53" i="24" a="1"/>
  <c r="U53" i="24" a="1"/>
  <c r="V53" i="24" a="1"/>
  <c r="U53" i="24" l="1"/>
  <c r="N53" i="24"/>
  <c r="T53" i="24"/>
  <c r="V53" i="24"/>
  <c r="L54" i="24"/>
  <c r="M54" i="24" s="1"/>
  <c r="S54" i="24"/>
  <c r="K55" i="24"/>
  <c r="O54" i="24"/>
  <c r="I36" i="2"/>
  <c r="K35" i="2"/>
  <c r="D41" i="2"/>
  <c r="E41" i="2"/>
  <c r="B43" i="2"/>
  <c r="C42" i="2"/>
  <c r="N35" i="2"/>
  <c r="L35" i="2"/>
  <c r="M34" i="2"/>
  <c r="O34" i="2" s="1"/>
  <c r="J35" i="2"/>
  <c r="F36" i="2"/>
  <c r="P34" i="2"/>
  <c r="G37" i="2"/>
  <c r="H37" i="2" s="1"/>
  <c r="I37" i="2" a="1"/>
  <c r="E42" i="2" a="1"/>
  <c r="D42" i="2" a="1"/>
  <c r="F37" i="2" a="1"/>
  <c r="K36" i="2" a="1"/>
  <c r="N54" i="24" a="1"/>
  <c r="T54" i="24" a="1"/>
  <c r="U54" i="24" a="1"/>
  <c r="V54" i="24" a="1"/>
  <c r="V54" i="24" l="1"/>
  <c r="T54" i="24"/>
  <c r="U54" i="24"/>
  <c r="N54" i="24"/>
  <c r="O55" i="24"/>
  <c r="K56" i="24"/>
  <c r="L55" i="24"/>
  <c r="M55" i="24" s="1"/>
  <c r="S55" i="24"/>
  <c r="I37" i="2"/>
  <c r="E42" i="2"/>
  <c r="D42" i="2"/>
  <c r="K36" i="2"/>
  <c r="B44" i="2"/>
  <c r="C43" i="2"/>
  <c r="N36" i="2"/>
  <c r="L36" i="2"/>
  <c r="M35" i="2"/>
  <c r="O35" i="2" s="1"/>
  <c r="J36" i="2"/>
  <c r="F37" i="2"/>
  <c r="P35" i="2"/>
  <c r="G38" i="2"/>
  <c r="H38" i="2" s="1"/>
  <c r="K37" i="2" a="1"/>
  <c r="F38" i="2" a="1"/>
  <c r="D43" i="2" a="1"/>
  <c r="I38" i="2" a="1"/>
  <c r="E43" i="2" a="1"/>
  <c r="V55" i="24" a="1"/>
  <c r="U55" i="24" a="1"/>
  <c r="N55" i="24" a="1"/>
  <c r="T55" i="24" a="1"/>
  <c r="U55" i="24" l="1"/>
  <c r="N55" i="24"/>
  <c r="T55" i="24"/>
  <c r="V55" i="24"/>
  <c r="L56" i="24"/>
  <c r="M56" i="24" s="1"/>
  <c r="S56" i="24"/>
  <c r="K57" i="24"/>
  <c r="O56" i="24"/>
  <c r="E43" i="2"/>
  <c r="D43" i="2"/>
  <c r="I38" i="2"/>
  <c r="K37" i="2"/>
  <c r="B45" i="2"/>
  <c r="C44" i="2"/>
  <c r="L37" i="2"/>
  <c r="N37" i="2"/>
  <c r="M36" i="2"/>
  <c r="O36" i="2" s="1"/>
  <c r="F38" i="2"/>
  <c r="J37" i="2"/>
  <c r="P36" i="2"/>
  <c r="G39" i="2"/>
  <c r="H39" i="2" s="1"/>
  <c r="K38" i="2" a="1"/>
  <c r="E44" i="2" a="1"/>
  <c r="F39" i="2" a="1"/>
  <c r="D44" i="2" a="1"/>
  <c r="I39" i="2" a="1"/>
  <c r="U56" i="24" a="1"/>
  <c r="V56" i="24" a="1"/>
  <c r="T56" i="24" a="1"/>
  <c r="N56" i="24" a="1"/>
  <c r="V56" i="24" l="1"/>
  <c r="T56" i="24"/>
  <c r="U56" i="24"/>
  <c r="N56" i="24"/>
  <c r="O57" i="24"/>
  <c r="K58" i="24"/>
  <c r="L57" i="24"/>
  <c r="M57" i="24" s="1"/>
  <c r="S57" i="24"/>
  <c r="I39" i="2"/>
  <c r="E44" i="2"/>
  <c r="D44" i="2"/>
  <c r="K38" i="2"/>
  <c r="B46" i="2"/>
  <c r="C45" i="2"/>
  <c r="N38" i="2"/>
  <c r="L38" i="2"/>
  <c r="M37" i="2"/>
  <c r="O37" i="2" s="1"/>
  <c r="F39" i="2"/>
  <c r="J38" i="2"/>
  <c r="P37" i="2"/>
  <c r="G40" i="2"/>
  <c r="H40" i="2" s="1"/>
  <c r="I40" i="2" a="1"/>
  <c r="E45" i="2" a="1"/>
  <c r="F40" i="2" a="1"/>
  <c r="D45" i="2" a="1"/>
  <c r="K39" i="2" a="1"/>
  <c r="V57" i="24" a="1"/>
  <c r="T57" i="24" a="1"/>
  <c r="N57" i="24" a="1"/>
  <c r="U57" i="24" a="1"/>
  <c r="U57" i="24" l="1"/>
  <c r="N57" i="24"/>
  <c r="T57" i="24"/>
  <c r="V57" i="24"/>
  <c r="L58" i="24"/>
  <c r="M58" i="24" s="1"/>
  <c r="S58" i="24"/>
  <c r="K59" i="24"/>
  <c r="O58" i="24"/>
  <c r="D45" i="2"/>
  <c r="E45" i="2"/>
  <c r="I40" i="2"/>
  <c r="K39" i="2"/>
  <c r="B47" i="2"/>
  <c r="C46" i="2"/>
  <c r="N39" i="2"/>
  <c r="L39" i="2"/>
  <c r="M38" i="2"/>
  <c r="O38" i="2" s="1"/>
  <c r="F40" i="2"/>
  <c r="J39" i="2"/>
  <c r="P38" i="2"/>
  <c r="G41" i="2"/>
  <c r="H41" i="2" s="1"/>
  <c r="D46" i="2" a="1"/>
  <c r="I41" i="2" a="1"/>
  <c r="E46" i="2" a="1"/>
  <c r="K40" i="2" a="1"/>
  <c r="F41" i="2" a="1"/>
  <c r="U58" i="24" a="1"/>
  <c r="T58" i="24" a="1"/>
  <c r="V58" i="24" a="1"/>
  <c r="N58" i="24" a="1"/>
  <c r="V58" i="24" l="1"/>
  <c r="T58" i="24"/>
  <c r="N58" i="24"/>
  <c r="U58" i="24"/>
  <c r="O59" i="24"/>
  <c r="K60" i="24"/>
  <c r="S59" i="24"/>
  <c r="L59" i="24"/>
  <c r="M59" i="24" s="1"/>
  <c r="D46" i="2"/>
  <c r="E46" i="2"/>
  <c r="K40" i="2"/>
  <c r="I41" i="2"/>
  <c r="B48" i="2"/>
  <c r="C47" i="2"/>
  <c r="L40" i="2"/>
  <c r="N40" i="2"/>
  <c r="M39" i="2"/>
  <c r="O39" i="2" s="1"/>
  <c r="J40" i="2"/>
  <c r="F41" i="2"/>
  <c r="P39" i="2"/>
  <c r="G42" i="2"/>
  <c r="H42" i="2" s="1"/>
  <c r="K41" i="2" a="1"/>
  <c r="D47" i="2" a="1"/>
  <c r="F42" i="2" a="1"/>
  <c r="E47" i="2" a="1"/>
  <c r="I42" i="2" a="1"/>
  <c r="T59" i="24" a="1"/>
  <c r="N59" i="24" a="1"/>
  <c r="V59" i="24" a="1"/>
  <c r="U59" i="24" a="1"/>
  <c r="U59" i="24" l="1"/>
  <c r="N59" i="24"/>
  <c r="T59" i="24"/>
  <c r="V59" i="24"/>
  <c r="L60" i="24"/>
  <c r="M60" i="24" s="1"/>
  <c r="S60" i="24"/>
  <c r="K61" i="24"/>
  <c r="O60" i="24"/>
  <c r="E47" i="2"/>
  <c r="D47" i="2"/>
  <c r="K41" i="2"/>
  <c r="I42" i="2"/>
  <c r="B49" i="2"/>
  <c r="C48" i="2"/>
  <c r="L41" i="2"/>
  <c r="N41" i="2"/>
  <c r="M40" i="2"/>
  <c r="O40" i="2" s="1"/>
  <c r="J41" i="2"/>
  <c r="F42" i="2"/>
  <c r="P40" i="2"/>
  <c r="G43" i="2"/>
  <c r="H43" i="2" s="1"/>
  <c r="D48" i="2" a="1"/>
  <c r="K42" i="2" a="1"/>
  <c r="I43" i="2" a="1"/>
  <c r="E48" i="2" a="1"/>
  <c r="F43" i="2" a="1"/>
  <c r="N60" i="24" a="1"/>
  <c r="T60" i="24" a="1"/>
  <c r="V60" i="24" a="1"/>
  <c r="U60" i="24" a="1"/>
  <c r="T60" i="24" l="1"/>
  <c r="N60" i="24"/>
  <c r="U60" i="24"/>
  <c r="V60" i="24"/>
  <c r="O61" i="24"/>
  <c r="K62" i="24"/>
  <c r="S61" i="24"/>
  <c r="L61" i="24"/>
  <c r="M61" i="24" s="1"/>
  <c r="E48" i="2"/>
  <c r="D48" i="2"/>
  <c r="I43" i="2"/>
  <c r="K42" i="2"/>
  <c r="B50" i="2"/>
  <c r="C49" i="2"/>
  <c r="N42" i="2"/>
  <c r="L42" i="2"/>
  <c r="M41" i="2"/>
  <c r="O41" i="2" s="1"/>
  <c r="F43" i="2"/>
  <c r="J42" i="2"/>
  <c r="P41" i="2"/>
  <c r="G44" i="2"/>
  <c r="H44" i="2" s="1"/>
  <c r="K43" i="2" a="1"/>
  <c r="F44" i="2" a="1"/>
  <c r="E49" i="2" a="1"/>
  <c r="I44" i="2" a="1"/>
  <c r="D49" i="2" a="1"/>
  <c r="T61" i="24" a="1"/>
  <c r="U61" i="24" a="1"/>
  <c r="V61" i="24" a="1"/>
  <c r="N61" i="24" a="1"/>
  <c r="U61" i="24" l="1"/>
  <c r="N61" i="24"/>
  <c r="T61" i="24"/>
  <c r="V61" i="24"/>
  <c r="L62" i="24"/>
  <c r="M62" i="24" s="1"/>
  <c r="S62" i="24"/>
  <c r="O62" i="24"/>
  <c r="E49" i="2"/>
  <c r="D49" i="2"/>
  <c r="K43" i="2"/>
  <c r="I44" i="2"/>
  <c r="B51" i="2"/>
  <c r="C50" i="2"/>
  <c r="N43" i="2"/>
  <c r="L43" i="2"/>
  <c r="M42" i="2"/>
  <c r="O42" i="2" s="1"/>
  <c r="F44" i="2"/>
  <c r="J43" i="2"/>
  <c r="P42" i="2"/>
  <c r="G45" i="2"/>
  <c r="H45" i="2" s="1"/>
  <c r="K44" i="2" a="1"/>
  <c r="F45" i="2" a="1"/>
  <c r="I45" i="2" a="1"/>
  <c r="E50" i="2" a="1"/>
  <c r="D50" i="2" a="1"/>
  <c r="U62" i="24" a="1"/>
  <c r="V62" i="24" a="1"/>
  <c r="T62" i="24" a="1"/>
  <c r="N62" i="24" a="1"/>
  <c r="T62" i="24" l="1"/>
  <c r="N62" i="24"/>
  <c r="U62" i="24"/>
  <c r="V62" i="24"/>
  <c r="D50" i="2"/>
  <c r="E50" i="2"/>
  <c r="K44" i="2"/>
  <c r="I45" i="2"/>
  <c r="B52" i="2"/>
  <c r="C51" i="2"/>
  <c r="N44" i="2"/>
  <c r="L44" i="2"/>
  <c r="M43" i="2"/>
  <c r="O43" i="2" s="1"/>
  <c r="F45" i="2"/>
  <c r="J44" i="2"/>
  <c r="P43" i="2"/>
  <c r="G46" i="2"/>
  <c r="H46" i="2" s="1"/>
  <c r="D51" i="2" a="1"/>
  <c r="K45" i="2" a="1"/>
  <c r="I46" i="2" a="1"/>
  <c r="E51" i="2" a="1"/>
  <c r="F46" i="2" a="1"/>
  <c r="D51" i="2" l="1"/>
  <c r="E51" i="2"/>
  <c r="K45" i="2"/>
  <c r="I46" i="2"/>
  <c r="B53" i="2"/>
  <c r="C52" i="2"/>
  <c r="N45" i="2"/>
  <c r="L45" i="2"/>
  <c r="M44" i="2"/>
  <c r="O44" i="2" s="1"/>
  <c r="F46" i="2"/>
  <c r="J45" i="2"/>
  <c r="P44" i="2"/>
  <c r="G47" i="2"/>
  <c r="H47" i="2" s="1"/>
  <c r="K46" i="2" a="1"/>
  <c r="D52" i="2" a="1"/>
  <c r="E52" i="2" a="1"/>
  <c r="F47" i="2" a="1"/>
  <c r="I47" i="2" a="1"/>
  <c r="K46" i="2" l="1"/>
  <c r="E52" i="2"/>
  <c r="D52" i="2"/>
  <c r="I47" i="2"/>
  <c r="B54" i="2"/>
  <c r="C53" i="2"/>
  <c r="N46" i="2"/>
  <c r="L46" i="2"/>
  <c r="M45" i="2"/>
  <c r="O45" i="2" s="1"/>
  <c r="J46" i="2"/>
  <c r="F47" i="2"/>
  <c r="P45" i="2"/>
  <c r="G48" i="2"/>
  <c r="H48" i="2" s="1"/>
  <c r="D53" i="2" a="1"/>
  <c r="E53" i="2" a="1"/>
  <c r="K47" i="2" a="1"/>
  <c r="I48" i="2" a="1"/>
  <c r="F48" i="2" a="1"/>
  <c r="I48" i="2" l="1"/>
  <c r="E53" i="2"/>
  <c r="D53" i="2"/>
  <c r="K47" i="2"/>
  <c r="B55" i="2"/>
  <c r="C54" i="2"/>
  <c r="L47" i="2"/>
  <c r="N47" i="2"/>
  <c r="M46" i="2"/>
  <c r="O46" i="2" s="1"/>
  <c r="J47" i="2"/>
  <c r="F48" i="2"/>
  <c r="G49" i="2"/>
  <c r="H49" i="2" s="1"/>
  <c r="I49" i="2" a="1"/>
  <c r="D54" i="2" a="1"/>
  <c r="K48" i="2" a="1"/>
  <c r="E54" i="2" a="1"/>
  <c r="F49" i="2" a="1"/>
  <c r="E54" i="2" l="1"/>
  <c r="D54" i="2"/>
  <c r="I49" i="2"/>
  <c r="K48" i="2"/>
  <c r="B56" i="2"/>
  <c r="C55" i="2"/>
  <c r="N48" i="2"/>
  <c r="L48" i="2"/>
  <c r="M47" i="2"/>
  <c r="O47" i="2" s="1"/>
  <c r="J48" i="2"/>
  <c r="F49" i="2"/>
  <c r="P46" i="2"/>
  <c r="P47" i="2"/>
  <c r="G50" i="2"/>
  <c r="H50" i="2" s="1"/>
  <c r="I50" i="2" a="1"/>
  <c r="K49" i="2" a="1"/>
  <c r="D55" i="2" a="1"/>
  <c r="F50" i="2" a="1"/>
  <c r="E55" i="2" a="1"/>
  <c r="E55" i="2" l="1"/>
  <c r="D55" i="2"/>
  <c r="K49" i="2"/>
  <c r="I50" i="2"/>
  <c r="N49" i="2"/>
  <c r="L49" i="2"/>
  <c r="B57" i="2"/>
  <c r="C56" i="2"/>
  <c r="M48" i="2"/>
  <c r="O48" i="2" s="1"/>
  <c r="J49" i="2"/>
  <c r="F50" i="2"/>
  <c r="P48" i="2"/>
  <c r="G51" i="2"/>
  <c r="H51" i="2" s="1"/>
  <c r="D56" i="2" a="1"/>
  <c r="E56" i="2" a="1"/>
  <c r="F51" i="2" a="1"/>
  <c r="K50" i="2" a="1"/>
  <c r="I51" i="2" a="1"/>
  <c r="I51" i="2" l="1"/>
  <c r="E56" i="2"/>
  <c r="D56" i="2"/>
  <c r="K50" i="2"/>
  <c r="B58" i="2"/>
  <c r="C57" i="2"/>
  <c r="N50" i="2"/>
  <c r="L50" i="2"/>
  <c r="M49" i="2"/>
  <c r="O49" i="2" s="1"/>
  <c r="F51" i="2"/>
  <c r="J50" i="2"/>
  <c r="P49" i="2"/>
  <c r="G52" i="2"/>
  <c r="H52" i="2" s="1"/>
  <c r="I52" i="2" a="1"/>
  <c r="E57" i="2" a="1"/>
  <c r="D57" i="2" a="1"/>
  <c r="K51" i="2" a="1"/>
  <c r="F52" i="2" a="1"/>
  <c r="I52" i="2" l="1"/>
  <c r="D57" i="2"/>
  <c r="E57" i="2"/>
  <c r="K51" i="2"/>
  <c r="B59" i="2"/>
  <c r="C58" i="2"/>
  <c r="N51" i="2"/>
  <c r="L51" i="2"/>
  <c r="M50" i="2"/>
  <c r="O50" i="2" s="1"/>
  <c r="F52" i="2"/>
  <c r="J51" i="2"/>
  <c r="P50" i="2"/>
  <c r="G53" i="2"/>
  <c r="H53" i="2" s="1"/>
  <c r="I53" i="2" a="1"/>
  <c r="E58" i="2" a="1"/>
  <c r="F53" i="2" a="1"/>
  <c r="D58" i="2" a="1"/>
  <c r="K52" i="2" a="1"/>
  <c r="D58" i="2" l="1"/>
  <c r="E58" i="2"/>
  <c r="I53" i="2"/>
  <c r="K52" i="2"/>
  <c r="B60" i="2"/>
  <c r="C59" i="2"/>
  <c r="N52" i="2"/>
  <c r="L52" i="2"/>
  <c r="M51" i="2"/>
  <c r="O51" i="2" s="1"/>
  <c r="J52" i="2"/>
  <c r="F53" i="2"/>
  <c r="P51" i="2"/>
  <c r="G54" i="2"/>
  <c r="H54" i="2" s="1"/>
  <c r="D59" i="2" a="1"/>
  <c r="F54" i="2" a="1"/>
  <c r="I54" i="2" a="1"/>
  <c r="E59" i="2" a="1"/>
  <c r="K53" i="2" a="1"/>
  <c r="I54" i="2" l="1"/>
  <c r="D59" i="2"/>
  <c r="E59" i="2"/>
  <c r="K53" i="2"/>
  <c r="B61" i="2"/>
  <c r="C60" i="2"/>
  <c r="N53" i="2"/>
  <c r="L53" i="2"/>
  <c r="M52" i="2"/>
  <c r="O52" i="2" s="1"/>
  <c r="J53" i="2"/>
  <c r="F54" i="2"/>
  <c r="P52" i="2"/>
  <c r="G55" i="2"/>
  <c r="H55" i="2" s="1"/>
  <c r="I55" i="2" a="1"/>
  <c r="F55" i="2" a="1"/>
  <c r="E60" i="2" a="1"/>
  <c r="D60" i="2" a="1"/>
  <c r="K54" i="2" a="1"/>
  <c r="D60" i="2" l="1"/>
  <c r="E60" i="2"/>
  <c r="I55" i="2"/>
  <c r="K54" i="2"/>
  <c r="B62" i="2"/>
  <c r="C61" i="2"/>
  <c r="N54" i="2"/>
  <c r="L54" i="2"/>
  <c r="M53" i="2"/>
  <c r="O53" i="2" s="1"/>
  <c r="J54" i="2"/>
  <c r="F55" i="2"/>
  <c r="P53" i="2"/>
  <c r="G56" i="2"/>
  <c r="H56" i="2" s="1"/>
  <c r="I56" i="2" a="1"/>
  <c r="E61" i="2" a="1"/>
  <c r="K55" i="2" a="1"/>
  <c r="D61" i="2" a="1"/>
  <c r="F56" i="2" a="1"/>
  <c r="I56" i="2" l="1"/>
  <c r="E61" i="2"/>
  <c r="D61" i="2"/>
  <c r="K55" i="2"/>
  <c r="B63" i="2"/>
  <c r="C62" i="2"/>
  <c r="L55" i="2"/>
  <c r="N55" i="2"/>
  <c r="M54" i="2"/>
  <c r="O54" i="2" s="1"/>
  <c r="J55" i="2"/>
  <c r="F56" i="2"/>
  <c r="P54" i="2"/>
  <c r="G57" i="2"/>
  <c r="H57" i="2" s="1"/>
  <c r="K56" i="2" a="1"/>
  <c r="E62" i="2" a="1"/>
  <c r="D62" i="2" a="1"/>
  <c r="F57" i="2" a="1"/>
  <c r="I57" i="2" a="1"/>
  <c r="D62" i="2" l="1"/>
  <c r="E62" i="2"/>
  <c r="I57" i="2"/>
  <c r="K56" i="2"/>
  <c r="B64" i="2"/>
  <c r="C63" i="2"/>
  <c r="L56" i="2"/>
  <c r="N56" i="2"/>
  <c r="M55" i="2"/>
  <c r="O55" i="2" s="1"/>
  <c r="J56" i="2"/>
  <c r="F57" i="2"/>
  <c r="P55" i="2"/>
  <c r="G58" i="2"/>
  <c r="H58" i="2" s="1"/>
  <c r="F58" i="2" a="1"/>
  <c r="E63" i="2" a="1"/>
  <c r="D63" i="2" a="1"/>
  <c r="K57" i="2" a="1"/>
  <c r="I58" i="2" a="1"/>
  <c r="I58" i="2" l="1"/>
  <c r="D63" i="2"/>
  <c r="E63" i="2"/>
  <c r="K57" i="2"/>
  <c r="B65" i="2"/>
  <c r="C64" i="2"/>
  <c r="L57" i="2"/>
  <c r="N57" i="2"/>
  <c r="M56" i="2"/>
  <c r="O56" i="2" s="1"/>
  <c r="J57" i="2"/>
  <c r="F58" i="2"/>
  <c r="P56" i="2"/>
  <c r="G59" i="2"/>
  <c r="H59" i="2" s="1"/>
  <c r="E64" i="2" a="1"/>
  <c r="I59" i="2" a="1"/>
  <c r="D64" i="2" a="1"/>
  <c r="K58" i="2" a="1"/>
  <c r="F59" i="2" a="1"/>
  <c r="I59" i="2" l="1"/>
  <c r="D64" i="2"/>
  <c r="E64" i="2"/>
  <c r="K58" i="2"/>
  <c r="B66" i="2"/>
  <c r="C65" i="2"/>
  <c r="N58" i="2"/>
  <c r="L58" i="2"/>
  <c r="M57" i="2"/>
  <c r="O57" i="2" s="1"/>
  <c r="J58" i="2"/>
  <c r="F59" i="2"/>
  <c r="P57" i="2"/>
  <c r="G60" i="2"/>
  <c r="H60" i="2" s="1"/>
  <c r="K59" i="2" a="1"/>
  <c r="D65" i="2" a="1"/>
  <c r="F60" i="2" a="1"/>
  <c r="E65" i="2" a="1"/>
  <c r="I60" i="2" a="1"/>
  <c r="I60" i="2" l="1"/>
  <c r="E65" i="2"/>
  <c r="D65" i="2"/>
  <c r="K59" i="2"/>
  <c r="B67" i="2"/>
  <c r="C66" i="2"/>
  <c r="N59" i="2"/>
  <c r="L59" i="2"/>
  <c r="M58" i="2"/>
  <c r="O58" i="2" s="1"/>
  <c r="J59" i="2"/>
  <c r="F60" i="2"/>
  <c r="P58" i="2"/>
  <c r="G61" i="2"/>
  <c r="H61" i="2" s="1"/>
  <c r="E66" i="2" a="1"/>
  <c r="F61" i="2" a="1"/>
  <c r="I61" i="2" a="1"/>
  <c r="K60" i="2" a="1"/>
  <c r="D66" i="2" a="1"/>
  <c r="I61" i="2" l="1"/>
  <c r="D66" i="2"/>
  <c r="E66" i="2"/>
  <c r="K60" i="2"/>
  <c r="B68" i="2"/>
  <c r="C67" i="2"/>
  <c r="N60" i="2"/>
  <c r="L60" i="2"/>
  <c r="M59" i="2"/>
  <c r="O59" i="2" s="1"/>
  <c r="J60" i="2"/>
  <c r="F61" i="2"/>
  <c r="P59" i="2"/>
  <c r="G62" i="2"/>
  <c r="H62" i="2" s="1"/>
  <c r="I62" i="2" a="1"/>
  <c r="K61" i="2" a="1"/>
  <c r="E67" i="2" a="1"/>
  <c r="D67" i="2" a="1"/>
  <c r="F62" i="2" a="1"/>
  <c r="D67" i="2" l="1"/>
  <c r="E67" i="2"/>
  <c r="I62" i="2"/>
  <c r="K61" i="2"/>
  <c r="B69" i="2"/>
  <c r="C68" i="2"/>
  <c r="N61" i="2"/>
  <c r="L61" i="2"/>
  <c r="M60" i="2"/>
  <c r="O60" i="2" s="1"/>
  <c r="J61" i="2"/>
  <c r="F62" i="2"/>
  <c r="P60" i="2"/>
  <c r="G63" i="2"/>
  <c r="H63" i="2" s="1"/>
  <c r="I63" i="2" a="1"/>
  <c r="D68" i="2" a="1"/>
  <c r="F63" i="2" a="1"/>
  <c r="K62" i="2" a="1"/>
  <c r="E68" i="2" a="1"/>
  <c r="D68" i="2" l="1"/>
  <c r="E68" i="2"/>
  <c r="K62" i="2"/>
  <c r="I63" i="2"/>
  <c r="B70" i="2"/>
  <c r="C69" i="2"/>
  <c r="N62" i="2"/>
  <c r="L62" i="2"/>
  <c r="M61" i="2"/>
  <c r="O61" i="2" s="1"/>
  <c r="F63" i="2"/>
  <c r="J62" i="2"/>
  <c r="P61" i="2"/>
  <c r="G64" i="2"/>
  <c r="H64" i="2" s="1"/>
  <c r="K63" i="2" a="1"/>
  <c r="F64" i="2" a="1"/>
  <c r="I64" i="2" a="1"/>
  <c r="E69" i="2" a="1"/>
  <c r="D69" i="2" a="1"/>
  <c r="I64" i="2" l="1"/>
  <c r="D69" i="2"/>
  <c r="E69" i="2"/>
  <c r="K63" i="2"/>
  <c r="B71" i="2"/>
  <c r="C70" i="2"/>
  <c r="N63" i="2"/>
  <c r="L63" i="2"/>
  <c r="M62" i="2"/>
  <c r="O62" i="2" s="1"/>
  <c r="F64" i="2"/>
  <c r="J63" i="2"/>
  <c r="P62" i="2"/>
  <c r="G65" i="2"/>
  <c r="H65" i="2" s="1"/>
  <c r="D70" i="2" a="1"/>
  <c r="F65" i="2" a="1"/>
  <c r="I65" i="2" a="1"/>
  <c r="K64" i="2" a="1"/>
  <c r="E70" i="2" a="1"/>
  <c r="E70" i="2" l="1"/>
  <c r="D70" i="2"/>
  <c r="I65" i="2"/>
  <c r="K64" i="2"/>
  <c r="B72" i="2"/>
  <c r="C71" i="2"/>
  <c r="N64" i="2"/>
  <c r="L64" i="2"/>
  <c r="M63" i="2"/>
  <c r="O63" i="2" s="1"/>
  <c r="J64" i="2"/>
  <c r="F65" i="2"/>
  <c r="P63" i="2"/>
  <c r="G66" i="2"/>
  <c r="H66" i="2" s="1"/>
  <c r="I66" i="2" a="1"/>
  <c r="K65" i="2" a="1"/>
  <c r="E71" i="2" a="1"/>
  <c r="D71" i="2" a="1"/>
  <c r="F66" i="2" a="1"/>
  <c r="I66" i="2" l="1"/>
  <c r="E71" i="2"/>
  <c r="D71" i="2"/>
  <c r="K65" i="2"/>
  <c r="B73" i="2"/>
  <c r="C72" i="2"/>
  <c r="N65" i="2"/>
  <c r="L65" i="2"/>
  <c r="M64" i="2"/>
  <c r="O64" i="2" s="1"/>
  <c r="J65" i="2"/>
  <c r="F66" i="2"/>
  <c r="P64" i="2"/>
  <c r="G67" i="2"/>
  <c r="H67" i="2" s="1"/>
  <c r="I67" i="2" a="1"/>
  <c r="K66" i="2" a="1"/>
  <c r="E72" i="2" a="1"/>
  <c r="F67" i="2" a="1"/>
  <c r="D72" i="2" a="1"/>
  <c r="I67" i="2" l="1"/>
  <c r="E72" i="2"/>
  <c r="D72" i="2"/>
  <c r="K66" i="2"/>
  <c r="B74" i="2"/>
  <c r="C73" i="2"/>
  <c r="N66" i="2"/>
  <c r="L66" i="2"/>
  <c r="M65" i="2"/>
  <c r="O65" i="2" s="1"/>
  <c r="J66" i="2"/>
  <c r="F67" i="2"/>
  <c r="P65" i="2"/>
  <c r="G68" i="2"/>
  <c r="H68" i="2" s="1"/>
  <c r="I68" i="2" a="1"/>
  <c r="K67" i="2" a="1"/>
  <c r="D73" i="2" a="1"/>
  <c r="F68" i="2" a="1"/>
  <c r="E73" i="2" a="1"/>
  <c r="D73" i="2" l="1"/>
  <c r="E73" i="2"/>
  <c r="I68" i="2"/>
  <c r="K67" i="2"/>
  <c r="B75" i="2"/>
  <c r="C74" i="2"/>
  <c r="N67" i="2"/>
  <c r="L67" i="2"/>
  <c r="M66" i="2"/>
  <c r="O66" i="2" s="1"/>
  <c r="J67" i="2"/>
  <c r="F68" i="2"/>
  <c r="P66" i="2"/>
  <c r="G69" i="2"/>
  <c r="H69" i="2" s="1"/>
  <c r="K68" i="2" a="1"/>
  <c r="D74" i="2" a="1"/>
  <c r="I69" i="2" a="1"/>
  <c r="F69" i="2" a="1"/>
  <c r="E74" i="2" a="1"/>
  <c r="I69" i="2" l="1"/>
  <c r="K68" i="2"/>
  <c r="E74" i="2"/>
  <c r="D74" i="2"/>
  <c r="B76" i="2"/>
  <c r="C75" i="2"/>
  <c r="N68" i="2"/>
  <c r="L68" i="2"/>
  <c r="M67" i="2"/>
  <c r="O67" i="2" s="1"/>
  <c r="J68" i="2"/>
  <c r="F69" i="2"/>
  <c r="P67" i="2"/>
  <c r="G70" i="2"/>
  <c r="H70" i="2" s="1"/>
  <c r="I70" i="2" a="1"/>
  <c r="E75" i="2" a="1"/>
  <c r="F70" i="2" a="1"/>
  <c r="K69" i="2" a="1"/>
  <c r="D75" i="2" a="1"/>
  <c r="I70" i="2" l="1"/>
  <c r="D75" i="2"/>
  <c r="E75" i="2"/>
  <c r="K69" i="2"/>
  <c r="B77" i="2"/>
  <c r="C76" i="2"/>
  <c r="N69" i="2"/>
  <c r="L69" i="2"/>
  <c r="M68" i="2"/>
  <c r="O68" i="2" s="1"/>
  <c r="F70" i="2"/>
  <c r="J69" i="2"/>
  <c r="P68" i="2"/>
  <c r="G71" i="2"/>
  <c r="H71" i="2" s="1"/>
  <c r="D76" i="2" a="1"/>
  <c r="E76" i="2" a="1"/>
  <c r="F71" i="2" a="1"/>
  <c r="K70" i="2" a="1"/>
  <c r="I71" i="2" a="1"/>
  <c r="E76" i="2" l="1"/>
  <c r="D76" i="2"/>
  <c r="I71" i="2"/>
  <c r="K70" i="2"/>
  <c r="B78" i="2"/>
  <c r="C77" i="2"/>
  <c r="N70" i="2"/>
  <c r="L70" i="2"/>
  <c r="M69" i="2"/>
  <c r="O69" i="2" s="1"/>
  <c r="J70" i="2"/>
  <c r="F71" i="2"/>
  <c r="P69" i="2"/>
  <c r="G72" i="2"/>
  <c r="H72" i="2" s="1"/>
  <c r="F72" i="2" a="1"/>
  <c r="I72" i="2" a="1"/>
  <c r="E77" i="2" a="1"/>
  <c r="K71" i="2" a="1"/>
  <c r="D77" i="2" a="1"/>
  <c r="E77" i="2" l="1"/>
  <c r="D77" i="2"/>
  <c r="I72" i="2"/>
  <c r="K71" i="2"/>
  <c r="B79" i="2"/>
  <c r="C78" i="2"/>
  <c r="N71" i="2"/>
  <c r="L71" i="2"/>
  <c r="M70" i="2"/>
  <c r="O70" i="2" s="1"/>
  <c r="J71" i="2"/>
  <c r="F72" i="2"/>
  <c r="P70" i="2"/>
  <c r="G73" i="2"/>
  <c r="H73" i="2" s="1"/>
  <c r="I73" i="2" a="1"/>
  <c r="E78" i="2" a="1"/>
  <c r="F73" i="2" a="1"/>
  <c r="K72" i="2" a="1"/>
  <c r="D78" i="2" a="1"/>
  <c r="I73" i="2" l="1"/>
  <c r="E78" i="2"/>
  <c r="D78" i="2"/>
  <c r="K72" i="2"/>
  <c r="B80" i="2"/>
  <c r="C79" i="2"/>
  <c r="L72" i="2"/>
  <c r="N72" i="2"/>
  <c r="M71" i="2"/>
  <c r="O71" i="2" s="1"/>
  <c r="J72" i="2"/>
  <c r="F73" i="2"/>
  <c r="P71" i="2"/>
  <c r="G74" i="2"/>
  <c r="H74" i="2" s="1"/>
  <c r="E79" i="2" a="1"/>
  <c r="D79" i="2" a="1"/>
  <c r="F74" i="2" a="1"/>
  <c r="K73" i="2" a="1"/>
  <c r="I74" i="2" a="1"/>
  <c r="I74" i="2" l="1"/>
  <c r="E79" i="2"/>
  <c r="D79" i="2"/>
  <c r="K73" i="2"/>
  <c r="B81" i="2"/>
  <c r="C80" i="2"/>
  <c r="N73" i="2"/>
  <c r="L73" i="2"/>
  <c r="M72" i="2"/>
  <c r="O72" i="2" s="1"/>
  <c r="J73" i="2"/>
  <c r="F74" i="2"/>
  <c r="P72" i="2"/>
  <c r="G75" i="2"/>
  <c r="H75" i="2" s="1"/>
  <c r="E80" i="2" a="1"/>
  <c r="K74" i="2" a="1"/>
  <c r="F75" i="2" a="1"/>
  <c r="I75" i="2" a="1"/>
  <c r="D80" i="2" a="1"/>
  <c r="E80" i="2" l="1"/>
  <c r="D80" i="2"/>
  <c r="I75" i="2"/>
  <c r="K74" i="2"/>
  <c r="B82" i="2"/>
  <c r="C81" i="2"/>
  <c r="L74" i="2"/>
  <c r="N74" i="2"/>
  <c r="M73" i="2"/>
  <c r="O73" i="2" s="1"/>
  <c r="J74" i="2"/>
  <c r="F75" i="2"/>
  <c r="P73" i="2"/>
  <c r="G76" i="2"/>
  <c r="H76" i="2" s="1"/>
  <c r="I76" i="2" a="1"/>
  <c r="D81" i="2" a="1"/>
  <c r="K75" i="2" a="1"/>
  <c r="E81" i="2" a="1"/>
  <c r="F76" i="2" a="1"/>
  <c r="K75" i="2" l="1"/>
  <c r="I76" i="2"/>
  <c r="E81" i="2"/>
  <c r="D81" i="2"/>
  <c r="N75" i="2"/>
  <c r="L75" i="2"/>
  <c r="B83" i="2"/>
  <c r="C82" i="2"/>
  <c r="M74" i="2"/>
  <c r="O74" i="2" s="1"/>
  <c r="J75" i="2"/>
  <c r="F76" i="2"/>
  <c r="P74" i="2"/>
  <c r="G77" i="2"/>
  <c r="H77" i="2" s="1"/>
  <c r="D82" i="2" a="1"/>
  <c r="I77" i="2" a="1"/>
  <c r="K76" i="2" a="1"/>
  <c r="E82" i="2" a="1"/>
  <c r="F77" i="2" a="1"/>
  <c r="I77" i="2" l="1"/>
  <c r="D82" i="2"/>
  <c r="E82" i="2"/>
  <c r="K76" i="2"/>
  <c r="B84" i="2"/>
  <c r="C83" i="2"/>
  <c r="N76" i="2"/>
  <c r="L76" i="2"/>
  <c r="M75" i="2"/>
  <c r="O75" i="2" s="1"/>
  <c r="J76" i="2"/>
  <c r="F77" i="2"/>
  <c r="P75" i="2"/>
  <c r="G78" i="2"/>
  <c r="H78" i="2" s="1"/>
  <c r="F78" i="2" a="1"/>
  <c r="E83" i="2" a="1"/>
  <c r="I78" i="2" a="1"/>
  <c r="D83" i="2" a="1"/>
  <c r="K77" i="2" a="1"/>
  <c r="D83" i="2" l="1"/>
  <c r="E83" i="2"/>
  <c r="I78" i="2"/>
  <c r="K77" i="2"/>
  <c r="B85" i="2"/>
  <c r="C84" i="2"/>
  <c r="N77" i="2"/>
  <c r="L77" i="2"/>
  <c r="M76" i="2"/>
  <c r="O76" i="2" s="1"/>
  <c r="J77" i="2"/>
  <c r="F78" i="2"/>
  <c r="P76" i="2"/>
  <c r="G79" i="2"/>
  <c r="H79" i="2" s="1"/>
  <c r="D84" i="2" a="1"/>
  <c r="K78" i="2" a="1"/>
  <c r="E84" i="2" a="1"/>
  <c r="I79" i="2" a="1"/>
  <c r="F79" i="2" a="1"/>
  <c r="I79" i="2" l="1"/>
  <c r="K78" i="2"/>
  <c r="D84" i="2"/>
  <c r="E84" i="2"/>
  <c r="B86" i="2"/>
  <c r="C85" i="2"/>
  <c r="N78" i="2"/>
  <c r="L78" i="2"/>
  <c r="M77" i="2"/>
  <c r="O77" i="2" s="1"/>
  <c r="F79" i="2"/>
  <c r="J78" i="2"/>
  <c r="P77" i="2"/>
  <c r="G80" i="2"/>
  <c r="H80" i="2" s="1"/>
  <c r="D85" i="2" a="1"/>
  <c r="I80" i="2" a="1"/>
  <c r="E85" i="2" a="1"/>
  <c r="K79" i="2" a="1"/>
  <c r="F80" i="2" a="1"/>
  <c r="I80" i="2" l="1"/>
  <c r="D85" i="2"/>
  <c r="E85" i="2"/>
  <c r="K79" i="2"/>
  <c r="B87" i="2"/>
  <c r="C86" i="2"/>
  <c r="L79" i="2"/>
  <c r="N79" i="2"/>
  <c r="M78" i="2"/>
  <c r="O78" i="2" s="1"/>
  <c r="J79" i="2"/>
  <c r="F80" i="2"/>
  <c r="P78" i="2"/>
  <c r="G81" i="2"/>
  <c r="H81" i="2" s="1"/>
  <c r="E86" i="2" a="1"/>
  <c r="I81" i="2" a="1"/>
  <c r="K80" i="2" a="1"/>
  <c r="F81" i="2" a="1"/>
  <c r="D86" i="2" a="1"/>
  <c r="E86" i="2" l="1"/>
  <c r="D86" i="2"/>
  <c r="K80" i="2"/>
  <c r="I81" i="2"/>
  <c r="N80" i="2"/>
  <c r="L80" i="2"/>
  <c r="B88" i="2"/>
  <c r="C87" i="2"/>
  <c r="M79" i="2"/>
  <c r="O79" i="2" s="1"/>
  <c r="F81" i="2"/>
  <c r="J80" i="2"/>
  <c r="P79" i="2"/>
  <c r="G82" i="2"/>
  <c r="H82" i="2" s="1"/>
  <c r="I82" i="2" a="1"/>
  <c r="K81" i="2" a="1"/>
  <c r="F82" i="2" a="1"/>
  <c r="E87" i="2" a="1"/>
  <c r="D87" i="2" a="1"/>
  <c r="D87" i="2" l="1"/>
  <c r="E87" i="2"/>
  <c r="I82" i="2"/>
  <c r="K81" i="2"/>
  <c r="B89" i="2"/>
  <c r="C88" i="2"/>
  <c r="L81" i="2"/>
  <c r="N81" i="2"/>
  <c r="M80" i="2"/>
  <c r="O80" i="2" s="1"/>
  <c r="J81" i="2"/>
  <c r="F82" i="2"/>
  <c r="P80" i="2"/>
  <c r="G83" i="2"/>
  <c r="H83" i="2" s="1"/>
  <c r="E88" i="2" a="1"/>
  <c r="K82" i="2" a="1"/>
  <c r="I83" i="2" a="1"/>
  <c r="D88" i="2" a="1"/>
  <c r="F83" i="2" a="1"/>
  <c r="K82" i="2" l="1"/>
  <c r="E88" i="2"/>
  <c r="D88" i="2"/>
  <c r="I83" i="2"/>
  <c r="N82" i="2"/>
  <c r="L82" i="2"/>
  <c r="B90" i="2"/>
  <c r="C89" i="2"/>
  <c r="M81" i="2"/>
  <c r="O81" i="2" s="1"/>
  <c r="F83" i="2"/>
  <c r="J82" i="2"/>
  <c r="P81" i="2"/>
  <c r="G84" i="2"/>
  <c r="H84" i="2" s="1"/>
  <c r="K83" i="2" a="1"/>
  <c r="F84" i="2" a="1"/>
  <c r="E89" i="2" a="1"/>
  <c r="I84" i="2" a="1"/>
  <c r="D89" i="2" a="1"/>
  <c r="E89" i="2" l="1"/>
  <c r="D89" i="2"/>
  <c r="I84" i="2"/>
  <c r="K83" i="2"/>
  <c r="B91" i="2"/>
  <c r="C90" i="2"/>
  <c r="N83" i="2"/>
  <c r="L83" i="2"/>
  <c r="M82" i="2"/>
  <c r="O82" i="2" s="1"/>
  <c r="F84" i="2"/>
  <c r="J83" i="2"/>
  <c r="P82" i="2"/>
  <c r="G85" i="2"/>
  <c r="H85" i="2" s="1"/>
  <c r="K84" i="2" a="1"/>
  <c r="D90" i="2" a="1"/>
  <c r="F85" i="2" a="1"/>
  <c r="I85" i="2" a="1"/>
  <c r="E90" i="2" a="1"/>
  <c r="E90" i="2" l="1"/>
  <c r="D90" i="2"/>
  <c r="I85" i="2"/>
  <c r="K84" i="2"/>
  <c r="B92" i="2"/>
  <c r="C91" i="2"/>
  <c r="N84" i="2"/>
  <c r="L84" i="2"/>
  <c r="M83" i="2"/>
  <c r="O83" i="2" s="1"/>
  <c r="F85" i="2"/>
  <c r="J84" i="2"/>
  <c r="P83" i="2"/>
  <c r="G86" i="2"/>
  <c r="H86" i="2" s="1"/>
  <c r="I86" i="2" a="1"/>
  <c r="K85" i="2" a="1"/>
  <c r="D91" i="2" a="1"/>
  <c r="F86" i="2" a="1"/>
  <c r="E91" i="2" a="1"/>
  <c r="E91" i="2" l="1"/>
  <c r="D91" i="2"/>
  <c r="K85" i="2"/>
  <c r="I86" i="2"/>
  <c r="N85" i="2"/>
  <c r="L85" i="2"/>
  <c r="B93" i="2"/>
  <c r="C92" i="2"/>
  <c r="M84" i="2"/>
  <c r="O84" i="2" s="1"/>
  <c r="J85" i="2"/>
  <c r="F86" i="2"/>
  <c r="P84" i="2"/>
  <c r="G87" i="2"/>
  <c r="H87" i="2" s="1"/>
  <c r="K86" i="2" a="1"/>
  <c r="F87" i="2" a="1"/>
  <c r="D92" i="2" a="1"/>
  <c r="E92" i="2" a="1"/>
  <c r="I87" i="2" a="1"/>
  <c r="D92" i="2" l="1"/>
  <c r="E92" i="2"/>
  <c r="I87" i="2"/>
  <c r="K86" i="2"/>
  <c r="B94" i="2"/>
  <c r="C93" i="2"/>
  <c r="N86" i="2"/>
  <c r="L86" i="2"/>
  <c r="M85" i="2"/>
  <c r="O85" i="2" s="1"/>
  <c r="F87" i="2"/>
  <c r="J86" i="2"/>
  <c r="P85" i="2"/>
  <c r="G88" i="2"/>
  <c r="H88" i="2" s="1"/>
  <c r="E93" i="2" a="1"/>
  <c r="K87" i="2" a="1"/>
  <c r="F88" i="2" a="1"/>
  <c r="I88" i="2" a="1"/>
  <c r="D93" i="2" a="1"/>
  <c r="K87" i="2" l="1"/>
  <c r="I88" i="2"/>
  <c r="E93" i="2"/>
  <c r="D93" i="2"/>
  <c r="B95" i="2"/>
  <c r="C94" i="2"/>
  <c r="N87" i="2"/>
  <c r="L87" i="2"/>
  <c r="M86" i="2"/>
  <c r="O86" i="2" s="1"/>
  <c r="J87" i="2"/>
  <c r="F88" i="2"/>
  <c r="P86" i="2"/>
  <c r="G89" i="2"/>
  <c r="H89" i="2" s="1"/>
  <c r="E94" i="2" a="1"/>
  <c r="I89" i="2" a="1"/>
  <c r="F89" i="2" a="1"/>
  <c r="K88" i="2" a="1"/>
  <c r="D94" i="2" a="1"/>
  <c r="I89" i="2" l="1"/>
  <c r="D94" i="2"/>
  <c r="E94" i="2"/>
  <c r="K88" i="2"/>
  <c r="L88" i="2"/>
  <c r="N88" i="2"/>
  <c r="B96" i="2"/>
  <c r="C95" i="2"/>
  <c r="M87" i="2"/>
  <c r="O87" i="2" s="1"/>
  <c r="J88" i="2"/>
  <c r="F89" i="2"/>
  <c r="P87" i="2"/>
  <c r="G90" i="2"/>
  <c r="H90" i="2" s="1"/>
  <c r="E95" i="2" a="1"/>
  <c r="I90" i="2" a="1"/>
  <c r="F90" i="2" a="1"/>
  <c r="K89" i="2" a="1"/>
  <c r="D95" i="2" a="1"/>
  <c r="I90" i="2" l="1"/>
  <c r="E95" i="2"/>
  <c r="D95" i="2"/>
  <c r="K89" i="2"/>
  <c r="B97" i="2"/>
  <c r="C96" i="2"/>
  <c r="N89" i="2"/>
  <c r="L89" i="2"/>
  <c r="M88" i="2"/>
  <c r="O88" i="2" s="1"/>
  <c r="F90" i="2"/>
  <c r="J89" i="2"/>
  <c r="P88" i="2"/>
  <c r="G91" i="2"/>
  <c r="H91" i="2" s="1"/>
  <c r="K90" i="2" a="1"/>
  <c r="E96" i="2" a="1"/>
  <c r="D96" i="2" a="1"/>
  <c r="F91" i="2" a="1"/>
  <c r="I91" i="2" a="1"/>
  <c r="I91" i="2" l="1"/>
  <c r="D96" i="2"/>
  <c r="E96" i="2"/>
  <c r="K90" i="2"/>
  <c r="B98" i="2"/>
  <c r="C97" i="2"/>
  <c r="N90" i="2"/>
  <c r="L90" i="2"/>
  <c r="M89" i="2"/>
  <c r="O89" i="2" s="1"/>
  <c r="F91" i="2"/>
  <c r="J90" i="2"/>
  <c r="P89" i="2"/>
  <c r="G92" i="2"/>
  <c r="H92" i="2" s="1"/>
  <c r="I92" i="2" a="1"/>
  <c r="F92" i="2" a="1"/>
  <c r="E97" i="2" a="1"/>
  <c r="D97" i="2" a="1"/>
  <c r="K91" i="2" a="1"/>
  <c r="E97" i="2" l="1"/>
  <c r="D97" i="2"/>
  <c r="I92" i="2"/>
  <c r="K91" i="2"/>
  <c r="B99" i="2"/>
  <c r="C98" i="2"/>
  <c r="N91" i="2"/>
  <c r="L91" i="2"/>
  <c r="M90" i="2"/>
  <c r="O90" i="2" s="1"/>
  <c r="F92" i="2"/>
  <c r="J91" i="2"/>
  <c r="P90" i="2"/>
  <c r="G93" i="2"/>
  <c r="H93" i="2" s="1"/>
  <c r="K92" i="2" a="1"/>
  <c r="D98" i="2" a="1"/>
  <c r="E98" i="2" a="1"/>
  <c r="F93" i="2" a="1"/>
  <c r="I93" i="2" a="1"/>
  <c r="I93" i="2" l="1"/>
  <c r="D98" i="2"/>
  <c r="E98" i="2"/>
  <c r="K92" i="2"/>
  <c r="B100" i="2"/>
  <c r="C99" i="2"/>
  <c r="L92" i="2"/>
  <c r="N92" i="2"/>
  <c r="M91" i="2"/>
  <c r="O91" i="2" s="1"/>
  <c r="F93" i="2"/>
  <c r="J92" i="2"/>
  <c r="P91" i="2"/>
  <c r="G94" i="2"/>
  <c r="H94" i="2" s="1"/>
  <c r="K93" i="2" a="1"/>
  <c r="D99" i="2" a="1"/>
  <c r="I94" i="2" a="1"/>
  <c r="F94" i="2" a="1"/>
  <c r="E99" i="2" a="1"/>
  <c r="E99" i="2" l="1"/>
  <c r="D99" i="2"/>
  <c r="I94" i="2"/>
  <c r="K93" i="2"/>
  <c r="B101" i="2"/>
  <c r="C100" i="2"/>
  <c r="N93" i="2"/>
  <c r="L93" i="2"/>
  <c r="M92" i="2"/>
  <c r="O92" i="2" s="1"/>
  <c r="J93" i="2"/>
  <c r="F94" i="2"/>
  <c r="P92" i="2"/>
  <c r="G95" i="2"/>
  <c r="H95" i="2" s="1"/>
  <c r="I95" i="2" a="1"/>
  <c r="K94" i="2" a="1"/>
  <c r="D100" i="2" a="1"/>
  <c r="E100" i="2" a="1"/>
  <c r="F95" i="2" a="1"/>
  <c r="K94" i="2" l="1"/>
  <c r="E100" i="2"/>
  <c r="D100" i="2"/>
  <c r="I95" i="2"/>
  <c r="N94" i="2"/>
  <c r="L94" i="2"/>
  <c r="B102" i="2"/>
  <c r="C101" i="2"/>
  <c r="M93" i="2"/>
  <c r="O93" i="2" s="1"/>
  <c r="J94" i="2"/>
  <c r="F95" i="2"/>
  <c r="P93" i="2"/>
  <c r="G96" i="2"/>
  <c r="H96" i="2" s="1"/>
  <c r="K95" i="2" a="1"/>
  <c r="D101" i="2" a="1"/>
  <c r="E101" i="2" a="1"/>
  <c r="I96" i="2" a="1"/>
  <c r="F96" i="2" a="1"/>
  <c r="E101" i="2" l="1"/>
  <c r="D101" i="2"/>
  <c r="I96" i="2"/>
  <c r="K95" i="2"/>
  <c r="B103" i="2"/>
  <c r="C102" i="2"/>
  <c r="L95" i="2"/>
  <c r="N95" i="2"/>
  <c r="M94" i="2"/>
  <c r="O94" i="2" s="1"/>
  <c r="J95" i="2"/>
  <c r="F96" i="2"/>
  <c r="P94" i="2"/>
  <c r="G97" i="2"/>
  <c r="H97" i="2" s="1"/>
  <c r="D102" i="2" a="1"/>
  <c r="F97" i="2" a="1"/>
  <c r="E102" i="2" a="1"/>
  <c r="I97" i="2" a="1"/>
  <c r="K96" i="2" a="1"/>
  <c r="E102" i="2" l="1"/>
  <c r="D102" i="2"/>
  <c r="I97" i="2"/>
  <c r="K96" i="2"/>
  <c r="B104" i="2"/>
  <c r="C103" i="2"/>
  <c r="N96" i="2"/>
  <c r="L96" i="2"/>
  <c r="M95" i="2"/>
  <c r="O95" i="2" s="1"/>
  <c r="F97" i="2"/>
  <c r="J96" i="2"/>
  <c r="P95" i="2"/>
  <c r="G98" i="2"/>
  <c r="H98" i="2" s="1"/>
  <c r="K97" i="2" a="1"/>
  <c r="E103" i="2" a="1"/>
  <c r="D103" i="2" a="1"/>
  <c r="F98" i="2" a="1"/>
  <c r="I98" i="2" a="1"/>
  <c r="I98" i="2" l="1"/>
  <c r="E103" i="2"/>
  <c r="D103" i="2"/>
  <c r="K97" i="2"/>
  <c r="N97" i="2"/>
  <c r="L97" i="2"/>
  <c r="B105" i="2"/>
  <c r="C104" i="2"/>
  <c r="M96" i="2"/>
  <c r="O96" i="2" s="1"/>
  <c r="F98" i="2"/>
  <c r="J97" i="2"/>
  <c r="P96" i="2"/>
  <c r="G99" i="2"/>
  <c r="H99" i="2" s="1"/>
  <c r="I99" i="2" a="1"/>
  <c r="F99" i="2" a="1"/>
  <c r="D104" i="2" a="1"/>
  <c r="E104" i="2" a="1"/>
  <c r="K98" i="2" a="1"/>
  <c r="E104" i="2" l="1"/>
  <c r="D104" i="2"/>
  <c r="K98" i="2"/>
  <c r="I99" i="2"/>
  <c r="B106" i="2"/>
  <c r="C105" i="2"/>
  <c r="L98" i="2"/>
  <c r="N98" i="2"/>
  <c r="M97" i="2"/>
  <c r="O97" i="2" s="1"/>
  <c r="F99" i="2"/>
  <c r="J98" i="2"/>
  <c r="P97" i="2"/>
  <c r="G100" i="2"/>
  <c r="H100" i="2" s="1"/>
  <c r="I100" i="2" a="1"/>
  <c r="K99" i="2" a="1"/>
  <c r="F100" i="2" a="1"/>
  <c r="E105" i="2" a="1"/>
  <c r="D105" i="2" a="1"/>
  <c r="D105" i="2" l="1"/>
  <c r="E105" i="2"/>
  <c r="I100" i="2"/>
  <c r="K99" i="2"/>
  <c r="B107" i="2"/>
  <c r="C106" i="2"/>
  <c r="L99" i="2"/>
  <c r="N99" i="2"/>
  <c r="M98" i="2"/>
  <c r="O98" i="2" s="1"/>
  <c r="F100" i="2"/>
  <c r="J99" i="2"/>
  <c r="P98" i="2"/>
  <c r="G101" i="2"/>
  <c r="H101" i="2" s="1"/>
  <c r="F101" i="2" a="1"/>
  <c r="K100" i="2" a="1"/>
  <c r="I101" i="2" a="1"/>
  <c r="D106" i="2" a="1"/>
  <c r="E106" i="2" a="1"/>
  <c r="D106" i="2" l="1"/>
  <c r="E106" i="2"/>
  <c r="I101" i="2"/>
  <c r="K100" i="2"/>
  <c r="B108" i="2"/>
  <c r="C107" i="2"/>
  <c r="N100" i="2"/>
  <c r="L100" i="2"/>
  <c r="M99" i="2"/>
  <c r="O99" i="2" s="1"/>
  <c r="J100" i="2"/>
  <c r="F101" i="2"/>
  <c r="P99" i="2"/>
  <c r="G102" i="2"/>
  <c r="H102" i="2" s="1"/>
  <c r="D107" i="2" a="1"/>
  <c r="I102" i="2" a="1"/>
  <c r="F102" i="2" a="1"/>
  <c r="E107" i="2" a="1"/>
  <c r="K101" i="2" a="1"/>
  <c r="K101" i="2" l="1"/>
  <c r="E107" i="2"/>
  <c r="D107" i="2"/>
  <c r="I102" i="2"/>
  <c r="N101" i="2"/>
  <c r="L101" i="2"/>
  <c r="B109" i="2"/>
  <c r="C108" i="2"/>
  <c r="M100" i="2"/>
  <c r="O100" i="2" s="1"/>
  <c r="J101" i="2"/>
  <c r="F102" i="2"/>
  <c r="P100" i="2"/>
  <c r="G104" i="2"/>
  <c r="H104" i="2" s="1"/>
  <c r="G103" i="2"/>
  <c r="H103" i="2" s="1"/>
  <c r="F104" i="2" a="1"/>
  <c r="K102" i="2" a="1"/>
  <c r="F103" i="2" a="1"/>
  <c r="D108" i="2" a="1"/>
  <c r="I103" i="2" a="1"/>
  <c r="E108" i="2" a="1"/>
  <c r="I104" i="2" a="1"/>
  <c r="I103" i="2" l="1"/>
  <c r="I104" i="2"/>
  <c r="K102" i="2"/>
  <c r="D108" i="2"/>
  <c r="E108" i="2"/>
  <c r="L102" i="2"/>
  <c r="N102" i="2"/>
  <c r="B110" i="2"/>
  <c r="C109" i="2"/>
  <c r="M101" i="2"/>
  <c r="O101" i="2" s="1"/>
  <c r="J102" i="2"/>
  <c r="F104" i="2"/>
  <c r="F103" i="2"/>
  <c r="P101" i="2"/>
  <c r="G105" i="2"/>
  <c r="H105" i="2" s="1"/>
  <c r="K103" i="2" a="1"/>
  <c r="F105" i="2" a="1"/>
  <c r="K104" i="2" a="1"/>
  <c r="E109" i="2" a="1"/>
  <c r="D109" i="2" a="1"/>
  <c r="I105" i="2" a="1"/>
  <c r="E109" i="2" l="1"/>
  <c r="D109" i="2"/>
  <c r="K103" i="2"/>
  <c r="I105" i="2"/>
  <c r="K104" i="2"/>
  <c r="L103" i="2"/>
  <c r="N103" i="2"/>
  <c r="B111" i="2"/>
  <c r="C110" i="2"/>
  <c r="L104" i="2"/>
  <c r="N104" i="2"/>
  <c r="M102" i="2"/>
  <c r="O102" i="2" s="1"/>
  <c r="J103" i="2"/>
  <c r="F105" i="2"/>
  <c r="J104" i="2"/>
  <c r="P102" i="2"/>
  <c r="G106" i="2"/>
  <c r="H106" i="2" s="1"/>
  <c r="I106" i="2" a="1"/>
  <c r="E110" i="2" a="1"/>
  <c r="D110" i="2" a="1"/>
  <c r="K105" i="2" a="1"/>
  <c r="F106" i="2" a="1"/>
  <c r="K105" i="2" l="1"/>
  <c r="I106" i="2"/>
  <c r="E110" i="2"/>
  <c r="D110" i="2"/>
  <c r="B112" i="2"/>
  <c r="C111" i="2"/>
  <c r="L105" i="2"/>
  <c r="N105" i="2"/>
  <c r="M104" i="2"/>
  <c r="O104" i="2" s="1"/>
  <c r="M103" i="2"/>
  <c r="O103" i="2" s="1"/>
  <c r="J105" i="2"/>
  <c r="F106" i="2"/>
  <c r="P104" i="2"/>
  <c r="G107" i="2"/>
  <c r="H107" i="2" s="1"/>
  <c r="P103" i="2"/>
  <c r="E111" i="2" a="1"/>
  <c r="D111" i="2" a="1"/>
  <c r="I107" i="2" a="1"/>
  <c r="F107" i="2" a="1"/>
  <c r="K106" i="2" a="1"/>
  <c r="I107" i="2" l="1"/>
  <c r="D111" i="2"/>
  <c r="E111" i="2"/>
  <c r="K106" i="2"/>
  <c r="B113" i="2"/>
  <c r="C112" i="2"/>
  <c r="L106" i="2"/>
  <c r="N106" i="2"/>
  <c r="M105" i="2"/>
  <c r="O105" i="2" s="1"/>
  <c r="J106" i="2"/>
  <c r="F107" i="2"/>
  <c r="P105" i="2"/>
  <c r="G108" i="2"/>
  <c r="H108" i="2" s="1"/>
  <c r="K107" i="2" a="1"/>
  <c r="F108" i="2" a="1"/>
  <c r="E112" i="2" a="1"/>
  <c r="D112" i="2" a="1"/>
  <c r="I108" i="2" a="1"/>
  <c r="I108" i="2" l="1"/>
  <c r="D112" i="2"/>
  <c r="E112" i="2"/>
  <c r="K107" i="2"/>
  <c r="B114" i="2"/>
  <c r="C113" i="2"/>
  <c r="N107" i="2"/>
  <c r="L107" i="2"/>
  <c r="M106" i="2"/>
  <c r="O106" i="2" s="1"/>
  <c r="F108" i="2"/>
  <c r="J107" i="2"/>
  <c r="P106" i="2"/>
  <c r="G109" i="2"/>
  <c r="H109" i="2" s="1"/>
  <c r="K108" i="2" a="1"/>
  <c r="I109" i="2" a="1"/>
  <c r="F109" i="2" a="1"/>
  <c r="D113" i="2" a="1"/>
  <c r="E113" i="2" a="1"/>
  <c r="D113" i="2" l="1"/>
  <c r="E113" i="2"/>
  <c r="I109" i="2"/>
  <c r="K108" i="2"/>
  <c r="B115" i="2"/>
  <c r="C114" i="2"/>
  <c r="N108" i="2"/>
  <c r="L108" i="2"/>
  <c r="M107" i="2"/>
  <c r="O107" i="2" s="1"/>
  <c r="J108" i="2"/>
  <c r="F109" i="2"/>
  <c r="P107" i="2"/>
  <c r="G110" i="2"/>
  <c r="H110" i="2" s="1"/>
  <c r="F110" i="2" a="1"/>
  <c r="K109" i="2" a="1"/>
  <c r="E114" i="2" a="1"/>
  <c r="I110" i="2" a="1"/>
  <c r="D114" i="2" a="1"/>
  <c r="E114" i="2" l="1"/>
  <c r="D114" i="2"/>
  <c r="I110" i="2"/>
  <c r="K109" i="2"/>
  <c r="B116" i="2"/>
  <c r="C115" i="2"/>
  <c r="N109" i="2"/>
  <c r="L109" i="2"/>
  <c r="M108" i="2"/>
  <c r="O108" i="2" s="1"/>
  <c r="F110" i="2"/>
  <c r="J109" i="2"/>
  <c r="G111" i="2"/>
  <c r="H111" i="2" s="1"/>
  <c r="P108" i="2"/>
  <c r="D115" i="2" a="1"/>
  <c r="E115" i="2" a="1"/>
  <c r="K110" i="2" a="1"/>
  <c r="F111" i="2" a="1"/>
  <c r="I111" i="2" a="1"/>
  <c r="E115" i="2" l="1"/>
  <c r="D115" i="2"/>
  <c r="I111" i="2"/>
  <c r="K110" i="2"/>
  <c r="B117" i="2"/>
  <c r="C116" i="2"/>
  <c r="N110" i="2"/>
  <c r="L110" i="2"/>
  <c r="M109" i="2"/>
  <c r="O109" i="2" s="1"/>
  <c r="F111" i="2"/>
  <c r="J110" i="2"/>
  <c r="P109" i="2"/>
  <c r="G112" i="2"/>
  <c r="H112" i="2" s="1"/>
  <c r="I112" i="2" a="1"/>
  <c r="D116" i="2" a="1"/>
  <c r="F112" i="2" a="1"/>
  <c r="E116" i="2" a="1"/>
  <c r="K111" i="2" a="1"/>
  <c r="D116" i="2" l="1"/>
  <c r="E116" i="2"/>
  <c r="K111" i="2"/>
  <c r="I112" i="2"/>
  <c r="B118" i="2"/>
  <c r="C117" i="2"/>
  <c r="N111" i="2"/>
  <c r="L111" i="2"/>
  <c r="M110" i="2"/>
  <c r="O110" i="2" s="1"/>
  <c r="J111" i="2"/>
  <c r="F112" i="2"/>
  <c r="G113" i="2"/>
  <c r="H113" i="2" s="1"/>
  <c r="P110" i="2"/>
  <c r="D117" i="2" a="1"/>
  <c r="K112" i="2" a="1"/>
  <c r="E117" i="2" a="1"/>
  <c r="F113" i="2" a="1"/>
  <c r="I113" i="2" a="1"/>
  <c r="E117" i="2" l="1"/>
  <c r="D117" i="2"/>
  <c r="I113" i="2"/>
  <c r="K112" i="2"/>
  <c r="B119" i="2"/>
  <c r="C118" i="2"/>
  <c r="L112" i="2"/>
  <c r="N112" i="2"/>
  <c r="M111" i="2"/>
  <c r="O111" i="2" s="1"/>
  <c r="J112" i="2"/>
  <c r="F113" i="2"/>
  <c r="P111" i="2"/>
  <c r="G114" i="2"/>
  <c r="H114" i="2" s="1"/>
  <c r="D118" i="2" a="1"/>
  <c r="F114" i="2" a="1"/>
  <c r="E118" i="2" a="1"/>
  <c r="K113" i="2" a="1"/>
  <c r="I114" i="2" a="1"/>
  <c r="D118" i="2" l="1"/>
  <c r="E118" i="2"/>
  <c r="I114" i="2"/>
  <c r="K113" i="2"/>
  <c r="B120" i="2"/>
  <c r="C119" i="2"/>
  <c r="N113" i="2"/>
  <c r="L113" i="2"/>
  <c r="M112" i="2"/>
  <c r="O112" i="2" s="1"/>
  <c r="F114" i="2"/>
  <c r="J113" i="2"/>
  <c r="P112" i="2"/>
  <c r="G115" i="2"/>
  <c r="H115" i="2" s="1"/>
  <c r="D119" i="2" a="1"/>
  <c r="E119" i="2" a="1"/>
  <c r="I115" i="2" a="1"/>
  <c r="F115" i="2" a="1"/>
  <c r="K114" i="2" a="1"/>
  <c r="E119" i="2" l="1"/>
  <c r="D119" i="2"/>
  <c r="K114" i="2"/>
  <c r="I115" i="2"/>
  <c r="B121" i="2"/>
  <c r="C120" i="2"/>
  <c r="L114" i="2"/>
  <c r="N114" i="2"/>
  <c r="M113" i="2"/>
  <c r="O113" i="2" s="1"/>
  <c r="J114" i="2"/>
  <c r="F115" i="2"/>
  <c r="P113" i="2"/>
  <c r="G116" i="2"/>
  <c r="H116" i="2" s="1"/>
  <c r="I116" i="2" a="1"/>
  <c r="E120" i="2" a="1"/>
  <c r="F116" i="2" a="1"/>
  <c r="D120" i="2" a="1"/>
  <c r="K115" i="2" a="1"/>
  <c r="K115" i="2" l="1"/>
  <c r="D120" i="2"/>
  <c r="E120" i="2"/>
  <c r="I116" i="2"/>
  <c r="L115" i="2"/>
  <c r="P115" i="2" s="1"/>
  <c r="N115" i="2"/>
  <c r="B122" i="2"/>
  <c r="C121" i="2"/>
  <c r="M114" i="2"/>
  <c r="O114" i="2" s="1"/>
  <c r="J115" i="2"/>
  <c r="F116" i="2"/>
  <c r="P114" i="2"/>
  <c r="G117" i="2"/>
  <c r="H117" i="2" s="1"/>
  <c r="K116" i="2" a="1"/>
  <c r="F117" i="2" a="1"/>
  <c r="I117" i="2" a="1"/>
  <c r="D121" i="2" a="1"/>
  <c r="E121" i="2" a="1"/>
  <c r="D121" i="2" l="1"/>
  <c r="E121" i="2"/>
  <c r="I117" i="2"/>
  <c r="K116" i="2"/>
  <c r="B123" i="2"/>
  <c r="C122" i="2"/>
  <c r="N116" i="2"/>
  <c r="L116" i="2"/>
  <c r="M115" i="2"/>
  <c r="O115" i="2" s="1"/>
  <c r="J116" i="2"/>
  <c r="F117" i="2"/>
  <c r="G118" i="2"/>
  <c r="H118" i="2" s="1"/>
  <c r="I118" i="2" a="1"/>
  <c r="F118" i="2" a="1"/>
  <c r="E122" i="2" a="1"/>
  <c r="D122" i="2" a="1"/>
  <c r="K117" i="2" a="1"/>
  <c r="I118" i="2" l="1"/>
  <c r="K117" i="2"/>
  <c r="E122" i="2"/>
  <c r="D122" i="2"/>
  <c r="B124" i="2"/>
  <c r="C123" i="2"/>
  <c r="L117" i="2"/>
  <c r="P117" i="2" s="1"/>
  <c r="N117" i="2"/>
  <c r="M116" i="2"/>
  <c r="O116" i="2" s="1"/>
  <c r="J117" i="2"/>
  <c r="F118" i="2"/>
  <c r="P116" i="2"/>
  <c r="G119" i="2"/>
  <c r="H119" i="2" s="1"/>
  <c r="K118" i="2" a="1"/>
  <c r="E123" i="2" a="1"/>
  <c r="F119" i="2" a="1"/>
  <c r="I119" i="2" a="1"/>
  <c r="D123" i="2" a="1"/>
  <c r="D123" i="2" l="1"/>
  <c r="E123" i="2"/>
  <c r="I119" i="2"/>
  <c r="K118" i="2"/>
  <c r="B125" i="2"/>
  <c r="C124" i="2"/>
  <c r="N118" i="2"/>
  <c r="L118" i="2"/>
  <c r="M117" i="2"/>
  <c r="O117" i="2" s="1"/>
  <c r="J118" i="2"/>
  <c r="F119" i="2"/>
  <c r="G120" i="2"/>
  <c r="H120" i="2" s="1"/>
  <c r="D124" i="2" a="1"/>
  <c r="K119" i="2" a="1"/>
  <c r="E124" i="2" a="1"/>
  <c r="F120" i="2" a="1"/>
  <c r="I120" i="2" a="1"/>
  <c r="E124" i="2" l="1"/>
  <c r="D124" i="2"/>
  <c r="I120" i="2"/>
  <c r="K119" i="2"/>
  <c r="B126" i="2"/>
  <c r="C125" i="2"/>
  <c r="N119" i="2"/>
  <c r="L119" i="2"/>
  <c r="P119" i="2" s="1"/>
  <c r="M118" i="2"/>
  <c r="O118" i="2" s="1"/>
  <c r="J119" i="2"/>
  <c r="F120" i="2"/>
  <c r="G121" i="2"/>
  <c r="H121" i="2" s="1"/>
  <c r="P118" i="2"/>
  <c r="D125" i="2" a="1"/>
  <c r="K120" i="2" a="1"/>
  <c r="I121" i="2" a="1"/>
  <c r="E125" i="2" a="1"/>
  <c r="F121" i="2" a="1"/>
  <c r="I121" i="2" l="1"/>
  <c r="D125" i="2"/>
  <c r="E125" i="2"/>
  <c r="K120" i="2"/>
  <c r="B127" i="2"/>
  <c r="C126" i="2"/>
  <c r="N120" i="2"/>
  <c r="L120" i="2"/>
  <c r="P120" i="2" s="1"/>
  <c r="M119" i="2"/>
  <c r="O119" i="2" s="1"/>
  <c r="J120" i="2"/>
  <c r="F121" i="2"/>
  <c r="G122" i="2"/>
  <c r="H122" i="2" s="1"/>
  <c r="I122" i="2" a="1"/>
  <c r="K121" i="2" a="1"/>
  <c r="D126" i="2" a="1"/>
  <c r="F122" i="2" a="1"/>
  <c r="E126" i="2" a="1"/>
  <c r="I122" i="2" l="1"/>
  <c r="D126" i="2"/>
  <c r="E126" i="2"/>
  <c r="K121" i="2"/>
  <c r="B128" i="2"/>
  <c r="C127" i="2"/>
  <c r="L121" i="2"/>
  <c r="N121" i="2"/>
  <c r="M120" i="2"/>
  <c r="O120" i="2" s="1"/>
  <c r="F122" i="2"/>
  <c r="J121" i="2"/>
  <c r="G123" i="2"/>
  <c r="H123" i="2" s="1"/>
  <c r="I123" i="2" a="1"/>
  <c r="D127" i="2" a="1"/>
  <c r="E127" i="2" a="1"/>
  <c r="F123" i="2" a="1"/>
  <c r="K122" i="2" a="1"/>
  <c r="D127" i="2" l="1"/>
  <c r="E127" i="2"/>
  <c r="I123" i="2"/>
  <c r="K122" i="2"/>
  <c r="B129" i="2"/>
  <c r="C128" i="2"/>
  <c r="L122" i="2"/>
  <c r="N122" i="2"/>
  <c r="M121" i="2"/>
  <c r="O121" i="2" s="1"/>
  <c r="F123" i="2"/>
  <c r="J122" i="2"/>
  <c r="P121" i="2"/>
  <c r="G124" i="2"/>
  <c r="H124" i="2" s="1"/>
  <c r="F124" i="2" a="1"/>
  <c r="I124" i="2" a="1"/>
  <c r="D128" i="2" a="1"/>
  <c r="E128" i="2" a="1"/>
  <c r="K123" i="2" a="1"/>
  <c r="E128" i="2" l="1"/>
  <c r="D128" i="2"/>
  <c r="I124" i="2"/>
  <c r="K123" i="2"/>
  <c r="N123" i="2"/>
  <c r="L123" i="2"/>
  <c r="B130" i="2"/>
  <c r="C129" i="2"/>
  <c r="M122" i="2"/>
  <c r="O122" i="2" s="1"/>
  <c r="P122" i="2"/>
  <c r="F124" i="2"/>
  <c r="J123" i="2"/>
  <c r="G125" i="2"/>
  <c r="H125" i="2" s="1"/>
  <c r="K124" i="2" a="1"/>
  <c r="E129" i="2" a="1"/>
  <c r="F125" i="2" a="1"/>
  <c r="D129" i="2" a="1"/>
  <c r="I125" i="2" a="1"/>
  <c r="I125" i="2" l="1"/>
  <c r="D129" i="2"/>
  <c r="E129" i="2"/>
  <c r="K124" i="2"/>
  <c r="B131" i="2"/>
  <c r="C130" i="2"/>
  <c r="N124" i="2"/>
  <c r="L124" i="2"/>
  <c r="M123" i="2"/>
  <c r="O123" i="2" s="1"/>
  <c r="J124" i="2"/>
  <c r="F125" i="2"/>
  <c r="P123" i="2"/>
  <c r="G126" i="2"/>
  <c r="H126" i="2" s="1"/>
  <c r="K125" i="2" a="1"/>
  <c r="F126" i="2" a="1"/>
  <c r="D130" i="2" a="1"/>
  <c r="E130" i="2" a="1"/>
  <c r="I126" i="2" a="1"/>
  <c r="I126" i="2" l="1"/>
  <c r="E130" i="2"/>
  <c r="D130" i="2"/>
  <c r="K125" i="2"/>
  <c r="B132" i="2"/>
  <c r="C131" i="2"/>
  <c r="L125" i="2"/>
  <c r="N125" i="2"/>
  <c r="M124" i="2"/>
  <c r="O124" i="2" s="1"/>
  <c r="J125" i="2"/>
  <c r="F126" i="2"/>
  <c r="G127" i="2"/>
  <c r="H127" i="2" s="1"/>
  <c r="P124" i="2"/>
  <c r="K126" i="2" a="1"/>
  <c r="E131" i="2" a="1"/>
  <c r="I127" i="2" a="1"/>
  <c r="F127" i="2" a="1"/>
  <c r="D131" i="2" a="1"/>
  <c r="I127" i="2" l="1"/>
  <c r="E131" i="2"/>
  <c r="D131" i="2"/>
  <c r="K126" i="2"/>
  <c r="B133" i="2"/>
  <c r="C132" i="2"/>
  <c r="L126" i="2"/>
  <c r="N126" i="2"/>
  <c r="M125" i="2"/>
  <c r="O125" i="2" s="1"/>
  <c r="F127" i="2"/>
  <c r="J126" i="2"/>
  <c r="P125" i="2"/>
  <c r="G128" i="2"/>
  <c r="H128" i="2" s="1"/>
  <c r="K127" i="2" a="1"/>
  <c r="E132" i="2" a="1"/>
  <c r="D132" i="2" a="1"/>
  <c r="I128" i="2" a="1"/>
  <c r="F128" i="2" a="1"/>
  <c r="I128" i="2" l="1"/>
  <c r="D132" i="2"/>
  <c r="E132" i="2"/>
  <c r="K127" i="2"/>
  <c r="B134" i="2"/>
  <c r="C133" i="2"/>
  <c r="L127" i="2"/>
  <c r="N127" i="2"/>
  <c r="M126" i="2"/>
  <c r="O126" i="2" s="1"/>
  <c r="P126" i="2"/>
  <c r="J127" i="2"/>
  <c r="F128" i="2"/>
  <c r="G129" i="2"/>
  <c r="H129" i="2" s="1"/>
  <c r="K128" i="2" a="1"/>
  <c r="I129" i="2" a="1"/>
  <c r="D133" i="2" a="1"/>
  <c r="E133" i="2" a="1"/>
  <c r="F129" i="2" a="1"/>
  <c r="D133" i="2" l="1"/>
  <c r="E133" i="2"/>
  <c r="I129" i="2"/>
  <c r="K128" i="2"/>
  <c r="B135" i="2"/>
  <c r="C134" i="2"/>
  <c r="L128" i="2"/>
  <c r="N128" i="2"/>
  <c r="M127" i="2"/>
  <c r="O127" i="2" s="1"/>
  <c r="F129" i="2"/>
  <c r="J128" i="2"/>
  <c r="P127" i="2"/>
  <c r="G130" i="2"/>
  <c r="H130" i="2" s="1"/>
  <c r="I130" i="2" a="1"/>
  <c r="D134" i="2" a="1"/>
  <c r="F130" i="2" a="1"/>
  <c r="K129" i="2" a="1"/>
  <c r="E134" i="2" a="1"/>
  <c r="K129" i="2" l="1"/>
  <c r="E134" i="2"/>
  <c r="D134" i="2"/>
  <c r="I130" i="2"/>
  <c r="B136" i="2"/>
  <c r="C135" i="2"/>
  <c r="L129" i="2"/>
  <c r="N129" i="2"/>
  <c r="M128" i="2"/>
  <c r="O128" i="2" s="1"/>
  <c r="F130" i="2"/>
  <c r="J129" i="2"/>
  <c r="P128" i="2"/>
  <c r="G131" i="2"/>
  <c r="H131" i="2" s="1"/>
  <c r="I131" i="2" a="1"/>
  <c r="F131" i="2" a="1"/>
  <c r="E135" i="2" a="1"/>
  <c r="D135" i="2" a="1"/>
  <c r="K130" i="2" a="1"/>
  <c r="K130" i="2" l="1"/>
  <c r="D135" i="2"/>
  <c r="E135" i="2"/>
  <c r="I131" i="2"/>
  <c r="L130" i="2"/>
  <c r="N130" i="2"/>
  <c r="B137" i="2"/>
  <c r="C136" i="2"/>
  <c r="M129" i="2"/>
  <c r="O129" i="2" s="1"/>
  <c r="F131" i="2"/>
  <c r="J130" i="2"/>
  <c r="P129" i="2"/>
  <c r="G132" i="2"/>
  <c r="H132" i="2" s="1"/>
  <c r="K131" i="2" a="1"/>
  <c r="E136" i="2" a="1"/>
  <c r="I132" i="2" a="1"/>
  <c r="D136" i="2" a="1"/>
  <c r="F132" i="2" a="1"/>
  <c r="E136" i="2" l="1"/>
  <c r="D136" i="2"/>
  <c r="I132" i="2"/>
  <c r="K131" i="2"/>
  <c r="B138" i="2"/>
  <c r="C137" i="2"/>
  <c r="L131" i="2"/>
  <c r="N131" i="2"/>
  <c r="M130" i="2"/>
  <c r="O130" i="2" s="1"/>
  <c r="F132" i="2"/>
  <c r="J131" i="2"/>
  <c r="P130" i="2"/>
  <c r="G133" i="2"/>
  <c r="H133" i="2" s="1"/>
  <c r="E137" i="2" a="1"/>
  <c r="D137" i="2" a="1"/>
  <c r="I133" i="2" a="1"/>
  <c r="K132" i="2" a="1"/>
  <c r="F133" i="2" a="1"/>
  <c r="I133" i="2" l="1"/>
  <c r="D137" i="2"/>
  <c r="E137" i="2"/>
  <c r="K132" i="2"/>
  <c r="B139" i="2"/>
  <c r="C138" i="2"/>
  <c r="L132" i="2"/>
  <c r="N132" i="2"/>
  <c r="M131" i="2"/>
  <c r="O131" i="2" s="1"/>
  <c r="J132" i="2"/>
  <c r="F133" i="2"/>
  <c r="P131" i="2"/>
  <c r="G134" i="2"/>
  <c r="H134" i="2" s="1"/>
  <c r="I134" i="2" a="1"/>
  <c r="D138" i="2" a="1"/>
  <c r="E138" i="2" a="1"/>
  <c r="F134" i="2" a="1"/>
  <c r="K133" i="2" a="1"/>
  <c r="D138" i="2" l="1"/>
  <c r="E138" i="2"/>
  <c r="I134" i="2"/>
  <c r="K133" i="2"/>
  <c r="B140" i="2"/>
  <c r="C139" i="2"/>
  <c r="L133" i="2"/>
  <c r="N133" i="2"/>
  <c r="M132" i="2"/>
  <c r="O132" i="2" s="1"/>
  <c r="J133" i="2"/>
  <c r="F134" i="2"/>
  <c r="P132" i="2"/>
  <c r="G135" i="2"/>
  <c r="H135" i="2" s="1"/>
  <c r="D139" i="2" a="1"/>
  <c r="I135" i="2" a="1"/>
  <c r="F135" i="2" a="1"/>
  <c r="E139" i="2" a="1"/>
  <c r="K134" i="2" a="1"/>
  <c r="E139" i="2" l="1"/>
  <c r="D139" i="2"/>
  <c r="I135" i="2"/>
  <c r="K134" i="2"/>
  <c r="B141" i="2"/>
  <c r="C140" i="2"/>
  <c r="N134" i="2"/>
  <c r="L134" i="2"/>
  <c r="M133" i="2"/>
  <c r="O133" i="2" s="1"/>
  <c r="J134" i="2"/>
  <c r="F135" i="2"/>
  <c r="P133" i="2"/>
  <c r="G136" i="2"/>
  <c r="H136" i="2" s="1"/>
  <c r="E140" i="2" a="1"/>
  <c r="K135" i="2" a="1"/>
  <c r="I136" i="2" a="1"/>
  <c r="F136" i="2" a="1"/>
  <c r="D140" i="2" a="1"/>
  <c r="I136" i="2" l="1"/>
  <c r="K135" i="2"/>
  <c r="D140" i="2"/>
  <c r="E140" i="2"/>
  <c r="B142" i="2"/>
  <c r="C141" i="2"/>
  <c r="N135" i="2"/>
  <c r="L135" i="2"/>
  <c r="M134" i="2"/>
  <c r="O134" i="2" s="1"/>
  <c r="J135" i="2"/>
  <c r="F136" i="2"/>
  <c r="G137" i="2"/>
  <c r="H137" i="2" s="1"/>
  <c r="P134" i="2"/>
  <c r="E141" i="2" a="1"/>
  <c r="D141" i="2" a="1"/>
  <c r="K136" i="2" a="1"/>
  <c r="F137" i="2" a="1"/>
  <c r="I137" i="2" a="1"/>
  <c r="I137" i="2" l="1"/>
  <c r="D141" i="2"/>
  <c r="E141" i="2"/>
  <c r="K136" i="2"/>
  <c r="B143" i="2"/>
  <c r="C142" i="2"/>
  <c r="N136" i="2"/>
  <c r="L136" i="2"/>
  <c r="M135" i="2"/>
  <c r="O135" i="2" s="1"/>
  <c r="F137" i="2"/>
  <c r="J136" i="2"/>
  <c r="P135" i="2"/>
  <c r="G138" i="2"/>
  <c r="H138" i="2" s="1"/>
  <c r="E142" i="2" a="1"/>
  <c r="K137" i="2" a="1"/>
  <c r="D142" i="2" a="1"/>
  <c r="I138" i="2" a="1"/>
  <c r="F138" i="2" a="1"/>
  <c r="I138" i="2" l="1"/>
  <c r="E142" i="2"/>
  <c r="D142" i="2"/>
  <c r="K137" i="2"/>
  <c r="B144" i="2"/>
  <c r="C143" i="2"/>
  <c r="N137" i="2"/>
  <c r="L137" i="2"/>
  <c r="M136" i="2"/>
  <c r="O136" i="2" s="1"/>
  <c r="F138" i="2"/>
  <c r="J137" i="2"/>
  <c r="G139" i="2"/>
  <c r="H139" i="2" s="1"/>
  <c r="P136" i="2"/>
  <c r="D143" i="2" a="1"/>
  <c r="E143" i="2" a="1"/>
  <c r="F139" i="2" a="1"/>
  <c r="K138" i="2" a="1"/>
  <c r="I139" i="2" a="1"/>
  <c r="I139" i="2" l="1"/>
  <c r="E143" i="2"/>
  <c r="D143" i="2"/>
  <c r="K138" i="2"/>
  <c r="B145" i="2"/>
  <c r="C144" i="2"/>
  <c r="L138" i="2"/>
  <c r="N138" i="2"/>
  <c r="M137" i="2"/>
  <c r="O137" i="2" s="1"/>
  <c r="F139" i="2"/>
  <c r="P137" i="2"/>
  <c r="J138" i="2"/>
  <c r="G140" i="2"/>
  <c r="H140" i="2" s="1"/>
  <c r="F140" i="2" a="1"/>
  <c r="D144" i="2" a="1"/>
  <c r="K139" i="2" a="1"/>
  <c r="E144" i="2" a="1"/>
  <c r="I140" i="2" a="1"/>
  <c r="E144" i="2" l="1"/>
  <c r="D144" i="2"/>
  <c r="I140" i="2"/>
  <c r="K139" i="2"/>
  <c r="B146" i="2"/>
  <c r="C145" i="2"/>
  <c r="N139" i="2"/>
  <c r="L139" i="2"/>
  <c r="M138" i="2"/>
  <c r="O138" i="2" s="1"/>
  <c r="P138" i="2"/>
  <c r="F140" i="2"/>
  <c r="J139" i="2"/>
  <c r="G141" i="2"/>
  <c r="H141" i="2" s="1"/>
  <c r="I141" i="2" a="1"/>
  <c r="F141" i="2" a="1"/>
  <c r="D145" i="2" a="1"/>
  <c r="E145" i="2" a="1"/>
  <c r="K140" i="2" a="1"/>
  <c r="D145" i="2" l="1"/>
  <c r="E145" i="2"/>
  <c r="I141" i="2"/>
  <c r="K140" i="2"/>
  <c r="B147" i="2"/>
  <c r="C146" i="2"/>
  <c r="N140" i="2"/>
  <c r="L140" i="2"/>
  <c r="P140" i="2" s="1"/>
  <c r="M139" i="2"/>
  <c r="J140" i="2"/>
  <c r="P139" i="2"/>
  <c r="F141" i="2"/>
  <c r="O139" i="2"/>
  <c r="G142" i="2"/>
  <c r="H142" i="2" s="1"/>
  <c r="K141" i="2" a="1"/>
  <c r="F142" i="2" a="1"/>
  <c r="D146" i="2" a="1"/>
  <c r="E146" i="2" a="1"/>
  <c r="I142" i="2" a="1"/>
  <c r="I142" i="2" l="1"/>
  <c r="D146" i="2"/>
  <c r="E146" i="2"/>
  <c r="K141" i="2"/>
  <c r="L141" i="2"/>
  <c r="N141" i="2"/>
  <c r="B148" i="2"/>
  <c r="C147" i="2"/>
  <c r="M140" i="2"/>
  <c r="O140" i="2" s="1"/>
  <c r="F142" i="2"/>
  <c r="J141" i="2"/>
  <c r="G143" i="2"/>
  <c r="H143" i="2" s="1"/>
  <c r="F143" i="2" a="1"/>
  <c r="D147" i="2" a="1"/>
  <c r="E147" i="2" a="1"/>
  <c r="I143" i="2" a="1"/>
  <c r="K142" i="2" a="1"/>
  <c r="E147" i="2" l="1"/>
  <c r="D147" i="2"/>
  <c r="I143" i="2"/>
  <c r="K142" i="2"/>
  <c r="B149" i="2"/>
  <c r="C148" i="2"/>
  <c r="L142" i="2"/>
  <c r="N142" i="2"/>
  <c r="M141" i="2"/>
  <c r="O141" i="2" s="1"/>
  <c r="F143" i="2"/>
  <c r="J142" i="2"/>
  <c r="P141" i="2"/>
  <c r="G144" i="2"/>
  <c r="H144" i="2" s="1"/>
  <c r="F144" i="2" a="1"/>
  <c r="I144" i="2" a="1"/>
  <c r="K143" i="2" a="1"/>
  <c r="D148" i="2" a="1"/>
  <c r="E148" i="2" a="1"/>
  <c r="E148" i="2" l="1"/>
  <c r="D148" i="2"/>
  <c r="I144" i="2"/>
  <c r="K143" i="2"/>
  <c r="B150" i="2"/>
  <c r="C149" i="2"/>
  <c r="N143" i="2"/>
  <c r="L143" i="2"/>
  <c r="P143" i="2" s="1"/>
  <c r="M142" i="2"/>
  <c r="J143" i="2"/>
  <c r="P142" i="2"/>
  <c r="F144" i="2"/>
  <c r="O142" i="2"/>
  <c r="G145" i="2"/>
  <c r="H145" i="2" s="1"/>
  <c r="I145" i="2" a="1"/>
  <c r="E149" i="2" a="1"/>
  <c r="F145" i="2" a="1"/>
  <c r="D149" i="2" a="1"/>
  <c r="K144" i="2" a="1"/>
  <c r="I145" i="2" l="1"/>
  <c r="D149" i="2"/>
  <c r="E149" i="2"/>
  <c r="K144" i="2"/>
  <c r="B151" i="2"/>
  <c r="C150" i="2"/>
  <c r="L144" i="2"/>
  <c r="N144" i="2"/>
  <c r="M143" i="2"/>
  <c r="O143" i="2" s="1"/>
  <c r="F145" i="2"/>
  <c r="J144" i="2"/>
  <c r="G146" i="2"/>
  <c r="H146" i="2" s="1"/>
  <c r="E150" i="2" a="1"/>
  <c r="F146" i="2" a="1"/>
  <c r="D150" i="2" a="1"/>
  <c r="K145" i="2" a="1"/>
  <c r="I146" i="2" a="1"/>
  <c r="D150" i="2" l="1"/>
  <c r="E150" i="2"/>
  <c r="I146" i="2"/>
  <c r="K145" i="2"/>
  <c r="B152" i="2"/>
  <c r="C151" i="2"/>
  <c r="L145" i="2"/>
  <c r="N145" i="2"/>
  <c r="M144" i="2"/>
  <c r="O144" i="2" s="1"/>
  <c r="F146" i="2"/>
  <c r="J145" i="2"/>
  <c r="G147" i="2"/>
  <c r="H147" i="2" s="1"/>
  <c r="P144" i="2"/>
  <c r="K146" i="2" a="1"/>
  <c r="I147" i="2" a="1"/>
  <c r="D151" i="2" a="1"/>
  <c r="E151" i="2" a="1"/>
  <c r="F147" i="2" a="1"/>
  <c r="E151" i="2" l="1"/>
  <c r="D151" i="2"/>
  <c r="I147" i="2"/>
  <c r="K146" i="2"/>
  <c r="B153" i="2"/>
  <c r="C152" i="2"/>
  <c r="N146" i="2"/>
  <c r="L146" i="2"/>
  <c r="M145" i="2"/>
  <c r="O145" i="2" s="1"/>
  <c r="J146" i="2"/>
  <c r="F147" i="2"/>
  <c r="P145" i="2"/>
  <c r="G148" i="2"/>
  <c r="H148" i="2" s="1"/>
  <c r="K147" i="2" a="1"/>
  <c r="I148" i="2" a="1"/>
  <c r="E152" i="2" a="1"/>
  <c r="F148" i="2" a="1"/>
  <c r="D152" i="2" a="1"/>
  <c r="E152" i="2" l="1"/>
  <c r="D152" i="2"/>
  <c r="I148" i="2"/>
  <c r="K147" i="2"/>
  <c r="B154" i="2"/>
  <c r="C153" i="2"/>
  <c r="L147" i="2"/>
  <c r="P147" i="2" s="1"/>
  <c r="N147" i="2"/>
  <c r="M146" i="2"/>
  <c r="O146" i="2" s="1"/>
  <c r="J147" i="2"/>
  <c r="F148" i="2"/>
  <c r="G149" i="2"/>
  <c r="H149" i="2" s="1"/>
  <c r="P146" i="2"/>
  <c r="E153" i="2" a="1"/>
  <c r="I149" i="2" a="1"/>
  <c r="D153" i="2" a="1"/>
  <c r="K148" i="2" a="1"/>
  <c r="F149" i="2" a="1"/>
  <c r="D153" i="2" l="1"/>
  <c r="E153" i="2"/>
  <c r="I149" i="2"/>
  <c r="K148" i="2"/>
  <c r="B155" i="2"/>
  <c r="C154" i="2"/>
  <c r="L148" i="2"/>
  <c r="N148" i="2"/>
  <c r="M147" i="2"/>
  <c r="O147" i="2" s="1"/>
  <c r="J148" i="2"/>
  <c r="F149" i="2"/>
  <c r="G150" i="2"/>
  <c r="H150" i="2" s="1"/>
  <c r="D154" i="2" a="1"/>
  <c r="E154" i="2" a="1"/>
  <c r="F150" i="2" a="1"/>
  <c r="K149" i="2" a="1"/>
  <c r="I150" i="2" a="1"/>
  <c r="D154" i="2" l="1"/>
  <c r="E154" i="2"/>
  <c r="I150" i="2"/>
  <c r="K149" i="2"/>
  <c r="B156" i="2"/>
  <c r="C155" i="2"/>
  <c r="N149" i="2"/>
  <c r="L149" i="2"/>
  <c r="M148" i="2"/>
  <c r="O148" i="2" s="1"/>
  <c r="F150" i="2"/>
  <c r="J149" i="2"/>
  <c r="P148" i="2"/>
  <c r="G151" i="2"/>
  <c r="H151" i="2" s="1"/>
  <c r="E155" i="2" a="1"/>
  <c r="K150" i="2" a="1"/>
  <c r="I151" i="2" a="1"/>
  <c r="F151" i="2" a="1"/>
  <c r="D155" i="2" a="1"/>
  <c r="I151" i="2" l="1"/>
  <c r="K150" i="2"/>
  <c r="E155" i="2"/>
  <c r="D155" i="2"/>
  <c r="B157" i="2"/>
  <c r="C156" i="2"/>
  <c r="N150" i="2"/>
  <c r="L150" i="2"/>
  <c r="M149" i="2"/>
  <c r="O149" i="2" s="1"/>
  <c r="F151" i="2"/>
  <c r="J150" i="2"/>
  <c r="G152" i="2"/>
  <c r="H152" i="2" s="1"/>
  <c r="P149" i="2"/>
  <c r="F152" i="2" a="1"/>
  <c r="K151" i="2" a="1"/>
  <c r="I152" i="2" a="1"/>
  <c r="E156" i="2" a="1"/>
  <c r="D156" i="2" a="1"/>
  <c r="E156" i="2" l="1"/>
  <c r="D156" i="2"/>
  <c r="I152" i="2"/>
  <c r="K151" i="2"/>
  <c r="B158" i="2"/>
  <c r="C157" i="2"/>
  <c r="N151" i="2"/>
  <c r="L151" i="2"/>
  <c r="M150" i="2"/>
  <c r="O150" i="2" s="1"/>
  <c r="J151" i="2"/>
  <c r="F152" i="2"/>
  <c r="P150" i="2"/>
  <c r="G153" i="2"/>
  <c r="H153" i="2" s="1"/>
  <c r="K152" i="2" a="1"/>
  <c r="E157" i="2" a="1"/>
  <c r="I153" i="2" a="1"/>
  <c r="F153" i="2" a="1"/>
  <c r="D157" i="2" a="1"/>
  <c r="I153" i="2" l="1"/>
  <c r="E157" i="2"/>
  <c r="D157" i="2"/>
  <c r="K152" i="2"/>
  <c r="B159" i="2"/>
  <c r="C158" i="2"/>
  <c r="N152" i="2"/>
  <c r="L152" i="2"/>
  <c r="M151" i="2"/>
  <c r="O151" i="2" s="1"/>
  <c r="J152" i="2"/>
  <c r="F153" i="2"/>
  <c r="P151" i="2"/>
  <c r="G154" i="2"/>
  <c r="H154" i="2" s="1"/>
  <c r="E158" i="2" a="1"/>
  <c r="K153" i="2" a="1"/>
  <c r="D158" i="2" a="1"/>
  <c r="F154" i="2" a="1"/>
  <c r="I154" i="2" a="1"/>
  <c r="I154" i="2" l="1"/>
  <c r="E158" i="2"/>
  <c r="D158" i="2"/>
  <c r="K153" i="2"/>
  <c r="B160" i="2"/>
  <c r="C159" i="2"/>
  <c r="L153" i="2"/>
  <c r="P153" i="2" s="1"/>
  <c r="N153" i="2"/>
  <c r="M152" i="2"/>
  <c r="O152" i="2" s="1"/>
  <c r="J153" i="2"/>
  <c r="F154" i="2"/>
  <c r="P152" i="2"/>
  <c r="G155" i="2"/>
  <c r="H155" i="2" s="1"/>
  <c r="K154" i="2" a="1"/>
  <c r="D159" i="2" a="1"/>
  <c r="E159" i="2" a="1"/>
  <c r="F155" i="2" a="1"/>
  <c r="I155" i="2" a="1"/>
  <c r="I155" i="2" l="1"/>
  <c r="E159" i="2"/>
  <c r="D159" i="2"/>
  <c r="K154" i="2"/>
  <c r="B161" i="2"/>
  <c r="C160" i="2"/>
  <c r="N154" i="2"/>
  <c r="L154" i="2"/>
  <c r="M153" i="2"/>
  <c r="O153" i="2" s="1"/>
  <c r="J154" i="2"/>
  <c r="F155" i="2"/>
  <c r="G156" i="2"/>
  <c r="H156" i="2" s="1"/>
  <c r="D160" i="2" a="1"/>
  <c r="F156" i="2" a="1"/>
  <c r="E160" i="2" a="1"/>
  <c r="K155" i="2" a="1"/>
  <c r="I156" i="2" a="1"/>
  <c r="I156" i="2" l="1"/>
  <c r="D160" i="2"/>
  <c r="E160" i="2"/>
  <c r="K155" i="2"/>
  <c r="B162" i="2"/>
  <c r="C161" i="2"/>
  <c r="N155" i="2"/>
  <c r="L155" i="2"/>
  <c r="M154" i="2"/>
  <c r="O154" i="2" s="1"/>
  <c r="J155" i="2"/>
  <c r="F156" i="2"/>
  <c r="P154" i="2"/>
  <c r="G157" i="2"/>
  <c r="H157" i="2" s="1"/>
  <c r="I157" i="2" a="1"/>
  <c r="E161" i="2" a="1"/>
  <c r="D161" i="2" a="1"/>
  <c r="K156" i="2" a="1"/>
  <c r="F157" i="2" a="1"/>
  <c r="D161" i="2" l="1"/>
  <c r="E161" i="2"/>
  <c r="I157" i="2"/>
  <c r="K156" i="2"/>
  <c r="B163" i="2"/>
  <c r="C162" i="2"/>
  <c r="N156" i="2"/>
  <c r="L156" i="2"/>
  <c r="M155" i="2"/>
  <c r="O155" i="2" s="1"/>
  <c r="J156" i="2"/>
  <c r="F157" i="2"/>
  <c r="P155" i="2"/>
  <c r="G158" i="2"/>
  <c r="H158" i="2" s="1"/>
  <c r="I158" i="2" a="1"/>
  <c r="K157" i="2" a="1"/>
  <c r="F158" i="2" a="1"/>
  <c r="E162" i="2" a="1"/>
  <c r="D162" i="2" a="1"/>
  <c r="D162" i="2" l="1"/>
  <c r="E162" i="2"/>
  <c r="I158" i="2"/>
  <c r="K157" i="2"/>
  <c r="B164" i="2"/>
  <c r="C163" i="2"/>
  <c r="N157" i="2"/>
  <c r="L157" i="2"/>
  <c r="M156" i="2"/>
  <c r="O156" i="2" s="1"/>
  <c r="J157" i="2"/>
  <c r="F158" i="2"/>
  <c r="P156" i="2"/>
  <c r="G159" i="2"/>
  <c r="H159" i="2" s="1"/>
  <c r="D163" i="2" a="1"/>
  <c r="I159" i="2" a="1"/>
  <c r="F159" i="2" a="1"/>
  <c r="E163" i="2" a="1"/>
  <c r="K158" i="2" a="1"/>
  <c r="K158" i="2" l="1"/>
  <c r="E163" i="2"/>
  <c r="D163" i="2"/>
  <c r="I159" i="2"/>
  <c r="B165" i="2"/>
  <c r="C164" i="2"/>
  <c r="N158" i="2"/>
  <c r="L158" i="2"/>
  <c r="M157" i="2"/>
  <c r="O157" i="2" s="1"/>
  <c r="J158" i="2"/>
  <c r="F159" i="2"/>
  <c r="P157" i="2"/>
  <c r="G160" i="2"/>
  <c r="H160" i="2" s="1"/>
  <c r="K159" i="2" a="1"/>
  <c r="F160" i="2" a="1"/>
  <c r="I160" i="2" a="1"/>
  <c r="D164" i="2" a="1"/>
  <c r="E164" i="2" a="1"/>
  <c r="I160" i="2" l="1"/>
  <c r="D164" i="2"/>
  <c r="E164" i="2"/>
  <c r="K159" i="2"/>
  <c r="B166" i="2"/>
  <c r="C165" i="2"/>
  <c r="N159" i="2"/>
  <c r="L159" i="2"/>
  <c r="M158" i="2"/>
  <c r="O158" i="2" s="1"/>
  <c r="J159" i="2"/>
  <c r="F160" i="2"/>
  <c r="P158" i="2"/>
  <c r="G161" i="2"/>
  <c r="H161" i="2" s="1"/>
  <c r="K160" i="2" a="1"/>
  <c r="I161" i="2" a="1"/>
  <c r="E165" i="2" a="1"/>
  <c r="F161" i="2" a="1"/>
  <c r="D165" i="2" a="1"/>
  <c r="I161" i="2" l="1"/>
  <c r="E165" i="2"/>
  <c r="D165" i="2"/>
  <c r="K160" i="2"/>
  <c r="B167" i="2"/>
  <c r="C166" i="2"/>
  <c r="N160" i="2"/>
  <c r="L160" i="2"/>
  <c r="M159" i="2"/>
  <c r="J160" i="2"/>
  <c r="F161" i="2"/>
  <c r="P159" i="2"/>
  <c r="O159" i="2"/>
  <c r="G162" i="2"/>
  <c r="H162" i="2" s="1"/>
  <c r="K161" i="2" a="1"/>
  <c r="E166" i="2" a="1"/>
  <c r="F162" i="2" a="1"/>
  <c r="I162" i="2" a="1"/>
  <c r="D166" i="2" a="1"/>
  <c r="D166" i="2" l="1"/>
  <c r="E166" i="2"/>
  <c r="I162" i="2"/>
  <c r="K161" i="2"/>
  <c r="B168" i="2"/>
  <c r="C167" i="2"/>
  <c r="L161" i="2"/>
  <c r="N161" i="2"/>
  <c r="M160" i="2"/>
  <c r="O160" i="2" s="1"/>
  <c r="J161" i="2"/>
  <c r="F162" i="2"/>
  <c r="P160" i="2"/>
  <c r="G163" i="2"/>
  <c r="H163" i="2" s="1"/>
  <c r="D167" i="2" a="1"/>
  <c r="E167" i="2" a="1"/>
  <c r="I163" i="2" a="1"/>
  <c r="F163" i="2" a="1"/>
  <c r="K162" i="2" a="1"/>
  <c r="I163" i="2" l="1"/>
  <c r="D167" i="2"/>
  <c r="E167" i="2"/>
  <c r="K162" i="2"/>
  <c r="B169" i="2"/>
  <c r="C168" i="2"/>
  <c r="N162" i="2"/>
  <c r="L162" i="2"/>
  <c r="M161" i="2"/>
  <c r="O161" i="2" s="1"/>
  <c r="J162" i="2"/>
  <c r="F163" i="2"/>
  <c r="P161" i="2"/>
  <c r="G164" i="2"/>
  <c r="H164" i="2" s="1"/>
  <c r="K163" i="2" a="1"/>
  <c r="I164" i="2" a="1"/>
  <c r="D168" i="2" a="1"/>
  <c r="E168" i="2" a="1"/>
  <c r="F164" i="2" a="1"/>
  <c r="D168" i="2" l="1"/>
  <c r="E168" i="2"/>
  <c r="I164" i="2"/>
  <c r="K163" i="2"/>
  <c r="B170" i="2"/>
  <c r="C169" i="2"/>
  <c r="N163" i="2"/>
  <c r="L163" i="2"/>
  <c r="M162" i="2"/>
  <c r="O162" i="2" s="1"/>
  <c r="J163" i="2"/>
  <c r="F164" i="2"/>
  <c r="P162" i="2"/>
  <c r="G165" i="2"/>
  <c r="H165" i="2" s="1"/>
  <c r="F165" i="2" a="1"/>
  <c r="D169" i="2" a="1"/>
  <c r="K164" i="2" a="1"/>
  <c r="E169" i="2" a="1"/>
  <c r="I165" i="2" a="1"/>
  <c r="D169" i="2" l="1"/>
  <c r="E169" i="2"/>
  <c r="I165" i="2"/>
  <c r="K164" i="2"/>
  <c r="B171" i="2"/>
  <c r="C170" i="2"/>
  <c r="L164" i="2"/>
  <c r="P164" i="2" s="1"/>
  <c r="N164" i="2"/>
  <c r="M163" i="2"/>
  <c r="O163" i="2" s="1"/>
  <c r="J164" i="2"/>
  <c r="F165" i="2"/>
  <c r="P163" i="2"/>
  <c r="G166" i="2"/>
  <c r="H166" i="2" s="1"/>
  <c r="K165" i="2" a="1"/>
  <c r="D170" i="2" a="1"/>
  <c r="I166" i="2" a="1"/>
  <c r="E170" i="2" a="1"/>
  <c r="F166" i="2" a="1"/>
  <c r="E170" i="2" l="1"/>
  <c r="D170" i="2"/>
  <c r="I166" i="2"/>
  <c r="K165" i="2"/>
  <c r="L165" i="2"/>
  <c r="N165" i="2"/>
  <c r="B172" i="2"/>
  <c r="C171" i="2"/>
  <c r="M164" i="2"/>
  <c r="O164" i="2" s="1"/>
  <c r="J165" i="2"/>
  <c r="F166" i="2"/>
  <c r="G167" i="2"/>
  <c r="H167" i="2" s="1"/>
  <c r="I167" i="2" a="1"/>
  <c r="E171" i="2" a="1"/>
  <c r="D171" i="2" a="1"/>
  <c r="K166" i="2" a="1"/>
  <c r="F167" i="2" a="1"/>
  <c r="E171" i="2" l="1"/>
  <c r="D171" i="2"/>
  <c r="I167" i="2"/>
  <c r="K166" i="2"/>
  <c r="B173" i="2"/>
  <c r="C172" i="2"/>
  <c r="N166" i="2"/>
  <c r="L166" i="2"/>
  <c r="M165" i="2"/>
  <c r="O165" i="2" s="1"/>
  <c r="F167" i="2"/>
  <c r="J166" i="2"/>
  <c r="P165" i="2"/>
  <c r="G168" i="2"/>
  <c r="H168" i="2" s="1"/>
  <c r="D172" i="2" a="1"/>
  <c r="I168" i="2" a="1"/>
  <c r="K167" i="2" a="1"/>
  <c r="E172" i="2" a="1"/>
  <c r="F168" i="2" a="1"/>
  <c r="E172" i="2" l="1"/>
  <c r="D172" i="2"/>
  <c r="I168" i="2"/>
  <c r="K167" i="2"/>
  <c r="B174" i="2"/>
  <c r="C173" i="2"/>
  <c r="L167" i="2"/>
  <c r="N167" i="2"/>
  <c r="M166" i="2"/>
  <c r="O166" i="2" s="1"/>
  <c r="F168" i="2"/>
  <c r="J167" i="2"/>
  <c r="P166" i="2"/>
  <c r="G169" i="2"/>
  <c r="H169" i="2" s="1"/>
  <c r="E173" i="2" a="1"/>
  <c r="D173" i="2" a="1"/>
  <c r="I169" i="2" a="1"/>
  <c r="F169" i="2" a="1"/>
  <c r="K168" i="2" a="1"/>
  <c r="I169" i="2" l="1"/>
  <c r="E173" i="2"/>
  <c r="D173" i="2"/>
  <c r="K168" i="2"/>
  <c r="B175" i="2"/>
  <c r="C174" i="2"/>
  <c r="L168" i="2"/>
  <c r="P168" i="2" s="1"/>
  <c r="N168" i="2"/>
  <c r="M167" i="2"/>
  <c r="O167" i="2" s="1"/>
  <c r="J168" i="2"/>
  <c r="F169" i="2"/>
  <c r="P167" i="2"/>
  <c r="G170" i="2"/>
  <c r="H170" i="2" s="1"/>
  <c r="I170" i="2" a="1"/>
  <c r="E174" i="2" a="1"/>
  <c r="K169" i="2" a="1"/>
  <c r="D174" i="2" a="1"/>
  <c r="F170" i="2" a="1"/>
  <c r="E174" i="2" l="1"/>
  <c r="D174" i="2"/>
  <c r="I170" i="2"/>
  <c r="K169" i="2"/>
  <c r="B176" i="2"/>
  <c r="C175" i="2"/>
  <c r="N169" i="2"/>
  <c r="L169" i="2"/>
  <c r="M168" i="2"/>
  <c r="O168" i="2" s="1"/>
  <c r="J169" i="2"/>
  <c r="F170" i="2"/>
  <c r="G171" i="2"/>
  <c r="H171" i="2" s="1"/>
  <c r="E175" i="2" a="1"/>
  <c r="K170" i="2" a="1"/>
  <c r="F171" i="2" a="1"/>
  <c r="I171" i="2" a="1"/>
  <c r="D175" i="2" a="1"/>
  <c r="D175" i="2" l="1"/>
  <c r="E175" i="2"/>
  <c r="I171" i="2"/>
  <c r="K170" i="2"/>
  <c r="B177" i="2"/>
  <c r="C176" i="2"/>
  <c r="N170" i="2"/>
  <c r="L170" i="2"/>
  <c r="M169" i="2"/>
  <c r="O169" i="2" s="1"/>
  <c r="J170" i="2"/>
  <c r="F171" i="2"/>
  <c r="P169" i="2"/>
  <c r="G172" i="2"/>
  <c r="H172" i="2" s="1"/>
  <c r="K171" i="2" a="1"/>
  <c r="I172" i="2" a="1"/>
  <c r="E176" i="2" a="1"/>
  <c r="D176" i="2" a="1"/>
  <c r="F172" i="2" a="1"/>
  <c r="I172" i="2" l="1"/>
  <c r="D176" i="2"/>
  <c r="E176" i="2"/>
  <c r="K171" i="2"/>
  <c r="B178" i="2"/>
  <c r="C177" i="2"/>
  <c r="N171" i="2"/>
  <c r="L171" i="2"/>
  <c r="P171" i="2" s="1"/>
  <c r="M170" i="2"/>
  <c r="O170" i="2" s="1"/>
  <c r="J171" i="2"/>
  <c r="F172" i="2"/>
  <c r="P170" i="2"/>
  <c r="G173" i="2"/>
  <c r="H173" i="2" s="1"/>
  <c r="K172" i="2" a="1"/>
  <c r="I173" i="2" a="1"/>
  <c r="D177" i="2" a="1"/>
  <c r="E177" i="2" a="1"/>
  <c r="F173" i="2" a="1"/>
  <c r="D177" i="2" l="1"/>
  <c r="E177" i="2"/>
  <c r="I173" i="2"/>
  <c r="K172" i="2"/>
  <c r="B179" i="2"/>
  <c r="C178" i="2"/>
  <c r="N172" i="2"/>
  <c r="L172" i="2"/>
  <c r="M171" i="2"/>
  <c r="O171" i="2" s="1"/>
  <c r="F173" i="2"/>
  <c r="J172" i="2"/>
  <c r="G174" i="2"/>
  <c r="H174" i="2" s="1"/>
  <c r="F174" i="2" a="1"/>
  <c r="D178" i="2" a="1"/>
  <c r="E178" i="2" a="1"/>
  <c r="I174" i="2" a="1"/>
  <c r="K173" i="2" a="1"/>
  <c r="D178" i="2" l="1"/>
  <c r="E178" i="2"/>
  <c r="I174" i="2"/>
  <c r="K173" i="2"/>
  <c r="B180" i="2"/>
  <c r="C179" i="2"/>
  <c r="N173" i="2"/>
  <c r="L173" i="2"/>
  <c r="M172" i="2"/>
  <c r="O172" i="2" s="1"/>
  <c r="F174" i="2"/>
  <c r="J173" i="2"/>
  <c r="P172" i="2"/>
  <c r="G175" i="2"/>
  <c r="H175" i="2" s="1"/>
  <c r="E179" i="2" a="1"/>
  <c r="I175" i="2" a="1"/>
  <c r="D179" i="2" a="1"/>
  <c r="F175" i="2" a="1"/>
  <c r="K174" i="2" a="1"/>
  <c r="I175" i="2" l="1"/>
  <c r="E179" i="2"/>
  <c r="D179" i="2"/>
  <c r="K174" i="2"/>
  <c r="N174" i="2"/>
  <c r="L174" i="2"/>
  <c r="B181" i="2"/>
  <c r="C180" i="2"/>
  <c r="M173" i="2"/>
  <c r="F175" i="2"/>
  <c r="J174" i="2"/>
  <c r="P173" i="2"/>
  <c r="O173" i="2"/>
  <c r="G176" i="2"/>
  <c r="H176" i="2" s="1"/>
  <c r="K175" i="2" a="1"/>
  <c r="F176" i="2" a="1"/>
  <c r="D180" i="2" a="1"/>
  <c r="I176" i="2" a="1"/>
  <c r="E180" i="2" a="1"/>
  <c r="D180" i="2" l="1"/>
  <c r="E180" i="2"/>
  <c r="I176" i="2"/>
  <c r="K175" i="2"/>
  <c r="B182" i="2"/>
  <c r="C181" i="2"/>
  <c r="N175" i="2"/>
  <c r="L175" i="2"/>
  <c r="M174" i="2"/>
  <c r="O174" i="2" s="1"/>
  <c r="J175" i="2"/>
  <c r="F176" i="2"/>
  <c r="G177" i="2"/>
  <c r="H177" i="2" s="1"/>
  <c r="P174" i="2"/>
  <c r="D181" i="2" a="1"/>
  <c r="K176" i="2" a="1"/>
  <c r="E181" i="2" a="1"/>
  <c r="I177" i="2" a="1"/>
  <c r="F177" i="2" a="1"/>
  <c r="I177" i="2" l="1"/>
  <c r="E181" i="2"/>
  <c r="D181" i="2"/>
  <c r="K176" i="2"/>
  <c r="B183" i="2"/>
  <c r="C182" i="2"/>
  <c r="L176" i="2"/>
  <c r="N176" i="2"/>
  <c r="M175" i="2"/>
  <c r="O175" i="2" s="1"/>
  <c r="F177" i="2"/>
  <c r="J176" i="2"/>
  <c r="P175" i="2"/>
  <c r="G178" i="2"/>
  <c r="H178" i="2" s="1"/>
  <c r="K177" i="2" a="1"/>
  <c r="E182" i="2" a="1"/>
  <c r="I178" i="2" a="1"/>
  <c r="D182" i="2" a="1"/>
  <c r="F178" i="2" a="1"/>
  <c r="E182" i="2" l="1"/>
  <c r="D182" i="2"/>
  <c r="I178" i="2"/>
  <c r="K177" i="2"/>
  <c r="B184" i="2"/>
  <c r="C183" i="2"/>
  <c r="N177" i="2"/>
  <c r="L177" i="2"/>
  <c r="P177" i="2" s="1"/>
  <c r="M176" i="2"/>
  <c r="O176" i="2" s="1"/>
  <c r="J177" i="2"/>
  <c r="F178" i="2"/>
  <c r="P176" i="2"/>
  <c r="G179" i="2"/>
  <c r="H179" i="2" s="1"/>
  <c r="D183" i="2" a="1"/>
  <c r="K178" i="2" a="1"/>
  <c r="E183" i="2" a="1"/>
  <c r="F179" i="2" a="1"/>
  <c r="I179" i="2" a="1"/>
  <c r="I179" i="2" l="1"/>
  <c r="E183" i="2"/>
  <c r="D183" i="2"/>
  <c r="K178" i="2"/>
  <c r="B185" i="2"/>
  <c r="C184" i="2"/>
  <c r="N178" i="2"/>
  <c r="L178" i="2"/>
  <c r="P178" i="2" s="1"/>
  <c r="M177" i="2"/>
  <c r="O177" i="2" s="1"/>
  <c r="J178" i="2"/>
  <c r="F179" i="2"/>
  <c r="G180" i="2"/>
  <c r="H180" i="2" s="1"/>
  <c r="E184" i="2" a="1"/>
  <c r="I180" i="2" a="1"/>
  <c r="K179" i="2" a="1"/>
  <c r="F180" i="2" a="1"/>
  <c r="D184" i="2" a="1"/>
  <c r="I180" i="2" l="1"/>
  <c r="D184" i="2"/>
  <c r="E184" i="2"/>
  <c r="K179" i="2"/>
  <c r="B186" i="2"/>
  <c r="C185" i="2"/>
  <c r="N179" i="2"/>
  <c r="L179" i="2"/>
  <c r="M178" i="2"/>
  <c r="O178" i="2" s="1"/>
  <c r="F180" i="2"/>
  <c r="J179" i="2"/>
  <c r="G181" i="2"/>
  <c r="H181" i="2" s="1"/>
  <c r="D185" i="2" a="1"/>
  <c r="E185" i="2" a="1"/>
  <c r="F181" i="2" a="1"/>
  <c r="I181" i="2" a="1"/>
  <c r="K180" i="2" a="1"/>
  <c r="E185" i="2" l="1"/>
  <c r="D185" i="2"/>
  <c r="I181" i="2"/>
  <c r="K180" i="2"/>
  <c r="B187" i="2"/>
  <c r="C186" i="2"/>
  <c r="L180" i="2"/>
  <c r="N180" i="2"/>
  <c r="M179" i="2"/>
  <c r="O179" i="2" s="1"/>
  <c r="J180" i="2"/>
  <c r="F181" i="2"/>
  <c r="P179" i="2"/>
  <c r="G182" i="2"/>
  <c r="H182" i="2" s="1"/>
  <c r="I182" i="2" a="1"/>
  <c r="D186" i="2" a="1"/>
  <c r="K181" i="2" a="1"/>
  <c r="E186" i="2" a="1"/>
  <c r="F182" i="2" a="1"/>
  <c r="E186" i="2" l="1"/>
  <c r="D186" i="2"/>
  <c r="I182" i="2"/>
  <c r="K181" i="2"/>
  <c r="B188" i="2"/>
  <c r="C187" i="2"/>
  <c r="L181" i="2"/>
  <c r="N181" i="2"/>
  <c r="M180" i="2"/>
  <c r="O180" i="2" s="1"/>
  <c r="F182" i="2"/>
  <c r="J181" i="2"/>
  <c r="P180" i="2"/>
  <c r="G183" i="2"/>
  <c r="H183" i="2" s="1"/>
  <c r="D187" i="2" a="1"/>
  <c r="E187" i="2" a="1"/>
  <c r="I183" i="2" a="1"/>
  <c r="F183" i="2" a="1"/>
  <c r="K182" i="2" a="1"/>
  <c r="I183" i="2" l="1"/>
  <c r="E187" i="2"/>
  <c r="D187" i="2"/>
  <c r="K182" i="2"/>
  <c r="B189" i="2"/>
  <c r="C188" i="2"/>
  <c r="L182" i="2"/>
  <c r="N182" i="2"/>
  <c r="M181" i="2"/>
  <c r="O181" i="2" s="1"/>
  <c r="F183" i="2"/>
  <c r="J182" i="2"/>
  <c r="P181" i="2"/>
  <c r="G184" i="2"/>
  <c r="H184" i="2" s="1"/>
  <c r="F184" i="2" a="1"/>
  <c r="E188" i="2" a="1"/>
  <c r="I184" i="2" a="1"/>
  <c r="K183" i="2" a="1"/>
  <c r="D188" i="2" a="1"/>
  <c r="E188" i="2" l="1"/>
  <c r="D188" i="2"/>
  <c r="I184" i="2"/>
  <c r="K183" i="2"/>
  <c r="B190" i="2"/>
  <c r="C189" i="2"/>
  <c r="N183" i="2"/>
  <c r="L183" i="2"/>
  <c r="M182" i="2"/>
  <c r="O182" i="2" s="1"/>
  <c r="J183" i="2"/>
  <c r="F184" i="2"/>
  <c r="P182" i="2"/>
  <c r="G185" i="2"/>
  <c r="H185" i="2" s="1"/>
  <c r="K184" i="2" a="1"/>
  <c r="F185" i="2" a="1"/>
  <c r="D189" i="2" a="1"/>
  <c r="E189" i="2" a="1"/>
  <c r="I185" i="2" a="1"/>
  <c r="E189" i="2" l="1"/>
  <c r="D189" i="2"/>
  <c r="K184" i="2"/>
  <c r="I185" i="2"/>
  <c r="N184" i="2"/>
  <c r="L184" i="2"/>
  <c r="P184" i="2" s="1"/>
  <c r="B191" i="2"/>
  <c r="C190" i="2"/>
  <c r="M183" i="2"/>
  <c r="O183" i="2" s="1"/>
  <c r="J184" i="2"/>
  <c r="F185" i="2"/>
  <c r="P183" i="2"/>
  <c r="G186" i="2"/>
  <c r="H186" i="2" s="1"/>
  <c r="K185" i="2" a="1"/>
  <c r="E190" i="2" a="1"/>
  <c r="F186" i="2" a="1"/>
  <c r="D190" i="2" a="1"/>
  <c r="I186" i="2" a="1"/>
  <c r="E190" i="2" l="1"/>
  <c r="D190" i="2"/>
  <c r="I186" i="2"/>
  <c r="K185" i="2"/>
  <c r="B192" i="2"/>
  <c r="C191" i="2"/>
  <c r="L185" i="2"/>
  <c r="N185" i="2"/>
  <c r="M184" i="2"/>
  <c r="O184" i="2" s="1"/>
  <c r="J185" i="2"/>
  <c r="F186" i="2"/>
  <c r="G187" i="2"/>
  <c r="H187" i="2" s="1"/>
  <c r="E191" i="2" a="1"/>
  <c r="D191" i="2" a="1"/>
  <c r="F187" i="2" a="1"/>
  <c r="I187" i="2" a="1"/>
  <c r="K186" i="2" a="1"/>
  <c r="E191" i="2" l="1"/>
  <c r="D191" i="2"/>
  <c r="I187" i="2"/>
  <c r="K186" i="2"/>
  <c r="B193" i="2"/>
  <c r="C192" i="2"/>
  <c r="L186" i="2"/>
  <c r="N186" i="2"/>
  <c r="M185" i="2"/>
  <c r="O185" i="2" s="1"/>
  <c r="J186" i="2"/>
  <c r="F187" i="2"/>
  <c r="P185" i="2"/>
  <c r="G188" i="2"/>
  <c r="H188" i="2" s="1"/>
  <c r="D192" i="2" a="1"/>
  <c r="F188" i="2" a="1"/>
  <c r="K187" i="2" a="1"/>
  <c r="E192" i="2" a="1"/>
  <c r="I188" i="2" a="1"/>
  <c r="I188" i="2" l="1"/>
  <c r="E192" i="2"/>
  <c r="D192" i="2"/>
  <c r="K187" i="2"/>
  <c r="B194" i="2"/>
  <c r="C193" i="2"/>
  <c r="L187" i="2"/>
  <c r="N187" i="2"/>
  <c r="M186" i="2"/>
  <c r="O186" i="2" s="1"/>
  <c r="J187" i="2"/>
  <c r="F188" i="2"/>
  <c r="P186" i="2"/>
  <c r="G189" i="2"/>
  <c r="H189" i="2" s="1"/>
  <c r="K188" i="2" a="1"/>
  <c r="I189" i="2" a="1"/>
  <c r="F189" i="2" a="1"/>
  <c r="D193" i="2" a="1"/>
  <c r="E193" i="2" a="1"/>
  <c r="E193" i="2" l="1"/>
  <c r="D193" i="2"/>
  <c r="I189" i="2"/>
  <c r="K188" i="2"/>
  <c r="B195" i="2"/>
  <c r="C194" i="2"/>
  <c r="N188" i="2"/>
  <c r="L188" i="2"/>
  <c r="M187" i="2"/>
  <c r="O187" i="2" s="1"/>
  <c r="J188" i="2"/>
  <c r="F189" i="2"/>
  <c r="P187" i="2"/>
  <c r="G190" i="2"/>
  <c r="H190" i="2" s="1"/>
  <c r="D194" i="2" a="1"/>
  <c r="E194" i="2" a="1"/>
  <c r="F190" i="2" a="1"/>
  <c r="I190" i="2" a="1"/>
  <c r="K189" i="2" a="1"/>
  <c r="I190" i="2" l="1"/>
  <c r="E194" i="2"/>
  <c r="D194" i="2"/>
  <c r="K189" i="2"/>
  <c r="B196" i="2"/>
  <c r="C195" i="2"/>
  <c r="N189" i="2"/>
  <c r="L189" i="2"/>
  <c r="M188" i="2"/>
  <c r="O188" i="2" s="1"/>
  <c r="J189" i="2"/>
  <c r="F190" i="2"/>
  <c r="G191" i="2"/>
  <c r="H191" i="2" s="1"/>
  <c r="P188" i="2"/>
  <c r="I191" i="2" a="1"/>
  <c r="F191" i="2" a="1"/>
  <c r="D195" i="2" a="1"/>
  <c r="K190" i="2" a="1"/>
  <c r="E195" i="2" a="1"/>
  <c r="E195" i="2" l="1"/>
  <c r="D195" i="2"/>
  <c r="I191" i="2"/>
  <c r="K190" i="2"/>
  <c r="B197" i="2"/>
  <c r="C196" i="2"/>
  <c r="N190" i="2"/>
  <c r="L190" i="2"/>
  <c r="P190" i="2" s="1"/>
  <c r="M189" i="2"/>
  <c r="O189" i="2" s="1"/>
  <c r="J190" i="2"/>
  <c r="F191" i="2"/>
  <c r="P189" i="2"/>
  <c r="G192" i="2"/>
  <c r="H192" i="2" s="1"/>
  <c r="E196" i="2" a="1"/>
  <c r="D196" i="2" a="1"/>
  <c r="I192" i="2" a="1"/>
  <c r="F192" i="2" a="1"/>
  <c r="K191" i="2" a="1"/>
  <c r="I192" i="2" l="1"/>
  <c r="D196" i="2"/>
  <c r="E196" i="2"/>
  <c r="K191" i="2"/>
  <c r="B198" i="2"/>
  <c r="C197" i="2"/>
  <c r="N191" i="2"/>
  <c r="L191" i="2"/>
  <c r="M190" i="2"/>
  <c r="O190" i="2" s="1"/>
  <c r="F192" i="2"/>
  <c r="J191" i="2"/>
  <c r="G193" i="2"/>
  <c r="H193" i="2" s="1"/>
  <c r="K192" i="2" a="1"/>
  <c r="E197" i="2" a="1"/>
  <c r="I193" i="2" a="1"/>
  <c r="D197" i="2" a="1"/>
  <c r="F193" i="2" a="1"/>
  <c r="D197" i="2" l="1"/>
  <c r="E197" i="2"/>
  <c r="I193" i="2"/>
  <c r="K192" i="2"/>
  <c r="B199" i="2"/>
  <c r="C198" i="2"/>
  <c r="N192" i="2"/>
  <c r="L192" i="2"/>
  <c r="M191" i="2"/>
  <c r="O191" i="2" s="1"/>
  <c r="F193" i="2"/>
  <c r="J192" i="2"/>
  <c r="P191" i="2"/>
  <c r="G194" i="2"/>
  <c r="H194" i="2" s="1"/>
  <c r="F194" i="2" a="1"/>
  <c r="K193" i="2" a="1"/>
  <c r="E198" i="2" a="1"/>
  <c r="D198" i="2" a="1"/>
  <c r="I194" i="2" a="1"/>
  <c r="D198" i="2" l="1"/>
  <c r="E198" i="2"/>
  <c r="K193" i="2"/>
  <c r="I194" i="2"/>
  <c r="L193" i="2"/>
  <c r="P193" i="2" s="1"/>
  <c r="N193" i="2"/>
  <c r="B200" i="2"/>
  <c r="C199" i="2"/>
  <c r="M192" i="2"/>
  <c r="O192" i="2" s="1"/>
  <c r="J193" i="2"/>
  <c r="F194" i="2"/>
  <c r="P192" i="2"/>
  <c r="G195" i="2"/>
  <c r="H195" i="2" s="1"/>
  <c r="F195" i="2" a="1"/>
  <c r="I195" i="2" a="1"/>
  <c r="E199" i="2" a="1"/>
  <c r="K194" i="2" a="1"/>
  <c r="D199" i="2" a="1"/>
  <c r="E199" i="2" l="1"/>
  <c r="D199" i="2"/>
  <c r="I195" i="2"/>
  <c r="K194" i="2"/>
  <c r="B201" i="2"/>
  <c r="C200" i="2"/>
  <c r="N194" i="2"/>
  <c r="L194" i="2"/>
  <c r="M193" i="2"/>
  <c r="O193" i="2" s="1"/>
  <c r="J194" i="2"/>
  <c r="F195" i="2"/>
  <c r="G196" i="2"/>
  <c r="H196" i="2" s="1"/>
  <c r="I196" i="2" a="1"/>
  <c r="K195" i="2" a="1"/>
  <c r="F196" i="2" a="1"/>
  <c r="E200" i="2" a="1"/>
  <c r="D200" i="2" a="1"/>
  <c r="E200" i="2" l="1"/>
  <c r="D200" i="2"/>
  <c r="I196" i="2"/>
  <c r="K195" i="2"/>
  <c r="B202" i="2"/>
  <c r="C201" i="2"/>
  <c r="N195" i="2"/>
  <c r="L195" i="2"/>
  <c r="M194" i="2"/>
  <c r="O194" i="2" s="1"/>
  <c r="J195" i="2"/>
  <c r="F196" i="2"/>
  <c r="P194" i="2"/>
  <c r="G197" i="2"/>
  <c r="H197" i="2" s="1"/>
  <c r="F197" i="2" a="1"/>
  <c r="E201" i="2" a="1"/>
  <c r="K196" i="2" a="1"/>
  <c r="D201" i="2" a="1"/>
  <c r="I197" i="2" a="1"/>
  <c r="D201" i="2" l="1"/>
  <c r="E201" i="2"/>
  <c r="I197" i="2"/>
  <c r="K196" i="2"/>
  <c r="B203" i="2"/>
  <c r="C202" i="2"/>
  <c r="N196" i="2"/>
  <c r="L196" i="2"/>
  <c r="M195" i="2"/>
  <c r="O195" i="2" s="1"/>
  <c r="J196" i="2"/>
  <c r="F197" i="2"/>
  <c r="P195" i="2"/>
  <c r="G198" i="2"/>
  <c r="H198" i="2" s="1"/>
  <c r="K197" i="2" a="1"/>
  <c r="I198" i="2" a="1"/>
  <c r="D202" i="2" a="1"/>
  <c r="F198" i="2" a="1"/>
  <c r="E202" i="2" a="1"/>
  <c r="D202" i="2" l="1"/>
  <c r="E202" i="2"/>
  <c r="I198" i="2"/>
  <c r="K197" i="2"/>
  <c r="B204" i="2"/>
  <c r="C203" i="2"/>
  <c r="L197" i="2"/>
  <c r="N197" i="2"/>
  <c r="M196" i="2"/>
  <c r="O196" i="2" s="1"/>
  <c r="F198" i="2"/>
  <c r="J197" i="2"/>
  <c r="G199" i="2"/>
  <c r="H199" i="2" s="1"/>
  <c r="P196" i="2"/>
  <c r="I199" i="2" a="1"/>
  <c r="E203" i="2" a="1"/>
  <c r="D203" i="2" a="1"/>
  <c r="K198" i="2" a="1"/>
  <c r="F199" i="2" a="1"/>
  <c r="D203" i="2" l="1"/>
  <c r="E203" i="2"/>
  <c r="I199" i="2"/>
  <c r="K198" i="2"/>
  <c r="B205" i="2"/>
  <c r="C204" i="2"/>
  <c r="N198" i="2"/>
  <c r="L198" i="2"/>
  <c r="M197" i="2"/>
  <c r="O197" i="2" s="1"/>
  <c r="F199" i="2"/>
  <c r="J198" i="2"/>
  <c r="P197" i="2"/>
  <c r="G200" i="2"/>
  <c r="H200" i="2" s="1"/>
  <c r="D204" i="2" a="1"/>
  <c r="E204" i="2" a="1"/>
  <c r="K199" i="2" a="1"/>
  <c r="I200" i="2" a="1"/>
  <c r="F200" i="2" a="1"/>
  <c r="I200" i="2" l="1"/>
  <c r="E204" i="2"/>
  <c r="D204" i="2"/>
  <c r="K199" i="2"/>
  <c r="B206" i="2"/>
  <c r="C205" i="2"/>
  <c r="N199" i="2"/>
  <c r="L199" i="2"/>
  <c r="M198" i="2"/>
  <c r="O198" i="2" s="1"/>
  <c r="F200" i="2"/>
  <c r="P198" i="2"/>
  <c r="J199" i="2"/>
  <c r="G201" i="2"/>
  <c r="H201" i="2" s="1"/>
  <c r="D205" i="2" a="1"/>
  <c r="I201" i="2" a="1"/>
  <c r="E205" i="2" a="1"/>
  <c r="K200" i="2" a="1"/>
  <c r="F201" i="2" a="1"/>
  <c r="E205" i="2" l="1"/>
  <c r="D205" i="2"/>
  <c r="I201" i="2"/>
  <c r="K200" i="2"/>
  <c r="B207" i="2"/>
  <c r="C206" i="2"/>
  <c r="L200" i="2"/>
  <c r="N200" i="2"/>
  <c r="M199" i="2"/>
  <c r="O199" i="2" s="1"/>
  <c r="J200" i="2"/>
  <c r="F201" i="2"/>
  <c r="P199" i="2"/>
  <c r="G202" i="2"/>
  <c r="H202" i="2" s="1"/>
  <c r="D206" i="2" a="1"/>
  <c r="K201" i="2" a="1"/>
  <c r="E206" i="2" a="1"/>
  <c r="I202" i="2" a="1"/>
  <c r="F202" i="2" a="1"/>
  <c r="E206" i="2" l="1"/>
  <c r="D206" i="2"/>
  <c r="K201" i="2"/>
  <c r="I202" i="2"/>
  <c r="B208" i="2"/>
  <c r="C207" i="2"/>
  <c r="N201" i="2"/>
  <c r="L201" i="2"/>
  <c r="M200" i="2"/>
  <c r="O200" i="2" s="1"/>
  <c r="F202" i="2"/>
  <c r="J201" i="2"/>
  <c r="P200" i="2"/>
  <c r="G203" i="2"/>
  <c r="H203" i="2" s="1"/>
  <c r="D207" i="2" a="1"/>
  <c r="I203" i="2" a="1"/>
  <c r="E207" i="2" a="1"/>
  <c r="K202" i="2" a="1"/>
  <c r="F203" i="2" a="1"/>
  <c r="E207" i="2" l="1"/>
  <c r="D207" i="2"/>
  <c r="I203" i="2"/>
  <c r="K202" i="2"/>
  <c r="B209" i="2"/>
  <c r="C208" i="2"/>
  <c r="N202" i="2"/>
  <c r="L202" i="2"/>
  <c r="P202" i="2" s="1"/>
  <c r="M201" i="2"/>
  <c r="O201" i="2" s="1"/>
  <c r="J202" i="2"/>
  <c r="F203" i="2"/>
  <c r="P201" i="2"/>
  <c r="G204" i="2"/>
  <c r="H204" i="2" s="1"/>
  <c r="K203" i="2" a="1"/>
  <c r="E208" i="2" a="1"/>
  <c r="D208" i="2" a="1"/>
  <c r="F204" i="2" a="1"/>
  <c r="I204" i="2" a="1"/>
  <c r="I204" i="2" l="1"/>
  <c r="D208" i="2"/>
  <c r="E208" i="2"/>
  <c r="K203" i="2"/>
  <c r="B210" i="2"/>
  <c r="C209" i="2"/>
  <c r="L203" i="2"/>
  <c r="N203" i="2"/>
  <c r="M202" i="2"/>
  <c r="O202" i="2" s="1"/>
  <c r="J203" i="2"/>
  <c r="F204" i="2"/>
  <c r="G205" i="2"/>
  <c r="H205" i="2" s="1"/>
  <c r="D209" i="2" a="1"/>
  <c r="E209" i="2" a="1"/>
  <c r="I205" i="2" a="1"/>
  <c r="F205" i="2" a="1"/>
  <c r="K204" i="2" a="1"/>
  <c r="E209" i="2" l="1"/>
  <c r="D209" i="2"/>
  <c r="I205" i="2"/>
  <c r="K204" i="2"/>
  <c r="B211" i="2"/>
  <c r="C210" i="2"/>
  <c r="N204" i="2"/>
  <c r="L204" i="2"/>
  <c r="M203" i="2"/>
  <c r="O203" i="2" s="1"/>
  <c r="J204" i="2"/>
  <c r="F205" i="2"/>
  <c r="G206" i="2"/>
  <c r="H206" i="2" s="1"/>
  <c r="P203" i="2"/>
  <c r="D210" i="2" a="1"/>
  <c r="F206" i="2" a="1"/>
  <c r="K205" i="2" a="1"/>
  <c r="E210" i="2" a="1"/>
  <c r="I206" i="2" a="1"/>
  <c r="E210" i="2" l="1"/>
  <c r="D210" i="2"/>
  <c r="I206" i="2"/>
  <c r="K205" i="2"/>
  <c r="L205" i="2"/>
  <c r="N205" i="2"/>
  <c r="B212" i="2"/>
  <c r="C211" i="2"/>
  <c r="M204" i="2"/>
  <c r="O204" i="2" s="1"/>
  <c r="F206" i="2"/>
  <c r="J205" i="2"/>
  <c r="P204" i="2"/>
  <c r="G207" i="2"/>
  <c r="H207" i="2" s="1"/>
  <c r="K206" i="2" a="1"/>
  <c r="I207" i="2" a="1"/>
  <c r="F207" i="2" a="1"/>
  <c r="E211" i="2" a="1"/>
  <c r="D211" i="2" a="1"/>
  <c r="D211" i="2" l="1"/>
  <c r="E211" i="2"/>
  <c r="I207" i="2"/>
  <c r="K206" i="2"/>
  <c r="B213" i="2"/>
  <c r="C212" i="2"/>
  <c r="N206" i="2"/>
  <c r="L206" i="2"/>
  <c r="M205" i="2"/>
  <c r="O205" i="2" s="1"/>
  <c r="F207" i="2"/>
  <c r="J206" i="2"/>
  <c r="P205" i="2"/>
  <c r="G208" i="2"/>
  <c r="H208" i="2" s="1"/>
  <c r="D212" i="2" a="1"/>
  <c r="K207" i="2" a="1"/>
  <c r="E212" i="2" a="1"/>
  <c r="I208" i="2" a="1"/>
  <c r="F208" i="2" a="1"/>
  <c r="I208" i="2" l="1"/>
  <c r="D212" i="2"/>
  <c r="E212" i="2"/>
  <c r="K207" i="2"/>
  <c r="B214" i="2"/>
  <c r="C213" i="2"/>
  <c r="N207" i="2"/>
  <c r="L207" i="2"/>
  <c r="M206" i="2"/>
  <c r="O206" i="2" s="1"/>
  <c r="F208" i="2"/>
  <c r="J207" i="2"/>
  <c r="P206" i="2"/>
  <c r="G209" i="2"/>
  <c r="H209" i="2" s="1"/>
  <c r="E213" i="2" a="1"/>
  <c r="K208" i="2" a="1"/>
  <c r="I209" i="2" a="1"/>
  <c r="F209" i="2" a="1"/>
  <c r="D213" i="2" a="1"/>
  <c r="I209" i="2" l="1"/>
  <c r="E213" i="2"/>
  <c r="D213" i="2"/>
  <c r="K208" i="2"/>
  <c r="B215" i="2"/>
  <c r="C214" i="2"/>
  <c r="L208" i="2"/>
  <c r="N208" i="2"/>
  <c r="M207" i="2"/>
  <c r="O207" i="2" s="1"/>
  <c r="J208" i="2"/>
  <c r="F209" i="2"/>
  <c r="P207" i="2"/>
  <c r="G210" i="2"/>
  <c r="H210" i="2" s="1"/>
  <c r="K209" i="2" a="1"/>
  <c r="D214" i="2" a="1"/>
  <c r="I210" i="2" a="1"/>
  <c r="E214" i="2" a="1"/>
  <c r="F210" i="2" a="1"/>
  <c r="E214" i="2" l="1"/>
  <c r="D214" i="2"/>
  <c r="I210" i="2"/>
  <c r="K209" i="2"/>
  <c r="B216" i="2"/>
  <c r="C215" i="2"/>
  <c r="N209" i="2"/>
  <c r="L209" i="2"/>
  <c r="M208" i="2"/>
  <c r="O208" i="2" s="1"/>
  <c r="J209" i="2"/>
  <c r="F210" i="2"/>
  <c r="P208" i="2"/>
  <c r="G211" i="2"/>
  <c r="H211" i="2" s="1"/>
  <c r="E215" i="2" a="1"/>
  <c r="K210" i="2" a="1"/>
  <c r="D215" i="2" a="1"/>
  <c r="F211" i="2" a="1"/>
  <c r="I211" i="2" a="1"/>
  <c r="I211" i="2" l="1"/>
  <c r="D215" i="2"/>
  <c r="E215" i="2"/>
  <c r="K210" i="2"/>
  <c r="B217" i="2"/>
  <c r="C216" i="2"/>
  <c r="L210" i="2"/>
  <c r="P210" i="2" s="1"/>
  <c r="N210" i="2"/>
  <c r="M209" i="2"/>
  <c r="O209" i="2" s="1"/>
  <c r="J210" i="2"/>
  <c r="F211" i="2"/>
  <c r="G212" i="2"/>
  <c r="H212" i="2" s="1"/>
  <c r="P209" i="2"/>
  <c r="K211" i="2" a="1"/>
  <c r="F212" i="2" a="1"/>
  <c r="I212" i="2" a="1"/>
  <c r="D216" i="2" a="1"/>
  <c r="E216" i="2" a="1"/>
  <c r="D216" i="2" l="1"/>
  <c r="E216" i="2"/>
  <c r="I212" i="2"/>
  <c r="K211" i="2"/>
  <c r="B218" i="2"/>
  <c r="C217" i="2"/>
  <c r="N211" i="2"/>
  <c r="L211" i="2"/>
  <c r="P211" i="2" s="1"/>
  <c r="M210" i="2"/>
  <c r="O210" i="2" s="1"/>
  <c r="J211" i="2"/>
  <c r="F212" i="2"/>
  <c r="G213" i="2"/>
  <c r="H213" i="2" s="1"/>
  <c r="I213" i="2" a="1"/>
  <c r="E217" i="2" a="1"/>
  <c r="F213" i="2" a="1"/>
  <c r="D217" i="2" a="1"/>
  <c r="K212" i="2" a="1"/>
  <c r="E217" i="2" l="1"/>
  <c r="D217" i="2"/>
  <c r="I213" i="2"/>
  <c r="K212" i="2"/>
  <c r="B219" i="2"/>
  <c r="C218" i="2"/>
  <c r="L212" i="2"/>
  <c r="N212" i="2"/>
  <c r="M211" i="2"/>
  <c r="O211" i="2" s="1"/>
  <c r="J212" i="2"/>
  <c r="F213" i="2"/>
  <c r="G214" i="2"/>
  <c r="H214" i="2" s="1"/>
  <c r="D218" i="2" a="1"/>
  <c r="I214" i="2" a="1"/>
  <c r="F214" i="2" a="1"/>
  <c r="K213" i="2" a="1"/>
  <c r="E218" i="2" a="1"/>
  <c r="I214" i="2" l="1"/>
  <c r="D218" i="2"/>
  <c r="E218" i="2"/>
  <c r="K213" i="2"/>
  <c r="B220" i="2"/>
  <c r="C219" i="2"/>
  <c r="N213" i="2"/>
  <c r="L213" i="2"/>
  <c r="P213" i="2" s="1"/>
  <c r="M212" i="2"/>
  <c r="O212" i="2" s="1"/>
  <c r="J213" i="2"/>
  <c r="F214" i="2"/>
  <c r="P212" i="2"/>
  <c r="G215" i="2"/>
  <c r="H215" i="2" s="1"/>
  <c r="K214" i="2" a="1"/>
  <c r="F215" i="2" a="1"/>
  <c r="D219" i="2" a="1"/>
  <c r="E219" i="2" a="1"/>
  <c r="I215" i="2" a="1"/>
  <c r="I215" i="2" l="1"/>
  <c r="D219" i="2"/>
  <c r="E219" i="2"/>
  <c r="K214" i="2"/>
  <c r="B221" i="2"/>
  <c r="C220" i="2"/>
  <c r="N214" i="2"/>
  <c r="L214" i="2"/>
  <c r="M213" i="2"/>
  <c r="O213" i="2" s="1"/>
  <c r="J214" i="2"/>
  <c r="F215" i="2"/>
  <c r="G216" i="2"/>
  <c r="H216" i="2" s="1"/>
  <c r="F216" i="2" a="1"/>
  <c r="E220" i="2" a="1"/>
  <c r="K215" i="2" a="1"/>
  <c r="I216" i="2" a="1"/>
  <c r="D220" i="2" a="1"/>
  <c r="E220" i="2" l="1"/>
  <c r="D220" i="2"/>
  <c r="I216" i="2"/>
  <c r="K215" i="2"/>
  <c r="B222" i="2"/>
  <c r="C221" i="2"/>
  <c r="N215" i="2"/>
  <c r="L215" i="2"/>
  <c r="M214" i="2"/>
  <c r="O214" i="2" s="1"/>
  <c r="J215" i="2"/>
  <c r="F216" i="2"/>
  <c r="P214" i="2"/>
  <c r="G217" i="2"/>
  <c r="H217" i="2" s="1"/>
  <c r="K216" i="2" a="1"/>
  <c r="E221" i="2" a="1"/>
  <c r="F217" i="2" a="1"/>
  <c r="D221" i="2" a="1"/>
  <c r="I217" i="2" a="1"/>
  <c r="I217" i="2" l="1"/>
  <c r="K216" i="2"/>
  <c r="E221" i="2"/>
  <c r="D221" i="2"/>
  <c r="N216" i="2"/>
  <c r="L216" i="2"/>
  <c r="B223" i="2"/>
  <c r="C222" i="2"/>
  <c r="M215" i="2"/>
  <c r="O215" i="2" s="1"/>
  <c r="J216" i="2"/>
  <c r="F217" i="2"/>
  <c r="P215" i="2"/>
  <c r="G218" i="2"/>
  <c r="H218" i="2" s="1"/>
  <c r="E222" i="2" a="1"/>
  <c r="D222" i="2" a="1"/>
  <c r="I218" i="2" a="1"/>
  <c r="F218" i="2" a="1"/>
  <c r="K217" i="2" a="1"/>
  <c r="I218" i="2" l="1"/>
  <c r="E222" i="2"/>
  <c r="D222" i="2"/>
  <c r="K217" i="2"/>
  <c r="B224" i="2"/>
  <c r="C223" i="2"/>
  <c r="N217" i="2"/>
  <c r="L217" i="2"/>
  <c r="P217" i="2" s="1"/>
  <c r="M216" i="2"/>
  <c r="O216" i="2" s="1"/>
  <c r="J217" i="2"/>
  <c r="F218" i="2"/>
  <c r="P216" i="2"/>
  <c r="G219" i="2"/>
  <c r="H219" i="2" s="1"/>
  <c r="D223" i="2" a="1"/>
  <c r="E223" i="2" a="1"/>
  <c r="I219" i="2" a="1"/>
  <c r="K218" i="2" a="1"/>
  <c r="F219" i="2" a="1"/>
  <c r="I219" i="2" l="1"/>
  <c r="E223" i="2"/>
  <c r="D223" i="2"/>
  <c r="K218" i="2"/>
  <c r="B225" i="2"/>
  <c r="C224" i="2"/>
  <c r="N218" i="2"/>
  <c r="L218" i="2"/>
  <c r="M217" i="2"/>
  <c r="O217" i="2" s="1"/>
  <c r="F219" i="2"/>
  <c r="J218" i="2"/>
  <c r="G220" i="2"/>
  <c r="H220" i="2" s="1"/>
  <c r="D224" i="2" a="1"/>
  <c r="K219" i="2" a="1"/>
  <c r="F220" i="2" a="1"/>
  <c r="I220" i="2" a="1"/>
  <c r="E224" i="2" a="1"/>
  <c r="E224" i="2" l="1"/>
  <c r="D224" i="2"/>
  <c r="I220" i="2"/>
  <c r="K219" i="2"/>
  <c r="B226" i="2"/>
  <c r="C225" i="2"/>
  <c r="N219" i="2"/>
  <c r="L219" i="2"/>
  <c r="M218" i="2"/>
  <c r="J219" i="2"/>
  <c r="F220" i="2"/>
  <c r="P218" i="2"/>
  <c r="O218" i="2"/>
  <c r="G221" i="2"/>
  <c r="H221" i="2" s="1"/>
  <c r="E225" i="2" a="1"/>
  <c r="I221" i="2" a="1"/>
  <c r="K220" i="2" a="1"/>
  <c r="D225" i="2" a="1"/>
  <c r="F221" i="2" a="1"/>
  <c r="K220" i="2" l="1"/>
  <c r="D225" i="2"/>
  <c r="E225" i="2"/>
  <c r="I221" i="2"/>
  <c r="N220" i="2"/>
  <c r="L220" i="2"/>
  <c r="B227" i="2"/>
  <c r="C226" i="2"/>
  <c r="M219" i="2"/>
  <c r="O219" i="2" s="1"/>
  <c r="F221" i="2"/>
  <c r="J220" i="2"/>
  <c r="P219" i="2"/>
  <c r="G222" i="2"/>
  <c r="H222" i="2" s="1"/>
  <c r="I222" i="2" a="1"/>
  <c r="D226" i="2" a="1"/>
  <c r="F222" i="2" a="1"/>
  <c r="K221" i="2" a="1"/>
  <c r="E226" i="2" a="1"/>
  <c r="D226" i="2" l="1"/>
  <c r="E226" i="2"/>
  <c r="I222" i="2"/>
  <c r="K221" i="2"/>
  <c r="B228" i="2"/>
  <c r="C227" i="2"/>
  <c r="N221" i="2"/>
  <c r="L221" i="2"/>
  <c r="M220" i="2"/>
  <c r="O220" i="2" s="1"/>
  <c r="F222" i="2"/>
  <c r="J221" i="2"/>
  <c r="P220" i="2"/>
  <c r="G223" i="2"/>
  <c r="H223" i="2" s="1"/>
  <c r="K222" i="2" a="1"/>
  <c r="I223" i="2" a="1"/>
  <c r="D227" i="2" a="1"/>
  <c r="E227" i="2" a="1"/>
  <c r="F223" i="2" a="1"/>
  <c r="I223" i="2" l="1"/>
  <c r="E227" i="2"/>
  <c r="D227" i="2"/>
  <c r="K222" i="2"/>
  <c r="N222" i="2"/>
  <c r="L222" i="2"/>
  <c r="B229" i="2"/>
  <c r="C228" i="2"/>
  <c r="M221" i="2"/>
  <c r="J222" i="2"/>
  <c r="F223" i="2"/>
  <c r="O221" i="2"/>
  <c r="P221" i="2"/>
  <c r="G224" i="2"/>
  <c r="H224" i="2" s="1"/>
  <c r="D228" i="2" a="1"/>
  <c r="E228" i="2" a="1"/>
  <c r="I224" i="2" a="1"/>
  <c r="K223" i="2" a="1"/>
  <c r="F224" i="2" a="1"/>
  <c r="E228" i="2" l="1"/>
  <c r="D228" i="2"/>
  <c r="I224" i="2"/>
  <c r="K223" i="2"/>
  <c r="B230" i="2"/>
  <c r="C229" i="2"/>
  <c r="N223" i="2"/>
  <c r="L223" i="2"/>
  <c r="P223" i="2" s="1"/>
  <c r="M222" i="2"/>
  <c r="O222" i="2" s="1"/>
  <c r="J223" i="2"/>
  <c r="F224" i="2"/>
  <c r="P222" i="2"/>
  <c r="G225" i="2"/>
  <c r="H225" i="2" s="1"/>
  <c r="D229" i="2" a="1"/>
  <c r="K224" i="2" a="1"/>
  <c r="I225" i="2" a="1"/>
  <c r="E229" i="2" a="1"/>
  <c r="F225" i="2" a="1"/>
  <c r="D229" i="2" l="1"/>
  <c r="E229" i="2"/>
  <c r="I225" i="2"/>
  <c r="K224" i="2"/>
  <c r="B231" i="2"/>
  <c r="C230" i="2"/>
  <c r="N224" i="2"/>
  <c r="L224" i="2"/>
  <c r="M223" i="2"/>
  <c r="O223" i="2" s="1"/>
  <c r="F225" i="2"/>
  <c r="J224" i="2"/>
  <c r="G226" i="2"/>
  <c r="H226" i="2" s="1"/>
  <c r="E230" i="2" a="1"/>
  <c r="F226" i="2" a="1"/>
  <c r="D230" i="2" a="1"/>
  <c r="K225" i="2" a="1"/>
  <c r="I226" i="2" a="1"/>
  <c r="E230" i="2" l="1"/>
  <c r="D230" i="2"/>
  <c r="I226" i="2"/>
  <c r="K225" i="2"/>
  <c r="B232" i="2"/>
  <c r="C231" i="2"/>
  <c r="L225" i="2"/>
  <c r="N225" i="2"/>
  <c r="M224" i="2"/>
  <c r="O224" i="2" s="1"/>
  <c r="J225" i="2"/>
  <c r="F226" i="2"/>
  <c r="P224" i="2"/>
  <c r="G227" i="2"/>
  <c r="H227" i="2" s="1"/>
  <c r="E231" i="2" a="1"/>
  <c r="D231" i="2" a="1"/>
  <c r="I227" i="2" a="1"/>
  <c r="F227" i="2" a="1"/>
  <c r="K226" i="2" a="1"/>
  <c r="I227" i="2" l="1"/>
  <c r="D231" i="2"/>
  <c r="E231" i="2"/>
  <c r="K226" i="2"/>
  <c r="B233" i="2"/>
  <c r="C232" i="2"/>
  <c r="L226" i="2"/>
  <c r="P226" i="2" s="1"/>
  <c r="N226" i="2"/>
  <c r="M225" i="2"/>
  <c r="O225" i="2" s="1"/>
  <c r="J226" i="2"/>
  <c r="F227" i="2"/>
  <c r="P225" i="2"/>
  <c r="G228" i="2"/>
  <c r="H228" i="2" s="1"/>
  <c r="D232" i="2" a="1"/>
  <c r="F228" i="2" a="1"/>
  <c r="K227" i="2" a="1"/>
  <c r="I228" i="2" a="1"/>
  <c r="E232" i="2" a="1"/>
  <c r="I228" i="2" l="1"/>
  <c r="E232" i="2"/>
  <c r="D232" i="2"/>
  <c r="K227" i="2"/>
  <c r="B234" i="2"/>
  <c r="C233" i="2"/>
  <c r="N227" i="2"/>
  <c r="L227" i="2"/>
  <c r="M226" i="2"/>
  <c r="O226" i="2" s="1"/>
  <c r="J227" i="2"/>
  <c r="F228" i="2"/>
  <c r="G229" i="2"/>
  <c r="H229" i="2" s="1"/>
  <c r="I229" i="2" a="1"/>
  <c r="F229" i="2" a="1"/>
  <c r="K228" i="2" a="1"/>
  <c r="E233" i="2" a="1"/>
  <c r="D233" i="2" a="1"/>
  <c r="D233" i="2" l="1"/>
  <c r="E233" i="2"/>
  <c r="I229" i="2"/>
  <c r="K228" i="2"/>
  <c r="B235" i="2"/>
  <c r="C234" i="2"/>
  <c r="N228" i="2"/>
  <c r="L228" i="2"/>
  <c r="M227" i="2"/>
  <c r="O227" i="2" s="1"/>
  <c r="J228" i="2"/>
  <c r="F229" i="2"/>
  <c r="P227" i="2"/>
  <c r="G230" i="2"/>
  <c r="H230" i="2" s="1"/>
  <c r="I230" i="2" a="1"/>
  <c r="K229" i="2" a="1"/>
  <c r="F230" i="2" a="1"/>
  <c r="E234" i="2" a="1"/>
  <c r="D234" i="2" a="1"/>
  <c r="D234" i="2" l="1"/>
  <c r="E234" i="2"/>
  <c r="I230" i="2"/>
  <c r="K229" i="2"/>
  <c r="B236" i="2"/>
  <c r="C235" i="2"/>
  <c r="N229" i="2"/>
  <c r="L229" i="2"/>
  <c r="M228" i="2"/>
  <c r="O228" i="2" s="1"/>
  <c r="J229" i="2"/>
  <c r="F230" i="2"/>
  <c r="P228" i="2"/>
  <c r="G231" i="2"/>
  <c r="H231" i="2" s="1"/>
  <c r="F231" i="2" a="1"/>
  <c r="K230" i="2" a="1"/>
  <c r="I231" i="2" a="1"/>
  <c r="D235" i="2" a="1"/>
  <c r="E235" i="2" a="1"/>
  <c r="E235" i="2" l="1"/>
  <c r="D235" i="2"/>
  <c r="I231" i="2"/>
  <c r="K230" i="2"/>
  <c r="N230" i="2"/>
  <c r="L230" i="2"/>
  <c r="B237" i="2"/>
  <c r="C236" i="2"/>
  <c r="M229" i="2"/>
  <c r="F231" i="2"/>
  <c r="J230" i="2"/>
  <c r="P229" i="2"/>
  <c r="O229" i="2"/>
  <c r="G232" i="2"/>
  <c r="H232" i="2" s="1"/>
  <c r="F232" i="2" a="1"/>
  <c r="K231" i="2" a="1"/>
  <c r="I232" i="2" a="1"/>
  <c r="E236" i="2" a="1"/>
  <c r="D236" i="2" a="1"/>
  <c r="E236" i="2" l="1"/>
  <c r="D236" i="2"/>
  <c r="K231" i="2"/>
  <c r="I232" i="2"/>
  <c r="N231" i="2"/>
  <c r="L231" i="2"/>
  <c r="P231" i="2" s="1"/>
  <c r="B238" i="2"/>
  <c r="C237" i="2"/>
  <c r="M230" i="2"/>
  <c r="O230" i="2" s="1"/>
  <c r="J231" i="2"/>
  <c r="F232" i="2"/>
  <c r="P230" i="2"/>
  <c r="G233" i="2"/>
  <c r="H233" i="2" s="1"/>
  <c r="D237" i="2" a="1"/>
  <c r="I233" i="2" a="1"/>
  <c r="F233" i="2" a="1"/>
  <c r="E237" i="2" a="1"/>
  <c r="K232" i="2" a="1"/>
  <c r="I233" i="2" l="1"/>
  <c r="E237" i="2"/>
  <c r="D237" i="2"/>
  <c r="K232" i="2"/>
  <c r="L232" i="2"/>
  <c r="N232" i="2"/>
  <c r="B239" i="2"/>
  <c r="C238" i="2"/>
  <c r="M231" i="2"/>
  <c r="J232" i="2"/>
  <c r="F233" i="2"/>
  <c r="O231" i="2"/>
  <c r="G234" i="2"/>
  <c r="H234" i="2" s="1"/>
  <c r="F234" i="2" a="1"/>
  <c r="I234" i="2" a="1"/>
  <c r="D238" i="2" a="1"/>
  <c r="K233" i="2" a="1"/>
  <c r="E238" i="2" a="1"/>
  <c r="E238" i="2" l="1"/>
  <c r="D238" i="2"/>
  <c r="I234" i="2"/>
  <c r="K233" i="2"/>
  <c r="B240" i="2"/>
  <c r="C239" i="2"/>
  <c r="L233" i="2"/>
  <c r="P233" i="2" s="1"/>
  <c r="N233" i="2"/>
  <c r="M232" i="2"/>
  <c r="O232" i="2" s="1"/>
  <c r="J233" i="2"/>
  <c r="F234" i="2"/>
  <c r="P232" i="2"/>
  <c r="G235" i="2"/>
  <c r="H235" i="2" s="1"/>
  <c r="F235" i="2" a="1"/>
  <c r="K234" i="2" a="1"/>
  <c r="I235" i="2" a="1"/>
  <c r="E239" i="2" a="1"/>
  <c r="D239" i="2" a="1"/>
  <c r="D239" i="2" l="1"/>
  <c r="E239" i="2"/>
  <c r="I235" i="2"/>
  <c r="K234" i="2"/>
  <c r="L234" i="2"/>
  <c r="N234" i="2"/>
  <c r="B241" i="2"/>
  <c r="C240" i="2"/>
  <c r="M233" i="2"/>
  <c r="O233" i="2" s="1"/>
  <c r="J234" i="2"/>
  <c r="F235" i="2"/>
  <c r="G236" i="2"/>
  <c r="H236" i="2" s="1"/>
  <c r="E240" i="2" a="1"/>
  <c r="F236" i="2" a="1"/>
  <c r="I236" i="2" a="1"/>
  <c r="K235" i="2" a="1"/>
  <c r="D240" i="2" a="1"/>
  <c r="I236" i="2" l="1"/>
  <c r="D240" i="2"/>
  <c r="E240" i="2"/>
  <c r="K235" i="2"/>
  <c r="B242" i="2"/>
  <c r="C241" i="2"/>
  <c r="N235" i="2"/>
  <c r="L235" i="2"/>
  <c r="M234" i="2"/>
  <c r="O234" i="2" s="1"/>
  <c r="F236" i="2"/>
  <c r="J235" i="2"/>
  <c r="P234" i="2"/>
  <c r="G237" i="2"/>
  <c r="H237" i="2" s="1"/>
  <c r="F237" i="2" a="1"/>
  <c r="I237" i="2" a="1"/>
  <c r="K236" i="2" a="1"/>
  <c r="E241" i="2" a="1"/>
  <c r="D241" i="2" a="1"/>
  <c r="D241" i="2" l="1"/>
  <c r="E241" i="2"/>
  <c r="I237" i="2"/>
  <c r="K236" i="2"/>
  <c r="B243" i="2"/>
  <c r="C242" i="2"/>
  <c r="L236" i="2"/>
  <c r="N236" i="2"/>
  <c r="M235" i="2"/>
  <c r="O235" i="2" s="1"/>
  <c r="J236" i="2"/>
  <c r="F237" i="2"/>
  <c r="P235" i="2"/>
  <c r="G238" i="2"/>
  <c r="H238" i="2" s="1"/>
  <c r="F238" i="2" a="1"/>
  <c r="K237" i="2" a="1"/>
  <c r="E242" i="2" a="1"/>
  <c r="D242" i="2" a="1"/>
  <c r="I238" i="2" a="1"/>
  <c r="I238" i="2" l="1"/>
  <c r="D242" i="2"/>
  <c r="E242" i="2"/>
  <c r="K237" i="2"/>
  <c r="B244" i="2"/>
  <c r="C243" i="2"/>
  <c r="L237" i="2"/>
  <c r="N237" i="2"/>
  <c r="M236" i="2"/>
  <c r="O236" i="2" s="1"/>
  <c r="J237" i="2"/>
  <c r="F238" i="2"/>
  <c r="P236" i="2"/>
  <c r="G239" i="2"/>
  <c r="H239" i="2" s="1"/>
  <c r="F239" i="2" a="1"/>
  <c r="I239" i="2" a="1"/>
  <c r="E243" i="2" a="1"/>
  <c r="D243" i="2" a="1"/>
  <c r="K238" i="2" a="1"/>
  <c r="D243" i="2" l="1"/>
  <c r="E243" i="2"/>
  <c r="I239" i="2"/>
  <c r="K238" i="2"/>
  <c r="B245" i="2"/>
  <c r="C244" i="2"/>
  <c r="L238" i="2"/>
  <c r="N238" i="2"/>
  <c r="M237" i="2"/>
  <c r="O237" i="2" s="1"/>
  <c r="F239" i="2"/>
  <c r="J238" i="2"/>
  <c r="P237" i="2"/>
  <c r="G240" i="2"/>
  <c r="H240" i="2" s="1"/>
  <c r="E244" i="2" a="1"/>
  <c r="D244" i="2" a="1"/>
  <c r="F240" i="2" a="1"/>
  <c r="K239" i="2" a="1"/>
  <c r="I240" i="2" a="1"/>
  <c r="I240" i="2" l="1"/>
  <c r="E244" i="2"/>
  <c r="D244" i="2"/>
  <c r="K239" i="2"/>
  <c r="N239" i="2"/>
  <c r="L239" i="2"/>
  <c r="B246" i="2"/>
  <c r="C245" i="2"/>
  <c r="M238" i="2"/>
  <c r="O238" i="2" s="1"/>
  <c r="F240" i="2"/>
  <c r="J239" i="2"/>
  <c r="P238" i="2"/>
  <c r="G241" i="2"/>
  <c r="H241" i="2" s="1"/>
  <c r="K240" i="2" a="1"/>
  <c r="E245" i="2" a="1"/>
  <c r="F241" i="2" a="1"/>
  <c r="I241" i="2" a="1"/>
  <c r="D245" i="2" a="1"/>
  <c r="I241" i="2" l="1"/>
  <c r="D245" i="2"/>
  <c r="E245" i="2"/>
  <c r="K240" i="2"/>
  <c r="B247" i="2"/>
  <c r="C246" i="2"/>
  <c r="N240" i="2"/>
  <c r="L240" i="2"/>
  <c r="P240" i="2" s="1"/>
  <c r="M239" i="2"/>
  <c r="J240" i="2"/>
  <c r="F241" i="2"/>
  <c r="G242" i="2"/>
  <c r="H242" i="2" s="1"/>
  <c r="P239" i="2"/>
  <c r="O239" i="2"/>
  <c r="K241" i="2" a="1"/>
  <c r="I242" i="2" a="1"/>
  <c r="F242" i="2" a="1"/>
  <c r="E246" i="2" a="1"/>
  <c r="D246" i="2" a="1"/>
  <c r="I242" i="2" l="1"/>
  <c r="E246" i="2"/>
  <c r="D246" i="2"/>
  <c r="K241" i="2"/>
  <c r="B248" i="2"/>
  <c r="C247" i="2"/>
  <c r="N241" i="2"/>
  <c r="L241" i="2"/>
  <c r="P241" i="2" s="1"/>
  <c r="M240" i="2"/>
  <c r="J241" i="2"/>
  <c r="F242" i="2"/>
  <c r="O240" i="2"/>
  <c r="G243" i="2"/>
  <c r="H243" i="2" s="1"/>
  <c r="E247" i="2" a="1"/>
  <c r="I243" i="2" a="1"/>
  <c r="D247" i="2" a="1"/>
  <c r="F243" i="2" a="1"/>
  <c r="K242" i="2" a="1"/>
  <c r="I243" i="2" l="1"/>
  <c r="E247" i="2"/>
  <c r="D247" i="2"/>
  <c r="K242" i="2"/>
  <c r="B249" i="2"/>
  <c r="C248" i="2"/>
  <c r="N242" i="2"/>
  <c r="L242" i="2"/>
  <c r="P242" i="2" s="1"/>
  <c r="M241" i="2"/>
  <c r="O241" i="2" s="1"/>
  <c r="J242" i="2"/>
  <c r="F243" i="2"/>
  <c r="G244" i="2"/>
  <c r="H244" i="2" s="1"/>
  <c r="K243" i="2" a="1"/>
  <c r="I244" i="2" a="1"/>
  <c r="D248" i="2" a="1"/>
  <c r="F244" i="2" a="1"/>
  <c r="E248" i="2" a="1"/>
  <c r="I244" i="2" l="1"/>
  <c r="E248" i="2"/>
  <c r="D248" i="2"/>
  <c r="K243" i="2"/>
  <c r="B250" i="2"/>
  <c r="C249" i="2"/>
  <c r="N243" i="2"/>
  <c r="L243" i="2"/>
  <c r="M242" i="2"/>
  <c r="O242" i="2" s="1"/>
  <c r="J243" i="2"/>
  <c r="F244" i="2"/>
  <c r="G245" i="2"/>
  <c r="H245" i="2" s="1"/>
  <c r="D249" i="2" a="1"/>
  <c r="K244" i="2" a="1"/>
  <c r="F245" i="2" a="1"/>
  <c r="E249" i="2" a="1"/>
  <c r="I245" i="2" a="1"/>
  <c r="D249" i="2" l="1"/>
  <c r="E249" i="2"/>
  <c r="I245" i="2"/>
  <c r="K244" i="2"/>
  <c r="B251" i="2"/>
  <c r="C250" i="2"/>
  <c r="N244" i="2"/>
  <c r="L244" i="2"/>
  <c r="M243" i="2"/>
  <c r="O243" i="2" s="1"/>
  <c r="F245" i="2"/>
  <c r="J244" i="2"/>
  <c r="G246" i="2"/>
  <c r="H246" i="2" s="1"/>
  <c r="P243" i="2"/>
  <c r="I246" i="2" a="1"/>
  <c r="E250" i="2" a="1"/>
  <c r="F246" i="2" a="1"/>
  <c r="D250" i="2" a="1"/>
  <c r="K245" i="2" a="1"/>
  <c r="K245" i="2" l="1"/>
  <c r="E250" i="2"/>
  <c r="D250" i="2"/>
  <c r="I246" i="2"/>
  <c r="B252" i="2"/>
  <c r="C251" i="2"/>
  <c r="N245" i="2"/>
  <c r="L245" i="2"/>
  <c r="M244" i="2"/>
  <c r="J245" i="2"/>
  <c r="F246" i="2"/>
  <c r="P244" i="2"/>
  <c r="O244" i="2"/>
  <c r="G247" i="2"/>
  <c r="H247" i="2" s="1"/>
  <c r="I247" i="2" a="1"/>
  <c r="E251" i="2" a="1"/>
  <c r="D251" i="2" a="1"/>
  <c r="K246" i="2" a="1"/>
  <c r="F247" i="2" a="1"/>
  <c r="I247" i="2" l="1"/>
  <c r="E251" i="2"/>
  <c r="D251" i="2"/>
  <c r="K246" i="2"/>
  <c r="B253" i="2"/>
  <c r="C252" i="2"/>
  <c r="N246" i="2"/>
  <c r="L246" i="2"/>
  <c r="M245" i="2"/>
  <c r="J246" i="2"/>
  <c r="F247" i="2"/>
  <c r="P245" i="2"/>
  <c r="O245" i="2"/>
  <c r="G248" i="2"/>
  <c r="H248" i="2" s="1"/>
  <c r="I248" i="2" a="1"/>
  <c r="F248" i="2" a="1"/>
  <c r="K247" i="2" a="1"/>
  <c r="E252" i="2" a="1"/>
  <c r="D252" i="2" a="1"/>
  <c r="I248" i="2" l="1"/>
  <c r="D252" i="2"/>
  <c r="E252" i="2"/>
  <c r="K247" i="2"/>
  <c r="B254" i="2"/>
  <c r="C253" i="2"/>
  <c r="N247" i="2"/>
  <c r="L247" i="2"/>
  <c r="M246" i="2"/>
  <c r="O246" i="2" s="1"/>
  <c r="J247" i="2"/>
  <c r="F248" i="2"/>
  <c r="P246" i="2"/>
  <c r="G249" i="2"/>
  <c r="H249" i="2" s="1"/>
  <c r="I249" i="2" a="1"/>
  <c r="K248" i="2" a="1"/>
  <c r="F249" i="2" a="1"/>
  <c r="D253" i="2" a="1"/>
  <c r="E253" i="2" a="1"/>
  <c r="D253" i="2" l="1"/>
  <c r="E253" i="2"/>
  <c r="I249" i="2"/>
  <c r="K248" i="2"/>
  <c r="B255" i="2"/>
  <c r="C254" i="2"/>
  <c r="N248" i="2"/>
  <c r="L248" i="2"/>
  <c r="M247" i="2"/>
  <c r="O247" i="2" s="1"/>
  <c r="J248" i="2"/>
  <c r="F249" i="2"/>
  <c r="P247" i="2"/>
  <c r="G250" i="2"/>
  <c r="H250" i="2" s="1"/>
  <c r="I250" i="2" a="1"/>
  <c r="F250" i="2" a="1"/>
  <c r="D254" i="2" a="1"/>
  <c r="E254" i="2" a="1"/>
  <c r="K249" i="2" a="1"/>
  <c r="D254" i="2" l="1"/>
  <c r="E254" i="2"/>
  <c r="I250" i="2"/>
  <c r="K249" i="2"/>
  <c r="B256" i="2"/>
  <c r="C255" i="2"/>
  <c r="N249" i="2"/>
  <c r="L249" i="2"/>
  <c r="M248" i="2"/>
  <c r="O248" i="2" s="1"/>
  <c r="F250" i="2"/>
  <c r="J249" i="2"/>
  <c r="P248" i="2"/>
  <c r="G251" i="2"/>
  <c r="H251" i="2" s="1"/>
  <c r="D255" i="2" a="1"/>
  <c r="K250" i="2" a="1"/>
  <c r="I251" i="2" a="1"/>
  <c r="E255" i="2" a="1"/>
  <c r="F251" i="2" a="1"/>
  <c r="I251" i="2" l="1"/>
  <c r="E255" i="2"/>
  <c r="D255" i="2"/>
  <c r="K250" i="2"/>
  <c r="B257" i="2"/>
  <c r="C256" i="2"/>
  <c r="N250" i="2"/>
  <c r="L250" i="2"/>
  <c r="M249" i="2"/>
  <c r="O249" i="2" s="1"/>
  <c r="P249" i="2"/>
  <c r="F251" i="2"/>
  <c r="J250" i="2"/>
  <c r="G252" i="2"/>
  <c r="H252" i="2" s="1"/>
  <c r="D256" i="2" a="1"/>
  <c r="E256" i="2" a="1"/>
  <c r="F252" i="2" a="1"/>
  <c r="K251" i="2" a="1"/>
  <c r="I252" i="2" a="1"/>
  <c r="I252" i="2" l="1"/>
  <c r="D256" i="2"/>
  <c r="E256" i="2"/>
  <c r="K251" i="2"/>
  <c r="B258" i="2"/>
  <c r="C257" i="2"/>
  <c r="N251" i="2"/>
  <c r="L251" i="2"/>
  <c r="M250" i="2"/>
  <c r="O250" i="2" s="1"/>
  <c r="F252" i="2"/>
  <c r="J251" i="2"/>
  <c r="P250" i="2"/>
  <c r="G253" i="2"/>
  <c r="H253" i="2" s="1"/>
  <c r="D257" i="2" a="1"/>
  <c r="K252" i="2" a="1"/>
  <c r="F253" i="2" a="1"/>
  <c r="I253" i="2" a="1"/>
  <c r="E257" i="2" a="1"/>
  <c r="I253" i="2" l="1"/>
  <c r="E257" i="2"/>
  <c r="D257" i="2"/>
  <c r="K252" i="2"/>
  <c r="B259" i="2"/>
  <c r="C258" i="2"/>
  <c r="N252" i="2"/>
  <c r="L252" i="2"/>
  <c r="P252" i="2" s="1"/>
  <c r="M251" i="2"/>
  <c r="O251" i="2" s="1"/>
  <c r="J252" i="2"/>
  <c r="F253" i="2"/>
  <c r="P251" i="2"/>
  <c r="G254" i="2"/>
  <c r="H254" i="2" s="1"/>
  <c r="E258" i="2" a="1"/>
  <c r="D258" i="2" a="1"/>
  <c r="I254" i="2" a="1"/>
  <c r="F254" i="2" a="1"/>
  <c r="K253" i="2" a="1"/>
  <c r="I254" i="2" l="1"/>
  <c r="D258" i="2"/>
  <c r="E258" i="2"/>
  <c r="K253" i="2"/>
  <c r="B260" i="2"/>
  <c r="C259" i="2"/>
  <c r="N253" i="2"/>
  <c r="L253" i="2"/>
  <c r="P253" i="2" s="1"/>
  <c r="M252" i="2"/>
  <c r="O252" i="2" s="1"/>
  <c r="J253" i="2"/>
  <c r="F254" i="2"/>
  <c r="G255" i="2"/>
  <c r="H255" i="2" s="1"/>
  <c r="I255" i="2" a="1"/>
  <c r="D259" i="2" a="1"/>
  <c r="F255" i="2" a="1"/>
  <c r="K254" i="2" a="1"/>
  <c r="E259" i="2" a="1"/>
  <c r="D259" i="2" l="1"/>
  <c r="E259" i="2"/>
  <c r="I255" i="2"/>
  <c r="K254" i="2"/>
  <c r="B261" i="2"/>
  <c r="C260" i="2"/>
  <c r="N254" i="2"/>
  <c r="L254" i="2"/>
  <c r="M253" i="2"/>
  <c r="O253" i="2" s="1"/>
  <c r="J254" i="2"/>
  <c r="F255" i="2"/>
  <c r="G256" i="2"/>
  <c r="H256" i="2" s="1"/>
  <c r="K255" i="2" a="1"/>
  <c r="F256" i="2" a="1"/>
  <c r="I256" i="2" a="1"/>
  <c r="E260" i="2" a="1"/>
  <c r="D260" i="2" a="1"/>
  <c r="E260" i="2" l="1"/>
  <c r="D260" i="2"/>
  <c r="K255" i="2"/>
  <c r="I256" i="2"/>
  <c r="B262" i="2"/>
  <c r="C261" i="2"/>
  <c r="N255" i="2"/>
  <c r="L255" i="2"/>
  <c r="P255" i="2" s="1"/>
  <c r="M254" i="2"/>
  <c r="O254" i="2" s="1"/>
  <c r="J255" i="2"/>
  <c r="F256" i="2"/>
  <c r="G257" i="2"/>
  <c r="H257" i="2" s="1"/>
  <c r="P254" i="2"/>
  <c r="F257" i="2" a="1"/>
  <c r="I257" i="2" a="1"/>
  <c r="D261" i="2" a="1"/>
  <c r="K256" i="2" a="1"/>
  <c r="E261" i="2" a="1"/>
  <c r="E261" i="2" l="1"/>
  <c r="D261" i="2"/>
  <c r="I257" i="2"/>
  <c r="K256" i="2"/>
  <c r="B263" i="2"/>
  <c r="C262" i="2"/>
  <c r="N256" i="2"/>
  <c r="L256" i="2"/>
  <c r="M255" i="2"/>
  <c r="O255" i="2" s="1"/>
  <c r="F257" i="2"/>
  <c r="J256" i="2"/>
  <c r="G258" i="2"/>
  <c r="H258" i="2" s="1"/>
  <c r="I258" i="2" a="1"/>
  <c r="E262" i="2" a="1"/>
  <c r="K257" i="2" a="1"/>
  <c r="F258" i="2" a="1"/>
  <c r="D262" i="2" a="1"/>
  <c r="E262" i="2" l="1"/>
  <c r="D262" i="2"/>
  <c r="I258" i="2"/>
  <c r="K257" i="2"/>
  <c r="L257" i="2"/>
  <c r="N257" i="2"/>
  <c r="B264" i="2"/>
  <c r="C263" i="2"/>
  <c r="M256" i="2"/>
  <c r="O256" i="2" s="1"/>
  <c r="J257" i="2"/>
  <c r="F258" i="2"/>
  <c r="P256" i="2"/>
  <c r="G259" i="2"/>
  <c r="H259" i="2" s="1"/>
  <c r="K258" i="2" a="1"/>
  <c r="D263" i="2" a="1"/>
  <c r="F259" i="2" a="1"/>
  <c r="I259" i="2" a="1"/>
  <c r="E263" i="2" a="1"/>
  <c r="I259" i="2" l="1"/>
  <c r="K258" i="2"/>
  <c r="E263" i="2"/>
  <c r="D263" i="2"/>
  <c r="B265" i="2"/>
  <c r="C264" i="2"/>
  <c r="N258" i="2"/>
  <c r="L258" i="2"/>
  <c r="P258" i="2" s="1"/>
  <c r="M257" i="2"/>
  <c r="J258" i="2"/>
  <c r="F259" i="2"/>
  <c r="P257" i="2"/>
  <c r="O257" i="2"/>
  <c r="G260" i="2"/>
  <c r="H260" i="2" s="1"/>
  <c r="I260" i="2" a="1"/>
  <c r="D264" i="2" a="1"/>
  <c r="F260" i="2" a="1"/>
  <c r="K259" i="2" a="1"/>
  <c r="E264" i="2" a="1"/>
  <c r="I260" i="2" l="1"/>
  <c r="D264" i="2"/>
  <c r="E264" i="2"/>
  <c r="K259" i="2"/>
  <c r="B266" i="2"/>
  <c r="C265" i="2"/>
  <c r="N259" i="2"/>
  <c r="L259" i="2"/>
  <c r="P259" i="2" s="1"/>
  <c r="M258" i="2"/>
  <c r="J259" i="2"/>
  <c r="F260" i="2"/>
  <c r="O258" i="2"/>
  <c r="G261" i="2"/>
  <c r="H261" i="2" s="1"/>
  <c r="K260" i="2" a="1"/>
  <c r="E265" i="2" a="1"/>
  <c r="I261" i="2" a="1"/>
  <c r="F261" i="2" a="1"/>
  <c r="D265" i="2" a="1"/>
  <c r="I261" i="2" l="1"/>
  <c r="E265" i="2"/>
  <c r="D265" i="2"/>
  <c r="K260" i="2"/>
  <c r="B267" i="2"/>
  <c r="C266" i="2"/>
  <c r="L260" i="2"/>
  <c r="N260" i="2"/>
  <c r="M259" i="2"/>
  <c r="O259" i="2" s="1"/>
  <c r="F261" i="2"/>
  <c r="J260" i="2"/>
  <c r="G262" i="2"/>
  <c r="H262" i="2" s="1"/>
  <c r="I262" i="2" a="1"/>
  <c r="F262" i="2" a="1"/>
  <c r="K261" i="2" a="1"/>
  <c r="D266" i="2" a="1"/>
  <c r="E266" i="2" a="1"/>
  <c r="E266" i="2" l="1"/>
  <c r="D266" i="2"/>
  <c r="I262" i="2"/>
  <c r="K261" i="2"/>
  <c r="B268" i="2"/>
  <c r="C267" i="2"/>
  <c r="N261" i="2"/>
  <c r="L261" i="2"/>
  <c r="M260" i="2"/>
  <c r="O260" i="2" s="1"/>
  <c r="F262" i="2"/>
  <c r="J261" i="2"/>
  <c r="P260" i="2"/>
  <c r="G263" i="2"/>
  <c r="H263" i="2" s="1"/>
  <c r="D267" i="2" a="1"/>
  <c r="E267" i="2" a="1"/>
  <c r="I263" i="2" a="1"/>
  <c r="F263" i="2" a="1"/>
  <c r="K262" i="2" a="1"/>
  <c r="I263" i="2" l="1"/>
  <c r="E267" i="2"/>
  <c r="D267" i="2"/>
  <c r="K262" i="2"/>
  <c r="L262" i="2"/>
  <c r="N262" i="2"/>
  <c r="B269" i="2"/>
  <c r="C268" i="2"/>
  <c r="M261" i="2"/>
  <c r="O261" i="2" s="1"/>
  <c r="J262" i="2"/>
  <c r="F263" i="2"/>
  <c r="P261" i="2"/>
  <c r="G264" i="2"/>
  <c r="H264" i="2" s="1"/>
  <c r="E268" i="2" a="1"/>
  <c r="D268" i="2" a="1"/>
  <c r="K263" i="2" a="1"/>
  <c r="F264" i="2" a="1"/>
  <c r="I264" i="2" a="1"/>
  <c r="I264" i="2" l="1"/>
  <c r="D268" i="2"/>
  <c r="E268" i="2"/>
  <c r="K263" i="2"/>
  <c r="B270" i="2"/>
  <c r="C269" i="2"/>
  <c r="L263" i="2"/>
  <c r="N263" i="2"/>
  <c r="M262" i="2"/>
  <c r="O262" i="2" s="1"/>
  <c r="J263" i="2"/>
  <c r="F264" i="2"/>
  <c r="P262" i="2"/>
  <c r="G265" i="2"/>
  <c r="H265" i="2" s="1"/>
  <c r="K264" i="2" a="1"/>
  <c r="F265" i="2" a="1"/>
  <c r="I265" i="2" a="1"/>
  <c r="D269" i="2" a="1"/>
  <c r="E269" i="2" a="1"/>
  <c r="E269" i="2" l="1"/>
  <c r="D269" i="2"/>
  <c r="I265" i="2"/>
  <c r="K264" i="2"/>
  <c r="B271" i="2"/>
  <c r="C270" i="2"/>
  <c r="N264" i="2"/>
  <c r="L264" i="2"/>
  <c r="M263" i="2"/>
  <c r="O263" i="2" s="1"/>
  <c r="J264" i="2"/>
  <c r="F265" i="2"/>
  <c r="P263" i="2"/>
  <c r="G266" i="2"/>
  <c r="H266" i="2" s="1"/>
  <c r="I266" i="2" a="1"/>
  <c r="K265" i="2" a="1"/>
  <c r="D270" i="2" a="1"/>
  <c r="E270" i="2" a="1"/>
  <c r="F266" i="2" a="1"/>
  <c r="E270" i="2" l="1"/>
  <c r="D270" i="2"/>
  <c r="I266" i="2"/>
  <c r="K265" i="2"/>
  <c r="B272" i="2"/>
  <c r="C271" i="2"/>
  <c r="N265" i="2"/>
  <c r="L265" i="2"/>
  <c r="P265" i="2" s="1"/>
  <c r="M264" i="2"/>
  <c r="O264" i="2" s="1"/>
  <c r="J265" i="2"/>
  <c r="F266" i="2"/>
  <c r="P264" i="2"/>
  <c r="G267" i="2"/>
  <c r="H267" i="2" s="1"/>
  <c r="K266" i="2" a="1"/>
  <c r="D271" i="2" a="1"/>
  <c r="F267" i="2" a="1"/>
  <c r="I267" i="2" a="1"/>
  <c r="E271" i="2" a="1"/>
  <c r="I267" i="2" l="1"/>
  <c r="D271" i="2"/>
  <c r="E271" i="2"/>
  <c r="K266" i="2"/>
  <c r="B273" i="2"/>
  <c r="C272" i="2"/>
  <c r="L266" i="2"/>
  <c r="N266" i="2"/>
  <c r="M265" i="2"/>
  <c r="O265" i="2" s="1"/>
  <c r="J266" i="2"/>
  <c r="F267" i="2"/>
  <c r="G268" i="2"/>
  <c r="H268" i="2" s="1"/>
  <c r="D272" i="2" a="1"/>
  <c r="E272" i="2" a="1"/>
  <c r="K267" i="2" a="1"/>
  <c r="F268" i="2" a="1"/>
  <c r="I268" i="2" a="1"/>
  <c r="E272" i="2" l="1"/>
  <c r="D272" i="2"/>
  <c r="I268" i="2"/>
  <c r="K267" i="2"/>
  <c r="B274" i="2"/>
  <c r="C273" i="2"/>
  <c r="L267" i="2"/>
  <c r="N267" i="2"/>
  <c r="M266" i="2"/>
  <c r="O266" i="2" s="1"/>
  <c r="J267" i="2"/>
  <c r="F268" i="2"/>
  <c r="P266" i="2"/>
  <c r="G269" i="2"/>
  <c r="H269" i="2" s="1"/>
  <c r="D273" i="2" a="1"/>
  <c r="E273" i="2" a="1"/>
  <c r="I269" i="2" a="1"/>
  <c r="K268" i="2" a="1"/>
  <c r="F269" i="2" a="1"/>
  <c r="E273" i="2" l="1"/>
  <c r="D273" i="2"/>
  <c r="I269" i="2"/>
  <c r="K268" i="2"/>
  <c r="B275" i="2"/>
  <c r="C274" i="2"/>
  <c r="N268" i="2"/>
  <c r="L268" i="2"/>
  <c r="M267" i="2"/>
  <c r="O267" i="2" s="1"/>
  <c r="J268" i="2"/>
  <c r="F269" i="2"/>
  <c r="P267" i="2"/>
  <c r="G270" i="2"/>
  <c r="H270" i="2" s="1"/>
  <c r="K269" i="2" a="1"/>
  <c r="I270" i="2" a="1"/>
  <c r="D274" i="2" a="1"/>
  <c r="E274" i="2" a="1"/>
  <c r="F270" i="2" a="1"/>
  <c r="D274" i="2" l="1"/>
  <c r="E274" i="2"/>
  <c r="I270" i="2"/>
  <c r="K269" i="2"/>
  <c r="B276" i="2"/>
  <c r="C275" i="2"/>
  <c r="N269" i="2"/>
  <c r="L269" i="2"/>
  <c r="M268" i="2"/>
  <c r="J269" i="2"/>
  <c r="F270" i="2"/>
  <c r="G271" i="2"/>
  <c r="H271" i="2" s="1"/>
  <c r="P268" i="2"/>
  <c r="O268" i="2"/>
  <c r="E275" i="2" a="1"/>
  <c r="I271" i="2" a="1"/>
  <c r="K270" i="2" a="1"/>
  <c r="F271" i="2" a="1"/>
  <c r="D275" i="2" a="1"/>
  <c r="I271" i="2" l="1"/>
  <c r="D275" i="2"/>
  <c r="E275" i="2"/>
  <c r="K270" i="2"/>
  <c r="B277" i="2"/>
  <c r="C276" i="2"/>
  <c r="N270" i="2"/>
  <c r="L270" i="2"/>
  <c r="M269" i="2"/>
  <c r="O269" i="2" s="1"/>
  <c r="F271" i="2"/>
  <c r="J270" i="2"/>
  <c r="P269" i="2"/>
  <c r="G272" i="2"/>
  <c r="H272" i="2" s="1"/>
  <c r="K271" i="2" a="1"/>
  <c r="E276" i="2" a="1"/>
  <c r="I272" i="2" a="1"/>
  <c r="D276" i="2" a="1"/>
  <c r="F272" i="2" a="1"/>
  <c r="E276" i="2" l="1"/>
  <c r="D276" i="2"/>
  <c r="I272" i="2"/>
  <c r="K271" i="2"/>
  <c r="B278" i="2"/>
  <c r="C277" i="2"/>
  <c r="N271" i="2"/>
  <c r="L271" i="2"/>
  <c r="M270" i="2"/>
  <c r="F272" i="2"/>
  <c r="J271" i="2"/>
  <c r="G273" i="2"/>
  <c r="H273" i="2" s="1"/>
  <c r="P270" i="2"/>
  <c r="O270" i="2"/>
  <c r="D277" i="2" a="1"/>
  <c r="I273" i="2" a="1"/>
  <c r="F273" i="2" a="1"/>
  <c r="K272" i="2" a="1"/>
  <c r="E277" i="2" a="1"/>
  <c r="D277" i="2" l="1"/>
  <c r="E277" i="2"/>
  <c r="I273" i="2"/>
  <c r="K272" i="2"/>
  <c r="B279" i="2"/>
  <c r="C278" i="2"/>
  <c r="L272" i="2"/>
  <c r="N272" i="2"/>
  <c r="M271" i="2"/>
  <c r="O271" i="2" s="1"/>
  <c r="J272" i="2"/>
  <c r="F273" i="2"/>
  <c r="P271" i="2"/>
  <c r="G274" i="2"/>
  <c r="H274" i="2" s="1"/>
  <c r="I274" i="2" a="1"/>
  <c r="K273" i="2" a="1"/>
  <c r="F274" i="2" a="1"/>
  <c r="E278" i="2" a="1"/>
  <c r="D278" i="2" a="1"/>
  <c r="D278" i="2" l="1"/>
  <c r="E278" i="2"/>
  <c r="K273" i="2"/>
  <c r="I274" i="2"/>
  <c r="B280" i="2"/>
  <c r="C279" i="2"/>
  <c r="N273" i="2"/>
  <c r="L273" i="2"/>
  <c r="M272" i="2"/>
  <c r="O272" i="2" s="1"/>
  <c r="J273" i="2"/>
  <c r="F274" i="2"/>
  <c r="G275" i="2"/>
  <c r="H275" i="2" s="1"/>
  <c r="P272" i="2"/>
  <c r="I275" i="2" a="1"/>
  <c r="F275" i="2" a="1"/>
  <c r="D279" i="2" a="1"/>
  <c r="K274" i="2" a="1"/>
  <c r="E279" i="2" a="1"/>
  <c r="I275" i="2" l="1"/>
  <c r="K274" i="2"/>
  <c r="E279" i="2"/>
  <c r="D279" i="2"/>
  <c r="B281" i="2"/>
  <c r="C280" i="2"/>
  <c r="N274" i="2"/>
  <c r="L274" i="2"/>
  <c r="M273" i="2"/>
  <c r="O273" i="2" s="1"/>
  <c r="F275" i="2"/>
  <c r="J274" i="2"/>
  <c r="G276" i="2"/>
  <c r="H276" i="2" s="1"/>
  <c r="P273" i="2"/>
  <c r="D280" i="2" a="1"/>
  <c r="K275" i="2" a="1"/>
  <c r="E280" i="2" a="1"/>
  <c r="F276" i="2" a="1"/>
  <c r="I276" i="2" a="1"/>
  <c r="I276" i="2" l="1"/>
  <c r="E280" i="2"/>
  <c r="D280" i="2"/>
  <c r="K275" i="2"/>
  <c r="B282" i="2"/>
  <c r="C281" i="2"/>
  <c r="N275" i="2"/>
  <c r="L275" i="2"/>
  <c r="P275" i="2" s="1"/>
  <c r="M274" i="2"/>
  <c r="O274" i="2" s="1"/>
  <c r="J275" i="2"/>
  <c r="F276" i="2"/>
  <c r="P274" i="2"/>
  <c r="G277" i="2"/>
  <c r="H277" i="2" s="1"/>
  <c r="D281" i="2" a="1"/>
  <c r="E281" i="2" a="1"/>
  <c r="F277" i="2" a="1"/>
  <c r="K276" i="2" a="1"/>
  <c r="I277" i="2" a="1"/>
  <c r="I277" i="2" l="1"/>
  <c r="D281" i="2"/>
  <c r="E281" i="2"/>
  <c r="K276" i="2"/>
  <c r="B283" i="2"/>
  <c r="C282" i="2"/>
  <c r="L276" i="2"/>
  <c r="N276" i="2"/>
  <c r="M275" i="2"/>
  <c r="J276" i="2"/>
  <c r="F277" i="2"/>
  <c r="O275" i="2"/>
  <c r="G278" i="2"/>
  <c r="H278" i="2" s="1"/>
  <c r="K277" i="2" a="1"/>
  <c r="D282" i="2" a="1"/>
  <c r="F278" i="2" a="1"/>
  <c r="E282" i="2" a="1"/>
  <c r="I278" i="2" a="1"/>
  <c r="E282" i="2" l="1"/>
  <c r="D282" i="2"/>
  <c r="I278" i="2"/>
  <c r="K277" i="2"/>
  <c r="B284" i="2"/>
  <c r="C283" i="2"/>
  <c r="N277" i="2"/>
  <c r="L277" i="2"/>
  <c r="M276" i="2"/>
  <c r="O276" i="2" s="1"/>
  <c r="J277" i="2"/>
  <c r="F278" i="2"/>
  <c r="P276" i="2"/>
  <c r="G279" i="2"/>
  <c r="H279" i="2" s="1"/>
  <c r="K278" i="2" a="1"/>
  <c r="I279" i="2" a="1"/>
  <c r="E283" i="2" a="1"/>
  <c r="F279" i="2" a="1"/>
  <c r="D283" i="2" a="1"/>
  <c r="D283" i="2" l="1"/>
  <c r="E283" i="2"/>
  <c r="I279" i="2"/>
  <c r="K278" i="2"/>
  <c r="B285" i="2"/>
  <c r="C284" i="2"/>
  <c r="N278" i="2"/>
  <c r="L278" i="2"/>
  <c r="P278" i="2" s="1"/>
  <c r="M277" i="2"/>
  <c r="O277" i="2" s="1"/>
  <c r="J278" i="2"/>
  <c r="F279" i="2"/>
  <c r="G280" i="2"/>
  <c r="H280" i="2" s="1"/>
  <c r="P277" i="2"/>
  <c r="D284" i="2" a="1"/>
  <c r="E284" i="2" a="1"/>
  <c r="I280" i="2" a="1"/>
  <c r="F280" i="2" a="1"/>
  <c r="K279" i="2" a="1"/>
  <c r="I280" i="2" l="1"/>
  <c r="K279" i="2"/>
  <c r="D284" i="2"/>
  <c r="E284" i="2"/>
  <c r="N279" i="2"/>
  <c r="L279" i="2"/>
  <c r="B286" i="2"/>
  <c r="C285" i="2"/>
  <c r="M278" i="2"/>
  <c r="O278" i="2" s="1"/>
  <c r="F280" i="2"/>
  <c r="J279" i="2"/>
  <c r="G281" i="2"/>
  <c r="H281" i="2" s="1"/>
  <c r="D285" i="2" a="1"/>
  <c r="F281" i="2" a="1"/>
  <c r="I281" i="2" a="1"/>
  <c r="E285" i="2" a="1"/>
  <c r="K280" i="2" a="1"/>
  <c r="E285" i="2" l="1"/>
  <c r="D285" i="2"/>
  <c r="I281" i="2"/>
  <c r="K280" i="2"/>
  <c r="B287" i="2"/>
  <c r="C286" i="2"/>
  <c r="L280" i="2"/>
  <c r="P280" i="2" s="1"/>
  <c r="N280" i="2"/>
  <c r="M279" i="2"/>
  <c r="O279" i="2" s="1"/>
  <c r="J280" i="2"/>
  <c r="F281" i="2"/>
  <c r="P279" i="2"/>
  <c r="G282" i="2"/>
  <c r="H282" i="2" s="1"/>
  <c r="E286" i="2" a="1"/>
  <c r="D286" i="2" a="1"/>
  <c r="F282" i="2" a="1"/>
  <c r="I282" i="2" a="1"/>
  <c r="K281" i="2" a="1"/>
  <c r="I282" i="2" l="1"/>
  <c r="D286" i="2"/>
  <c r="E286" i="2"/>
  <c r="K281" i="2"/>
  <c r="B288" i="2"/>
  <c r="C287" i="2"/>
  <c r="N281" i="2"/>
  <c r="L281" i="2"/>
  <c r="P281" i="2" s="1"/>
  <c r="M280" i="2"/>
  <c r="O280" i="2" s="1"/>
  <c r="J281" i="2"/>
  <c r="F282" i="2"/>
  <c r="G283" i="2"/>
  <c r="H283" i="2" s="1"/>
  <c r="E287" i="2" a="1"/>
  <c r="I283" i="2" a="1"/>
  <c r="K282" i="2" a="1"/>
  <c r="F283" i="2" a="1"/>
  <c r="D287" i="2" a="1"/>
  <c r="I283" i="2" l="1"/>
  <c r="D287" i="2"/>
  <c r="E287" i="2"/>
  <c r="K282" i="2"/>
  <c r="B289" i="2"/>
  <c r="C288" i="2"/>
  <c r="L282" i="2"/>
  <c r="P282" i="2" s="1"/>
  <c r="N282" i="2"/>
  <c r="M281" i="2"/>
  <c r="O281" i="2" s="1"/>
  <c r="J282" i="2"/>
  <c r="F283" i="2"/>
  <c r="G284" i="2"/>
  <c r="H284" i="2" s="1"/>
  <c r="D288" i="2" a="1"/>
  <c r="F284" i="2" a="1"/>
  <c r="K283" i="2" a="1"/>
  <c r="E288" i="2" a="1"/>
  <c r="I284" i="2" a="1"/>
  <c r="E288" i="2" l="1"/>
  <c r="D288" i="2"/>
  <c r="I284" i="2"/>
  <c r="K283" i="2"/>
  <c r="B290" i="2"/>
  <c r="C289" i="2"/>
  <c r="L283" i="2"/>
  <c r="P283" i="2" s="1"/>
  <c r="N283" i="2"/>
  <c r="M282" i="2"/>
  <c r="O282" i="2" s="1"/>
  <c r="J283" i="2"/>
  <c r="F284" i="2"/>
  <c r="G285" i="2"/>
  <c r="H285" i="2" s="1"/>
  <c r="D289" i="2" a="1"/>
  <c r="K284" i="2" a="1"/>
  <c r="F285" i="2" a="1"/>
  <c r="I285" i="2" a="1"/>
  <c r="E289" i="2" a="1"/>
  <c r="I285" i="2" l="1"/>
  <c r="K284" i="2"/>
  <c r="D289" i="2"/>
  <c r="E289" i="2"/>
  <c r="B291" i="2"/>
  <c r="C290" i="2"/>
  <c r="N284" i="2"/>
  <c r="L284" i="2"/>
  <c r="M283" i="2"/>
  <c r="O283" i="2" s="1"/>
  <c r="F285" i="2"/>
  <c r="J284" i="2"/>
  <c r="G286" i="2"/>
  <c r="H286" i="2" s="1"/>
  <c r="D290" i="2" a="1"/>
  <c r="E290" i="2" a="1"/>
  <c r="I286" i="2" a="1"/>
  <c r="K285" i="2" a="1"/>
  <c r="F286" i="2" a="1"/>
  <c r="E290" i="2" l="1"/>
  <c r="D290" i="2"/>
  <c r="I286" i="2"/>
  <c r="K285" i="2"/>
  <c r="B292" i="2"/>
  <c r="C291" i="2"/>
  <c r="N285" i="2"/>
  <c r="L285" i="2"/>
  <c r="M284" i="2"/>
  <c r="O284" i="2" s="1"/>
  <c r="J285" i="2"/>
  <c r="F286" i="2"/>
  <c r="P284" i="2"/>
  <c r="G287" i="2"/>
  <c r="H287" i="2" s="1"/>
  <c r="K286" i="2" a="1"/>
  <c r="I287" i="2" a="1"/>
  <c r="E291" i="2" a="1"/>
  <c r="D291" i="2" a="1"/>
  <c r="F287" i="2" a="1"/>
  <c r="E291" i="2" l="1"/>
  <c r="D291" i="2"/>
  <c r="K286" i="2"/>
  <c r="I287" i="2"/>
  <c r="B293" i="2"/>
  <c r="C292" i="2"/>
  <c r="L286" i="2"/>
  <c r="N286" i="2"/>
  <c r="M285" i="2"/>
  <c r="O285" i="2" s="1"/>
  <c r="J286" i="2"/>
  <c r="F287" i="2"/>
  <c r="P285" i="2"/>
  <c r="G288" i="2"/>
  <c r="H288" i="2" s="1"/>
  <c r="K287" i="2" a="1"/>
  <c r="I288" i="2" a="1"/>
  <c r="F288" i="2" a="1"/>
  <c r="E292" i="2" a="1"/>
  <c r="D292" i="2" a="1"/>
  <c r="D292" i="2" l="1"/>
  <c r="E292" i="2"/>
  <c r="K287" i="2"/>
  <c r="I288" i="2"/>
  <c r="L287" i="2"/>
  <c r="N287" i="2"/>
  <c r="B294" i="2"/>
  <c r="C293" i="2"/>
  <c r="M286" i="2"/>
  <c r="O286" i="2" s="1"/>
  <c r="F288" i="2"/>
  <c r="J287" i="2"/>
  <c r="P286" i="2"/>
  <c r="G289" i="2"/>
  <c r="H289" i="2" s="1"/>
  <c r="F289" i="2" a="1"/>
  <c r="I289" i="2" a="1"/>
  <c r="E293" i="2" a="1"/>
  <c r="K288" i="2" a="1"/>
  <c r="D293" i="2" a="1"/>
  <c r="D293" i="2" l="1"/>
  <c r="E293" i="2"/>
  <c r="I289" i="2"/>
  <c r="K288" i="2"/>
  <c r="B295" i="2"/>
  <c r="C294" i="2"/>
  <c r="N288" i="2"/>
  <c r="L288" i="2"/>
  <c r="M287" i="2"/>
  <c r="O287" i="2" s="1"/>
  <c r="J288" i="2"/>
  <c r="F289" i="2"/>
  <c r="P287" i="2"/>
  <c r="G290" i="2"/>
  <c r="H290" i="2" s="1"/>
  <c r="D294" i="2" a="1"/>
  <c r="E294" i="2" a="1"/>
  <c r="F290" i="2" a="1"/>
  <c r="I290" i="2" a="1"/>
  <c r="K289" i="2" a="1"/>
  <c r="I290" i="2" l="1"/>
  <c r="E294" i="2"/>
  <c r="D294" i="2"/>
  <c r="K289" i="2"/>
  <c r="B296" i="2"/>
  <c r="C295" i="2"/>
  <c r="N289" i="2"/>
  <c r="L289" i="2"/>
  <c r="M288" i="2"/>
  <c r="O288" i="2" s="1"/>
  <c r="J289" i="2"/>
  <c r="F290" i="2"/>
  <c r="P288" i="2"/>
  <c r="G291" i="2"/>
  <c r="H291" i="2" s="1"/>
  <c r="K290" i="2" a="1"/>
  <c r="F291" i="2" a="1"/>
  <c r="D295" i="2" a="1"/>
  <c r="E295" i="2" a="1"/>
  <c r="I291" i="2" a="1"/>
  <c r="E295" i="2" l="1"/>
  <c r="D295" i="2"/>
  <c r="I291" i="2"/>
  <c r="K290" i="2"/>
  <c r="B297" i="2"/>
  <c r="C296" i="2"/>
  <c r="N290" i="2"/>
  <c r="L290" i="2"/>
  <c r="M289" i="2"/>
  <c r="F291" i="2"/>
  <c r="J290" i="2"/>
  <c r="P289" i="2"/>
  <c r="O289" i="2"/>
  <c r="G292" i="2"/>
  <c r="H292" i="2" s="1"/>
  <c r="F292" i="2" a="1"/>
  <c r="E296" i="2" a="1"/>
  <c r="K291" i="2" a="1"/>
  <c r="D296" i="2" a="1"/>
  <c r="I292" i="2" a="1"/>
  <c r="I292" i="2" l="1"/>
  <c r="E296" i="2"/>
  <c r="D296" i="2"/>
  <c r="K291" i="2"/>
  <c r="N291" i="2"/>
  <c r="L291" i="2"/>
  <c r="P291" i="2" s="1"/>
  <c r="B298" i="2"/>
  <c r="C297" i="2"/>
  <c r="M290" i="2"/>
  <c r="O290" i="2" s="1"/>
  <c r="J291" i="2"/>
  <c r="F292" i="2"/>
  <c r="P290" i="2"/>
  <c r="G293" i="2"/>
  <c r="H293" i="2" s="1"/>
  <c r="K292" i="2" a="1"/>
  <c r="E297" i="2" a="1"/>
  <c r="D297" i="2" a="1"/>
  <c r="F293" i="2" a="1"/>
  <c r="I293" i="2" a="1"/>
  <c r="I293" i="2" l="1"/>
  <c r="E297" i="2"/>
  <c r="D297" i="2"/>
  <c r="K292" i="2"/>
  <c r="B299" i="2"/>
  <c r="C298" i="2"/>
  <c r="N292" i="2"/>
  <c r="L292" i="2"/>
  <c r="M291" i="2"/>
  <c r="O291" i="2" s="1"/>
  <c r="J292" i="2"/>
  <c r="F293" i="2"/>
  <c r="G294" i="2"/>
  <c r="H294" i="2" s="1"/>
  <c r="D298" i="2" a="1"/>
  <c r="F294" i="2" a="1"/>
  <c r="E298" i="2" a="1"/>
  <c r="K293" i="2" a="1"/>
  <c r="I294" i="2" a="1"/>
  <c r="D298" i="2" l="1"/>
  <c r="E298" i="2"/>
  <c r="I294" i="2"/>
  <c r="K293" i="2"/>
  <c r="B300" i="2"/>
  <c r="C299" i="2"/>
  <c r="N293" i="2"/>
  <c r="L293" i="2"/>
  <c r="P293" i="2" s="1"/>
  <c r="M292" i="2"/>
  <c r="O292" i="2" s="1"/>
  <c r="J293" i="2"/>
  <c r="F294" i="2"/>
  <c r="P292" i="2"/>
  <c r="G295" i="2"/>
  <c r="H295" i="2" s="1"/>
  <c r="F295" i="2" a="1"/>
  <c r="I295" i="2" a="1"/>
  <c r="E299" i="2" a="1"/>
  <c r="D299" i="2" a="1"/>
  <c r="K294" i="2" a="1"/>
  <c r="I295" i="2" l="1"/>
  <c r="D299" i="2"/>
  <c r="E299" i="2"/>
  <c r="K294" i="2"/>
  <c r="N294" i="2"/>
  <c r="L294" i="2"/>
  <c r="B301" i="2"/>
  <c r="C300" i="2"/>
  <c r="M293" i="2"/>
  <c r="F295" i="2"/>
  <c r="J294" i="2"/>
  <c r="O293" i="2"/>
  <c r="G296" i="2"/>
  <c r="H296" i="2" s="1"/>
  <c r="D300" i="2" a="1"/>
  <c r="E300" i="2" a="1"/>
  <c r="K295" i="2" a="1"/>
  <c r="F296" i="2" a="1"/>
  <c r="I296" i="2" a="1"/>
  <c r="I296" i="2" l="1"/>
  <c r="E300" i="2"/>
  <c r="D300" i="2"/>
  <c r="K295" i="2"/>
  <c r="B302" i="2"/>
  <c r="C301" i="2"/>
  <c r="N295" i="2"/>
  <c r="L295" i="2"/>
  <c r="M294" i="2"/>
  <c r="J295" i="2"/>
  <c r="F296" i="2"/>
  <c r="P294" i="2"/>
  <c r="O294" i="2"/>
  <c r="G297" i="2"/>
  <c r="H297" i="2" s="1"/>
  <c r="I297" i="2" a="1"/>
  <c r="D301" i="2" a="1"/>
  <c r="F297" i="2" a="1"/>
  <c r="K296" i="2" a="1"/>
  <c r="E301" i="2" a="1"/>
  <c r="I297" i="2" l="1"/>
  <c r="E301" i="2"/>
  <c r="D301" i="2"/>
  <c r="K296" i="2"/>
  <c r="B303" i="2"/>
  <c r="C302" i="2"/>
  <c r="N296" i="2"/>
  <c r="L296" i="2"/>
  <c r="M295" i="2"/>
  <c r="O295" i="2" s="1"/>
  <c r="J296" i="2"/>
  <c r="F297" i="2"/>
  <c r="P295" i="2"/>
  <c r="G298" i="2"/>
  <c r="H298" i="2" s="1"/>
  <c r="I298" i="2" a="1"/>
  <c r="F298" i="2" a="1"/>
  <c r="D302" i="2" a="1"/>
  <c r="K297" i="2" a="1"/>
  <c r="E302" i="2" a="1"/>
  <c r="E302" i="2" l="1"/>
  <c r="D302" i="2"/>
  <c r="I298" i="2"/>
  <c r="K297" i="2"/>
  <c r="B304" i="2"/>
  <c r="C303" i="2"/>
  <c r="N297" i="2"/>
  <c r="L297" i="2"/>
  <c r="M296" i="2"/>
  <c r="O296" i="2" s="1"/>
  <c r="J297" i="2"/>
  <c r="F298" i="2"/>
  <c r="P296" i="2"/>
  <c r="G299" i="2"/>
  <c r="H299" i="2" s="1"/>
  <c r="F299" i="2" a="1"/>
  <c r="K298" i="2" a="1"/>
  <c r="D303" i="2" a="1"/>
  <c r="E303" i="2" a="1"/>
  <c r="I299" i="2" a="1"/>
  <c r="I299" i="2" l="1"/>
  <c r="D303" i="2"/>
  <c r="E303" i="2"/>
  <c r="K298" i="2"/>
  <c r="N298" i="2"/>
  <c r="L298" i="2"/>
  <c r="B305" i="2"/>
  <c r="C304" i="2"/>
  <c r="M297" i="2"/>
  <c r="J298" i="2"/>
  <c r="F299" i="2"/>
  <c r="G300" i="2"/>
  <c r="H300" i="2" s="1"/>
  <c r="P297" i="2"/>
  <c r="O297" i="2"/>
  <c r="E304" i="2" a="1"/>
  <c r="K299" i="2" a="1"/>
  <c r="D304" i="2" a="1"/>
  <c r="I300" i="2" a="1"/>
  <c r="F300" i="2" a="1"/>
  <c r="E304" i="2" l="1"/>
  <c r="D304" i="2"/>
  <c r="I300" i="2"/>
  <c r="K299" i="2"/>
  <c r="B306" i="2"/>
  <c r="C305" i="2"/>
  <c r="L299" i="2"/>
  <c r="N299" i="2"/>
  <c r="M298" i="2"/>
  <c r="O298" i="2" s="1"/>
  <c r="J299" i="2"/>
  <c r="F300" i="2"/>
  <c r="P298" i="2"/>
  <c r="G301" i="2"/>
  <c r="H301" i="2" s="1"/>
  <c r="D305" i="2" a="1"/>
  <c r="E305" i="2" a="1"/>
  <c r="F301" i="2" a="1"/>
  <c r="K300" i="2" a="1"/>
  <c r="I301" i="2" a="1"/>
  <c r="I301" i="2" l="1"/>
  <c r="D305" i="2"/>
  <c r="E305" i="2"/>
  <c r="K300" i="2"/>
  <c r="B307" i="2"/>
  <c r="C306" i="2"/>
  <c r="N300" i="2"/>
  <c r="L300" i="2"/>
  <c r="M299" i="2"/>
  <c r="O299" i="2" s="1"/>
  <c r="F301" i="2"/>
  <c r="J300" i="2"/>
  <c r="G302" i="2"/>
  <c r="H302" i="2" s="1"/>
  <c r="P299" i="2"/>
  <c r="K301" i="2" a="1"/>
  <c r="D306" i="2" a="1"/>
  <c r="E306" i="2" a="1"/>
  <c r="F302" i="2" a="1"/>
  <c r="I302" i="2" a="1"/>
  <c r="I302" i="2" l="1"/>
  <c r="E306" i="2"/>
  <c r="D306" i="2"/>
  <c r="K301" i="2"/>
  <c r="B308" i="2"/>
  <c r="C307" i="2"/>
  <c r="N301" i="2"/>
  <c r="L301" i="2"/>
  <c r="P301" i="2" s="1"/>
  <c r="M300" i="2"/>
  <c r="O300" i="2" s="1"/>
  <c r="J301" i="2"/>
  <c r="F302" i="2"/>
  <c r="P300" i="2"/>
  <c r="G303" i="2"/>
  <c r="H303" i="2" s="1"/>
  <c r="E307" i="2" a="1"/>
  <c r="K302" i="2" a="1"/>
  <c r="I303" i="2" a="1"/>
  <c r="F303" i="2" a="1"/>
  <c r="D307" i="2" a="1"/>
  <c r="D307" i="2" l="1"/>
  <c r="E307" i="2"/>
  <c r="I303" i="2"/>
  <c r="K302" i="2"/>
  <c r="B309" i="2"/>
  <c r="C308" i="2"/>
  <c r="N302" i="2"/>
  <c r="L302" i="2"/>
  <c r="M301" i="2"/>
  <c r="O301" i="2" s="1"/>
  <c r="F303" i="2"/>
  <c r="J302" i="2"/>
  <c r="G304" i="2"/>
  <c r="H304" i="2" s="1"/>
  <c r="D308" i="2" a="1"/>
  <c r="E308" i="2" a="1"/>
  <c r="F304" i="2" a="1"/>
  <c r="K303" i="2" a="1"/>
  <c r="I304" i="2" a="1"/>
  <c r="E308" i="2" l="1"/>
  <c r="D308" i="2"/>
  <c r="I304" i="2"/>
  <c r="K303" i="2"/>
  <c r="N303" i="2"/>
  <c r="L303" i="2"/>
  <c r="B310" i="2"/>
  <c r="C309" i="2"/>
  <c r="M302" i="2"/>
  <c r="O302" i="2" s="1"/>
  <c r="P302" i="2"/>
  <c r="F304" i="2"/>
  <c r="J303" i="2"/>
  <c r="G305" i="2"/>
  <c r="H305" i="2" s="1"/>
  <c r="I305" i="2" a="1"/>
  <c r="F305" i="2" a="1"/>
  <c r="K304" i="2" a="1"/>
  <c r="D309" i="2" a="1"/>
  <c r="E309" i="2" a="1"/>
  <c r="E309" i="2" l="1"/>
  <c r="D309" i="2"/>
  <c r="I305" i="2"/>
  <c r="K304" i="2"/>
  <c r="B311" i="2"/>
  <c r="C310" i="2"/>
  <c r="N304" i="2"/>
  <c r="L304" i="2"/>
  <c r="M303" i="2"/>
  <c r="O303" i="2" s="1"/>
  <c r="F305" i="2"/>
  <c r="J304" i="2"/>
  <c r="P303" i="2"/>
  <c r="G306" i="2"/>
  <c r="H306" i="2" s="1"/>
  <c r="K305" i="2" a="1"/>
  <c r="E310" i="2" a="1"/>
  <c r="D310" i="2" a="1"/>
  <c r="F306" i="2" a="1"/>
  <c r="I306" i="2" a="1"/>
  <c r="I306" i="2" l="1"/>
  <c r="E310" i="2"/>
  <c r="D310" i="2"/>
  <c r="K305" i="2"/>
  <c r="B312" i="2"/>
  <c r="C311" i="2"/>
  <c r="L305" i="2"/>
  <c r="N305" i="2"/>
  <c r="M304" i="2"/>
  <c r="O304" i="2" s="1"/>
  <c r="J305" i="2"/>
  <c r="F306" i="2"/>
  <c r="P304" i="2"/>
  <c r="G307" i="2"/>
  <c r="H307" i="2" s="1"/>
  <c r="I307" i="2" a="1"/>
  <c r="E311" i="2" a="1"/>
  <c r="K306" i="2" a="1"/>
  <c r="F307" i="2" a="1"/>
  <c r="D311" i="2" a="1"/>
  <c r="D311" i="2" l="1"/>
  <c r="E311" i="2"/>
  <c r="I307" i="2"/>
  <c r="K306" i="2"/>
  <c r="B313" i="2"/>
  <c r="C312" i="2"/>
  <c r="L306" i="2"/>
  <c r="N306" i="2"/>
  <c r="M305" i="2"/>
  <c r="O305" i="2" s="1"/>
  <c r="F307" i="2"/>
  <c r="J306" i="2"/>
  <c r="P305" i="2"/>
  <c r="G308" i="2"/>
  <c r="H308" i="2" s="1"/>
  <c r="K307" i="2" a="1"/>
  <c r="I308" i="2" a="1"/>
  <c r="E312" i="2" a="1"/>
  <c r="F308" i="2" a="1"/>
  <c r="D312" i="2" a="1"/>
  <c r="D312" i="2" l="1"/>
  <c r="E312" i="2"/>
  <c r="K307" i="2"/>
  <c r="I308" i="2"/>
  <c r="B314" i="2"/>
  <c r="C313" i="2"/>
  <c r="L307" i="2"/>
  <c r="N307" i="2"/>
  <c r="M306" i="2"/>
  <c r="O306" i="2" s="1"/>
  <c r="F308" i="2"/>
  <c r="J307" i="2"/>
  <c r="P306" i="2"/>
  <c r="G309" i="2"/>
  <c r="H309" i="2" s="1"/>
  <c r="F309" i="2" a="1"/>
  <c r="D313" i="2" a="1"/>
  <c r="I309" i="2" a="1"/>
  <c r="K308" i="2" a="1"/>
  <c r="E313" i="2" a="1"/>
  <c r="E313" i="2" l="1"/>
  <c r="D313" i="2"/>
  <c r="I309" i="2"/>
  <c r="K308" i="2"/>
  <c r="N308" i="2"/>
  <c r="L308" i="2"/>
  <c r="B315" i="2"/>
  <c r="C314" i="2"/>
  <c r="M307" i="2"/>
  <c r="O307" i="2" s="1"/>
  <c r="F309" i="2"/>
  <c r="J308" i="2"/>
  <c r="P307" i="2"/>
  <c r="G310" i="2"/>
  <c r="H310" i="2" s="1"/>
  <c r="F310" i="2" a="1"/>
  <c r="E314" i="2" a="1"/>
  <c r="K309" i="2" a="1"/>
  <c r="I310" i="2" a="1"/>
  <c r="D314" i="2" a="1"/>
  <c r="I310" i="2" l="1"/>
  <c r="K309" i="2"/>
  <c r="E314" i="2"/>
  <c r="D314" i="2"/>
  <c r="B316" i="2"/>
  <c r="C315" i="2"/>
  <c r="L309" i="2"/>
  <c r="N309" i="2"/>
  <c r="M308" i="2"/>
  <c r="O308" i="2" s="1"/>
  <c r="F310" i="2"/>
  <c r="P308" i="2"/>
  <c r="J309" i="2"/>
  <c r="G311" i="2"/>
  <c r="H311" i="2" s="1"/>
  <c r="D315" i="2" a="1"/>
  <c r="E315" i="2" a="1"/>
  <c r="F311" i="2" a="1"/>
  <c r="I311" i="2" a="1"/>
  <c r="K310" i="2" a="1"/>
  <c r="I311" i="2" l="1"/>
  <c r="E315" i="2"/>
  <c r="D315" i="2"/>
  <c r="K310" i="2"/>
  <c r="B317" i="2"/>
  <c r="C316" i="2"/>
  <c r="L310" i="2"/>
  <c r="N310" i="2"/>
  <c r="M309" i="2"/>
  <c r="J310" i="2"/>
  <c r="F311" i="2"/>
  <c r="P309" i="2"/>
  <c r="O309" i="2"/>
  <c r="G312" i="2"/>
  <c r="H312" i="2" s="1"/>
  <c r="D316" i="2" a="1"/>
  <c r="F312" i="2" a="1"/>
  <c r="I312" i="2" a="1"/>
  <c r="E316" i="2" a="1"/>
  <c r="K311" i="2" a="1"/>
  <c r="D316" i="2" l="1"/>
  <c r="E316" i="2"/>
  <c r="I312" i="2"/>
  <c r="K311" i="2"/>
  <c r="B318" i="2"/>
  <c r="C317" i="2"/>
  <c r="L311" i="2"/>
  <c r="P311" i="2" s="1"/>
  <c r="N311" i="2"/>
  <c r="M310" i="2"/>
  <c r="O310" i="2" s="1"/>
  <c r="J311" i="2"/>
  <c r="F312" i="2"/>
  <c r="P310" i="2"/>
  <c r="G313" i="2"/>
  <c r="H313" i="2" s="1"/>
  <c r="D317" i="2" a="1"/>
  <c r="F313" i="2" a="1"/>
  <c r="K312" i="2" a="1"/>
  <c r="I313" i="2" a="1"/>
  <c r="E317" i="2" a="1"/>
  <c r="I313" i="2" l="1"/>
  <c r="E317" i="2"/>
  <c r="D317" i="2"/>
  <c r="K312" i="2"/>
  <c r="L312" i="2"/>
  <c r="P312" i="2" s="1"/>
  <c r="N312" i="2"/>
  <c r="B319" i="2"/>
  <c r="C318" i="2"/>
  <c r="M311" i="2"/>
  <c r="O311" i="2" s="1"/>
  <c r="J312" i="2"/>
  <c r="F313" i="2"/>
  <c r="G314" i="2"/>
  <c r="H314" i="2" s="1"/>
  <c r="D318" i="2" a="1"/>
  <c r="E318" i="2" a="1"/>
  <c r="F314" i="2" a="1"/>
  <c r="I314" i="2" a="1"/>
  <c r="K313" i="2" a="1"/>
  <c r="E318" i="2" l="1"/>
  <c r="D318" i="2"/>
  <c r="I314" i="2"/>
  <c r="K313" i="2"/>
  <c r="B320" i="2"/>
  <c r="C319" i="2"/>
  <c r="N313" i="2"/>
  <c r="L313" i="2"/>
  <c r="M312" i="2"/>
  <c r="O312" i="2" s="1"/>
  <c r="F314" i="2"/>
  <c r="J313" i="2"/>
  <c r="G315" i="2"/>
  <c r="H315" i="2" s="1"/>
  <c r="E319" i="2" a="1"/>
  <c r="I315" i="2" a="1"/>
  <c r="D319" i="2" a="1"/>
  <c r="F315" i="2" a="1"/>
  <c r="K314" i="2" a="1"/>
  <c r="I315" i="2" l="1"/>
  <c r="D319" i="2"/>
  <c r="E319" i="2"/>
  <c r="K314" i="2"/>
  <c r="B321" i="2"/>
  <c r="C320" i="2"/>
  <c r="N314" i="2"/>
  <c r="L314" i="2"/>
  <c r="M313" i="2"/>
  <c r="O313" i="2" s="1"/>
  <c r="F315" i="2"/>
  <c r="J314" i="2"/>
  <c r="G316" i="2"/>
  <c r="H316" i="2" s="1"/>
  <c r="P313" i="2"/>
  <c r="I316" i="2" a="1"/>
  <c r="K315" i="2" a="1"/>
  <c r="E320" i="2" a="1"/>
  <c r="D320" i="2" a="1"/>
  <c r="F316" i="2" a="1"/>
  <c r="D320" i="2" l="1"/>
  <c r="E320" i="2"/>
  <c r="I316" i="2"/>
  <c r="K315" i="2"/>
  <c r="B322" i="2"/>
  <c r="C321" i="2"/>
  <c r="N315" i="2"/>
  <c r="L315" i="2"/>
  <c r="P315" i="2" s="1"/>
  <c r="M314" i="2"/>
  <c r="J315" i="2"/>
  <c r="F316" i="2"/>
  <c r="O314" i="2"/>
  <c r="P314" i="2"/>
  <c r="G317" i="2"/>
  <c r="H317" i="2" s="1"/>
  <c r="E321" i="2" a="1"/>
  <c r="F317" i="2" a="1"/>
  <c r="K316" i="2" a="1"/>
  <c r="D321" i="2" a="1"/>
  <c r="I317" i="2" a="1"/>
  <c r="E321" i="2" l="1"/>
  <c r="D321" i="2"/>
  <c r="I317" i="2"/>
  <c r="K316" i="2"/>
  <c r="N316" i="2"/>
  <c r="L316" i="2"/>
  <c r="B323" i="2"/>
  <c r="C322" i="2"/>
  <c r="M315" i="2"/>
  <c r="O315" i="2" s="1"/>
  <c r="J316" i="2"/>
  <c r="F317" i="2"/>
  <c r="G318" i="2"/>
  <c r="H318" i="2" s="1"/>
  <c r="D322" i="2" a="1"/>
  <c r="E322" i="2" a="1"/>
  <c r="F318" i="2" a="1"/>
  <c r="K317" i="2" a="1"/>
  <c r="I318" i="2" a="1"/>
  <c r="E322" i="2" l="1"/>
  <c r="D322" i="2"/>
  <c r="I318" i="2"/>
  <c r="K317" i="2"/>
  <c r="B324" i="2"/>
  <c r="C323" i="2"/>
  <c r="N317" i="2"/>
  <c r="L317" i="2"/>
  <c r="P317" i="2" s="1"/>
  <c r="M316" i="2"/>
  <c r="O316" i="2" s="1"/>
  <c r="J317" i="2"/>
  <c r="F318" i="2"/>
  <c r="P316" i="2"/>
  <c r="G319" i="2"/>
  <c r="H319" i="2" s="1"/>
  <c r="I319" i="2" a="1"/>
  <c r="F319" i="2" a="1"/>
  <c r="K318" i="2" a="1"/>
  <c r="D323" i="2" a="1"/>
  <c r="E323" i="2" a="1"/>
  <c r="E323" i="2" l="1"/>
  <c r="D323" i="2"/>
  <c r="I319" i="2"/>
  <c r="K318" i="2"/>
  <c r="L318" i="2"/>
  <c r="N318" i="2"/>
  <c r="B325" i="2"/>
  <c r="C324" i="2"/>
  <c r="M317" i="2"/>
  <c r="O317" i="2" s="1"/>
  <c r="F319" i="2"/>
  <c r="J318" i="2"/>
  <c r="G320" i="2"/>
  <c r="H320" i="2" s="1"/>
  <c r="D324" i="2" a="1"/>
  <c r="E324" i="2" a="1"/>
  <c r="I320" i="2" a="1"/>
  <c r="K319" i="2" a="1"/>
  <c r="F320" i="2" a="1"/>
  <c r="E324" i="2" l="1"/>
  <c r="D324" i="2"/>
  <c r="I320" i="2"/>
  <c r="K319" i="2"/>
  <c r="N319" i="2"/>
  <c r="L319" i="2"/>
  <c r="B326" i="2"/>
  <c r="C325" i="2"/>
  <c r="M318" i="2"/>
  <c r="F320" i="2"/>
  <c r="P318" i="2"/>
  <c r="J319" i="2"/>
  <c r="O318" i="2"/>
  <c r="G321" i="2"/>
  <c r="H321" i="2" s="1"/>
  <c r="E325" i="2" a="1"/>
  <c r="D325" i="2" a="1"/>
  <c r="K320" i="2" a="1"/>
  <c r="F321" i="2" a="1"/>
  <c r="I321" i="2" a="1"/>
  <c r="E325" i="2" l="1"/>
  <c r="D325" i="2"/>
  <c r="I321" i="2"/>
  <c r="K320" i="2"/>
  <c r="B327" i="2"/>
  <c r="C326" i="2"/>
  <c r="N320" i="2"/>
  <c r="L320" i="2"/>
  <c r="M319" i="2"/>
  <c r="O319" i="2" s="1"/>
  <c r="J320" i="2"/>
  <c r="F321" i="2"/>
  <c r="P319" i="2"/>
  <c r="G322" i="2"/>
  <c r="H322" i="2" s="1"/>
  <c r="K321" i="2" a="1"/>
  <c r="I322" i="2" a="1"/>
  <c r="D326" i="2" a="1"/>
  <c r="F322" i="2" a="1"/>
  <c r="E326" i="2" a="1"/>
  <c r="K321" i="2" l="1"/>
  <c r="I322" i="2"/>
  <c r="E326" i="2"/>
  <c r="D326" i="2"/>
  <c r="B328" i="2"/>
  <c r="C327" i="2"/>
  <c r="L321" i="2"/>
  <c r="N321" i="2"/>
  <c r="M320" i="2"/>
  <c r="O320" i="2" s="1"/>
  <c r="F322" i="2"/>
  <c r="J321" i="2"/>
  <c r="P320" i="2"/>
  <c r="G323" i="2"/>
  <c r="H323" i="2" s="1"/>
  <c r="K322" i="2" a="1"/>
  <c r="E327" i="2" a="1"/>
  <c r="I323" i="2" a="1"/>
  <c r="F323" i="2" a="1"/>
  <c r="D327" i="2" a="1"/>
  <c r="I323" i="2" l="1"/>
  <c r="D327" i="2"/>
  <c r="E327" i="2"/>
  <c r="K322" i="2"/>
  <c r="B329" i="2"/>
  <c r="C328" i="2"/>
  <c r="L322" i="2"/>
  <c r="N322" i="2"/>
  <c r="M321" i="2"/>
  <c r="F323" i="2"/>
  <c r="J322" i="2"/>
  <c r="G324" i="2"/>
  <c r="H324" i="2" s="1"/>
  <c r="O321" i="2"/>
  <c r="P321" i="2"/>
  <c r="D328" i="2" a="1"/>
  <c r="F324" i="2" a="1"/>
  <c r="K323" i="2" a="1"/>
  <c r="E328" i="2" a="1"/>
  <c r="I324" i="2" a="1"/>
  <c r="D328" i="2" l="1"/>
  <c r="E328" i="2"/>
  <c r="I324" i="2"/>
  <c r="K323" i="2"/>
  <c r="B330" i="2"/>
  <c r="C329" i="2"/>
  <c r="N323" i="2"/>
  <c r="L323" i="2"/>
  <c r="M322" i="2"/>
  <c r="J323" i="2"/>
  <c r="F324" i="2"/>
  <c r="O322" i="2"/>
  <c r="P322" i="2"/>
  <c r="G325" i="2"/>
  <c r="H325" i="2" s="1"/>
  <c r="F325" i="2" a="1"/>
  <c r="D329" i="2" a="1"/>
  <c r="K324" i="2" a="1"/>
  <c r="I325" i="2" a="1"/>
  <c r="E329" i="2" a="1"/>
  <c r="E329" i="2" l="1"/>
  <c r="D329" i="2"/>
  <c r="I325" i="2"/>
  <c r="K324" i="2"/>
  <c r="B331" i="2"/>
  <c r="C330" i="2"/>
  <c r="N324" i="2"/>
  <c r="L324" i="2"/>
  <c r="M323" i="2"/>
  <c r="J324" i="2"/>
  <c r="F325" i="2"/>
  <c r="G326" i="2"/>
  <c r="H326" i="2" s="1"/>
  <c r="O323" i="2"/>
  <c r="P323" i="2"/>
  <c r="I326" i="2" a="1"/>
  <c r="K325" i="2" a="1"/>
  <c r="F326" i="2" a="1"/>
  <c r="D330" i="2" a="1"/>
  <c r="E330" i="2" a="1"/>
  <c r="I326" i="2" l="1"/>
  <c r="K325" i="2"/>
  <c r="E330" i="2"/>
  <c r="D330" i="2"/>
  <c r="N325" i="2"/>
  <c r="L325" i="2"/>
  <c r="B332" i="2"/>
  <c r="C331" i="2"/>
  <c r="M324" i="2"/>
  <c r="O324" i="2" s="1"/>
  <c r="J325" i="2"/>
  <c r="F326" i="2"/>
  <c r="P324" i="2"/>
  <c r="G327" i="2"/>
  <c r="H327" i="2" s="1"/>
  <c r="K326" i="2" a="1"/>
  <c r="F327" i="2" a="1"/>
  <c r="I327" i="2" a="1"/>
  <c r="E331" i="2" a="1"/>
  <c r="D331" i="2" a="1"/>
  <c r="D331" i="2" l="1"/>
  <c r="E331" i="2"/>
  <c r="I327" i="2"/>
  <c r="K326" i="2"/>
  <c r="B333" i="2"/>
  <c r="C332" i="2"/>
  <c r="N326" i="2"/>
  <c r="L326" i="2"/>
  <c r="M325" i="2"/>
  <c r="O325" i="2" s="1"/>
  <c r="F327" i="2"/>
  <c r="J326" i="2"/>
  <c r="P325" i="2"/>
  <c r="G328" i="2"/>
  <c r="H328" i="2" s="1"/>
  <c r="I328" i="2" a="1"/>
  <c r="D332" i="2" a="1"/>
  <c r="K327" i="2" a="1"/>
  <c r="F328" i="2" a="1"/>
  <c r="E332" i="2" a="1"/>
  <c r="E332" i="2" l="1"/>
  <c r="D332" i="2"/>
  <c r="K327" i="2"/>
  <c r="I328" i="2"/>
  <c r="B334" i="2"/>
  <c r="C333" i="2"/>
  <c r="L327" i="2"/>
  <c r="N327" i="2"/>
  <c r="M326" i="2"/>
  <c r="F328" i="2"/>
  <c r="J327" i="2"/>
  <c r="O326" i="2"/>
  <c r="P326" i="2"/>
  <c r="G329" i="2"/>
  <c r="H329" i="2" s="1"/>
  <c r="I329" i="2" a="1"/>
  <c r="F329" i="2" a="1"/>
  <c r="K328" i="2" a="1"/>
  <c r="D333" i="2" a="1"/>
  <c r="E333" i="2" a="1"/>
  <c r="I329" i="2" l="1"/>
  <c r="E333" i="2"/>
  <c r="D333" i="2"/>
  <c r="K328" i="2"/>
  <c r="B335" i="2"/>
  <c r="C334" i="2"/>
  <c r="N328" i="2"/>
  <c r="L328" i="2"/>
  <c r="M327" i="2"/>
  <c r="O327" i="2" s="1"/>
  <c r="F329" i="2"/>
  <c r="J328" i="2"/>
  <c r="P327" i="2"/>
  <c r="G330" i="2"/>
  <c r="H330" i="2" s="1"/>
  <c r="K329" i="2" a="1"/>
  <c r="E334" i="2" a="1"/>
  <c r="I330" i="2" a="1"/>
  <c r="D334" i="2" a="1"/>
  <c r="F330" i="2" a="1"/>
  <c r="I330" i="2" l="1"/>
  <c r="E334" i="2"/>
  <c r="D334" i="2"/>
  <c r="K329" i="2"/>
  <c r="B336" i="2"/>
  <c r="C335" i="2"/>
  <c r="N329" i="2"/>
  <c r="L329" i="2"/>
  <c r="M328" i="2"/>
  <c r="O328" i="2" s="1"/>
  <c r="F330" i="2"/>
  <c r="J329" i="2"/>
  <c r="P328" i="2"/>
  <c r="G331" i="2"/>
  <c r="H331" i="2" s="1"/>
  <c r="F331" i="2" a="1"/>
  <c r="I331" i="2" a="1"/>
  <c r="E335" i="2" a="1"/>
  <c r="D335" i="2" a="1"/>
  <c r="K330" i="2" a="1"/>
  <c r="E335" i="2" l="1"/>
  <c r="D335" i="2"/>
  <c r="I331" i="2"/>
  <c r="K330" i="2"/>
  <c r="B337" i="2"/>
  <c r="C336" i="2"/>
  <c r="L330" i="2"/>
  <c r="N330" i="2"/>
  <c r="M329" i="2"/>
  <c r="O329" i="2" s="1"/>
  <c r="J330" i="2"/>
  <c r="F331" i="2"/>
  <c r="P329" i="2"/>
  <c r="G332" i="2"/>
  <c r="H332" i="2" s="1"/>
  <c r="K331" i="2" a="1"/>
  <c r="E336" i="2" a="1"/>
  <c r="D336" i="2" a="1"/>
  <c r="I332" i="2" a="1"/>
  <c r="F332" i="2" a="1"/>
  <c r="I332" i="2" l="1"/>
  <c r="D336" i="2"/>
  <c r="E336" i="2"/>
  <c r="K331" i="2"/>
  <c r="B338" i="2"/>
  <c r="C337" i="2"/>
  <c r="N331" i="2"/>
  <c r="L331" i="2"/>
  <c r="M330" i="2"/>
  <c r="O330" i="2" s="1"/>
  <c r="F332" i="2"/>
  <c r="J331" i="2"/>
  <c r="P330" i="2"/>
  <c r="G333" i="2"/>
  <c r="H333" i="2" s="1"/>
  <c r="K332" i="2" a="1"/>
  <c r="E337" i="2" a="1"/>
  <c r="D337" i="2" a="1"/>
  <c r="I333" i="2" a="1"/>
  <c r="F333" i="2" a="1"/>
  <c r="I333" i="2" l="1"/>
  <c r="E337" i="2"/>
  <c r="D337" i="2"/>
  <c r="K332" i="2"/>
  <c r="B339" i="2"/>
  <c r="C338" i="2"/>
  <c r="N332" i="2"/>
  <c r="L332" i="2"/>
  <c r="M331" i="2"/>
  <c r="O331" i="2" s="1"/>
  <c r="F333" i="2"/>
  <c r="J332" i="2"/>
  <c r="P331" i="2"/>
  <c r="G334" i="2"/>
  <c r="H334" i="2" s="1"/>
  <c r="K333" i="2" a="1"/>
  <c r="I334" i="2" a="1"/>
  <c r="E338" i="2" a="1"/>
  <c r="F334" i="2" a="1"/>
  <c r="D338" i="2" a="1"/>
  <c r="I334" i="2" l="1"/>
  <c r="E338" i="2"/>
  <c r="D338" i="2"/>
  <c r="K333" i="2"/>
  <c r="B340" i="2"/>
  <c r="C339" i="2"/>
  <c r="N333" i="2"/>
  <c r="L333" i="2"/>
  <c r="M332" i="2"/>
  <c r="O332" i="2" s="1"/>
  <c r="J333" i="2"/>
  <c r="P332" i="2"/>
  <c r="F334" i="2"/>
  <c r="G335" i="2"/>
  <c r="H335" i="2" s="1"/>
  <c r="F335" i="2" a="1"/>
  <c r="D339" i="2" a="1"/>
  <c r="E339" i="2" a="1"/>
  <c r="K334" i="2" a="1"/>
  <c r="I335" i="2" a="1"/>
  <c r="E339" i="2" l="1"/>
  <c r="D339" i="2"/>
  <c r="I335" i="2"/>
  <c r="K334" i="2"/>
  <c r="B341" i="2"/>
  <c r="C340" i="2"/>
  <c r="N334" i="2"/>
  <c r="L334" i="2"/>
  <c r="M333" i="2"/>
  <c r="O333" i="2" s="1"/>
  <c r="F335" i="2"/>
  <c r="J334" i="2"/>
  <c r="P333" i="2"/>
  <c r="G336" i="2"/>
  <c r="H336" i="2" s="1"/>
  <c r="D340" i="2" a="1"/>
  <c r="F336" i="2" a="1"/>
  <c r="E340" i="2" a="1"/>
  <c r="I336" i="2" a="1"/>
  <c r="K335" i="2" a="1"/>
  <c r="I336" i="2" l="1"/>
  <c r="D340" i="2"/>
  <c r="E340" i="2"/>
  <c r="K335" i="2"/>
  <c r="B342" i="2"/>
  <c r="C341" i="2"/>
  <c r="L335" i="2"/>
  <c r="N335" i="2"/>
  <c r="M334" i="2"/>
  <c r="O334" i="2" s="1"/>
  <c r="F336" i="2"/>
  <c r="J335" i="2"/>
  <c r="P334" i="2"/>
  <c r="G337" i="2"/>
  <c r="H337" i="2" s="1"/>
  <c r="K336" i="2" a="1"/>
  <c r="D341" i="2" a="1"/>
  <c r="I337" i="2" a="1"/>
  <c r="E341" i="2" a="1"/>
  <c r="F337" i="2" a="1"/>
  <c r="E341" i="2" l="1"/>
  <c r="D341" i="2"/>
  <c r="I337" i="2"/>
  <c r="K336" i="2"/>
  <c r="B343" i="2"/>
  <c r="C342" i="2"/>
  <c r="N336" i="2"/>
  <c r="L336" i="2"/>
  <c r="P336" i="2" s="1"/>
  <c r="M335" i="2"/>
  <c r="O335" i="2" s="1"/>
  <c r="J336" i="2"/>
  <c r="F337" i="2"/>
  <c r="P335" i="2"/>
  <c r="G338" i="2"/>
  <c r="H338" i="2" s="1"/>
  <c r="K337" i="2" a="1"/>
  <c r="F338" i="2" a="1"/>
  <c r="I338" i="2" a="1"/>
  <c r="D342" i="2" a="1"/>
  <c r="E342" i="2" a="1"/>
  <c r="D342" i="2" l="1"/>
  <c r="E342" i="2"/>
  <c r="K337" i="2"/>
  <c r="I338" i="2"/>
  <c r="B344" i="2"/>
  <c r="C343" i="2"/>
  <c r="N337" i="2"/>
  <c r="L337" i="2"/>
  <c r="M336" i="2"/>
  <c r="O336" i="2" s="1"/>
  <c r="F338" i="2"/>
  <c r="J337" i="2"/>
  <c r="G339" i="2"/>
  <c r="H339" i="2" s="1"/>
  <c r="E343" i="2" a="1"/>
  <c r="I339" i="2" a="1"/>
  <c r="K338" i="2" a="1"/>
  <c r="F339" i="2" a="1"/>
  <c r="D343" i="2" a="1"/>
  <c r="K338" i="2" l="1"/>
  <c r="E343" i="2"/>
  <c r="D343" i="2"/>
  <c r="I339" i="2"/>
  <c r="L338" i="2"/>
  <c r="N338" i="2"/>
  <c r="B345" i="2"/>
  <c r="C344" i="2"/>
  <c r="M337" i="2"/>
  <c r="O337" i="2" s="1"/>
  <c r="F339" i="2"/>
  <c r="J338" i="2"/>
  <c r="P337" i="2"/>
  <c r="G340" i="2"/>
  <c r="H340" i="2" s="1"/>
  <c r="D344" i="2" a="1"/>
  <c r="E344" i="2" a="1"/>
  <c r="I340" i="2" a="1"/>
  <c r="F340" i="2" a="1"/>
  <c r="K339" i="2" a="1"/>
  <c r="K339" i="2" l="1"/>
  <c r="E344" i="2"/>
  <c r="D344" i="2"/>
  <c r="I340" i="2"/>
  <c r="N339" i="2"/>
  <c r="L339" i="2"/>
  <c r="B346" i="2"/>
  <c r="C345" i="2"/>
  <c r="M338" i="2"/>
  <c r="O338" i="2" s="1"/>
  <c r="F340" i="2"/>
  <c r="J339" i="2"/>
  <c r="P338" i="2"/>
  <c r="G341" i="2"/>
  <c r="H341" i="2" s="1"/>
  <c r="E345" i="2" a="1"/>
  <c r="D345" i="2" a="1"/>
  <c r="I341" i="2" a="1"/>
  <c r="F341" i="2" a="1"/>
  <c r="K340" i="2" a="1"/>
  <c r="I341" i="2" l="1"/>
  <c r="K340" i="2"/>
  <c r="D345" i="2"/>
  <c r="E345" i="2"/>
  <c r="B347" i="2"/>
  <c r="C346" i="2"/>
  <c r="N340" i="2"/>
  <c r="L340" i="2"/>
  <c r="M339" i="2"/>
  <c r="O339" i="2" s="1"/>
  <c r="F341" i="2"/>
  <c r="J340" i="2"/>
  <c r="P339" i="2"/>
  <c r="G342" i="2"/>
  <c r="H342" i="2" s="1"/>
  <c r="F342" i="2" a="1"/>
  <c r="K341" i="2" a="1"/>
  <c r="E346" i="2" a="1"/>
  <c r="I342" i="2" a="1"/>
  <c r="D346" i="2" a="1"/>
  <c r="D346" i="2" l="1"/>
  <c r="E346" i="2"/>
  <c r="I342" i="2"/>
  <c r="K341" i="2"/>
  <c r="B348" i="2"/>
  <c r="C347" i="2"/>
  <c r="N341" i="2"/>
  <c r="L341" i="2"/>
  <c r="P341" i="2" s="1"/>
  <c r="M340" i="2"/>
  <c r="O340" i="2" s="1"/>
  <c r="J341" i="2"/>
  <c r="F342" i="2"/>
  <c r="G343" i="2"/>
  <c r="H343" i="2" s="1"/>
  <c r="P340" i="2"/>
  <c r="F343" i="2" a="1"/>
  <c r="I343" i="2" a="1"/>
  <c r="K342" i="2" a="1"/>
  <c r="E347" i="2" a="1"/>
  <c r="D347" i="2" a="1"/>
  <c r="I343" i="2" l="1"/>
  <c r="E347" i="2"/>
  <c r="D347" i="2"/>
  <c r="K342" i="2"/>
  <c r="B349" i="2"/>
  <c r="C348" i="2"/>
  <c r="L342" i="2"/>
  <c r="N342" i="2"/>
  <c r="M341" i="2"/>
  <c r="O341" i="2" s="1"/>
  <c r="F343" i="2"/>
  <c r="J342" i="2"/>
  <c r="G344" i="2"/>
  <c r="H344" i="2" s="1"/>
  <c r="F344" i="2" a="1"/>
  <c r="K343" i="2" a="1"/>
  <c r="D348" i="2" a="1"/>
  <c r="I344" i="2" a="1"/>
  <c r="E348" i="2" a="1"/>
  <c r="D348" i="2" l="1"/>
  <c r="E348" i="2"/>
  <c r="I344" i="2"/>
  <c r="K343" i="2"/>
  <c r="B350" i="2"/>
  <c r="C349" i="2"/>
  <c r="N343" i="2"/>
  <c r="L343" i="2"/>
  <c r="M342" i="2"/>
  <c r="O342" i="2" s="1"/>
  <c r="J343" i="2"/>
  <c r="F344" i="2"/>
  <c r="P342" i="2"/>
  <c r="G345" i="2"/>
  <c r="H345" i="2" s="1"/>
  <c r="I345" i="2" a="1"/>
  <c r="K344" i="2" a="1"/>
  <c r="E349" i="2" a="1"/>
  <c r="D349" i="2" a="1"/>
  <c r="F345" i="2" a="1"/>
  <c r="D349" i="2" l="1"/>
  <c r="E349" i="2"/>
  <c r="K344" i="2"/>
  <c r="I345" i="2"/>
  <c r="B351" i="2"/>
  <c r="C350" i="2"/>
  <c r="N344" i="2"/>
  <c r="L344" i="2"/>
  <c r="M343" i="2"/>
  <c r="O343" i="2" s="1"/>
  <c r="J344" i="2"/>
  <c r="F345" i="2"/>
  <c r="P343" i="2"/>
  <c r="G346" i="2"/>
  <c r="H346" i="2" s="1"/>
  <c r="D350" i="2" a="1"/>
  <c r="K345" i="2" a="1"/>
  <c r="I346" i="2" a="1"/>
  <c r="E350" i="2" a="1"/>
  <c r="F346" i="2" a="1"/>
  <c r="I346" i="2" l="1"/>
  <c r="E350" i="2"/>
  <c r="D350" i="2"/>
  <c r="K345" i="2"/>
  <c r="B352" i="2"/>
  <c r="C351" i="2"/>
  <c r="N345" i="2"/>
  <c r="L345" i="2"/>
  <c r="M344" i="2"/>
  <c r="O344" i="2" s="1"/>
  <c r="J345" i="2"/>
  <c r="F346" i="2"/>
  <c r="P344" i="2"/>
  <c r="G347" i="2"/>
  <c r="H347" i="2" s="1"/>
  <c r="I347" i="2" a="1"/>
  <c r="K346" i="2" a="1"/>
  <c r="D351" i="2" a="1"/>
  <c r="F347" i="2" a="1"/>
  <c r="E351" i="2" a="1"/>
  <c r="E351" i="2" l="1"/>
  <c r="D351" i="2"/>
  <c r="I347" i="2"/>
  <c r="K346" i="2"/>
  <c r="B353" i="2"/>
  <c r="C352" i="2"/>
  <c r="L346" i="2"/>
  <c r="N346" i="2"/>
  <c r="M345" i="2"/>
  <c r="O345" i="2" s="1"/>
  <c r="J346" i="2"/>
  <c r="F347" i="2"/>
  <c r="G348" i="2"/>
  <c r="H348" i="2" s="1"/>
  <c r="P345" i="2"/>
  <c r="E352" i="2" a="1"/>
  <c r="I348" i="2" a="1"/>
  <c r="D352" i="2" a="1"/>
  <c r="K347" i="2" a="1"/>
  <c r="F348" i="2" a="1"/>
  <c r="I348" i="2" l="1"/>
  <c r="K347" i="2"/>
  <c r="D352" i="2"/>
  <c r="E352" i="2"/>
  <c r="N347" i="2"/>
  <c r="L347" i="2"/>
  <c r="P347" i="2" s="1"/>
  <c r="B354" i="2"/>
  <c r="C353" i="2"/>
  <c r="M346" i="2"/>
  <c r="O346" i="2" s="1"/>
  <c r="J347" i="2"/>
  <c r="F348" i="2"/>
  <c r="P346" i="2"/>
  <c r="G349" i="2"/>
  <c r="H349" i="2" s="1"/>
  <c r="I349" i="2" a="1"/>
  <c r="D353" i="2" a="1"/>
  <c r="K348" i="2" a="1"/>
  <c r="E353" i="2" a="1"/>
  <c r="F349" i="2" a="1"/>
  <c r="E353" i="2" l="1"/>
  <c r="D353" i="2"/>
  <c r="I349" i="2"/>
  <c r="K348" i="2"/>
  <c r="B355" i="2"/>
  <c r="C354" i="2"/>
  <c r="N348" i="2"/>
  <c r="L348" i="2"/>
  <c r="M347" i="2"/>
  <c r="O347" i="2" s="1"/>
  <c r="F349" i="2"/>
  <c r="J348" i="2"/>
  <c r="G350" i="2"/>
  <c r="H350" i="2" s="1"/>
  <c r="D354" i="2" a="1"/>
  <c r="I350" i="2" a="1"/>
  <c r="E354" i="2" a="1"/>
  <c r="K349" i="2" a="1"/>
  <c r="F350" i="2" a="1"/>
  <c r="I350" i="2" l="1"/>
  <c r="D354" i="2"/>
  <c r="E354" i="2"/>
  <c r="K349" i="2"/>
  <c r="B356" i="2"/>
  <c r="C355" i="2"/>
  <c r="N349" i="2"/>
  <c r="L349" i="2"/>
  <c r="M348" i="2"/>
  <c r="O348" i="2" s="1"/>
  <c r="F350" i="2"/>
  <c r="J349" i="2"/>
  <c r="G352" i="2"/>
  <c r="H352" i="2" s="1"/>
  <c r="P348" i="2"/>
  <c r="G351" i="2"/>
  <c r="H351" i="2" s="1"/>
  <c r="F351" i="2" a="1"/>
  <c r="F352" i="2" a="1"/>
  <c r="I351" i="2" a="1"/>
  <c r="I352" i="2" a="1"/>
  <c r="E355" i="2" a="1"/>
  <c r="K350" i="2" a="1"/>
  <c r="D355" i="2" a="1"/>
  <c r="I351" i="2" l="1"/>
  <c r="I352" i="2"/>
  <c r="D355" i="2"/>
  <c r="E355" i="2"/>
  <c r="K350" i="2"/>
  <c r="B357" i="2"/>
  <c r="C356" i="2"/>
  <c r="L350" i="2"/>
  <c r="N350" i="2"/>
  <c r="M349" i="2"/>
  <c r="O349" i="2" s="1"/>
  <c r="J350" i="2"/>
  <c r="F352" i="2"/>
  <c r="F351" i="2"/>
  <c r="G353" i="2"/>
  <c r="H353" i="2" s="1"/>
  <c r="P349" i="2"/>
  <c r="D356" i="2" a="1"/>
  <c r="K351" i="2" a="1"/>
  <c r="I353" i="2" a="1"/>
  <c r="F353" i="2" a="1"/>
  <c r="K352" i="2" a="1"/>
  <c r="E356" i="2" a="1"/>
  <c r="I353" i="2" l="1"/>
  <c r="E356" i="2"/>
  <c r="D356" i="2"/>
  <c r="K352" i="2"/>
  <c r="K351" i="2"/>
  <c r="B358" i="2"/>
  <c r="C357" i="2"/>
  <c r="N352" i="2"/>
  <c r="L352" i="2"/>
  <c r="N351" i="2"/>
  <c r="L351" i="2"/>
  <c r="M350" i="2"/>
  <c r="O350" i="2" s="1"/>
  <c r="P352" i="2"/>
  <c r="F353" i="2"/>
  <c r="J351" i="2"/>
  <c r="J352" i="2"/>
  <c r="G354" i="2"/>
  <c r="H354" i="2" s="1"/>
  <c r="P350" i="2"/>
  <c r="D357" i="2" a="1"/>
  <c r="K353" i="2" a="1"/>
  <c r="I354" i="2" a="1"/>
  <c r="E357" i="2" a="1"/>
  <c r="F354" i="2" a="1"/>
  <c r="E357" i="2" l="1"/>
  <c r="D357" i="2"/>
  <c r="I354" i="2"/>
  <c r="K353" i="2"/>
  <c r="B359" i="2"/>
  <c r="C358" i="2"/>
  <c r="L353" i="2"/>
  <c r="N353" i="2"/>
  <c r="M351" i="2"/>
  <c r="O351" i="2" s="1"/>
  <c r="M352" i="2"/>
  <c r="O352" i="2" s="1"/>
  <c r="J353" i="2"/>
  <c r="F354" i="2"/>
  <c r="G355" i="2"/>
  <c r="H355" i="2" s="1"/>
  <c r="P351" i="2"/>
  <c r="K354" i="2" a="1"/>
  <c r="F355" i="2" a="1"/>
  <c r="D358" i="2" a="1"/>
  <c r="E358" i="2" a="1"/>
  <c r="I355" i="2" a="1"/>
  <c r="D358" i="2" l="1"/>
  <c r="E358" i="2"/>
  <c r="I355" i="2"/>
  <c r="K354" i="2"/>
  <c r="B360" i="2"/>
  <c r="C359" i="2"/>
  <c r="L354" i="2"/>
  <c r="N354" i="2"/>
  <c r="M353" i="2"/>
  <c r="O353" i="2" s="1"/>
  <c r="J354" i="2"/>
  <c r="F355" i="2"/>
  <c r="G356" i="2"/>
  <c r="H356" i="2" s="1"/>
  <c r="P353" i="2"/>
  <c r="D359" i="2" a="1"/>
  <c r="E359" i="2" a="1"/>
  <c r="F356" i="2" a="1"/>
  <c r="I356" i="2" a="1"/>
  <c r="K355" i="2" a="1"/>
  <c r="I356" i="2" l="1"/>
  <c r="E359" i="2"/>
  <c r="D359" i="2"/>
  <c r="K355" i="2"/>
  <c r="B361" i="2"/>
  <c r="C360" i="2"/>
  <c r="N355" i="2"/>
  <c r="L355" i="2"/>
  <c r="P355" i="2" s="1"/>
  <c r="M354" i="2"/>
  <c r="O354" i="2" s="1"/>
  <c r="J355" i="2"/>
  <c r="F356" i="2"/>
  <c r="G357" i="2"/>
  <c r="H357" i="2" s="1"/>
  <c r="P354" i="2"/>
  <c r="E360" i="2" a="1"/>
  <c r="K356" i="2" a="1"/>
  <c r="F357" i="2" a="1"/>
  <c r="I357" i="2" a="1"/>
  <c r="D360" i="2" a="1"/>
  <c r="I357" i="2" l="1"/>
  <c r="E360" i="2"/>
  <c r="D360" i="2"/>
  <c r="K356" i="2"/>
  <c r="B362" i="2"/>
  <c r="C361" i="2"/>
  <c r="N356" i="2"/>
  <c r="L356" i="2"/>
  <c r="M355" i="2"/>
  <c r="O355" i="2" s="1"/>
  <c r="F357" i="2"/>
  <c r="J356" i="2"/>
  <c r="G358" i="2"/>
  <c r="H358" i="2" s="1"/>
  <c r="I358" i="2" a="1"/>
  <c r="F358" i="2" a="1"/>
  <c r="E361" i="2" a="1"/>
  <c r="K357" i="2" a="1"/>
  <c r="D361" i="2" a="1"/>
  <c r="I358" i="2" l="1"/>
  <c r="E361" i="2"/>
  <c r="D361" i="2"/>
  <c r="K357" i="2"/>
  <c r="B363" i="2"/>
  <c r="C362" i="2"/>
  <c r="N357" i="2"/>
  <c r="L357" i="2"/>
  <c r="M356" i="2"/>
  <c r="O356" i="2" s="1"/>
  <c r="J357" i="2"/>
  <c r="P356" i="2"/>
  <c r="F358" i="2"/>
  <c r="G359" i="2"/>
  <c r="H359" i="2" s="1"/>
  <c r="K358" i="2" a="1"/>
  <c r="F359" i="2" a="1"/>
  <c r="E362" i="2" a="1"/>
  <c r="I359" i="2" a="1"/>
  <c r="D362" i="2" a="1"/>
  <c r="D362" i="2" l="1"/>
  <c r="E362" i="2"/>
  <c r="I359" i="2"/>
  <c r="K358" i="2"/>
  <c r="B364" i="2"/>
  <c r="C363" i="2"/>
  <c r="N358" i="2"/>
  <c r="L358" i="2"/>
  <c r="P358" i="2" s="1"/>
  <c r="M357" i="2"/>
  <c r="O357" i="2" s="1"/>
  <c r="J358" i="2"/>
  <c r="F359" i="2"/>
  <c r="G360" i="2"/>
  <c r="H360" i="2" s="1"/>
  <c r="P357" i="2"/>
  <c r="D363" i="2" a="1"/>
  <c r="I360" i="2" a="1"/>
  <c r="E363" i="2" a="1"/>
  <c r="F360" i="2" a="1"/>
  <c r="K359" i="2" a="1"/>
  <c r="I360" i="2" l="1"/>
  <c r="K359" i="2"/>
  <c r="D363" i="2"/>
  <c r="E363" i="2"/>
  <c r="B365" i="2"/>
  <c r="C364" i="2"/>
  <c r="L359" i="2"/>
  <c r="P359" i="2" s="1"/>
  <c r="N359" i="2"/>
  <c r="M358" i="2"/>
  <c r="O358" i="2" s="1"/>
  <c r="J359" i="2"/>
  <c r="F360" i="2"/>
  <c r="G361" i="2"/>
  <c r="H361" i="2" s="1"/>
  <c r="F361" i="2" a="1"/>
  <c r="K360" i="2" a="1"/>
  <c r="D364" i="2" a="1"/>
  <c r="I361" i="2" a="1"/>
  <c r="E364" i="2" a="1"/>
  <c r="I361" i="2" l="1"/>
  <c r="E364" i="2"/>
  <c r="D364" i="2"/>
  <c r="K360" i="2"/>
  <c r="B366" i="2"/>
  <c r="C365" i="2"/>
  <c r="L360" i="2"/>
  <c r="N360" i="2"/>
  <c r="M359" i="2"/>
  <c r="O359" i="2" s="1"/>
  <c r="F361" i="2"/>
  <c r="J360" i="2"/>
  <c r="G362" i="2"/>
  <c r="H362" i="2" s="1"/>
  <c r="D365" i="2" a="1"/>
  <c r="I362" i="2" a="1"/>
  <c r="K361" i="2" a="1"/>
  <c r="F362" i="2" a="1"/>
  <c r="E365" i="2" a="1"/>
  <c r="I362" i="2" l="1"/>
  <c r="D365" i="2"/>
  <c r="E365" i="2"/>
  <c r="K361" i="2"/>
  <c r="B367" i="2"/>
  <c r="C366" i="2"/>
  <c r="N361" i="2"/>
  <c r="L361" i="2"/>
  <c r="M360" i="2"/>
  <c r="O360" i="2" s="1"/>
  <c r="J361" i="2"/>
  <c r="P360" i="2"/>
  <c r="F362" i="2"/>
  <c r="G363" i="2"/>
  <c r="H363" i="2" s="1"/>
  <c r="D366" i="2" a="1"/>
  <c r="K362" i="2" a="1"/>
  <c r="E366" i="2" a="1"/>
  <c r="I363" i="2" a="1"/>
  <c r="F363" i="2" a="1"/>
  <c r="I363" i="2" l="1"/>
  <c r="E366" i="2"/>
  <c r="D366" i="2"/>
  <c r="K362" i="2"/>
  <c r="B368" i="2"/>
  <c r="C367" i="2"/>
  <c r="N362" i="2"/>
  <c r="L362" i="2"/>
  <c r="M361" i="2"/>
  <c r="O361" i="2" s="1"/>
  <c r="J362" i="2"/>
  <c r="F363" i="2"/>
  <c r="P361" i="2"/>
  <c r="G364" i="2"/>
  <c r="H364" i="2" s="1"/>
  <c r="D367" i="2" a="1"/>
  <c r="E367" i="2" a="1"/>
  <c r="I364" i="2" a="1"/>
  <c r="F364" i="2" a="1"/>
  <c r="K363" i="2" a="1"/>
  <c r="I364" i="2" l="1"/>
  <c r="E367" i="2"/>
  <c r="D367" i="2"/>
  <c r="K363" i="2"/>
  <c r="B369" i="2"/>
  <c r="C368" i="2"/>
  <c r="L363" i="2"/>
  <c r="N363" i="2"/>
  <c r="M362" i="2"/>
  <c r="O362" i="2" s="1"/>
  <c r="F364" i="2"/>
  <c r="J363" i="2"/>
  <c r="G365" i="2"/>
  <c r="H365" i="2" s="1"/>
  <c r="P362" i="2"/>
  <c r="E368" i="2" a="1"/>
  <c r="F365" i="2" a="1"/>
  <c r="K364" i="2" a="1"/>
  <c r="I365" i="2" a="1"/>
  <c r="D368" i="2" a="1"/>
  <c r="D368" i="2" l="1"/>
  <c r="E368" i="2"/>
  <c r="I365" i="2"/>
  <c r="K364" i="2"/>
  <c r="B370" i="2"/>
  <c r="C369" i="2"/>
  <c r="N364" i="2"/>
  <c r="L364" i="2"/>
  <c r="M363" i="2"/>
  <c r="O363" i="2" s="1"/>
  <c r="F365" i="2"/>
  <c r="J364" i="2"/>
  <c r="P363" i="2"/>
  <c r="G366" i="2"/>
  <c r="H366" i="2" s="1"/>
  <c r="I366" i="2" a="1"/>
  <c r="K365" i="2" a="1"/>
  <c r="F366" i="2" a="1"/>
  <c r="D369" i="2" a="1"/>
  <c r="E369" i="2" a="1"/>
  <c r="I366" i="2" l="1"/>
  <c r="E369" i="2"/>
  <c r="D369" i="2"/>
  <c r="K365" i="2"/>
  <c r="B371" i="2"/>
  <c r="C370" i="2"/>
  <c r="L365" i="2"/>
  <c r="N365" i="2"/>
  <c r="M364" i="2"/>
  <c r="O364" i="2" s="1"/>
  <c r="F366" i="2"/>
  <c r="P364" i="2"/>
  <c r="J365" i="2"/>
  <c r="G367" i="2"/>
  <c r="H367" i="2" s="1"/>
  <c r="E370" i="2" a="1"/>
  <c r="F367" i="2" a="1"/>
  <c r="K366" i="2" a="1"/>
  <c r="D370" i="2" a="1"/>
  <c r="I367" i="2" a="1"/>
  <c r="D370" i="2" l="1"/>
  <c r="E370" i="2"/>
  <c r="I367" i="2"/>
  <c r="K366" i="2"/>
  <c r="B372" i="2"/>
  <c r="C371" i="2"/>
  <c r="L366" i="2"/>
  <c r="N366" i="2"/>
  <c r="M365" i="2"/>
  <c r="O365" i="2" s="1"/>
  <c r="J366" i="2"/>
  <c r="F367" i="2"/>
  <c r="P365" i="2"/>
  <c r="G368" i="2"/>
  <c r="H368" i="2" s="1"/>
  <c r="F368" i="2" a="1"/>
  <c r="I368" i="2" a="1"/>
  <c r="D371" i="2" a="1"/>
  <c r="E371" i="2" a="1"/>
  <c r="K367" i="2" a="1"/>
  <c r="D371" i="2" l="1"/>
  <c r="E371" i="2"/>
  <c r="I368" i="2"/>
  <c r="K367" i="2"/>
  <c r="B373" i="2"/>
  <c r="C372" i="2"/>
  <c r="N367" i="2"/>
  <c r="L367" i="2"/>
  <c r="M366" i="2"/>
  <c r="O366" i="2" s="1"/>
  <c r="F368" i="2"/>
  <c r="J367" i="2"/>
  <c r="P366" i="2"/>
  <c r="G369" i="2"/>
  <c r="H369" i="2" s="1"/>
  <c r="K368" i="2" a="1"/>
  <c r="E372" i="2" a="1"/>
  <c r="F369" i="2" a="1"/>
  <c r="I369" i="2" a="1"/>
  <c r="D372" i="2" a="1"/>
  <c r="I369" i="2" l="1"/>
  <c r="D372" i="2"/>
  <c r="E372" i="2"/>
  <c r="K368" i="2"/>
  <c r="L368" i="2"/>
  <c r="P368" i="2" s="1"/>
  <c r="N368" i="2"/>
  <c r="B374" i="2"/>
  <c r="C373" i="2"/>
  <c r="M367" i="2"/>
  <c r="J368" i="2"/>
  <c r="F369" i="2"/>
  <c r="G370" i="2"/>
  <c r="H370" i="2" s="1"/>
  <c r="P367" i="2"/>
  <c r="O367" i="2"/>
  <c r="F370" i="2" a="1"/>
  <c r="K369" i="2" a="1"/>
  <c r="E373" i="2" a="1"/>
  <c r="I370" i="2" a="1"/>
  <c r="D373" i="2" a="1"/>
  <c r="I370" i="2" l="1"/>
  <c r="D373" i="2"/>
  <c r="E373" i="2"/>
  <c r="K369" i="2"/>
  <c r="B375" i="2"/>
  <c r="C374" i="2"/>
  <c r="N369" i="2"/>
  <c r="L369" i="2"/>
  <c r="M368" i="2"/>
  <c r="O368" i="2" s="1"/>
  <c r="J369" i="2"/>
  <c r="F370" i="2"/>
  <c r="G371" i="2"/>
  <c r="H371" i="2" s="1"/>
  <c r="E374" i="2" a="1"/>
  <c r="K370" i="2" a="1"/>
  <c r="D374" i="2" a="1"/>
  <c r="F371" i="2" a="1"/>
  <c r="I371" i="2" a="1"/>
  <c r="D374" i="2" l="1"/>
  <c r="E374" i="2"/>
  <c r="I371" i="2"/>
  <c r="K370" i="2"/>
  <c r="B376" i="2"/>
  <c r="C375" i="2"/>
  <c r="N370" i="2"/>
  <c r="L370" i="2"/>
  <c r="M369" i="2"/>
  <c r="O369" i="2" s="1"/>
  <c r="F371" i="2"/>
  <c r="J370" i="2"/>
  <c r="P369" i="2"/>
  <c r="G372" i="2"/>
  <c r="H372" i="2" s="1"/>
  <c r="D375" i="2" a="1"/>
  <c r="K371" i="2" a="1"/>
  <c r="I372" i="2" a="1"/>
  <c r="F372" i="2" a="1"/>
  <c r="E375" i="2" a="1"/>
  <c r="D375" i="2" l="1"/>
  <c r="E375" i="2"/>
  <c r="I372" i="2"/>
  <c r="K371" i="2"/>
  <c r="B377" i="2"/>
  <c r="C376" i="2"/>
  <c r="N371" i="2"/>
  <c r="L371" i="2"/>
  <c r="P371" i="2" s="1"/>
  <c r="M370" i="2"/>
  <c r="O370" i="2" s="1"/>
  <c r="J371" i="2"/>
  <c r="F372" i="2"/>
  <c r="P370" i="2"/>
  <c r="G373" i="2"/>
  <c r="H373" i="2" s="1"/>
  <c r="E376" i="2" a="1"/>
  <c r="K372" i="2" a="1"/>
  <c r="I373" i="2" a="1"/>
  <c r="F373" i="2" a="1"/>
  <c r="D376" i="2" a="1"/>
  <c r="I373" i="2" l="1"/>
  <c r="E376" i="2"/>
  <c r="D376" i="2"/>
  <c r="K372" i="2"/>
  <c r="L372" i="2"/>
  <c r="N372" i="2"/>
  <c r="B378" i="2"/>
  <c r="C377" i="2"/>
  <c r="M371" i="2"/>
  <c r="O371" i="2" s="1"/>
  <c r="F373" i="2"/>
  <c r="J372" i="2"/>
  <c r="G374" i="2"/>
  <c r="H374" i="2" s="1"/>
  <c r="E377" i="2" a="1"/>
  <c r="F374" i="2" a="1"/>
  <c r="D377" i="2" a="1"/>
  <c r="I374" i="2" a="1"/>
  <c r="K373" i="2" a="1"/>
  <c r="D377" i="2" l="1"/>
  <c r="E377" i="2"/>
  <c r="I374" i="2"/>
  <c r="K373" i="2"/>
  <c r="B379" i="2"/>
  <c r="C378" i="2"/>
  <c r="N373" i="2"/>
  <c r="L373" i="2"/>
  <c r="P373" i="2" s="1"/>
  <c r="M372" i="2"/>
  <c r="O372" i="2" s="1"/>
  <c r="J373" i="2"/>
  <c r="P372" i="2"/>
  <c r="F374" i="2"/>
  <c r="G375" i="2"/>
  <c r="H375" i="2" s="1"/>
  <c r="I375" i="2" a="1"/>
  <c r="E378" i="2" a="1"/>
  <c r="F375" i="2" a="1"/>
  <c r="K374" i="2" a="1"/>
  <c r="D378" i="2" a="1"/>
  <c r="E378" i="2" l="1"/>
  <c r="D378" i="2"/>
  <c r="K374" i="2"/>
  <c r="I375" i="2"/>
  <c r="B380" i="2"/>
  <c r="C379" i="2"/>
  <c r="N374" i="2"/>
  <c r="L374" i="2"/>
  <c r="M373" i="2"/>
  <c r="O373" i="2" s="1"/>
  <c r="F375" i="2"/>
  <c r="J374" i="2"/>
  <c r="G376" i="2"/>
  <c r="H376" i="2" s="1"/>
  <c r="E379" i="2" a="1"/>
  <c r="D379" i="2" a="1"/>
  <c r="I376" i="2" a="1"/>
  <c r="K375" i="2" a="1"/>
  <c r="F376" i="2" a="1"/>
  <c r="D379" i="2" l="1"/>
  <c r="E379" i="2"/>
  <c r="K375" i="2"/>
  <c r="I376" i="2"/>
  <c r="B381" i="2"/>
  <c r="C380" i="2"/>
  <c r="L375" i="2"/>
  <c r="N375" i="2"/>
  <c r="M374" i="2"/>
  <c r="O374" i="2" s="1"/>
  <c r="F376" i="2"/>
  <c r="J375" i="2"/>
  <c r="P374" i="2"/>
  <c r="G377" i="2"/>
  <c r="H377" i="2" s="1"/>
  <c r="K376" i="2" a="1"/>
  <c r="F377" i="2" a="1"/>
  <c r="I377" i="2" a="1"/>
  <c r="D380" i="2" a="1"/>
  <c r="E380" i="2" a="1"/>
  <c r="E380" i="2" l="1"/>
  <c r="D380" i="2"/>
  <c r="I377" i="2"/>
  <c r="K376" i="2"/>
  <c r="B382" i="2"/>
  <c r="C381" i="2"/>
  <c r="L376" i="2"/>
  <c r="N376" i="2"/>
  <c r="M375" i="2"/>
  <c r="J376" i="2"/>
  <c r="F377" i="2"/>
  <c r="O375" i="2"/>
  <c r="P375" i="2"/>
  <c r="G378" i="2"/>
  <c r="H378" i="2" s="1"/>
  <c r="K377" i="2" a="1"/>
  <c r="E381" i="2" a="1"/>
  <c r="I378" i="2" a="1"/>
  <c r="F378" i="2" a="1"/>
  <c r="D381" i="2" a="1"/>
  <c r="I378" i="2" l="1"/>
  <c r="D381" i="2"/>
  <c r="E381" i="2"/>
  <c r="K377" i="2"/>
  <c r="B383" i="2"/>
  <c r="C382" i="2"/>
  <c r="L377" i="2"/>
  <c r="N377" i="2"/>
  <c r="M376" i="2"/>
  <c r="J377" i="2"/>
  <c r="F378" i="2"/>
  <c r="G379" i="2"/>
  <c r="H379" i="2" s="1"/>
  <c r="P376" i="2"/>
  <c r="O376" i="2"/>
  <c r="E382" i="2" a="1"/>
  <c r="F379" i="2" a="1"/>
  <c r="K378" i="2" a="1"/>
  <c r="I379" i="2" a="1"/>
  <c r="D382" i="2" a="1"/>
  <c r="D382" i="2" l="1"/>
  <c r="E382" i="2"/>
  <c r="I379" i="2"/>
  <c r="K378" i="2"/>
  <c r="B384" i="2"/>
  <c r="C383" i="2"/>
  <c r="N378" i="2"/>
  <c r="L378" i="2"/>
  <c r="P378" i="2" s="1"/>
  <c r="M377" i="2"/>
  <c r="O377" i="2" s="1"/>
  <c r="J378" i="2"/>
  <c r="F379" i="2"/>
  <c r="P377" i="2"/>
  <c r="G380" i="2"/>
  <c r="H380" i="2" s="1"/>
  <c r="K379" i="2" a="1"/>
  <c r="D383" i="2" a="1"/>
  <c r="I380" i="2" a="1"/>
  <c r="E383" i="2" a="1"/>
  <c r="F380" i="2" a="1"/>
  <c r="I380" i="2" l="1"/>
  <c r="D383" i="2"/>
  <c r="E383" i="2"/>
  <c r="K379" i="2"/>
  <c r="B385" i="2"/>
  <c r="C384" i="2"/>
  <c r="N379" i="2"/>
  <c r="L379" i="2"/>
  <c r="M378" i="2"/>
  <c r="O378" i="2" s="1"/>
  <c r="F380" i="2"/>
  <c r="J379" i="2"/>
  <c r="G381" i="2"/>
  <c r="H381" i="2" s="1"/>
  <c r="E384" i="2" a="1"/>
  <c r="I381" i="2" a="1"/>
  <c r="F381" i="2" a="1"/>
  <c r="K380" i="2" a="1"/>
  <c r="D384" i="2" a="1"/>
  <c r="I381" i="2" l="1"/>
  <c r="E384" i="2"/>
  <c r="D384" i="2"/>
  <c r="K380" i="2"/>
  <c r="B386" i="2"/>
  <c r="C385" i="2"/>
  <c r="N380" i="2"/>
  <c r="L380" i="2"/>
  <c r="M379" i="2"/>
  <c r="O379" i="2" s="1"/>
  <c r="J380" i="2"/>
  <c r="F381" i="2"/>
  <c r="P379" i="2"/>
  <c r="G382" i="2"/>
  <c r="H382" i="2" s="1"/>
  <c r="E385" i="2" a="1"/>
  <c r="I382" i="2" a="1"/>
  <c r="D385" i="2" a="1"/>
  <c r="F382" i="2" a="1"/>
  <c r="K381" i="2" a="1"/>
  <c r="D385" i="2" l="1"/>
  <c r="E385" i="2"/>
  <c r="I382" i="2"/>
  <c r="K381" i="2"/>
  <c r="B387" i="2"/>
  <c r="C386" i="2"/>
  <c r="N381" i="2"/>
  <c r="L381" i="2"/>
  <c r="M380" i="2"/>
  <c r="O380" i="2" s="1"/>
  <c r="F382" i="2"/>
  <c r="J381" i="2"/>
  <c r="G383" i="2"/>
  <c r="H383" i="2" s="1"/>
  <c r="P380" i="2"/>
  <c r="D386" i="2" a="1"/>
  <c r="E386" i="2" a="1"/>
  <c r="K382" i="2" a="1"/>
  <c r="I383" i="2" a="1"/>
  <c r="F383" i="2" a="1"/>
  <c r="E386" i="2" l="1"/>
  <c r="D386" i="2"/>
  <c r="I383" i="2"/>
  <c r="K382" i="2"/>
  <c r="B388" i="2"/>
  <c r="C387" i="2"/>
  <c r="L382" i="2"/>
  <c r="N382" i="2"/>
  <c r="M381" i="2"/>
  <c r="O381" i="2" s="1"/>
  <c r="F383" i="2"/>
  <c r="J382" i="2"/>
  <c r="P381" i="2"/>
  <c r="G384" i="2"/>
  <c r="H384" i="2" s="1"/>
  <c r="I384" i="2" a="1"/>
  <c r="K383" i="2" a="1"/>
  <c r="E387" i="2" a="1"/>
  <c r="F384" i="2" a="1"/>
  <c r="D387" i="2" a="1"/>
  <c r="E387" i="2" l="1"/>
  <c r="D387" i="2"/>
  <c r="I384" i="2"/>
  <c r="K383" i="2"/>
  <c r="B389" i="2"/>
  <c r="C388" i="2"/>
  <c r="N383" i="2"/>
  <c r="L383" i="2"/>
  <c r="M382" i="2"/>
  <c r="O382" i="2" s="1"/>
  <c r="F384" i="2"/>
  <c r="J383" i="2"/>
  <c r="G385" i="2"/>
  <c r="H385" i="2" s="1"/>
  <c r="P382" i="2"/>
  <c r="K384" i="2" a="1"/>
  <c r="D388" i="2" a="1"/>
  <c r="I385" i="2" a="1"/>
  <c r="E388" i="2" a="1"/>
  <c r="F385" i="2" a="1"/>
  <c r="E388" i="2" l="1"/>
  <c r="D388" i="2"/>
  <c r="K384" i="2"/>
  <c r="I385" i="2"/>
  <c r="B390" i="2"/>
  <c r="C389" i="2"/>
  <c r="N384" i="2"/>
  <c r="L384" i="2"/>
  <c r="P384" i="2" s="1"/>
  <c r="M383" i="2"/>
  <c r="O383" i="2" s="1"/>
  <c r="J384" i="2"/>
  <c r="F385" i="2"/>
  <c r="G386" i="2"/>
  <c r="H386" i="2" s="1"/>
  <c r="P383" i="2"/>
  <c r="F386" i="2" a="1"/>
  <c r="K385" i="2" a="1"/>
  <c r="E389" i="2" a="1"/>
  <c r="I386" i="2" a="1"/>
  <c r="D389" i="2" a="1"/>
  <c r="I386" i="2" l="1"/>
  <c r="D389" i="2"/>
  <c r="E389" i="2"/>
  <c r="K385" i="2"/>
  <c r="B391" i="2"/>
  <c r="C390" i="2"/>
  <c r="L385" i="2"/>
  <c r="N385" i="2"/>
  <c r="M384" i="2"/>
  <c r="O384" i="2" s="1"/>
  <c r="F386" i="2"/>
  <c r="J385" i="2"/>
  <c r="G387" i="2"/>
  <c r="H387" i="2" s="1"/>
  <c r="E390" i="2" a="1"/>
  <c r="F387" i="2" a="1"/>
  <c r="K386" i="2" a="1"/>
  <c r="D390" i="2" a="1"/>
  <c r="I387" i="2" a="1"/>
  <c r="D390" i="2" l="1"/>
  <c r="E390" i="2"/>
  <c r="I387" i="2"/>
  <c r="K386" i="2"/>
  <c r="B392" i="2"/>
  <c r="C391" i="2"/>
  <c r="N386" i="2"/>
  <c r="L386" i="2"/>
  <c r="P386" i="2" s="1"/>
  <c r="M385" i="2"/>
  <c r="O385" i="2" s="1"/>
  <c r="J386" i="2"/>
  <c r="F387" i="2"/>
  <c r="P385" i="2"/>
  <c r="G388" i="2"/>
  <c r="H388" i="2" s="1"/>
  <c r="K387" i="2" a="1"/>
  <c r="I388" i="2" a="1"/>
  <c r="E391" i="2" a="1"/>
  <c r="D391" i="2" a="1"/>
  <c r="F388" i="2" a="1"/>
  <c r="E391" i="2" l="1"/>
  <c r="D391" i="2"/>
  <c r="K387" i="2"/>
  <c r="I388" i="2"/>
  <c r="B393" i="2"/>
  <c r="C392" i="2"/>
  <c r="N387" i="2"/>
  <c r="L387" i="2"/>
  <c r="M386" i="2"/>
  <c r="O386" i="2" s="1"/>
  <c r="F388" i="2"/>
  <c r="J387" i="2"/>
  <c r="G389" i="2"/>
  <c r="H389" i="2" s="1"/>
  <c r="D392" i="2" a="1"/>
  <c r="K388" i="2" a="1"/>
  <c r="F389" i="2" a="1"/>
  <c r="E392" i="2" a="1"/>
  <c r="I389" i="2" a="1"/>
  <c r="D392" i="2" l="1"/>
  <c r="E392" i="2"/>
  <c r="I389" i="2"/>
  <c r="K388" i="2"/>
  <c r="B394" i="2"/>
  <c r="C393" i="2"/>
  <c r="N388" i="2"/>
  <c r="L388" i="2"/>
  <c r="M387" i="2"/>
  <c r="O387" i="2" s="1"/>
  <c r="F389" i="2"/>
  <c r="P387" i="2"/>
  <c r="J388" i="2"/>
  <c r="G390" i="2"/>
  <c r="H390" i="2" s="1"/>
  <c r="K389" i="2" a="1"/>
  <c r="I390" i="2" a="1"/>
  <c r="D393" i="2" a="1"/>
  <c r="F390" i="2" a="1"/>
  <c r="E393" i="2" a="1"/>
  <c r="I390" i="2" l="1"/>
  <c r="D393" i="2"/>
  <c r="E393" i="2"/>
  <c r="K389" i="2"/>
  <c r="B395" i="2"/>
  <c r="C394" i="2"/>
  <c r="L389" i="2"/>
  <c r="N389" i="2"/>
  <c r="M388" i="2"/>
  <c r="O388" i="2" s="1"/>
  <c r="J389" i="2"/>
  <c r="F390" i="2"/>
  <c r="G391" i="2"/>
  <c r="H391" i="2" s="1"/>
  <c r="P388" i="2"/>
  <c r="K390" i="2" a="1"/>
  <c r="D394" i="2" a="1"/>
  <c r="E394" i="2" a="1"/>
  <c r="I391" i="2" a="1"/>
  <c r="F391" i="2" a="1"/>
  <c r="I391" i="2" l="1"/>
  <c r="D394" i="2"/>
  <c r="E394" i="2"/>
  <c r="K390" i="2"/>
  <c r="B396" i="2"/>
  <c r="C395" i="2"/>
  <c r="L390" i="2"/>
  <c r="N390" i="2"/>
  <c r="M389" i="2"/>
  <c r="O389" i="2" s="1"/>
  <c r="F391" i="2"/>
  <c r="J390" i="2"/>
  <c r="P389" i="2"/>
  <c r="G392" i="2"/>
  <c r="H392" i="2" s="1"/>
  <c r="K391" i="2" a="1"/>
  <c r="I392" i="2" a="1"/>
  <c r="D395" i="2" a="1"/>
  <c r="E395" i="2" a="1"/>
  <c r="F392" i="2" a="1"/>
  <c r="E395" i="2" l="1"/>
  <c r="D395" i="2"/>
  <c r="I392" i="2"/>
  <c r="K391" i="2"/>
  <c r="B397" i="2"/>
  <c r="C396" i="2"/>
  <c r="N391" i="2"/>
  <c r="L391" i="2"/>
  <c r="M390" i="2"/>
  <c r="O390" i="2" s="1"/>
  <c r="F392" i="2"/>
  <c r="J391" i="2"/>
  <c r="P390" i="2"/>
  <c r="G393" i="2"/>
  <c r="H393" i="2" s="1"/>
  <c r="K392" i="2" a="1"/>
  <c r="E396" i="2" a="1"/>
  <c r="F393" i="2" a="1"/>
  <c r="I393" i="2" a="1"/>
  <c r="D396" i="2" a="1"/>
  <c r="I393" i="2" l="1"/>
  <c r="E396" i="2"/>
  <c r="D396" i="2"/>
  <c r="K392" i="2"/>
  <c r="B398" i="2"/>
  <c r="C397" i="2"/>
  <c r="N392" i="2"/>
  <c r="L392" i="2"/>
  <c r="P392" i="2" s="1"/>
  <c r="M391" i="2"/>
  <c r="O391" i="2" s="1"/>
  <c r="J392" i="2"/>
  <c r="F393" i="2"/>
  <c r="P391" i="2"/>
  <c r="G394" i="2"/>
  <c r="H394" i="2" s="1"/>
  <c r="F394" i="2" a="1"/>
  <c r="D397" i="2" a="1"/>
  <c r="I394" i="2" a="1"/>
  <c r="K393" i="2" a="1"/>
  <c r="E397" i="2" a="1"/>
  <c r="I394" i="2" l="1"/>
  <c r="E397" i="2"/>
  <c r="D397" i="2"/>
  <c r="K393" i="2"/>
  <c r="B399" i="2"/>
  <c r="C398" i="2"/>
  <c r="N393" i="2"/>
  <c r="L393" i="2"/>
  <c r="M392" i="2"/>
  <c r="O392" i="2" s="1"/>
  <c r="J393" i="2"/>
  <c r="F394" i="2"/>
  <c r="G395" i="2"/>
  <c r="H395" i="2" s="1"/>
  <c r="E398" i="2" a="1"/>
  <c r="K394" i="2" a="1"/>
  <c r="D398" i="2" a="1"/>
  <c r="F395" i="2" a="1"/>
  <c r="I395" i="2" a="1"/>
  <c r="D398" i="2" l="1"/>
  <c r="E398" i="2"/>
  <c r="I395" i="2"/>
  <c r="K394" i="2"/>
  <c r="B400" i="2"/>
  <c r="C399" i="2"/>
  <c r="N394" i="2"/>
  <c r="L394" i="2"/>
  <c r="M393" i="2"/>
  <c r="O393" i="2" s="1"/>
  <c r="F395" i="2"/>
  <c r="J394" i="2"/>
  <c r="P393" i="2"/>
  <c r="G396" i="2"/>
  <c r="H396" i="2" s="1"/>
  <c r="F396" i="2" a="1"/>
  <c r="K395" i="2" a="1"/>
  <c r="E399" i="2" a="1"/>
  <c r="I396" i="2" a="1"/>
  <c r="D399" i="2" a="1"/>
  <c r="I396" i="2" l="1"/>
  <c r="D399" i="2"/>
  <c r="E399" i="2"/>
  <c r="K395" i="2"/>
  <c r="L395" i="2"/>
  <c r="P395" i="2" s="1"/>
  <c r="N395" i="2"/>
  <c r="B401" i="2"/>
  <c r="C400" i="2"/>
  <c r="M394" i="2"/>
  <c r="O394" i="2" s="1"/>
  <c r="J395" i="2"/>
  <c r="F396" i="2"/>
  <c r="P394" i="2"/>
  <c r="G397" i="2"/>
  <c r="H397" i="2" s="1"/>
  <c r="E400" i="2" a="1"/>
  <c r="K396" i="2" a="1"/>
  <c r="D400" i="2" a="1"/>
  <c r="F397" i="2" a="1"/>
  <c r="I397" i="2" a="1"/>
  <c r="I397" i="2" l="1"/>
  <c r="E400" i="2"/>
  <c r="D400" i="2"/>
  <c r="K396" i="2"/>
  <c r="B402" i="2"/>
  <c r="C401" i="2"/>
  <c r="N396" i="2"/>
  <c r="L396" i="2"/>
  <c r="M395" i="2"/>
  <c r="O395" i="2" s="1"/>
  <c r="F397" i="2"/>
  <c r="J396" i="2"/>
  <c r="G398" i="2"/>
  <c r="H398" i="2" s="1"/>
  <c r="E401" i="2" a="1"/>
  <c r="F398" i="2" a="1"/>
  <c r="K397" i="2" a="1"/>
  <c r="D401" i="2" a="1"/>
  <c r="I398" i="2" a="1"/>
  <c r="D401" i="2" l="1"/>
  <c r="E401" i="2"/>
  <c r="I398" i="2"/>
  <c r="K397" i="2"/>
  <c r="B403" i="2"/>
  <c r="C402" i="2"/>
  <c r="L397" i="2"/>
  <c r="N397" i="2"/>
  <c r="M396" i="2"/>
  <c r="O396" i="2" s="1"/>
  <c r="F398" i="2"/>
  <c r="P396" i="2"/>
  <c r="J397" i="2"/>
  <c r="G399" i="2"/>
  <c r="H399" i="2" s="1"/>
  <c r="F399" i="2" a="1"/>
  <c r="D402" i="2" a="1"/>
  <c r="E402" i="2" a="1"/>
  <c r="I399" i="2" a="1"/>
  <c r="K398" i="2" a="1"/>
  <c r="I399" i="2" l="1"/>
  <c r="K398" i="2"/>
  <c r="E402" i="2"/>
  <c r="D402" i="2"/>
  <c r="N398" i="2"/>
  <c r="L398" i="2"/>
  <c r="B404" i="2"/>
  <c r="C403" i="2"/>
  <c r="M397" i="2"/>
  <c r="O397" i="2" s="1"/>
  <c r="J398" i="2"/>
  <c r="F399" i="2"/>
  <c r="P397" i="2"/>
  <c r="G400" i="2"/>
  <c r="H400" i="2" s="1"/>
  <c r="K399" i="2" a="1"/>
  <c r="I400" i="2" a="1"/>
  <c r="E403" i="2" a="1"/>
  <c r="D403" i="2" a="1"/>
  <c r="F400" i="2" a="1"/>
  <c r="I400" i="2" l="1"/>
  <c r="D403" i="2"/>
  <c r="E403" i="2"/>
  <c r="K399" i="2"/>
  <c r="B405" i="2"/>
  <c r="C404" i="2"/>
  <c r="N399" i="2"/>
  <c r="L399" i="2"/>
  <c r="M398" i="2"/>
  <c r="O398" i="2" s="1"/>
  <c r="F400" i="2"/>
  <c r="J399" i="2"/>
  <c r="G401" i="2"/>
  <c r="H401" i="2" s="1"/>
  <c r="P398" i="2"/>
  <c r="F401" i="2" a="1"/>
  <c r="K400" i="2" a="1"/>
  <c r="D404" i="2" a="1"/>
  <c r="E404" i="2" a="1"/>
  <c r="I401" i="2" a="1"/>
  <c r="I401" i="2" l="1"/>
  <c r="E404" i="2"/>
  <c r="D404" i="2"/>
  <c r="K400" i="2"/>
  <c r="B406" i="2"/>
  <c r="C405" i="2"/>
  <c r="N400" i="2"/>
  <c r="L400" i="2"/>
  <c r="M399" i="2"/>
  <c r="O399" i="2" s="1"/>
  <c r="J400" i="2"/>
  <c r="F401" i="2"/>
  <c r="G402" i="2"/>
  <c r="H402" i="2" s="1"/>
  <c r="P399" i="2"/>
  <c r="I402" i="2" a="1"/>
  <c r="K401" i="2" a="1"/>
  <c r="E405" i="2" a="1"/>
  <c r="F402" i="2" a="1"/>
  <c r="D405" i="2" a="1"/>
  <c r="D405" i="2" l="1"/>
  <c r="E405" i="2"/>
  <c r="I402" i="2"/>
  <c r="K401" i="2"/>
  <c r="B407" i="2"/>
  <c r="C406" i="2"/>
  <c r="N401" i="2"/>
  <c r="L401" i="2"/>
  <c r="M400" i="2"/>
  <c r="O400" i="2" s="1"/>
  <c r="F402" i="2"/>
  <c r="J401" i="2"/>
  <c r="P400" i="2"/>
  <c r="G403" i="2"/>
  <c r="H403" i="2" s="1"/>
  <c r="K402" i="2" a="1"/>
  <c r="E406" i="2" a="1"/>
  <c r="D406" i="2" a="1"/>
  <c r="I403" i="2" a="1"/>
  <c r="F403" i="2" a="1"/>
  <c r="I403" i="2" l="1"/>
  <c r="D406" i="2"/>
  <c r="E406" i="2"/>
  <c r="K402" i="2"/>
  <c r="B408" i="2"/>
  <c r="C407" i="2"/>
  <c r="N402" i="2"/>
  <c r="L402" i="2"/>
  <c r="M401" i="2"/>
  <c r="O401" i="2" s="1"/>
  <c r="F403" i="2"/>
  <c r="P401" i="2"/>
  <c r="J402" i="2"/>
  <c r="G404" i="2"/>
  <c r="H404" i="2" s="1"/>
  <c r="K403" i="2" a="1"/>
  <c r="I404" i="2" a="1"/>
  <c r="D407" i="2" a="1"/>
  <c r="F404" i="2" a="1"/>
  <c r="E407" i="2" a="1"/>
  <c r="E407" i="2" l="1"/>
  <c r="D407" i="2"/>
  <c r="I404" i="2"/>
  <c r="K403" i="2"/>
  <c r="B409" i="2"/>
  <c r="C408" i="2"/>
  <c r="N403" i="2"/>
  <c r="L403" i="2"/>
  <c r="M402" i="2"/>
  <c r="O402" i="2" s="1"/>
  <c r="F404" i="2"/>
  <c r="P402" i="2"/>
  <c r="J403" i="2"/>
  <c r="G405" i="2"/>
  <c r="H405" i="2" s="1"/>
  <c r="K404" i="2" a="1"/>
  <c r="I405" i="2" a="1"/>
  <c r="E408" i="2" a="1"/>
  <c r="D408" i="2" a="1"/>
  <c r="F405" i="2" a="1"/>
  <c r="D408" i="2" l="1"/>
  <c r="E408" i="2"/>
  <c r="I405" i="2"/>
  <c r="K404" i="2"/>
  <c r="B410" i="2"/>
  <c r="C409" i="2"/>
  <c r="N404" i="2"/>
  <c r="L404" i="2"/>
  <c r="M403" i="2"/>
  <c r="O403" i="2" s="1"/>
  <c r="J404" i="2"/>
  <c r="F405" i="2"/>
  <c r="G406" i="2"/>
  <c r="H406" i="2" s="1"/>
  <c r="P403" i="2"/>
  <c r="D409" i="2" a="1"/>
  <c r="E409" i="2" a="1"/>
  <c r="F406" i="2" a="1"/>
  <c r="I406" i="2" a="1"/>
  <c r="K405" i="2" a="1"/>
  <c r="I406" i="2" l="1"/>
  <c r="D409" i="2"/>
  <c r="E409" i="2"/>
  <c r="K405" i="2"/>
  <c r="B411" i="2"/>
  <c r="C410" i="2"/>
  <c r="L405" i="2"/>
  <c r="P405" i="2" s="1"/>
  <c r="N405" i="2"/>
  <c r="M404" i="2"/>
  <c r="O404" i="2" s="1"/>
  <c r="J405" i="2"/>
  <c r="F406" i="2"/>
  <c r="G407" i="2"/>
  <c r="H407" i="2" s="1"/>
  <c r="P404" i="2"/>
  <c r="K406" i="2" a="1"/>
  <c r="I407" i="2" a="1"/>
  <c r="D410" i="2" a="1"/>
  <c r="F407" i="2" a="1"/>
  <c r="E410" i="2" a="1"/>
  <c r="D410" i="2" l="1"/>
  <c r="E410" i="2"/>
  <c r="I407" i="2"/>
  <c r="K406" i="2"/>
  <c r="B412" i="2"/>
  <c r="C411" i="2"/>
  <c r="N406" i="2"/>
  <c r="L406" i="2"/>
  <c r="M405" i="2"/>
  <c r="O405" i="2" s="1"/>
  <c r="J406" i="2"/>
  <c r="F407" i="2"/>
  <c r="G408" i="2"/>
  <c r="H408" i="2" s="1"/>
  <c r="F408" i="2" a="1"/>
  <c r="E411" i="2" a="1"/>
  <c r="I408" i="2" a="1"/>
  <c r="K407" i="2" a="1"/>
  <c r="D411" i="2" a="1"/>
  <c r="E411" i="2" l="1"/>
  <c r="D411" i="2"/>
  <c r="I408" i="2"/>
  <c r="K407" i="2"/>
  <c r="B413" i="2"/>
  <c r="C412" i="2"/>
  <c r="N407" i="2"/>
  <c r="L407" i="2"/>
  <c r="M406" i="2"/>
  <c r="O406" i="2" s="1"/>
  <c r="F408" i="2"/>
  <c r="J407" i="2"/>
  <c r="G409" i="2"/>
  <c r="H409" i="2" s="1"/>
  <c r="P406" i="2"/>
  <c r="D412" i="2" a="1"/>
  <c r="K408" i="2" a="1"/>
  <c r="I409" i="2" a="1"/>
  <c r="F409" i="2" a="1"/>
  <c r="E412" i="2" a="1"/>
  <c r="I409" i="2" l="1"/>
  <c r="K408" i="2"/>
  <c r="D412" i="2"/>
  <c r="E412" i="2"/>
  <c r="N408" i="2"/>
  <c r="L408" i="2"/>
  <c r="B414" i="2"/>
  <c r="C413" i="2"/>
  <c r="M407" i="2"/>
  <c r="O407" i="2" s="1"/>
  <c r="J408" i="2"/>
  <c r="F409" i="2"/>
  <c r="P407" i="2"/>
  <c r="G410" i="2"/>
  <c r="H410" i="2" s="1"/>
  <c r="F410" i="2" a="1"/>
  <c r="I410" i="2" a="1"/>
  <c r="E413" i="2" a="1"/>
  <c r="K409" i="2" a="1"/>
  <c r="D413" i="2" a="1"/>
  <c r="E413" i="2" l="1"/>
  <c r="D413" i="2"/>
  <c r="I410" i="2"/>
  <c r="K409" i="2"/>
  <c r="B415" i="2"/>
  <c r="C414" i="2"/>
  <c r="N409" i="2"/>
  <c r="L409" i="2"/>
  <c r="P409" i="2" s="1"/>
  <c r="M408" i="2"/>
  <c r="O408" i="2" s="1"/>
  <c r="J409" i="2"/>
  <c r="F410" i="2"/>
  <c r="P408" i="2"/>
  <c r="G411" i="2"/>
  <c r="H411" i="2" s="1"/>
  <c r="K410" i="2" a="1"/>
  <c r="E414" i="2" a="1"/>
  <c r="F411" i="2" a="1"/>
  <c r="D414" i="2" a="1"/>
  <c r="I411" i="2" a="1"/>
  <c r="I411" i="2" l="1"/>
  <c r="D414" i="2"/>
  <c r="E414" i="2"/>
  <c r="K410" i="2"/>
  <c r="B416" i="2"/>
  <c r="C415" i="2"/>
  <c r="L410" i="2"/>
  <c r="P410" i="2" s="1"/>
  <c r="N410" i="2"/>
  <c r="M409" i="2"/>
  <c r="O409" i="2" s="1"/>
  <c r="J410" i="2"/>
  <c r="F411" i="2"/>
  <c r="G412" i="2"/>
  <c r="H412" i="2" s="1"/>
  <c r="E415" i="2" a="1"/>
  <c r="F412" i="2" a="1"/>
  <c r="D415" i="2" a="1"/>
  <c r="K411" i="2" a="1"/>
  <c r="I412" i="2" a="1"/>
  <c r="D415" i="2" l="1"/>
  <c r="E415" i="2"/>
  <c r="I412" i="2"/>
  <c r="K411" i="2"/>
  <c r="B417" i="2"/>
  <c r="C416" i="2"/>
  <c r="N411" i="2"/>
  <c r="L411" i="2"/>
  <c r="P411" i="2" s="1"/>
  <c r="M410" i="2"/>
  <c r="O410" i="2" s="1"/>
  <c r="J411" i="2"/>
  <c r="F412" i="2"/>
  <c r="G413" i="2"/>
  <c r="H413" i="2" s="1"/>
  <c r="E416" i="2" a="1"/>
  <c r="F413" i="2" a="1"/>
  <c r="I413" i="2" a="1"/>
  <c r="K412" i="2" a="1"/>
  <c r="D416" i="2" a="1"/>
  <c r="D416" i="2" l="1"/>
  <c r="E416" i="2"/>
  <c r="K412" i="2"/>
  <c r="I413" i="2"/>
  <c r="B418" i="2"/>
  <c r="C417" i="2"/>
  <c r="N412" i="2"/>
  <c r="L412" i="2"/>
  <c r="M411" i="2"/>
  <c r="O411" i="2" s="1"/>
  <c r="J412" i="2"/>
  <c r="F413" i="2"/>
  <c r="G414" i="2"/>
  <c r="H414" i="2" s="1"/>
  <c r="I414" i="2" a="1"/>
  <c r="F414" i="2" a="1"/>
  <c r="D417" i="2" a="1"/>
  <c r="K413" i="2" a="1"/>
  <c r="E417" i="2" a="1"/>
  <c r="E417" i="2" l="1"/>
  <c r="D417" i="2"/>
  <c r="I414" i="2"/>
  <c r="K413" i="2"/>
  <c r="B419" i="2"/>
  <c r="C418" i="2"/>
  <c r="N413" i="2"/>
  <c r="L413" i="2"/>
  <c r="M412" i="2"/>
  <c r="F414" i="2"/>
  <c r="J413" i="2"/>
  <c r="G415" i="2"/>
  <c r="H415" i="2" s="1"/>
  <c r="P412" i="2"/>
  <c r="O412" i="2"/>
  <c r="D418" i="2" a="1"/>
  <c r="I415" i="2" a="1"/>
  <c r="F415" i="2" a="1"/>
  <c r="K414" i="2" a="1"/>
  <c r="E418" i="2" a="1"/>
  <c r="D418" i="2" l="1"/>
  <c r="E418" i="2"/>
  <c r="K414" i="2"/>
  <c r="I415" i="2"/>
  <c r="B420" i="2"/>
  <c r="C419" i="2"/>
  <c r="N414" i="2"/>
  <c r="L414" i="2"/>
  <c r="M413" i="2"/>
  <c r="O413" i="2" s="1"/>
  <c r="F415" i="2"/>
  <c r="P413" i="2"/>
  <c r="J414" i="2"/>
  <c r="G416" i="2"/>
  <c r="H416" i="2" s="1"/>
  <c r="I416" i="2" a="1"/>
  <c r="K415" i="2" a="1"/>
  <c r="F416" i="2" a="1"/>
  <c r="D419" i="2" a="1"/>
  <c r="E419" i="2" a="1"/>
  <c r="E419" i="2" l="1"/>
  <c r="D419" i="2"/>
  <c r="I416" i="2"/>
  <c r="K415" i="2"/>
  <c r="B421" i="2"/>
  <c r="C420" i="2"/>
  <c r="N415" i="2"/>
  <c r="L415" i="2"/>
  <c r="P415" i="2" s="1"/>
  <c r="M414" i="2"/>
  <c r="J415" i="2"/>
  <c r="F416" i="2"/>
  <c r="O414" i="2"/>
  <c r="P414" i="2"/>
  <c r="G417" i="2"/>
  <c r="H417" i="2" s="1"/>
  <c r="F417" i="2" a="1"/>
  <c r="I417" i="2" a="1"/>
  <c r="K416" i="2" a="1"/>
  <c r="D420" i="2" a="1"/>
  <c r="E420" i="2" a="1"/>
  <c r="I417" i="2" l="1"/>
  <c r="D420" i="2"/>
  <c r="E420" i="2"/>
  <c r="K416" i="2"/>
  <c r="B422" i="2"/>
  <c r="C421" i="2"/>
  <c r="N416" i="2"/>
  <c r="L416" i="2"/>
  <c r="M415" i="2"/>
  <c r="O415" i="2" s="1"/>
  <c r="F417" i="2"/>
  <c r="J416" i="2"/>
  <c r="G418" i="2"/>
  <c r="H418" i="2" s="1"/>
  <c r="D421" i="2" a="1"/>
  <c r="I418" i="2" a="1"/>
  <c r="F418" i="2" a="1"/>
  <c r="K417" i="2" a="1"/>
  <c r="E421" i="2" a="1"/>
  <c r="E421" i="2" l="1"/>
  <c r="D421" i="2"/>
  <c r="I418" i="2"/>
  <c r="K417" i="2"/>
  <c r="B423" i="2"/>
  <c r="C422" i="2"/>
  <c r="L417" i="2"/>
  <c r="N417" i="2"/>
  <c r="M416" i="2"/>
  <c r="O416" i="2" s="1"/>
  <c r="F418" i="2"/>
  <c r="P416" i="2"/>
  <c r="J417" i="2"/>
  <c r="G419" i="2"/>
  <c r="H419" i="2" s="1"/>
  <c r="F419" i="2" a="1"/>
  <c r="E422" i="2" a="1"/>
  <c r="I419" i="2" a="1"/>
  <c r="D422" i="2" a="1"/>
  <c r="K418" i="2" a="1"/>
  <c r="D422" i="2" l="1"/>
  <c r="E422" i="2"/>
  <c r="I419" i="2"/>
  <c r="K418" i="2"/>
  <c r="B424" i="2"/>
  <c r="C423" i="2"/>
  <c r="L418" i="2"/>
  <c r="N418" i="2"/>
  <c r="M417" i="2"/>
  <c r="O417" i="2" s="1"/>
  <c r="F419" i="2"/>
  <c r="J418" i="2"/>
  <c r="P417" i="2"/>
  <c r="G420" i="2"/>
  <c r="H420" i="2" s="1"/>
  <c r="D423" i="2" a="1"/>
  <c r="K419" i="2" a="1"/>
  <c r="F420" i="2" a="1"/>
  <c r="E423" i="2" a="1"/>
  <c r="I420" i="2" a="1"/>
  <c r="E423" i="2" l="1"/>
  <c r="D423" i="2"/>
  <c r="K419" i="2"/>
  <c r="I420" i="2"/>
  <c r="L419" i="2"/>
  <c r="N419" i="2"/>
  <c r="B425" i="2"/>
  <c r="C424" i="2"/>
  <c r="M418" i="2"/>
  <c r="O418" i="2" s="1"/>
  <c r="F420" i="2"/>
  <c r="J419" i="2"/>
  <c r="G421" i="2"/>
  <c r="H421" i="2" s="1"/>
  <c r="P418" i="2"/>
  <c r="K420" i="2" a="1"/>
  <c r="D424" i="2" a="1"/>
  <c r="F421" i="2" a="1"/>
  <c r="E424" i="2" a="1"/>
  <c r="I421" i="2" a="1"/>
  <c r="D424" i="2" l="1"/>
  <c r="E424" i="2"/>
  <c r="I421" i="2"/>
  <c r="K420" i="2"/>
  <c r="B426" i="2"/>
  <c r="C425" i="2"/>
  <c r="L420" i="2"/>
  <c r="N420" i="2"/>
  <c r="M419" i="2"/>
  <c r="O419" i="2" s="1"/>
  <c r="F421" i="2"/>
  <c r="P419" i="2"/>
  <c r="J420" i="2"/>
  <c r="G422" i="2"/>
  <c r="H422" i="2" s="1"/>
  <c r="E425" i="2" a="1"/>
  <c r="K421" i="2" a="1"/>
  <c r="F422" i="2" a="1"/>
  <c r="I422" i="2" a="1"/>
  <c r="D425" i="2" a="1"/>
  <c r="I422" i="2" l="1"/>
  <c r="K421" i="2"/>
  <c r="D425" i="2"/>
  <c r="E425" i="2"/>
  <c r="L421" i="2"/>
  <c r="N421" i="2"/>
  <c r="B427" i="2"/>
  <c r="C426" i="2"/>
  <c r="M420" i="2"/>
  <c r="O420" i="2" s="1"/>
  <c r="J421" i="2"/>
  <c r="F422" i="2"/>
  <c r="P420" i="2"/>
  <c r="G423" i="2"/>
  <c r="H423" i="2" s="1"/>
  <c r="K422" i="2" a="1"/>
  <c r="D426" i="2" a="1"/>
  <c r="I423" i="2" a="1"/>
  <c r="E426" i="2" a="1"/>
  <c r="F423" i="2" a="1"/>
  <c r="E426" i="2" l="1"/>
  <c r="D426" i="2"/>
  <c r="I423" i="2"/>
  <c r="K422" i="2"/>
  <c r="B428" i="2"/>
  <c r="C427" i="2"/>
  <c r="N422" i="2"/>
  <c r="L422" i="2"/>
  <c r="M421" i="2"/>
  <c r="O421" i="2" s="1"/>
  <c r="F423" i="2"/>
  <c r="J422" i="2"/>
  <c r="P421" i="2"/>
  <c r="G424" i="2"/>
  <c r="H424" i="2" s="1"/>
  <c r="K423" i="2" a="1"/>
  <c r="I424" i="2" a="1"/>
  <c r="F424" i="2" a="1"/>
  <c r="E427" i="2" a="1"/>
  <c r="D427" i="2" a="1"/>
  <c r="D427" i="2" l="1"/>
  <c r="E427" i="2"/>
  <c r="I424" i="2"/>
  <c r="K423" i="2"/>
  <c r="B429" i="2"/>
  <c r="C428" i="2"/>
  <c r="N423" i="2"/>
  <c r="L423" i="2"/>
  <c r="M422" i="2"/>
  <c r="O422" i="2" s="1"/>
  <c r="J423" i="2"/>
  <c r="F424" i="2"/>
  <c r="G425" i="2"/>
  <c r="H425" i="2" s="1"/>
  <c r="P422" i="2"/>
  <c r="I425" i="2" a="1"/>
  <c r="K424" i="2" a="1"/>
  <c r="D428" i="2" a="1"/>
  <c r="E428" i="2" a="1"/>
  <c r="F425" i="2" a="1"/>
  <c r="D428" i="2" l="1"/>
  <c r="E428" i="2"/>
  <c r="K424" i="2"/>
  <c r="I425" i="2"/>
  <c r="B430" i="2"/>
  <c r="C429" i="2"/>
  <c r="L424" i="2"/>
  <c r="N424" i="2"/>
  <c r="M423" i="2"/>
  <c r="O423" i="2" s="1"/>
  <c r="F425" i="2"/>
  <c r="J424" i="2"/>
  <c r="G426" i="2"/>
  <c r="H426" i="2" s="1"/>
  <c r="P423" i="2"/>
  <c r="K425" i="2" a="1"/>
  <c r="I426" i="2" a="1"/>
  <c r="E429" i="2" a="1"/>
  <c r="F426" i="2" a="1"/>
  <c r="D429" i="2" a="1"/>
  <c r="D429" i="2" l="1"/>
  <c r="E429" i="2"/>
  <c r="K425" i="2"/>
  <c r="I426" i="2"/>
  <c r="B431" i="2"/>
  <c r="C430" i="2"/>
  <c r="N425" i="2"/>
  <c r="L425" i="2"/>
  <c r="M424" i="2"/>
  <c r="O424" i="2" s="1"/>
  <c r="F426" i="2"/>
  <c r="J425" i="2"/>
  <c r="P424" i="2"/>
  <c r="G427" i="2"/>
  <c r="H427" i="2" s="1"/>
  <c r="I427" i="2" a="1"/>
  <c r="D430" i="2" a="1"/>
  <c r="K426" i="2" a="1"/>
  <c r="E430" i="2" a="1"/>
  <c r="F427" i="2" a="1"/>
  <c r="E430" i="2" l="1"/>
  <c r="D430" i="2"/>
  <c r="K426" i="2"/>
  <c r="I427" i="2"/>
  <c r="B432" i="2"/>
  <c r="C431" i="2"/>
  <c r="L426" i="2"/>
  <c r="P426" i="2" s="1"/>
  <c r="N426" i="2"/>
  <c r="M425" i="2"/>
  <c r="O425" i="2" s="1"/>
  <c r="J426" i="2"/>
  <c r="F427" i="2"/>
  <c r="P425" i="2"/>
  <c r="G428" i="2"/>
  <c r="H428" i="2" s="1"/>
  <c r="D431" i="2" a="1"/>
  <c r="I428" i="2" a="1"/>
  <c r="E431" i="2" a="1"/>
  <c r="F428" i="2" a="1"/>
  <c r="K427" i="2" a="1"/>
  <c r="K427" i="2" l="1"/>
  <c r="E431" i="2"/>
  <c r="D431" i="2"/>
  <c r="I428" i="2"/>
  <c r="N427" i="2"/>
  <c r="L427" i="2"/>
  <c r="B433" i="2"/>
  <c r="C432" i="2"/>
  <c r="M426" i="2"/>
  <c r="O426" i="2" s="1"/>
  <c r="F428" i="2"/>
  <c r="J427" i="2"/>
  <c r="G429" i="2"/>
  <c r="H429" i="2" s="1"/>
  <c r="I429" i="2" a="1"/>
  <c r="K428" i="2" a="1"/>
  <c r="E432" i="2" a="1"/>
  <c r="D432" i="2" a="1"/>
  <c r="F429" i="2" a="1"/>
  <c r="E432" i="2" l="1"/>
  <c r="D432" i="2"/>
  <c r="I429" i="2"/>
  <c r="K428" i="2"/>
  <c r="B434" i="2"/>
  <c r="C433" i="2"/>
  <c r="N428" i="2"/>
  <c r="L428" i="2"/>
  <c r="M427" i="2"/>
  <c r="O427" i="2" s="1"/>
  <c r="F429" i="2"/>
  <c r="J428" i="2"/>
  <c r="P427" i="2"/>
  <c r="G430" i="2"/>
  <c r="H430" i="2" s="1"/>
  <c r="F430" i="2" a="1"/>
  <c r="I430" i="2" a="1"/>
  <c r="D433" i="2" a="1"/>
  <c r="E433" i="2" a="1"/>
  <c r="K429" i="2" a="1"/>
  <c r="D433" i="2" l="1"/>
  <c r="E433" i="2"/>
  <c r="I430" i="2"/>
  <c r="K429" i="2"/>
  <c r="B435" i="2"/>
  <c r="C434" i="2"/>
  <c r="L429" i="2"/>
  <c r="N429" i="2"/>
  <c r="M428" i="2"/>
  <c r="O428" i="2" s="1"/>
  <c r="F430" i="2"/>
  <c r="J429" i="2"/>
  <c r="P428" i="2"/>
  <c r="G431" i="2"/>
  <c r="H431" i="2" s="1"/>
  <c r="F431" i="2" a="1"/>
  <c r="I431" i="2" a="1"/>
  <c r="E434" i="2" a="1"/>
  <c r="D434" i="2" a="1"/>
  <c r="K430" i="2" a="1"/>
  <c r="D434" i="2" l="1"/>
  <c r="E434" i="2"/>
  <c r="K430" i="2"/>
  <c r="I431" i="2"/>
  <c r="L430" i="2"/>
  <c r="N430" i="2"/>
  <c r="B436" i="2"/>
  <c r="C435" i="2"/>
  <c r="M429" i="2"/>
  <c r="O429" i="2" s="1"/>
  <c r="F431" i="2"/>
  <c r="J430" i="2"/>
  <c r="P429" i="2"/>
  <c r="G432" i="2"/>
  <c r="H432" i="2" s="1"/>
  <c r="F432" i="2" a="1"/>
  <c r="K431" i="2" a="1"/>
  <c r="D435" i="2" a="1"/>
  <c r="I432" i="2" a="1"/>
  <c r="E435" i="2" a="1"/>
  <c r="E435" i="2" l="1"/>
  <c r="D435" i="2"/>
  <c r="K431" i="2"/>
  <c r="I432" i="2"/>
  <c r="N431" i="2"/>
  <c r="L431" i="2"/>
  <c r="P431" i="2" s="1"/>
  <c r="B437" i="2"/>
  <c r="C436" i="2"/>
  <c r="M430" i="2"/>
  <c r="O430" i="2" s="1"/>
  <c r="J431" i="2"/>
  <c r="F432" i="2"/>
  <c r="P430" i="2"/>
  <c r="G433" i="2"/>
  <c r="H433" i="2" s="1"/>
  <c r="K432" i="2" a="1"/>
  <c r="D436" i="2" a="1"/>
  <c r="I433" i="2" a="1"/>
  <c r="F433" i="2" a="1"/>
  <c r="E436" i="2" a="1"/>
  <c r="D436" i="2" l="1"/>
  <c r="E436" i="2"/>
  <c r="I433" i="2"/>
  <c r="K432" i="2"/>
  <c r="B438" i="2"/>
  <c r="C437" i="2"/>
  <c r="N432" i="2"/>
  <c r="L432" i="2"/>
  <c r="M431" i="2"/>
  <c r="O431" i="2" s="1"/>
  <c r="J432" i="2"/>
  <c r="F433" i="2"/>
  <c r="G434" i="2"/>
  <c r="H434" i="2" s="1"/>
  <c r="D437" i="2" a="1"/>
  <c r="F434" i="2" a="1"/>
  <c r="K433" i="2" a="1"/>
  <c r="E437" i="2" a="1"/>
  <c r="I434" i="2" a="1"/>
  <c r="I434" i="2" l="1"/>
  <c r="K433" i="2"/>
  <c r="D437" i="2"/>
  <c r="E437" i="2"/>
  <c r="B439" i="2"/>
  <c r="C438" i="2"/>
  <c r="L433" i="2"/>
  <c r="N433" i="2"/>
  <c r="P432" i="2"/>
  <c r="M432" i="2"/>
  <c r="O432" i="2" s="1"/>
  <c r="F434" i="2"/>
  <c r="J433" i="2"/>
  <c r="G435" i="2"/>
  <c r="H435" i="2" s="1"/>
  <c r="D438" i="2" a="1"/>
  <c r="I435" i="2" a="1"/>
  <c r="F435" i="2" a="1"/>
  <c r="K434" i="2" a="1"/>
  <c r="E438" i="2" a="1"/>
  <c r="E438" i="2" l="1"/>
  <c r="D438" i="2"/>
  <c r="I435" i="2"/>
  <c r="K434" i="2"/>
  <c r="B440" i="2"/>
  <c r="C439" i="2"/>
  <c r="N434" i="2"/>
  <c r="L434" i="2"/>
  <c r="M433" i="2"/>
  <c r="O433" i="2" s="1"/>
  <c r="F435" i="2"/>
  <c r="J434" i="2"/>
  <c r="G436" i="2"/>
  <c r="H436" i="2" s="1"/>
  <c r="P433" i="2"/>
  <c r="E439" i="2" a="1"/>
  <c r="D439" i="2" a="1"/>
  <c r="F436" i="2" a="1"/>
  <c r="I436" i="2" a="1"/>
  <c r="K435" i="2" a="1"/>
  <c r="I436" i="2" l="1"/>
  <c r="E439" i="2"/>
  <c r="D439" i="2"/>
  <c r="K435" i="2"/>
  <c r="B441" i="2"/>
  <c r="C440" i="2"/>
  <c r="L435" i="2"/>
  <c r="N435" i="2"/>
  <c r="M434" i="2"/>
  <c r="O434" i="2" s="1"/>
  <c r="J435" i="2"/>
  <c r="F436" i="2"/>
  <c r="P434" i="2"/>
  <c r="G437" i="2"/>
  <c r="H437" i="2" s="1"/>
  <c r="I437" i="2" a="1"/>
  <c r="D440" i="2" a="1"/>
  <c r="K436" i="2" a="1"/>
  <c r="E440" i="2" a="1"/>
  <c r="F437" i="2" a="1"/>
  <c r="E440" i="2" l="1"/>
  <c r="D440" i="2"/>
  <c r="I437" i="2"/>
  <c r="K436" i="2"/>
  <c r="B442" i="2"/>
  <c r="C441" i="2"/>
  <c r="N436" i="2"/>
  <c r="L436" i="2"/>
  <c r="P436" i="2" s="1"/>
  <c r="M435" i="2"/>
  <c r="O435" i="2" s="1"/>
  <c r="J436" i="2"/>
  <c r="F437" i="2"/>
  <c r="P435" i="2"/>
  <c r="G438" i="2"/>
  <c r="H438" i="2" s="1"/>
  <c r="E441" i="2" a="1"/>
  <c r="D441" i="2" a="1"/>
  <c r="K437" i="2" a="1"/>
  <c r="I438" i="2" a="1"/>
  <c r="F438" i="2" a="1"/>
  <c r="I438" i="2" l="1"/>
  <c r="D441" i="2"/>
  <c r="E441" i="2"/>
  <c r="K437" i="2"/>
  <c r="B443" i="2"/>
  <c r="C442" i="2"/>
  <c r="N437" i="2"/>
  <c r="L437" i="2"/>
  <c r="M436" i="2"/>
  <c r="O436" i="2" s="1"/>
  <c r="F438" i="2"/>
  <c r="J437" i="2"/>
  <c r="G439" i="2"/>
  <c r="H439" i="2" s="1"/>
  <c r="D442" i="2" a="1"/>
  <c r="E442" i="2" a="1"/>
  <c r="K438" i="2" a="1"/>
  <c r="F439" i="2" a="1"/>
  <c r="I439" i="2" a="1"/>
  <c r="E442" i="2" l="1"/>
  <c r="D442" i="2"/>
  <c r="I439" i="2"/>
  <c r="K438" i="2"/>
  <c r="B444" i="2"/>
  <c r="C443" i="2"/>
  <c r="N438" i="2"/>
  <c r="L438" i="2"/>
  <c r="P438" i="2" s="1"/>
  <c r="M437" i="2"/>
  <c r="O437" i="2" s="1"/>
  <c r="J438" i="2"/>
  <c r="F439" i="2"/>
  <c r="P437" i="2"/>
  <c r="G440" i="2"/>
  <c r="H440" i="2" s="1"/>
  <c r="I440" i="2" a="1"/>
  <c r="K439" i="2" a="1"/>
  <c r="D443" i="2" a="1"/>
  <c r="E443" i="2" a="1"/>
  <c r="F440" i="2" a="1"/>
  <c r="E443" i="2" l="1"/>
  <c r="D443" i="2"/>
  <c r="K439" i="2"/>
  <c r="I440" i="2"/>
  <c r="B445" i="2"/>
  <c r="C444" i="2"/>
  <c r="N439" i="2"/>
  <c r="L439" i="2"/>
  <c r="M438" i="2"/>
  <c r="O438" i="2" s="1"/>
  <c r="J439" i="2"/>
  <c r="F440" i="2"/>
  <c r="G441" i="2"/>
  <c r="H441" i="2" s="1"/>
  <c r="E444" i="2" a="1"/>
  <c r="F441" i="2" a="1"/>
  <c r="D444" i="2" a="1"/>
  <c r="I441" i="2" a="1"/>
  <c r="K440" i="2" a="1"/>
  <c r="D444" i="2" l="1"/>
  <c r="E444" i="2"/>
  <c r="I441" i="2"/>
  <c r="K440" i="2"/>
  <c r="B446" i="2"/>
  <c r="C445" i="2"/>
  <c r="N440" i="2"/>
  <c r="L440" i="2"/>
  <c r="P440" i="2" s="1"/>
  <c r="M439" i="2"/>
  <c r="O439" i="2" s="1"/>
  <c r="J440" i="2"/>
  <c r="F441" i="2"/>
  <c r="P439" i="2"/>
  <c r="G442" i="2"/>
  <c r="H442" i="2" s="1"/>
  <c r="K441" i="2" a="1"/>
  <c r="I442" i="2" a="1"/>
  <c r="F442" i="2" a="1"/>
  <c r="E445" i="2" a="1"/>
  <c r="D445" i="2" a="1"/>
  <c r="I442" i="2" l="1"/>
  <c r="D445" i="2"/>
  <c r="E445" i="2"/>
  <c r="K441" i="2"/>
  <c r="B447" i="2"/>
  <c r="C446" i="2"/>
  <c r="L441" i="2"/>
  <c r="N441" i="2"/>
  <c r="M440" i="2"/>
  <c r="O440" i="2" s="1"/>
  <c r="J441" i="2"/>
  <c r="F442" i="2"/>
  <c r="G443" i="2"/>
  <c r="H443" i="2" s="1"/>
  <c r="D446" i="2" a="1"/>
  <c r="K442" i="2" a="1"/>
  <c r="E446" i="2" a="1"/>
  <c r="F443" i="2" a="1"/>
  <c r="I443" i="2" a="1"/>
  <c r="I443" i="2" l="1"/>
  <c r="D446" i="2"/>
  <c r="E446" i="2"/>
  <c r="K442" i="2"/>
  <c r="B448" i="2"/>
  <c r="C447" i="2"/>
  <c r="N442" i="2"/>
  <c r="L442" i="2"/>
  <c r="M441" i="2"/>
  <c r="O441" i="2" s="1"/>
  <c r="F443" i="2"/>
  <c r="J442" i="2"/>
  <c r="G444" i="2"/>
  <c r="H444" i="2" s="1"/>
  <c r="P441" i="2"/>
  <c r="D447" i="2" a="1"/>
  <c r="I444" i="2" a="1"/>
  <c r="E447" i="2" a="1"/>
  <c r="F444" i="2" a="1"/>
  <c r="K443" i="2" a="1"/>
  <c r="E447" i="2" l="1"/>
  <c r="D447" i="2"/>
  <c r="I444" i="2"/>
  <c r="K443" i="2"/>
  <c r="B449" i="2"/>
  <c r="C448" i="2"/>
  <c r="L443" i="2"/>
  <c r="N443" i="2"/>
  <c r="M442" i="2"/>
  <c r="P442" i="2"/>
  <c r="F444" i="2"/>
  <c r="J443" i="2"/>
  <c r="O442" i="2"/>
  <c r="G445" i="2"/>
  <c r="H445" i="2" s="1"/>
  <c r="I445" i="2" a="1"/>
  <c r="F445" i="2" a="1"/>
  <c r="K444" i="2" a="1"/>
  <c r="E448" i="2" a="1"/>
  <c r="D448" i="2" a="1"/>
  <c r="I445" i="2" l="1"/>
  <c r="D448" i="2"/>
  <c r="E448" i="2"/>
  <c r="K444" i="2"/>
  <c r="B450" i="2"/>
  <c r="C449" i="2"/>
  <c r="N444" i="2"/>
  <c r="L444" i="2"/>
  <c r="M443" i="2"/>
  <c r="O443" i="2" s="1"/>
  <c r="J444" i="2"/>
  <c r="F445" i="2"/>
  <c r="P443" i="2"/>
  <c r="G446" i="2"/>
  <c r="H446" i="2" s="1"/>
  <c r="F446" i="2" a="1"/>
  <c r="I446" i="2" a="1"/>
  <c r="K445" i="2" a="1"/>
  <c r="E449" i="2" a="1"/>
  <c r="D449" i="2" a="1"/>
  <c r="I446" i="2" l="1"/>
  <c r="E449" i="2"/>
  <c r="D449" i="2"/>
  <c r="K445" i="2"/>
  <c r="B451" i="2"/>
  <c r="C450" i="2"/>
  <c r="L445" i="2"/>
  <c r="P445" i="2" s="1"/>
  <c r="N445" i="2"/>
  <c r="M444" i="2"/>
  <c r="O444" i="2" s="1"/>
  <c r="J445" i="2"/>
  <c r="F446" i="2"/>
  <c r="P444" i="2"/>
  <c r="G447" i="2"/>
  <c r="H447" i="2" s="1"/>
  <c r="D450" i="2" a="1"/>
  <c r="K446" i="2" a="1"/>
  <c r="F447" i="2" a="1"/>
  <c r="E450" i="2" a="1"/>
  <c r="I447" i="2" a="1"/>
  <c r="I447" i="2" l="1"/>
  <c r="E450" i="2"/>
  <c r="D450" i="2"/>
  <c r="K446" i="2"/>
  <c r="B452" i="2"/>
  <c r="C451" i="2"/>
  <c r="N446" i="2"/>
  <c r="L446" i="2"/>
  <c r="M445" i="2"/>
  <c r="O445" i="2" s="1"/>
  <c r="J446" i="2"/>
  <c r="F447" i="2"/>
  <c r="G448" i="2"/>
  <c r="H448" i="2" s="1"/>
  <c r="I448" i="2" a="1"/>
  <c r="F448" i="2" a="1"/>
  <c r="E451" i="2" a="1"/>
  <c r="K447" i="2" a="1"/>
  <c r="D451" i="2" a="1"/>
  <c r="I448" i="2" l="1"/>
  <c r="E451" i="2"/>
  <c r="D451" i="2"/>
  <c r="K447" i="2"/>
  <c r="B453" i="2"/>
  <c r="C452" i="2"/>
  <c r="N447" i="2"/>
  <c r="L447" i="2"/>
  <c r="P447" i="2" s="1"/>
  <c r="M446" i="2"/>
  <c r="J447" i="2"/>
  <c r="F448" i="2"/>
  <c r="G449" i="2"/>
  <c r="H449" i="2" s="1"/>
  <c r="P446" i="2"/>
  <c r="O446" i="2"/>
  <c r="K448" i="2" a="1"/>
  <c r="D452" i="2" a="1"/>
  <c r="F449" i="2" a="1"/>
  <c r="E452" i="2" a="1"/>
  <c r="I449" i="2" a="1"/>
  <c r="E452" i="2" l="1"/>
  <c r="D452" i="2"/>
  <c r="I449" i="2"/>
  <c r="K448" i="2"/>
  <c r="B454" i="2"/>
  <c r="C453" i="2"/>
  <c r="N448" i="2"/>
  <c r="L448" i="2"/>
  <c r="M447" i="2"/>
  <c r="O447" i="2" s="1"/>
  <c r="F449" i="2"/>
  <c r="J448" i="2"/>
  <c r="G450" i="2"/>
  <c r="H450" i="2" s="1"/>
  <c r="E453" i="2" a="1"/>
  <c r="D453" i="2" a="1"/>
  <c r="I450" i="2" a="1"/>
  <c r="F450" i="2" a="1"/>
  <c r="K449" i="2" a="1"/>
  <c r="D453" i="2" l="1"/>
  <c r="E453" i="2"/>
  <c r="I450" i="2"/>
  <c r="K449" i="2"/>
  <c r="B455" i="2"/>
  <c r="C454" i="2"/>
  <c r="N449" i="2"/>
  <c r="L449" i="2"/>
  <c r="M448" i="2"/>
  <c r="O448" i="2" s="1"/>
  <c r="J449" i="2"/>
  <c r="F450" i="2"/>
  <c r="P448" i="2"/>
  <c r="G451" i="2"/>
  <c r="H451" i="2" s="1"/>
  <c r="K450" i="2" a="1"/>
  <c r="I451" i="2" a="1"/>
  <c r="D454" i="2" a="1"/>
  <c r="F451" i="2" a="1"/>
  <c r="E454" i="2" a="1"/>
  <c r="E454" i="2" l="1"/>
  <c r="D454" i="2"/>
  <c r="I451" i="2"/>
  <c r="K450" i="2"/>
  <c r="B456" i="2"/>
  <c r="C455" i="2"/>
  <c r="N450" i="2"/>
  <c r="L450" i="2"/>
  <c r="M449" i="2"/>
  <c r="O449" i="2" s="1"/>
  <c r="J450" i="2"/>
  <c r="F451" i="2"/>
  <c r="G452" i="2"/>
  <c r="H452" i="2" s="1"/>
  <c r="P449" i="2"/>
  <c r="F452" i="2" a="1"/>
  <c r="K451" i="2" a="1"/>
  <c r="D455" i="2" a="1"/>
  <c r="E455" i="2" a="1"/>
  <c r="I452" i="2" a="1"/>
  <c r="E455" i="2" l="1"/>
  <c r="D455" i="2"/>
  <c r="I452" i="2"/>
  <c r="K451" i="2"/>
  <c r="B457" i="2"/>
  <c r="C456" i="2"/>
  <c r="L451" i="2"/>
  <c r="N451" i="2"/>
  <c r="M450" i="2"/>
  <c r="O450" i="2" s="1"/>
  <c r="F452" i="2"/>
  <c r="J451" i="2"/>
  <c r="G453" i="2"/>
  <c r="H453" i="2" s="1"/>
  <c r="P450" i="2"/>
  <c r="K452" i="2" a="1"/>
  <c r="F453" i="2" a="1"/>
  <c r="E456" i="2" a="1"/>
  <c r="D456" i="2" a="1"/>
  <c r="I453" i="2" a="1"/>
  <c r="D456" i="2" l="1"/>
  <c r="E456" i="2"/>
  <c r="K452" i="2"/>
  <c r="I453" i="2"/>
  <c r="B458" i="2"/>
  <c r="C457" i="2"/>
  <c r="N452" i="2"/>
  <c r="L452" i="2"/>
  <c r="M451" i="2"/>
  <c r="O451" i="2" s="1"/>
  <c r="F453" i="2"/>
  <c r="J452" i="2"/>
  <c r="P451" i="2"/>
  <c r="G454" i="2"/>
  <c r="H454" i="2" s="1"/>
  <c r="E457" i="2" a="1"/>
  <c r="I454" i="2" a="1"/>
  <c r="D457" i="2" a="1"/>
  <c r="K453" i="2" a="1"/>
  <c r="F454" i="2" a="1"/>
  <c r="D457" i="2" l="1"/>
  <c r="E457" i="2"/>
  <c r="I454" i="2"/>
  <c r="K453" i="2"/>
  <c r="B459" i="2"/>
  <c r="C458" i="2"/>
  <c r="N453" i="2"/>
  <c r="L453" i="2"/>
  <c r="P453" i="2" s="1"/>
  <c r="M452" i="2"/>
  <c r="O452" i="2" s="1"/>
  <c r="J453" i="2"/>
  <c r="F454" i="2"/>
  <c r="P452" i="2"/>
  <c r="G455" i="2"/>
  <c r="H455" i="2" s="1"/>
  <c r="K454" i="2" a="1"/>
  <c r="D458" i="2" a="1"/>
  <c r="F455" i="2" a="1"/>
  <c r="E458" i="2" a="1"/>
  <c r="I455" i="2" a="1"/>
  <c r="I455" i="2" l="1"/>
  <c r="E458" i="2"/>
  <c r="D458" i="2"/>
  <c r="K454" i="2"/>
  <c r="B460" i="2"/>
  <c r="C459" i="2"/>
  <c r="L454" i="2"/>
  <c r="N454" i="2"/>
  <c r="M453" i="2"/>
  <c r="O453" i="2" s="1"/>
  <c r="J454" i="2"/>
  <c r="F455" i="2"/>
  <c r="G456" i="2"/>
  <c r="H456" i="2" s="1"/>
  <c r="F456" i="2" a="1"/>
  <c r="D459" i="2" a="1"/>
  <c r="I456" i="2" a="1"/>
  <c r="E459" i="2" a="1"/>
  <c r="K455" i="2" a="1"/>
  <c r="D459" i="2" l="1"/>
  <c r="E459" i="2"/>
  <c r="I456" i="2"/>
  <c r="K455" i="2"/>
  <c r="B461" i="2"/>
  <c r="C460" i="2"/>
  <c r="L455" i="2"/>
  <c r="N455" i="2"/>
  <c r="M454" i="2"/>
  <c r="O454" i="2" s="1"/>
  <c r="J455" i="2"/>
  <c r="P454" i="2"/>
  <c r="F456" i="2"/>
  <c r="G457" i="2"/>
  <c r="H457" i="2" s="1"/>
  <c r="D460" i="2" a="1"/>
  <c r="I457" i="2" a="1"/>
  <c r="K456" i="2" a="1"/>
  <c r="F457" i="2" a="1"/>
  <c r="E460" i="2" a="1"/>
  <c r="I457" i="2" l="1"/>
  <c r="E460" i="2"/>
  <c r="D460" i="2"/>
  <c r="K456" i="2"/>
  <c r="B462" i="2"/>
  <c r="C461" i="2"/>
  <c r="N456" i="2"/>
  <c r="L456" i="2"/>
  <c r="M455" i="2"/>
  <c r="O455" i="2" s="1"/>
  <c r="F457" i="2"/>
  <c r="J456" i="2"/>
  <c r="P455" i="2"/>
  <c r="G458" i="2"/>
  <c r="H458" i="2" s="1"/>
  <c r="I458" i="2" a="1"/>
  <c r="D461" i="2" a="1"/>
  <c r="F458" i="2" a="1"/>
  <c r="K457" i="2" a="1"/>
  <c r="E461" i="2" a="1"/>
  <c r="E461" i="2" l="1"/>
  <c r="D461" i="2"/>
  <c r="I458" i="2"/>
  <c r="K457" i="2"/>
  <c r="B463" i="2"/>
  <c r="C462" i="2"/>
  <c r="N457" i="2"/>
  <c r="L457" i="2"/>
  <c r="M456" i="2"/>
  <c r="F458" i="2"/>
  <c r="P456" i="2"/>
  <c r="J457" i="2"/>
  <c r="O456" i="2"/>
  <c r="G459" i="2"/>
  <c r="H459" i="2" s="1"/>
  <c r="F459" i="2" a="1"/>
  <c r="I459" i="2" a="1"/>
  <c r="D462" i="2" a="1"/>
  <c r="K458" i="2" a="1"/>
  <c r="E462" i="2" a="1"/>
  <c r="I459" i="2" l="1"/>
  <c r="E462" i="2"/>
  <c r="D462" i="2"/>
  <c r="K458" i="2"/>
  <c r="B464" i="2"/>
  <c r="C463" i="2"/>
  <c r="N458" i="2"/>
  <c r="L458" i="2"/>
  <c r="M457" i="2"/>
  <c r="O457" i="2" s="1"/>
  <c r="F459" i="2"/>
  <c r="P457" i="2"/>
  <c r="J458" i="2"/>
  <c r="G460" i="2"/>
  <c r="H460" i="2" s="1"/>
  <c r="E463" i="2" a="1"/>
  <c r="D463" i="2" a="1"/>
  <c r="F460" i="2" a="1"/>
  <c r="I460" i="2" a="1"/>
  <c r="K459" i="2" a="1"/>
  <c r="I460" i="2" l="1"/>
  <c r="D463" i="2"/>
  <c r="E463" i="2"/>
  <c r="K459" i="2"/>
  <c r="B465" i="2"/>
  <c r="C464" i="2"/>
  <c r="L459" i="2"/>
  <c r="N459" i="2"/>
  <c r="M458" i="2"/>
  <c r="O458" i="2" s="1"/>
  <c r="F460" i="2"/>
  <c r="P458" i="2"/>
  <c r="J459" i="2"/>
  <c r="G461" i="2"/>
  <c r="H461" i="2" s="1"/>
  <c r="D464" i="2" a="1"/>
  <c r="I461" i="2" a="1"/>
  <c r="E464" i="2" a="1"/>
  <c r="F461" i="2" a="1"/>
  <c r="K460" i="2" a="1"/>
  <c r="E464" i="2" l="1"/>
  <c r="D464" i="2"/>
  <c r="I461" i="2"/>
  <c r="K460" i="2"/>
  <c r="B466" i="2"/>
  <c r="C465" i="2"/>
  <c r="N460" i="2"/>
  <c r="L460" i="2"/>
  <c r="M459" i="2"/>
  <c r="O459" i="2" s="1"/>
  <c r="J460" i="2"/>
  <c r="F461" i="2"/>
  <c r="G462" i="2"/>
  <c r="H462" i="2" s="1"/>
  <c r="P459" i="2"/>
  <c r="F462" i="2" a="1"/>
  <c r="I462" i="2" a="1"/>
  <c r="E465" i="2" a="1"/>
  <c r="D465" i="2" a="1"/>
  <c r="K461" i="2" a="1"/>
  <c r="E465" i="2" l="1"/>
  <c r="D465" i="2"/>
  <c r="I462" i="2"/>
  <c r="K461" i="2"/>
  <c r="B467" i="2"/>
  <c r="C466" i="2"/>
  <c r="N461" i="2"/>
  <c r="L461" i="2"/>
  <c r="P461" i="2" s="1"/>
  <c r="M460" i="2"/>
  <c r="J461" i="2"/>
  <c r="F462" i="2"/>
  <c r="G463" i="2"/>
  <c r="H463" i="2" s="1"/>
  <c r="O460" i="2"/>
  <c r="P460" i="2"/>
  <c r="I463" i="2" a="1"/>
  <c r="E466" i="2" a="1"/>
  <c r="K462" i="2" a="1"/>
  <c r="F463" i="2" a="1"/>
  <c r="D466" i="2" a="1"/>
  <c r="D466" i="2" l="1"/>
  <c r="E466" i="2"/>
  <c r="K462" i="2"/>
  <c r="I463" i="2"/>
  <c r="B468" i="2"/>
  <c r="C467" i="2"/>
  <c r="L462" i="2"/>
  <c r="N462" i="2"/>
  <c r="M461" i="2"/>
  <c r="O461" i="2" s="1"/>
  <c r="J462" i="2"/>
  <c r="F463" i="2"/>
  <c r="G464" i="2"/>
  <c r="H464" i="2" s="1"/>
  <c r="K463" i="2" a="1"/>
  <c r="I464" i="2" a="1"/>
  <c r="E467" i="2" a="1"/>
  <c r="D467" i="2" a="1"/>
  <c r="F464" i="2" a="1"/>
  <c r="I464" i="2" l="1"/>
  <c r="K463" i="2"/>
  <c r="D467" i="2"/>
  <c r="E467" i="2"/>
  <c r="B469" i="2"/>
  <c r="C468" i="2"/>
  <c r="L463" i="2"/>
  <c r="N463" i="2"/>
  <c r="M462" i="2"/>
  <c r="O462" i="2" s="1"/>
  <c r="F464" i="2"/>
  <c r="J463" i="2"/>
  <c r="P462" i="2"/>
  <c r="G465" i="2"/>
  <c r="H465" i="2" s="1"/>
  <c r="I465" i="2" a="1"/>
  <c r="K464" i="2" a="1"/>
  <c r="D468" i="2" a="1"/>
  <c r="E468" i="2" a="1"/>
  <c r="F465" i="2" a="1"/>
  <c r="D468" i="2" l="1"/>
  <c r="E468" i="2"/>
  <c r="I465" i="2"/>
  <c r="K464" i="2"/>
  <c r="B470" i="2"/>
  <c r="C469" i="2"/>
  <c r="N464" i="2"/>
  <c r="L464" i="2"/>
  <c r="P464" i="2" s="1"/>
  <c r="M463" i="2"/>
  <c r="O463" i="2" s="1"/>
  <c r="J464" i="2"/>
  <c r="F465" i="2"/>
  <c r="P463" i="2"/>
  <c r="G466" i="2"/>
  <c r="H466" i="2" s="1"/>
  <c r="E469" i="2" a="1"/>
  <c r="D469" i="2" a="1"/>
  <c r="F466" i="2" a="1"/>
  <c r="K465" i="2" a="1"/>
  <c r="I466" i="2" a="1"/>
  <c r="I466" i="2" l="1"/>
  <c r="E469" i="2"/>
  <c r="D469" i="2"/>
  <c r="K465" i="2"/>
  <c r="B471" i="2"/>
  <c r="C470" i="2"/>
  <c r="L465" i="2"/>
  <c r="N465" i="2"/>
  <c r="M464" i="2"/>
  <c r="O464" i="2" s="1"/>
  <c r="F466" i="2"/>
  <c r="J465" i="2"/>
  <c r="G467" i="2"/>
  <c r="H467" i="2" s="1"/>
  <c r="D470" i="2" a="1"/>
  <c r="E470" i="2" a="1"/>
  <c r="I467" i="2" a="1"/>
  <c r="K466" i="2" a="1"/>
  <c r="F467" i="2" a="1"/>
  <c r="E470" i="2" l="1"/>
  <c r="D470" i="2"/>
  <c r="I467" i="2"/>
  <c r="K466" i="2"/>
  <c r="B472" i="2"/>
  <c r="C471" i="2"/>
  <c r="L466" i="2"/>
  <c r="N466" i="2"/>
  <c r="M465" i="2"/>
  <c r="O465" i="2" s="1"/>
  <c r="J466" i="2"/>
  <c r="F467" i="2"/>
  <c r="G468" i="2"/>
  <c r="H468" i="2" s="1"/>
  <c r="P465" i="2"/>
  <c r="E471" i="2" a="1"/>
  <c r="K467" i="2" a="1"/>
  <c r="I468" i="2" a="1"/>
  <c r="F468" i="2" a="1"/>
  <c r="D471" i="2" a="1"/>
  <c r="D471" i="2" l="1"/>
  <c r="E471" i="2"/>
  <c r="I468" i="2"/>
  <c r="K467" i="2"/>
  <c r="B473" i="2"/>
  <c r="C472" i="2"/>
  <c r="N467" i="2"/>
  <c r="L467" i="2"/>
  <c r="M466" i="2"/>
  <c r="F468" i="2"/>
  <c r="J467" i="2"/>
  <c r="G469" i="2"/>
  <c r="H469" i="2" s="1"/>
  <c r="P466" i="2"/>
  <c r="O466" i="2"/>
  <c r="I469" i="2" a="1"/>
  <c r="D472" i="2" a="1"/>
  <c r="E472" i="2" a="1"/>
  <c r="K468" i="2" a="1"/>
  <c r="F469" i="2" a="1"/>
  <c r="E472" i="2" l="1"/>
  <c r="D472" i="2"/>
  <c r="I469" i="2"/>
  <c r="K468" i="2"/>
  <c r="B474" i="2"/>
  <c r="C473" i="2"/>
  <c r="L468" i="2"/>
  <c r="N468" i="2"/>
  <c r="M467" i="2"/>
  <c r="O467" i="2" s="1"/>
  <c r="J468" i="2"/>
  <c r="F469" i="2"/>
  <c r="P467" i="2"/>
  <c r="G470" i="2"/>
  <c r="H470" i="2" s="1"/>
  <c r="K469" i="2" a="1"/>
  <c r="F470" i="2" a="1"/>
  <c r="E473" i="2" a="1"/>
  <c r="D473" i="2" a="1"/>
  <c r="I470" i="2" a="1"/>
  <c r="I470" i="2" l="1"/>
  <c r="D473" i="2"/>
  <c r="E473" i="2"/>
  <c r="K469" i="2"/>
  <c r="B475" i="2"/>
  <c r="C474" i="2"/>
  <c r="L469" i="2"/>
  <c r="N469" i="2"/>
  <c r="M468" i="2"/>
  <c r="O468" i="2" s="1"/>
  <c r="F470" i="2"/>
  <c r="J469" i="2"/>
  <c r="P468" i="2"/>
  <c r="G471" i="2"/>
  <c r="H471" i="2" s="1"/>
  <c r="D474" i="2" a="1"/>
  <c r="K470" i="2" a="1"/>
  <c r="E474" i="2" a="1"/>
  <c r="F471" i="2" a="1"/>
  <c r="I471" i="2" a="1"/>
  <c r="I471" i="2" l="1"/>
  <c r="D474" i="2"/>
  <c r="E474" i="2"/>
  <c r="K470" i="2"/>
  <c r="B476" i="2"/>
  <c r="C475" i="2"/>
  <c r="N470" i="2"/>
  <c r="L470" i="2"/>
  <c r="M469" i="2"/>
  <c r="O469" i="2" s="1"/>
  <c r="P469" i="2"/>
  <c r="F471" i="2"/>
  <c r="J470" i="2"/>
  <c r="G472" i="2"/>
  <c r="H472" i="2" s="1"/>
  <c r="K471" i="2" a="1"/>
  <c r="E475" i="2" a="1"/>
  <c r="I472" i="2" a="1"/>
  <c r="F472" i="2" a="1"/>
  <c r="D475" i="2" a="1"/>
  <c r="I472" i="2" l="1"/>
  <c r="D475" i="2"/>
  <c r="E475" i="2"/>
  <c r="K471" i="2"/>
  <c r="B477" i="2"/>
  <c r="C476" i="2"/>
  <c r="N471" i="2"/>
  <c r="L471" i="2"/>
  <c r="P471" i="2" s="1"/>
  <c r="M470" i="2"/>
  <c r="O470" i="2" s="1"/>
  <c r="J471" i="2"/>
  <c r="F472" i="2"/>
  <c r="G473" i="2"/>
  <c r="H473" i="2" s="1"/>
  <c r="P470" i="2"/>
  <c r="K472" i="2" a="1"/>
  <c r="E476" i="2" a="1"/>
  <c r="I473" i="2" a="1"/>
  <c r="F473" i="2" a="1"/>
  <c r="D476" i="2" a="1"/>
  <c r="I473" i="2" l="1"/>
  <c r="D476" i="2"/>
  <c r="E476" i="2"/>
  <c r="K472" i="2"/>
  <c r="B478" i="2"/>
  <c r="C477" i="2"/>
  <c r="N472" i="2"/>
  <c r="L472" i="2"/>
  <c r="M471" i="2"/>
  <c r="O471" i="2" s="1"/>
  <c r="F473" i="2"/>
  <c r="J472" i="2"/>
  <c r="G474" i="2"/>
  <c r="H474" i="2" s="1"/>
  <c r="E477" i="2" a="1"/>
  <c r="D477" i="2" a="1"/>
  <c r="K473" i="2" a="1"/>
  <c r="F474" i="2" a="1"/>
  <c r="I474" i="2" a="1"/>
  <c r="D477" i="2" l="1"/>
  <c r="E477" i="2"/>
  <c r="I474" i="2"/>
  <c r="K473" i="2"/>
  <c r="B479" i="2"/>
  <c r="C478" i="2"/>
  <c r="N473" i="2"/>
  <c r="L473" i="2"/>
  <c r="M472" i="2"/>
  <c r="O472" i="2" s="1"/>
  <c r="J473" i="2"/>
  <c r="F474" i="2"/>
  <c r="P472" i="2"/>
  <c r="G475" i="2"/>
  <c r="H475" i="2" s="1"/>
  <c r="I475" i="2" a="1"/>
  <c r="F475" i="2" a="1"/>
  <c r="D478" i="2" a="1"/>
  <c r="E478" i="2" a="1"/>
  <c r="K474" i="2" a="1"/>
  <c r="D478" i="2" l="1"/>
  <c r="E478" i="2"/>
  <c r="K474" i="2"/>
  <c r="I475" i="2"/>
  <c r="B480" i="2"/>
  <c r="C479" i="2"/>
  <c r="N474" i="2"/>
  <c r="L474" i="2"/>
  <c r="P474" i="2" s="1"/>
  <c r="M473" i="2"/>
  <c r="O473" i="2" s="1"/>
  <c r="J474" i="2"/>
  <c r="F475" i="2"/>
  <c r="G476" i="2"/>
  <c r="H476" i="2" s="1"/>
  <c r="P473" i="2"/>
  <c r="F476" i="2" a="1"/>
  <c r="E479" i="2" a="1"/>
  <c r="K475" i="2" a="1"/>
  <c r="I476" i="2" a="1"/>
  <c r="D479" i="2" a="1"/>
  <c r="I476" i="2" l="1"/>
  <c r="K475" i="2"/>
  <c r="D479" i="2"/>
  <c r="E479" i="2"/>
  <c r="B481" i="2"/>
  <c r="C480" i="2"/>
  <c r="N475" i="2"/>
  <c r="L475" i="2"/>
  <c r="M474" i="2"/>
  <c r="O474" i="2" s="1"/>
  <c r="F476" i="2"/>
  <c r="J475" i="2"/>
  <c r="G477" i="2"/>
  <c r="H477" i="2" s="1"/>
  <c r="F477" i="2" a="1"/>
  <c r="D480" i="2" a="1"/>
  <c r="I477" i="2" a="1"/>
  <c r="K476" i="2" a="1"/>
  <c r="E480" i="2" a="1"/>
  <c r="D480" i="2" l="1"/>
  <c r="E480" i="2"/>
  <c r="I477" i="2"/>
  <c r="K476" i="2"/>
  <c r="B482" i="2"/>
  <c r="C481" i="2"/>
  <c r="L476" i="2"/>
  <c r="P476" i="2" s="1"/>
  <c r="N476" i="2"/>
  <c r="M475" i="2"/>
  <c r="J476" i="2"/>
  <c r="O475" i="2"/>
  <c r="F477" i="2"/>
  <c r="P475" i="2"/>
  <c r="G478" i="2"/>
  <c r="H478" i="2" s="1"/>
  <c r="I478" i="2" a="1"/>
  <c r="F478" i="2" a="1"/>
  <c r="K477" i="2" a="1"/>
  <c r="D481" i="2" a="1"/>
  <c r="E481" i="2" a="1"/>
  <c r="D481" i="2" l="1"/>
  <c r="E481" i="2"/>
  <c r="I478" i="2"/>
  <c r="K477" i="2"/>
  <c r="B483" i="2"/>
  <c r="C482" i="2"/>
  <c r="L477" i="2"/>
  <c r="N477" i="2"/>
  <c r="M476" i="2"/>
  <c r="O476" i="2" s="1"/>
  <c r="J477" i="2"/>
  <c r="F478" i="2"/>
  <c r="G479" i="2"/>
  <c r="H479" i="2" s="1"/>
  <c r="I479" i="2" a="1"/>
  <c r="E482" i="2" a="1"/>
  <c r="D482" i="2" a="1"/>
  <c r="K478" i="2" a="1"/>
  <c r="F479" i="2" a="1"/>
  <c r="E482" i="2" l="1"/>
  <c r="D482" i="2"/>
  <c r="I479" i="2"/>
  <c r="K478" i="2"/>
  <c r="B484" i="2"/>
  <c r="C483" i="2"/>
  <c r="L478" i="2"/>
  <c r="N478" i="2"/>
  <c r="M477" i="2"/>
  <c r="J478" i="2"/>
  <c r="F479" i="2"/>
  <c r="P477" i="2"/>
  <c r="O477" i="2"/>
  <c r="G480" i="2"/>
  <c r="H480" i="2" s="1"/>
  <c r="F480" i="2" a="1"/>
  <c r="K479" i="2" a="1"/>
  <c r="E483" i="2" a="1"/>
  <c r="D483" i="2" a="1"/>
  <c r="I480" i="2" a="1"/>
  <c r="I480" i="2" l="1"/>
  <c r="D483" i="2"/>
  <c r="E483" i="2"/>
  <c r="K479" i="2"/>
  <c r="L479" i="2"/>
  <c r="N479" i="2"/>
  <c r="B485" i="2"/>
  <c r="C484" i="2"/>
  <c r="M478" i="2"/>
  <c r="J479" i="2"/>
  <c r="F480" i="2"/>
  <c r="P478" i="2"/>
  <c r="O478" i="2"/>
  <c r="G481" i="2"/>
  <c r="H481" i="2" s="1"/>
  <c r="D484" i="2" a="1"/>
  <c r="I481" i="2" a="1"/>
  <c r="K480" i="2" a="1"/>
  <c r="F481" i="2" a="1"/>
  <c r="E484" i="2" a="1"/>
  <c r="D484" i="2" l="1"/>
  <c r="E484" i="2"/>
  <c r="I481" i="2"/>
  <c r="K480" i="2"/>
  <c r="B486" i="2"/>
  <c r="C485" i="2"/>
  <c r="L480" i="2"/>
  <c r="P480" i="2" s="1"/>
  <c r="N480" i="2"/>
  <c r="M479" i="2"/>
  <c r="J480" i="2"/>
  <c r="F481" i="2"/>
  <c r="P479" i="2"/>
  <c r="O479" i="2"/>
  <c r="G482" i="2"/>
  <c r="H482" i="2" s="1"/>
  <c r="K481" i="2" a="1"/>
  <c r="D485" i="2" a="1"/>
  <c r="E485" i="2" a="1"/>
  <c r="I482" i="2" a="1"/>
  <c r="F482" i="2" a="1"/>
  <c r="I482" i="2" l="1"/>
  <c r="D485" i="2"/>
  <c r="E485" i="2"/>
  <c r="K481" i="2"/>
  <c r="B487" i="2"/>
  <c r="C486" i="2"/>
  <c r="N481" i="2"/>
  <c r="L481" i="2"/>
  <c r="M480" i="2"/>
  <c r="O480" i="2" s="1"/>
  <c r="F482" i="2"/>
  <c r="J481" i="2"/>
  <c r="G483" i="2"/>
  <c r="H483" i="2" s="1"/>
  <c r="E486" i="2" a="1"/>
  <c r="K482" i="2" a="1"/>
  <c r="I483" i="2" a="1"/>
  <c r="F483" i="2" a="1"/>
  <c r="D486" i="2" a="1"/>
  <c r="D486" i="2" l="1"/>
  <c r="E486" i="2"/>
  <c r="I483" i="2"/>
  <c r="K482" i="2"/>
  <c r="B488" i="2"/>
  <c r="C487" i="2"/>
  <c r="N482" i="2"/>
  <c r="L482" i="2"/>
  <c r="M481" i="2"/>
  <c r="O481" i="2" s="1"/>
  <c r="F483" i="2"/>
  <c r="J482" i="2"/>
  <c r="G484" i="2"/>
  <c r="H484" i="2" s="1"/>
  <c r="P481" i="2"/>
  <c r="F484" i="2" a="1"/>
  <c r="I484" i="2" a="1"/>
  <c r="D487" i="2" a="1"/>
  <c r="K483" i="2" a="1"/>
  <c r="E487" i="2" a="1"/>
  <c r="E487" i="2" l="1"/>
  <c r="D487" i="2"/>
  <c r="I484" i="2"/>
  <c r="K483" i="2"/>
  <c r="B489" i="2"/>
  <c r="C488" i="2"/>
  <c r="N483" i="2"/>
  <c r="L483" i="2"/>
  <c r="M482" i="2"/>
  <c r="O482" i="2" s="1"/>
  <c r="J483" i="2"/>
  <c r="F484" i="2"/>
  <c r="P482" i="2"/>
  <c r="G485" i="2"/>
  <c r="H485" i="2" s="1"/>
  <c r="I485" i="2" a="1"/>
  <c r="F485" i="2" a="1"/>
  <c r="K484" i="2" a="1"/>
  <c r="E488" i="2" a="1"/>
  <c r="D488" i="2" a="1"/>
  <c r="D488" i="2" l="1"/>
  <c r="E488" i="2"/>
  <c r="I485" i="2"/>
  <c r="K484" i="2"/>
  <c r="B490" i="2"/>
  <c r="C489" i="2"/>
  <c r="L484" i="2"/>
  <c r="N484" i="2"/>
  <c r="M483" i="2"/>
  <c r="O483" i="2" s="1"/>
  <c r="F485" i="2"/>
  <c r="J484" i="2"/>
  <c r="G486" i="2"/>
  <c r="H486" i="2" s="1"/>
  <c r="P483" i="2"/>
  <c r="K485" i="2" a="1"/>
  <c r="E489" i="2" a="1"/>
  <c r="F486" i="2" a="1"/>
  <c r="I486" i="2" a="1"/>
  <c r="D489" i="2" a="1"/>
  <c r="I486" i="2" l="1"/>
  <c r="E489" i="2"/>
  <c r="D489" i="2"/>
  <c r="K485" i="2"/>
  <c r="B491" i="2"/>
  <c r="C490" i="2"/>
  <c r="N485" i="2"/>
  <c r="L485" i="2"/>
  <c r="M484" i="2"/>
  <c r="O484" i="2" s="1"/>
  <c r="F486" i="2"/>
  <c r="J485" i="2"/>
  <c r="G487" i="2"/>
  <c r="H487" i="2" s="1"/>
  <c r="P484" i="2"/>
  <c r="K486" i="2" a="1"/>
  <c r="I487" i="2" a="1"/>
  <c r="F487" i="2" a="1"/>
  <c r="D490" i="2" a="1"/>
  <c r="E490" i="2" a="1"/>
  <c r="D490" i="2" l="1"/>
  <c r="E490" i="2"/>
  <c r="I487" i="2"/>
  <c r="K486" i="2"/>
  <c r="B492" i="2"/>
  <c r="C491" i="2"/>
  <c r="N486" i="2"/>
  <c r="L486" i="2"/>
  <c r="M485" i="2"/>
  <c r="O485" i="2" s="1"/>
  <c r="J486" i="2"/>
  <c r="F487" i="2"/>
  <c r="P485" i="2"/>
  <c r="G488" i="2"/>
  <c r="H488" i="2" s="1"/>
  <c r="E491" i="2" a="1"/>
  <c r="I488" i="2" a="1"/>
  <c r="K487" i="2" a="1"/>
  <c r="D491" i="2" a="1"/>
  <c r="F488" i="2" a="1"/>
  <c r="D491" i="2" l="1"/>
  <c r="E491" i="2"/>
  <c r="I488" i="2"/>
  <c r="K487" i="2"/>
  <c r="B493" i="2"/>
  <c r="C492" i="2"/>
  <c r="N487" i="2"/>
  <c r="L487" i="2"/>
  <c r="P487" i="2" s="1"/>
  <c r="M486" i="2"/>
  <c r="J487" i="2"/>
  <c r="F488" i="2"/>
  <c r="G489" i="2"/>
  <c r="H489" i="2" s="1"/>
  <c r="O486" i="2"/>
  <c r="P486" i="2"/>
  <c r="I489" i="2" a="1"/>
  <c r="F489" i="2" a="1"/>
  <c r="D492" i="2" a="1"/>
  <c r="K488" i="2" a="1"/>
  <c r="E492" i="2" a="1"/>
  <c r="E492" i="2" l="1"/>
  <c r="D492" i="2"/>
  <c r="I489" i="2"/>
  <c r="K488" i="2"/>
  <c r="B494" i="2"/>
  <c r="C493" i="2"/>
  <c r="L488" i="2"/>
  <c r="N488" i="2"/>
  <c r="M487" i="2"/>
  <c r="O487" i="2" s="1"/>
  <c r="J488" i="2"/>
  <c r="F489" i="2"/>
  <c r="G490" i="2"/>
  <c r="H490" i="2" s="1"/>
  <c r="I490" i="2" a="1"/>
  <c r="D493" i="2" a="1"/>
  <c r="E493" i="2" a="1"/>
  <c r="F490" i="2" a="1"/>
  <c r="K489" i="2" a="1"/>
  <c r="E493" i="2" l="1"/>
  <c r="D493" i="2"/>
  <c r="I490" i="2"/>
  <c r="K489" i="2"/>
  <c r="L489" i="2"/>
  <c r="N489" i="2"/>
  <c r="B495" i="2"/>
  <c r="C494" i="2"/>
  <c r="M488" i="2"/>
  <c r="O488" i="2" s="1"/>
  <c r="F490" i="2"/>
  <c r="J489" i="2"/>
  <c r="G491" i="2"/>
  <c r="H491" i="2" s="1"/>
  <c r="P488" i="2"/>
  <c r="F491" i="2" a="1"/>
  <c r="I491" i="2" a="1"/>
  <c r="K490" i="2" a="1"/>
  <c r="E494" i="2" a="1"/>
  <c r="D494" i="2" a="1"/>
  <c r="D494" i="2" l="1"/>
  <c r="E494" i="2"/>
  <c r="I491" i="2"/>
  <c r="K490" i="2"/>
  <c r="B496" i="2"/>
  <c r="C495" i="2"/>
  <c r="L490" i="2"/>
  <c r="N490" i="2"/>
  <c r="M489" i="2"/>
  <c r="O489" i="2" s="1"/>
  <c r="F491" i="2"/>
  <c r="J490" i="2"/>
  <c r="G492" i="2"/>
  <c r="H492" i="2" s="1"/>
  <c r="P489" i="2"/>
  <c r="I492" i="2" a="1"/>
  <c r="D495" i="2" a="1"/>
  <c r="E495" i="2" a="1"/>
  <c r="F492" i="2" a="1"/>
  <c r="K491" i="2" a="1"/>
  <c r="E495" i="2" l="1"/>
  <c r="D495" i="2"/>
  <c r="I492" i="2"/>
  <c r="K491" i="2"/>
  <c r="L491" i="2"/>
  <c r="N491" i="2"/>
  <c r="B497" i="2"/>
  <c r="C496" i="2"/>
  <c r="M490" i="2"/>
  <c r="O490" i="2" s="1"/>
  <c r="J491" i="2"/>
  <c r="F492" i="2"/>
  <c r="G493" i="2"/>
  <c r="H493" i="2" s="1"/>
  <c r="P490" i="2"/>
  <c r="D496" i="2" a="1"/>
  <c r="E496" i="2" a="1"/>
  <c r="F493" i="2" a="1"/>
  <c r="K492" i="2" a="1"/>
  <c r="I493" i="2" a="1"/>
  <c r="I493" i="2" l="1"/>
  <c r="D496" i="2"/>
  <c r="E496" i="2"/>
  <c r="K492" i="2"/>
  <c r="B498" i="2"/>
  <c r="C497" i="2"/>
  <c r="N492" i="2"/>
  <c r="L492" i="2"/>
  <c r="M491" i="2"/>
  <c r="O491" i="2" s="1"/>
  <c r="J492" i="2"/>
  <c r="F493" i="2"/>
  <c r="G494" i="2"/>
  <c r="H494" i="2" s="1"/>
  <c r="P491" i="2"/>
  <c r="K493" i="2" a="1"/>
  <c r="F494" i="2" a="1"/>
  <c r="I494" i="2" a="1"/>
  <c r="E497" i="2" a="1"/>
  <c r="D497" i="2" a="1"/>
  <c r="D497" i="2" l="1"/>
  <c r="E497" i="2"/>
  <c r="I494" i="2"/>
  <c r="K493" i="2"/>
  <c r="B499" i="2"/>
  <c r="C498" i="2"/>
  <c r="N493" i="2"/>
  <c r="L493" i="2"/>
  <c r="M492" i="2"/>
  <c r="O492" i="2" s="1"/>
  <c r="F494" i="2"/>
  <c r="J493" i="2"/>
  <c r="G495" i="2"/>
  <c r="H495" i="2" s="1"/>
  <c r="P492" i="2"/>
  <c r="F495" i="2" a="1"/>
  <c r="E498" i="2" a="1"/>
  <c r="D498" i="2" a="1"/>
  <c r="K494" i="2" a="1"/>
  <c r="I495" i="2" a="1"/>
  <c r="I495" i="2" l="1"/>
  <c r="D498" i="2"/>
  <c r="E498" i="2"/>
  <c r="K494" i="2"/>
  <c r="B500" i="2"/>
  <c r="C499" i="2"/>
  <c r="N494" i="2"/>
  <c r="L494" i="2"/>
  <c r="M493" i="2"/>
  <c r="O493" i="2" s="1"/>
  <c r="F495" i="2"/>
  <c r="J494" i="2"/>
  <c r="P493" i="2"/>
  <c r="G496" i="2"/>
  <c r="H496" i="2" s="1"/>
  <c r="K495" i="2" a="1"/>
  <c r="E499" i="2" a="1"/>
  <c r="F496" i="2" a="1"/>
  <c r="I496" i="2" a="1"/>
  <c r="D499" i="2" a="1"/>
  <c r="I496" i="2" l="1"/>
  <c r="D499" i="2"/>
  <c r="E499" i="2"/>
  <c r="K495" i="2"/>
  <c r="B501" i="2"/>
  <c r="C500" i="2"/>
  <c r="L495" i="2"/>
  <c r="N495" i="2"/>
  <c r="M494" i="2"/>
  <c r="J495" i="2"/>
  <c r="F496" i="2"/>
  <c r="G497" i="2"/>
  <c r="H497" i="2" s="1"/>
  <c r="P494" i="2"/>
  <c r="O494" i="2"/>
  <c r="K496" i="2" a="1"/>
  <c r="F497" i="2" a="1"/>
  <c r="D500" i="2" a="1"/>
  <c r="E500" i="2" a="1"/>
  <c r="I497" i="2" a="1"/>
  <c r="E500" i="2" l="1"/>
  <c r="D500" i="2"/>
  <c r="I497" i="2"/>
  <c r="K496" i="2"/>
  <c r="B502" i="2"/>
  <c r="C501" i="2"/>
  <c r="N496" i="2"/>
  <c r="L496" i="2"/>
  <c r="P496" i="2" s="1"/>
  <c r="M495" i="2"/>
  <c r="O495" i="2" s="1"/>
  <c r="J496" i="2"/>
  <c r="F497" i="2"/>
  <c r="G498" i="2"/>
  <c r="H498" i="2" s="1"/>
  <c r="P495" i="2"/>
  <c r="F498" i="2" a="1"/>
  <c r="E501" i="2" a="1"/>
  <c r="D501" i="2" a="1"/>
  <c r="I498" i="2" a="1"/>
  <c r="K497" i="2" a="1"/>
  <c r="I498" i="2" l="1"/>
  <c r="D501" i="2"/>
  <c r="E501" i="2"/>
  <c r="K497" i="2"/>
  <c r="B503" i="2"/>
  <c r="C502" i="2"/>
  <c r="N497" i="2"/>
  <c r="L497" i="2"/>
  <c r="P497" i="2" s="1"/>
  <c r="M496" i="2"/>
  <c r="O496" i="2" s="1"/>
  <c r="J497" i="2"/>
  <c r="F498" i="2"/>
  <c r="G499" i="2"/>
  <c r="H499" i="2" s="1"/>
  <c r="E502" i="2" a="1"/>
  <c r="D502" i="2" a="1"/>
  <c r="I499" i="2" a="1"/>
  <c r="F499" i="2" a="1"/>
  <c r="K498" i="2" a="1"/>
  <c r="I499" i="2" l="1"/>
  <c r="E502" i="2"/>
  <c r="D502" i="2"/>
  <c r="K498" i="2"/>
  <c r="B504" i="2"/>
  <c r="C503" i="2"/>
  <c r="N498" i="2"/>
  <c r="L498" i="2"/>
  <c r="P498" i="2" s="1"/>
  <c r="M497" i="2"/>
  <c r="O497" i="2" s="1"/>
  <c r="J498" i="2"/>
  <c r="F499" i="2"/>
  <c r="G500" i="2"/>
  <c r="H500" i="2" s="1"/>
  <c r="F500" i="2" a="1"/>
  <c r="K499" i="2" a="1"/>
  <c r="E503" i="2" a="1"/>
  <c r="I500" i="2" a="1"/>
  <c r="D503" i="2" a="1"/>
  <c r="I500" i="2" l="1"/>
  <c r="E503" i="2"/>
  <c r="D503" i="2"/>
  <c r="K499" i="2"/>
  <c r="B505" i="2"/>
  <c r="C504" i="2"/>
  <c r="L499" i="2"/>
  <c r="N499" i="2"/>
  <c r="M498" i="2"/>
  <c r="O498" i="2" s="1"/>
  <c r="F500" i="2"/>
  <c r="J499" i="2"/>
  <c r="G501" i="2"/>
  <c r="H501" i="2" s="1"/>
  <c r="E504" i="2" a="1"/>
  <c r="D504" i="2" a="1"/>
  <c r="K500" i="2" a="1"/>
  <c r="F501" i="2" a="1"/>
  <c r="I501" i="2" a="1"/>
  <c r="D504" i="2" l="1"/>
  <c r="E504" i="2"/>
  <c r="I501" i="2"/>
  <c r="K500" i="2"/>
  <c r="B506" i="2"/>
  <c r="C505" i="2"/>
  <c r="N500" i="2"/>
  <c r="L500" i="2"/>
  <c r="M499" i="2"/>
  <c r="O499" i="2" s="1"/>
  <c r="J500" i="2"/>
  <c r="F501" i="2"/>
  <c r="P499" i="2"/>
  <c r="G502" i="2"/>
  <c r="H502" i="2" s="1"/>
  <c r="K501" i="2" a="1"/>
  <c r="I502" i="2" a="1"/>
  <c r="E505" i="2" a="1"/>
  <c r="D505" i="2" a="1"/>
  <c r="F502" i="2" a="1"/>
  <c r="D505" i="2" l="1"/>
  <c r="E505" i="2"/>
  <c r="I502" i="2"/>
  <c r="K501" i="2"/>
  <c r="B507" i="2"/>
  <c r="C506" i="2"/>
  <c r="N501" i="2"/>
  <c r="L501" i="2"/>
  <c r="P501" i="2" s="1"/>
  <c r="M500" i="2"/>
  <c r="J501" i="2"/>
  <c r="F502" i="2"/>
  <c r="G503" i="2"/>
  <c r="H503" i="2" s="1"/>
  <c r="O500" i="2"/>
  <c r="P500" i="2"/>
  <c r="D506" i="2" a="1"/>
  <c r="K502" i="2" a="1"/>
  <c r="F503" i="2" a="1"/>
  <c r="I503" i="2" a="1"/>
  <c r="E506" i="2" a="1"/>
  <c r="D506" i="2" l="1"/>
  <c r="E506" i="2"/>
  <c r="I503" i="2"/>
  <c r="K502" i="2"/>
  <c r="B508" i="2"/>
  <c r="C507" i="2"/>
  <c r="N502" i="2"/>
  <c r="L502" i="2"/>
  <c r="M501" i="2"/>
  <c r="O501" i="2" s="1"/>
  <c r="F503" i="2"/>
  <c r="J502" i="2"/>
  <c r="G504" i="2"/>
  <c r="H504" i="2" s="1"/>
  <c r="K503" i="2" a="1"/>
  <c r="E507" i="2" a="1"/>
  <c r="D507" i="2" a="1"/>
  <c r="I504" i="2" a="1"/>
  <c r="F504" i="2" a="1"/>
  <c r="D507" i="2" l="1"/>
  <c r="E507" i="2"/>
  <c r="I504" i="2"/>
  <c r="K503" i="2"/>
  <c r="B509" i="2"/>
  <c r="C508" i="2"/>
  <c r="L503" i="2"/>
  <c r="P503" i="2" s="1"/>
  <c r="N503" i="2"/>
  <c r="M502" i="2"/>
  <c r="O502" i="2" s="1"/>
  <c r="J503" i="2"/>
  <c r="F504" i="2"/>
  <c r="P502" i="2"/>
  <c r="G505" i="2"/>
  <c r="H505" i="2" s="1"/>
  <c r="K504" i="2" a="1"/>
  <c r="I505" i="2" a="1"/>
  <c r="F505" i="2" a="1"/>
  <c r="E508" i="2" a="1"/>
  <c r="D508" i="2" a="1"/>
  <c r="I505" i="2" l="1"/>
  <c r="E508" i="2"/>
  <c r="D508" i="2"/>
  <c r="K504" i="2"/>
  <c r="B510" i="2"/>
  <c r="C509" i="2"/>
  <c r="N504" i="2"/>
  <c r="L504" i="2"/>
  <c r="P504" i="2" s="1"/>
  <c r="M503" i="2"/>
  <c r="O503" i="2" s="1"/>
  <c r="J504" i="2"/>
  <c r="F505" i="2"/>
  <c r="G506" i="2"/>
  <c r="H506" i="2" s="1"/>
  <c r="E509" i="2" a="1"/>
  <c r="K505" i="2" a="1"/>
  <c r="D509" i="2" a="1"/>
  <c r="I506" i="2" a="1"/>
  <c r="F506" i="2" a="1"/>
  <c r="D509" i="2" l="1"/>
  <c r="E509" i="2"/>
  <c r="I506" i="2"/>
  <c r="K505" i="2"/>
  <c r="B511" i="2"/>
  <c r="C510" i="2"/>
  <c r="N505" i="2"/>
  <c r="L505" i="2"/>
  <c r="M504" i="2"/>
  <c r="O504" i="2" s="1"/>
  <c r="J505" i="2"/>
  <c r="F506" i="2"/>
  <c r="G507" i="2"/>
  <c r="H507" i="2" s="1"/>
  <c r="E510" i="2" a="1"/>
  <c r="F507" i="2" a="1"/>
  <c r="K506" i="2" a="1"/>
  <c r="D510" i="2" a="1"/>
  <c r="I507" i="2" a="1"/>
  <c r="I507" i="2" l="1"/>
  <c r="K506" i="2"/>
  <c r="D510" i="2"/>
  <c r="E510" i="2"/>
  <c r="N506" i="2"/>
  <c r="L506" i="2"/>
  <c r="B512" i="2"/>
  <c r="C511" i="2"/>
  <c r="M505" i="2"/>
  <c r="O505" i="2" s="1"/>
  <c r="P505" i="2"/>
  <c r="J506" i="2"/>
  <c r="F507" i="2"/>
  <c r="G508" i="2"/>
  <c r="H508" i="2" s="1"/>
  <c r="E511" i="2" a="1"/>
  <c r="K507" i="2" a="1"/>
  <c r="I508" i="2" a="1"/>
  <c r="D511" i="2" a="1"/>
  <c r="F508" i="2" a="1"/>
  <c r="E511" i="2" l="1"/>
  <c r="D511" i="2"/>
  <c r="I508" i="2"/>
  <c r="K507" i="2"/>
  <c r="B513" i="2"/>
  <c r="C512" i="2"/>
  <c r="L507" i="2"/>
  <c r="N507" i="2"/>
  <c r="M506" i="2"/>
  <c r="F508" i="2"/>
  <c r="J507" i="2"/>
  <c r="G509" i="2"/>
  <c r="H509" i="2" s="1"/>
  <c r="O506" i="2"/>
  <c r="P506" i="2"/>
  <c r="E512" i="2" a="1"/>
  <c r="K508" i="2" a="1"/>
  <c r="D512" i="2" a="1"/>
  <c r="I509" i="2" a="1"/>
  <c r="F509" i="2" a="1"/>
  <c r="D512" i="2" l="1"/>
  <c r="E512" i="2"/>
  <c r="K508" i="2"/>
  <c r="I509" i="2"/>
  <c r="B514" i="2"/>
  <c r="C513" i="2"/>
  <c r="N508" i="2"/>
  <c r="L508" i="2"/>
  <c r="P508" i="2" s="1"/>
  <c r="M507" i="2"/>
  <c r="J508" i="2"/>
  <c r="F509" i="2"/>
  <c r="G510" i="2"/>
  <c r="H510" i="2" s="1"/>
  <c r="O507" i="2"/>
  <c r="P507" i="2"/>
  <c r="I510" i="2" a="1"/>
  <c r="K509" i="2" a="1"/>
  <c r="F510" i="2" a="1"/>
  <c r="E513" i="2" a="1"/>
  <c r="D513" i="2" a="1"/>
  <c r="I510" i="2" l="1"/>
  <c r="E513" i="2"/>
  <c r="D513" i="2"/>
  <c r="K509" i="2"/>
  <c r="B515" i="2"/>
  <c r="C514" i="2"/>
  <c r="N509" i="2"/>
  <c r="L509" i="2"/>
  <c r="M508" i="2"/>
  <c r="O508" i="2" s="1"/>
  <c r="F510" i="2"/>
  <c r="J509" i="2"/>
  <c r="G511" i="2"/>
  <c r="H511" i="2" s="1"/>
  <c r="D514" i="2" a="1"/>
  <c r="E514" i="2" a="1"/>
  <c r="K510" i="2" a="1"/>
  <c r="I511" i="2" a="1"/>
  <c r="F511" i="2" a="1"/>
  <c r="E514" i="2" l="1"/>
  <c r="D514" i="2"/>
  <c r="I511" i="2"/>
  <c r="K510" i="2"/>
  <c r="B516" i="2"/>
  <c r="C515" i="2"/>
  <c r="N510" i="2"/>
  <c r="L510" i="2"/>
  <c r="M509" i="2"/>
  <c r="O509" i="2" s="1"/>
  <c r="F511" i="2"/>
  <c r="J510" i="2"/>
  <c r="P509" i="2"/>
  <c r="G512" i="2"/>
  <c r="H512" i="2" s="1"/>
  <c r="D515" i="2" a="1"/>
  <c r="K511" i="2" a="1"/>
  <c r="E515" i="2" a="1"/>
  <c r="F512" i="2" a="1"/>
  <c r="I512" i="2" a="1"/>
  <c r="I512" i="2" l="1"/>
  <c r="E515" i="2"/>
  <c r="D515" i="2"/>
  <c r="K511" i="2"/>
  <c r="B517" i="2"/>
  <c r="C516" i="2"/>
  <c r="N511" i="2"/>
  <c r="L511" i="2"/>
  <c r="M510" i="2"/>
  <c r="O510" i="2" s="1"/>
  <c r="J511" i="2"/>
  <c r="F512" i="2"/>
  <c r="P510" i="2"/>
  <c r="G513" i="2"/>
  <c r="H513" i="2" s="1"/>
  <c r="I513" i="2" a="1"/>
  <c r="K512" i="2" a="1"/>
  <c r="D516" i="2" a="1"/>
  <c r="F513" i="2" a="1"/>
  <c r="E516" i="2" a="1"/>
  <c r="D516" i="2" l="1"/>
  <c r="E516" i="2"/>
  <c r="I513" i="2"/>
  <c r="K512" i="2"/>
  <c r="B518" i="2"/>
  <c r="C517" i="2"/>
  <c r="N512" i="2"/>
  <c r="L512" i="2"/>
  <c r="M511" i="2"/>
  <c r="O511" i="2" s="1"/>
  <c r="F513" i="2"/>
  <c r="J512" i="2"/>
  <c r="P511" i="2"/>
  <c r="G514" i="2"/>
  <c r="H514" i="2" s="1"/>
  <c r="D517" i="2" a="1"/>
  <c r="F514" i="2" a="1"/>
  <c r="I514" i="2" a="1"/>
  <c r="K513" i="2" a="1"/>
  <c r="E517" i="2" a="1"/>
  <c r="E517" i="2" l="1"/>
  <c r="D517" i="2"/>
  <c r="I514" i="2"/>
  <c r="K513" i="2"/>
  <c r="B519" i="2"/>
  <c r="C518" i="2"/>
  <c r="N513" i="2"/>
  <c r="L513" i="2"/>
  <c r="M512" i="2"/>
  <c r="O512" i="2" s="1"/>
  <c r="F514" i="2"/>
  <c r="P512" i="2"/>
  <c r="J513" i="2"/>
  <c r="G515" i="2"/>
  <c r="H515" i="2" s="1"/>
  <c r="I515" i="2" a="1"/>
  <c r="F515" i="2" a="1"/>
  <c r="D518" i="2" a="1"/>
  <c r="K514" i="2" a="1"/>
  <c r="E518" i="2" a="1"/>
  <c r="D518" i="2" l="1"/>
  <c r="E518" i="2"/>
  <c r="K514" i="2"/>
  <c r="I515" i="2"/>
  <c r="B520" i="2"/>
  <c r="C519" i="2"/>
  <c r="N514" i="2"/>
  <c r="L514" i="2"/>
  <c r="M513" i="2"/>
  <c r="O513" i="2" s="1"/>
  <c r="F515" i="2"/>
  <c r="J514" i="2"/>
  <c r="P513" i="2"/>
  <c r="G516" i="2"/>
  <c r="H516" i="2" s="1"/>
  <c r="F516" i="2" a="1"/>
  <c r="K515" i="2" a="1"/>
  <c r="I516" i="2" a="1"/>
  <c r="D519" i="2" a="1"/>
  <c r="E519" i="2" a="1"/>
  <c r="E519" i="2" l="1"/>
  <c r="D519" i="2"/>
  <c r="I516" i="2"/>
  <c r="K515" i="2"/>
  <c r="N515" i="2"/>
  <c r="L515" i="2"/>
  <c r="P515" i="2" s="1"/>
  <c r="B521" i="2"/>
  <c r="C520" i="2"/>
  <c r="M514" i="2"/>
  <c r="J515" i="2"/>
  <c r="F516" i="2"/>
  <c r="P514" i="2"/>
  <c r="O514" i="2"/>
  <c r="G517" i="2"/>
  <c r="H517" i="2" s="1"/>
  <c r="D520" i="2" a="1"/>
  <c r="E520" i="2" a="1"/>
  <c r="I517" i="2" a="1"/>
  <c r="F517" i="2" a="1"/>
  <c r="K516" i="2" a="1"/>
  <c r="E520" i="2" l="1"/>
  <c r="D520" i="2"/>
  <c r="K516" i="2"/>
  <c r="I517" i="2"/>
  <c r="L516" i="2"/>
  <c r="N516" i="2"/>
  <c r="B522" i="2"/>
  <c r="C521" i="2"/>
  <c r="M515" i="2"/>
  <c r="O515" i="2" s="1"/>
  <c r="F517" i="2"/>
  <c r="J516" i="2"/>
  <c r="G518" i="2"/>
  <c r="H518" i="2" s="1"/>
  <c r="I518" i="2" a="1"/>
  <c r="D521" i="2" a="1"/>
  <c r="K517" i="2" a="1"/>
  <c r="E521" i="2" a="1"/>
  <c r="F518" i="2" a="1"/>
  <c r="D521" i="2" l="1"/>
  <c r="E521" i="2"/>
  <c r="I518" i="2"/>
  <c r="K517" i="2"/>
  <c r="B523" i="2"/>
  <c r="C522" i="2"/>
  <c r="L517" i="2"/>
  <c r="P517" i="2" s="1"/>
  <c r="N517" i="2"/>
  <c r="M516" i="2"/>
  <c r="O516" i="2" s="1"/>
  <c r="J517" i="2"/>
  <c r="P516" i="2"/>
  <c r="F518" i="2"/>
  <c r="G519" i="2"/>
  <c r="H519" i="2" s="1"/>
  <c r="D522" i="2" a="1"/>
  <c r="I519" i="2" a="1"/>
  <c r="K518" i="2" a="1"/>
  <c r="F519" i="2" a="1"/>
  <c r="E522" i="2" a="1"/>
  <c r="D522" i="2" l="1"/>
  <c r="E522" i="2"/>
  <c r="I519" i="2"/>
  <c r="K518" i="2"/>
  <c r="N518" i="2"/>
  <c r="L518" i="2"/>
  <c r="B524" i="2"/>
  <c r="C523" i="2"/>
  <c r="M517" i="2"/>
  <c r="O517" i="2" s="1"/>
  <c r="J518" i="2"/>
  <c r="F519" i="2"/>
  <c r="G520" i="2"/>
  <c r="H520" i="2" s="1"/>
  <c r="K519" i="2" a="1"/>
  <c r="D523" i="2" a="1"/>
  <c r="I520" i="2" a="1"/>
  <c r="E523" i="2" a="1"/>
  <c r="F520" i="2" a="1"/>
  <c r="I520" i="2" l="1"/>
  <c r="K519" i="2"/>
  <c r="E523" i="2"/>
  <c r="D523" i="2"/>
  <c r="B525" i="2"/>
  <c r="C524" i="2"/>
  <c r="N519" i="2"/>
  <c r="L519" i="2"/>
  <c r="M518" i="2"/>
  <c r="J519" i="2"/>
  <c r="F520" i="2"/>
  <c r="G521" i="2"/>
  <c r="H521" i="2" s="1"/>
  <c r="P518" i="2"/>
  <c r="O518" i="2"/>
  <c r="E524" i="2" a="1"/>
  <c r="F521" i="2" a="1"/>
  <c r="I521" i="2" a="1"/>
  <c r="K520" i="2" a="1"/>
  <c r="D524" i="2" a="1"/>
  <c r="E524" i="2" l="1"/>
  <c r="D524" i="2"/>
  <c r="I521" i="2"/>
  <c r="K520" i="2"/>
  <c r="B526" i="2"/>
  <c r="C525" i="2"/>
  <c r="N520" i="2"/>
  <c r="L520" i="2"/>
  <c r="M519" i="2"/>
  <c r="O519" i="2" s="1"/>
  <c r="F521" i="2"/>
  <c r="J520" i="2"/>
  <c r="P519" i="2"/>
  <c r="G522" i="2"/>
  <c r="H522" i="2" s="1"/>
  <c r="F522" i="2" a="1"/>
  <c r="D525" i="2" a="1"/>
  <c r="K521" i="2" a="1"/>
  <c r="I522" i="2" a="1"/>
  <c r="E525" i="2" a="1"/>
  <c r="E525" i="2" l="1"/>
  <c r="D525" i="2"/>
  <c r="K521" i="2"/>
  <c r="I522" i="2"/>
  <c r="B527" i="2"/>
  <c r="C526" i="2"/>
  <c r="N521" i="2"/>
  <c r="L521" i="2"/>
  <c r="M520" i="2"/>
  <c r="O520" i="2" s="1"/>
  <c r="F522" i="2"/>
  <c r="P520" i="2"/>
  <c r="J521" i="2"/>
  <c r="G523" i="2"/>
  <c r="H523" i="2" s="1"/>
  <c r="D526" i="2" a="1"/>
  <c r="I523" i="2" a="1"/>
  <c r="E526" i="2" a="1"/>
  <c r="F523" i="2" a="1"/>
  <c r="K522" i="2" a="1"/>
  <c r="K522" i="2" l="1"/>
  <c r="E526" i="2"/>
  <c r="D526" i="2"/>
  <c r="I523" i="2"/>
  <c r="B528" i="2"/>
  <c r="C527" i="2"/>
  <c r="N522" i="2"/>
  <c r="L522" i="2"/>
  <c r="P522" i="2" s="1"/>
  <c r="M521" i="2"/>
  <c r="O521" i="2" s="1"/>
  <c r="J522" i="2"/>
  <c r="F523" i="2"/>
  <c r="P521" i="2"/>
  <c r="G524" i="2"/>
  <c r="H524" i="2" s="1"/>
  <c r="K523" i="2" a="1"/>
  <c r="I524" i="2" a="1"/>
  <c r="F524" i="2" a="1"/>
  <c r="E527" i="2" a="1"/>
  <c r="D527" i="2" a="1"/>
  <c r="D527" i="2" l="1"/>
  <c r="E527" i="2"/>
  <c r="I524" i="2"/>
  <c r="K523" i="2"/>
  <c r="B529" i="2"/>
  <c r="C528" i="2"/>
  <c r="N523" i="2"/>
  <c r="L523" i="2"/>
  <c r="M522" i="2"/>
  <c r="O522" i="2" s="1"/>
  <c r="J523" i="2"/>
  <c r="F524" i="2"/>
  <c r="G525" i="2"/>
  <c r="H525" i="2" s="1"/>
  <c r="E528" i="2" a="1"/>
  <c r="F525" i="2" a="1"/>
  <c r="K524" i="2" a="1"/>
  <c r="D528" i="2" a="1"/>
  <c r="I525" i="2" a="1"/>
  <c r="D528" i="2" l="1"/>
  <c r="E528" i="2"/>
  <c r="I525" i="2"/>
  <c r="K524" i="2"/>
  <c r="B530" i="2"/>
  <c r="C529" i="2"/>
  <c r="L524" i="2"/>
  <c r="P524" i="2" s="1"/>
  <c r="N524" i="2"/>
  <c r="M523" i="2"/>
  <c r="O523" i="2" s="1"/>
  <c r="J524" i="2"/>
  <c r="F525" i="2"/>
  <c r="P523" i="2"/>
  <c r="G526" i="2"/>
  <c r="H526" i="2" s="1"/>
  <c r="I526" i="2" a="1"/>
  <c r="K525" i="2" a="1"/>
  <c r="D529" i="2" a="1"/>
  <c r="F526" i="2" a="1"/>
  <c r="E529" i="2" a="1"/>
  <c r="D529" i="2" l="1"/>
  <c r="E529" i="2"/>
  <c r="I526" i="2"/>
  <c r="K525" i="2"/>
  <c r="B531" i="2"/>
  <c r="C530" i="2"/>
  <c r="N525" i="2"/>
  <c r="L525" i="2"/>
  <c r="P525" i="2" s="1"/>
  <c r="M524" i="2"/>
  <c r="O524" i="2" s="1"/>
  <c r="J525" i="2"/>
  <c r="F526" i="2"/>
  <c r="G527" i="2"/>
  <c r="H527" i="2" s="1"/>
  <c r="E530" i="2" a="1"/>
  <c r="D530" i="2" a="1"/>
  <c r="I527" i="2" a="1"/>
  <c r="K526" i="2" a="1"/>
  <c r="F527" i="2" a="1"/>
  <c r="I527" i="2" l="1"/>
  <c r="E530" i="2"/>
  <c r="D530" i="2"/>
  <c r="K526" i="2"/>
  <c r="N526" i="2"/>
  <c r="L526" i="2"/>
  <c r="B532" i="2"/>
  <c r="C531" i="2"/>
  <c r="M525" i="2"/>
  <c r="O525" i="2" s="1"/>
  <c r="J526" i="2"/>
  <c r="F527" i="2"/>
  <c r="G528" i="2"/>
  <c r="H528" i="2" s="1"/>
  <c r="I528" i="2" a="1"/>
  <c r="K527" i="2" a="1"/>
  <c r="F528" i="2" a="1"/>
  <c r="E531" i="2" a="1"/>
  <c r="D531" i="2" a="1"/>
  <c r="I528" i="2" l="1"/>
  <c r="E531" i="2"/>
  <c r="D531" i="2"/>
  <c r="K527" i="2"/>
  <c r="B533" i="2"/>
  <c r="C532" i="2"/>
  <c r="N527" i="2"/>
  <c r="L527" i="2"/>
  <c r="M526" i="2"/>
  <c r="F528" i="2"/>
  <c r="J527" i="2"/>
  <c r="G529" i="2"/>
  <c r="H529" i="2" s="1"/>
  <c r="P526" i="2"/>
  <c r="O526" i="2"/>
  <c r="E532" i="2" a="1"/>
  <c r="F529" i="2" a="1"/>
  <c r="D532" i="2" a="1"/>
  <c r="K528" i="2" a="1"/>
  <c r="I529" i="2" a="1"/>
  <c r="D532" i="2" l="1"/>
  <c r="E532" i="2"/>
  <c r="I529" i="2"/>
  <c r="K528" i="2"/>
  <c r="B534" i="2"/>
  <c r="C533" i="2"/>
  <c r="N528" i="2"/>
  <c r="L528" i="2"/>
  <c r="M527" i="2"/>
  <c r="O527" i="2" s="1"/>
  <c r="F529" i="2"/>
  <c r="J528" i="2"/>
  <c r="G530" i="2"/>
  <c r="H530" i="2" s="1"/>
  <c r="P527" i="2"/>
  <c r="I530" i="2" a="1"/>
  <c r="F530" i="2" a="1"/>
  <c r="D533" i="2" a="1"/>
  <c r="K529" i="2" a="1"/>
  <c r="E533" i="2" a="1"/>
  <c r="E533" i="2" l="1"/>
  <c r="D533" i="2"/>
  <c r="K529" i="2"/>
  <c r="I530" i="2"/>
  <c r="B535" i="2"/>
  <c r="C534" i="2"/>
  <c r="N529" i="2"/>
  <c r="L529" i="2"/>
  <c r="M528" i="2"/>
  <c r="O528" i="2" s="1"/>
  <c r="J529" i="2"/>
  <c r="F530" i="2"/>
  <c r="P528" i="2"/>
  <c r="G531" i="2"/>
  <c r="H531" i="2" s="1"/>
  <c r="F531" i="2" a="1"/>
  <c r="I531" i="2" a="1"/>
  <c r="E534" i="2" a="1"/>
  <c r="D534" i="2" a="1"/>
  <c r="K530" i="2" a="1"/>
  <c r="E534" i="2" l="1"/>
  <c r="D534" i="2"/>
  <c r="I531" i="2"/>
  <c r="K530" i="2"/>
  <c r="B536" i="2"/>
  <c r="C535" i="2"/>
  <c r="N530" i="2"/>
  <c r="L530" i="2"/>
  <c r="P530" i="2" s="1"/>
  <c r="M529" i="2"/>
  <c r="O529" i="2" s="1"/>
  <c r="J530" i="2"/>
  <c r="F531" i="2"/>
  <c r="P529" i="2"/>
  <c r="G532" i="2"/>
  <c r="H532" i="2" s="1"/>
  <c r="K531" i="2" a="1"/>
  <c r="I532" i="2" a="1"/>
  <c r="E535" i="2" a="1"/>
  <c r="D535" i="2" a="1"/>
  <c r="F532" i="2" a="1"/>
  <c r="D535" i="2" l="1"/>
  <c r="E535" i="2"/>
  <c r="K531" i="2"/>
  <c r="I532" i="2"/>
  <c r="B537" i="2"/>
  <c r="C536" i="2"/>
  <c r="N531" i="2"/>
  <c r="L531" i="2"/>
  <c r="P531" i="2" s="1"/>
  <c r="M530" i="2"/>
  <c r="O530" i="2" s="1"/>
  <c r="J531" i="2"/>
  <c r="F532" i="2"/>
  <c r="G533" i="2"/>
  <c r="H533" i="2" s="1"/>
  <c r="E536" i="2" a="1"/>
  <c r="K532" i="2" a="1"/>
  <c r="I533" i="2" a="1"/>
  <c r="F533" i="2" a="1"/>
  <c r="D536" i="2" a="1"/>
  <c r="I533" i="2" l="1"/>
  <c r="E536" i="2"/>
  <c r="D536" i="2"/>
  <c r="K532" i="2"/>
  <c r="B538" i="2"/>
  <c r="C537" i="2"/>
  <c r="L532" i="2"/>
  <c r="N532" i="2"/>
  <c r="M531" i="2"/>
  <c r="O531" i="2" s="1"/>
  <c r="J532" i="2"/>
  <c r="F533" i="2"/>
  <c r="G534" i="2"/>
  <c r="H534" i="2" s="1"/>
  <c r="D537" i="2" a="1"/>
  <c r="F534" i="2" a="1"/>
  <c r="E537" i="2" a="1"/>
  <c r="I534" i="2" a="1"/>
  <c r="K533" i="2" a="1"/>
  <c r="I534" i="2" l="1"/>
  <c r="D537" i="2"/>
  <c r="E537" i="2"/>
  <c r="K533" i="2"/>
  <c r="B539" i="2"/>
  <c r="C538" i="2"/>
  <c r="L533" i="2"/>
  <c r="N533" i="2"/>
  <c r="M532" i="2"/>
  <c r="O532" i="2" s="1"/>
  <c r="F534" i="2"/>
  <c r="J533" i="2"/>
  <c r="P532" i="2"/>
  <c r="G535" i="2"/>
  <c r="H535" i="2" s="1"/>
  <c r="E538" i="2" a="1"/>
  <c r="F535" i="2" a="1"/>
  <c r="I535" i="2" a="1"/>
  <c r="K534" i="2" a="1"/>
  <c r="D538" i="2" a="1"/>
  <c r="D538" i="2" l="1"/>
  <c r="E538" i="2"/>
  <c r="I535" i="2"/>
  <c r="K534" i="2"/>
  <c r="B540" i="2"/>
  <c r="C539" i="2"/>
  <c r="N534" i="2"/>
  <c r="L534" i="2"/>
  <c r="M533" i="2"/>
  <c r="O533" i="2" s="1"/>
  <c r="J534" i="2"/>
  <c r="P533" i="2"/>
  <c r="F535" i="2"/>
  <c r="G536" i="2"/>
  <c r="H536" i="2" s="1"/>
  <c r="E539" i="2" a="1"/>
  <c r="D539" i="2" a="1"/>
  <c r="F536" i="2" a="1"/>
  <c r="I536" i="2" a="1"/>
  <c r="K535" i="2" a="1"/>
  <c r="I536" i="2" l="1"/>
  <c r="E539" i="2"/>
  <c r="D539" i="2"/>
  <c r="K535" i="2"/>
  <c r="B541" i="2"/>
  <c r="C540" i="2"/>
  <c r="N535" i="2"/>
  <c r="L535" i="2"/>
  <c r="P535" i="2" s="1"/>
  <c r="M534" i="2"/>
  <c r="J535" i="2"/>
  <c r="F536" i="2"/>
  <c r="G537" i="2"/>
  <c r="H537" i="2" s="1"/>
  <c r="O534" i="2"/>
  <c r="P534" i="2"/>
  <c r="I537" i="2" a="1"/>
  <c r="F537" i="2" a="1"/>
  <c r="K536" i="2" a="1"/>
  <c r="D540" i="2" a="1"/>
  <c r="E540" i="2" a="1"/>
  <c r="I537" i="2" l="1"/>
  <c r="E540" i="2"/>
  <c r="D540" i="2"/>
  <c r="K536" i="2"/>
  <c r="B542" i="2"/>
  <c r="C541" i="2"/>
  <c r="N536" i="2"/>
  <c r="L536" i="2"/>
  <c r="M535" i="2"/>
  <c r="O535" i="2" s="1"/>
  <c r="F537" i="2"/>
  <c r="J536" i="2"/>
  <c r="G538" i="2"/>
  <c r="H538" i="2" s="1"/>
  <c r="K537" i="2" a="1"/>
  <c r="E541" i="2" a="1"/>
  <c r="I538" i="2" a="1"/>
  <c r="F538" i="2" a="1"/>
  <c r="D541" i="2" a="1"/>
  <c r="E541" i="2" l="1"/>
  <c r="D541" i="2"/>
  <c r="I538" i="2"/>
  <c r="K537" i="2"/>
  <c r="B543" i="2"/>
  <c r="C542" i="2"/>
  <c r="N537" i="2"/>
  <c r="L537" i="2"/>
  <c r="P537" i="2" s="1"/>
  <c r="M536" i="2"/>
  <c r="J537" i="2"/>
  <c r="F538" i="2"/>
  <c r="P536" i="2"/>
  <c r="O536" i="2"/>
  <c r="G539" i="2"/>
  <c r="H539" i="2" s="1"/>
  <c r="K538" i="2" a="1"/>
  <c r="D542" i="2" a="1"/>
  <c r="I539" i="2" a="1"/>
  <c r="F539" i="2" a="1"/>
  <c r="E542" i="2" a="1"/>
  <c r="I539" i="2" l="1"/>
  <c r="K538" i="2"/>
  <c r="E542" i="2"/>
  <c r="D542" i="2"/>
  <c r="L538" i="2"/>
  <c r="N538" i="2"/>
  <c r="B544" i="2"/>
  <c r="C543" i="2"/>
  <c r="M537" i="2"/>
  <c r="O537" i="2" s="1"/>
  <c r="F539" i="2"/>
  <c r="J538" i="2"/>
  <c r="G540" i="2"/>
  <c r="H540" i="2" s="1"/>
  <c r="K539" i="2" a="1"/>
  <c r="I540" i="2" a="1"/>
  <c r="F540" i="2" a="1"/>
  <c r="E543" i="2" a="1"/>
  <c r="D543" i="2" a="1"/>
  <c r="I540" i="2" l="1"/>
  <c r="D543" i="2"/>
  <c r="E543" i="2"/>
  <c r="K539" i="2"/>
  <c r="B545" i="2"/>
  <c r="C544" i="2"/>
  <c r="L539" i="2"/>
  <c r="N539" i="2"/>
  <c r="M538" i="2"/>
  <c r="O538" i="2" s="1"/>
  <c r="J539" i="2"/>
  <c r="F540" i="2"/>
  <c r="P538" i="2"/>
  <c r="G541" i="2"/>
  <c r="H541" i="2" s="1"/>
  <c r="K540" i="2" a="1"/>
  <c r="D544" i="2" a="1"/>
  <c r="E544" i="2" a="1"/>
  <c r="F541" i="2" a="1"/>
  <c r="I541" i="2" a="1"/>
  <c r="E544" i="2" l="1"/>
  <c r="D544" i="2"/>
  <c r="I541" i="2"/>
  <c r="K540" i="2"/>
  <c r="B546" i="2"/>
  <c r="C545" i="2"/>
  <c r="N540" i="2"/>
  <c r="L540" i="2"/>
  <c r="M539" i="2"/>
  <c r="O539" i="2" s="1"/>
  <c r="F541" i="2"/>
  <c r="J540" i="2"/>
  <c r="G542" i="2"/>
  <c r="H542" i="2" s="1"/>
  <c r="P539" i="2"/>
  <c r="F542" i="2" a="1"/>
  <c r="I542" i="2" a="1"/>
  <c r="E545" i="2" a="1"/>
  <c r="D545" i="2" a="1"/>
  <c r="K541" i="2" a="1"/>
  <c r="E545" i="2" l="1"/>
  <c r="D545" i="2"/>
  <c r="I542" i="2"/>
  <c r="K541" i="2"/>
  <c r="L541" i="2"/>
  <c r="N541" i="2"/>
  <c r="B547" i="2"/>
  <c r="C546" i="2"/>
  <c r="M540" i="2"/>
  <c r="O540" i="2" s="1"/>
  <c r="F542" i="2"/>
  <c r="J541" i="2"/>
  <c r="P540" i="2"/>
  <c r="G543" i="2"/>
  <c r="H543" i="2" s="1"/>
  <c r="D546" i="2" a="1"/>
  <c r="K542" i="2" a="1"/>
  <c r="I543" i="2" a="1"/>
  <c r="E546" i="2" a="1"/>
  <c r="F543" i="2" a="1"/>
  <c r="I543" i="2" l="1"/>
  <c r="D546" i="2"/>
  <c r="E546" i="2"/>
  <c r="K542" i="2"/>
  <c r="N542" i="2"/>
  <c r="L542" i="2"/>
  <c r="B548" i="2"/>
  <c r="C547" i="2"/>
  <c r="M541" i="2"/>
  <c r="F543" i="2"/>
  <c r="J542" i="2"/>
  <c r="P541" i="2"/>
  <c r="O541" i="2"/>
  <c r="G544" i="2"/>
  <c r="H544" i="2" s="1"/>
  <c r="I544" i="2" a="1"/>
  <c r="K543" i="2" a="1"/>
  <c r="D547" i="2" a="1"/>
  <c r="F544" i="2" a="1"/>
  <c r="E547" i="2" a="1"/>
  <c r="I544" i="2" l="1"/>
  <c r="E547" i="2"/>
  <c r="D547" i="2"/>
  <c r="K543" i="2"/>
  <c r="B549" i="2"/>
  <c r="C548" i="2"/>
  <c r="N543" i="2"/>
  <c r="L543" i="2"/>
  <c r="M542" i="2"/>
  <c r="O542" i="2" s="1"/>
  <c r="J543" i="2"/>
  <c r="F544" i="2"/>
  <c r="G545" i="2"/>
  <c r="H545" i="2" s="1"/>
  <c r="P542" i="2"/>
  <c r="I545" i="2" a="1"/>
  <c r="F545" i="2" a="1"/>
  <c r="K544" i="2" a="1"/>
  <c r="D548" i="2" a="1"/>
  <c r="E548" i="2" a="1"/>
  <c r="D548" i="2" l="1"/>
  <c r="E548" i="2"/>
  <c r="I545" i="2"/>
  <c r="K544" i="2"/>
  <c r="B550" i="2"/>
  <c r="C549" i="2"/>
  <c r="L544" i="2"/>
  <c r="N544" i="2"/>
  <c r="M543" i="2"/>
  <c r="O543" i="2" s="1"/>
  <c r="P543" i="2"/>
  <c r="F545" i="2"/>
  <c r="J544" i="2"/>
  <c r="G546" i="2"/>
  <c r="H546" i="2" s="1"/>
  <c r="K545" i="2" a="1"/>
  <c r="E549" i="2" a="1"/>
  <c r="F546" i="2" a="1"/>
  <c r="D549" i="2" a="1"/>
  <c r="I546" i="2" a="1"/>
  <c r="E549" i="2" l="1"/>
  <c r="D549" i="2"/>
  <c r="I546" i="2"/>
  <c r="K545" i="2"/>
  <c r="B551" i="2"/>
  <c r="C550" i="2"/>
  <c r="N545" i="2"/>
  <c r="L545" i="2"/>
  <c r="M544" i="2"/>
  <c r="F546" i="2"/>
  <c r="J545" i="2"/>
  <c r="G547" i="2"/>
  <c r="H547" i="2" s="1"/>
  <c r="P544" i="2"/>
  <c r="O544" i="2"/>
  <c r="I547" i="2" a="1"/>
  <c r="K546" i="2" a="1"/>
  <c r="E550" i="2" a="1"/>
  <c r="F547" i="2" a="1"/>
  <c r="D550" i="2" a="1"/>
  <c r="D550" i="2" l="1"/>
  <c r="E550" i="2"/>
  <c r="K546" i="2"/>
  <c r="I547" i="2"/>
  <c r="B552" i="2"/>
  <c r="C551" i="2"/>
  <c r="N546" i="2"/>
  <c r="L546" i="2"/>
  <c r="M545" i="2"/>
  <c r="O545" i="2" s="1"/>
  <c r="F547" i="2"/>
  <c r="P545" i="2"/>
  <c r="J546" i="2"/>
  <c r="G548" i="2"/>
  <c r="H548" i="2" s="1"/>
  <c r="I548" i="2" a="1"/>
  <c r="K547" i="2" a="1"/>
  <c r="E551" i="2" a="1"/>
  <c r="D551" i="2" a="1"/>
  <c r="F548" i="2" a="1"/>
  <c r="D551" i="2" l="1"/>
  <c r="E551" i="2"/>
  <c r="I548" i="2"/>
  <c r="K547" i="2"/>
  <c r="B553" i="2"/>
  <c r="C552" i="2"/>
  <c r="N547" i="2"/>
  <c r="L547" i="2"/>
  <c r="P547" i="2" s="1"/>
  <c r="M546" i="2"/>
  <c r="J547" i="2"/>
  <c r="F548" i="2"/>
  <c r="O546" i="2"/>
  <c r="P546" i="2"/>
  <c r="G549" i="2"/>
  <c r="H549" i="2" s="1"/>
  <c r="E552" i="2" a="1"/>
  <c r="K548" i="2" a="1"/>
  <c r="F549" i="2" a="1"/>
  <c r="I549" i="2" a="1"/>
  <c r="D552" i="2" a="1"/>
  <c r="E552" i="2" l="1"/>
  <c r="D552" i="2"/>
  <c r="I549" i="2"/>
  <c r="K548" i="2"/>
  <c r="B554" i="2"/>
  <c r="C553" i="2"/>
  <c r="L548" i="2"/>
  <c r="P548" i="2" s="1"/>
  <c r="N548" i="2"/>
  <c r="M547" i="2"/>
  <c r="O547" i="2" s="1"/>
  <c r="J548" i="2"/>
  <c r="F549" i="2"/>
  <c r="G550" i="2"/>
  <c r="H550" i="2" s="1"/>
  <c r="E553" i="2" a="1"/>
  <c r="D553" i="2" a="1"/>
  <c r="I550" i="2" a="1"/>
  <c r="F550" i="2" a="1"/>
  <c r="K549" i="2" a="1"/>
  <c r="D553" i="2" l="1"/>
  <c r="E553" i="2"/>
  <c r="I550" i="2"/>
  <c r="K549" i="2"/>
  <c r="B555" i="2"/>
  <c r="C554" i="2"/>
  <c r="L549" i="2"/>
  <c r="N549" i="2"/>
  <c r="M548" i="2"/>
  <c r="O548" i="2" s="1"/>
  <c r="J549" i="2"/>
  <c r="F550" i="2"/>
  <c r="G551" i="2"/>
  <c r="H551" i="2" s="1"/>
  <c r="I551" i="2" a="1"/>
  <c r="F551" i="2" a="1"/>
  <c r="K550" i="2" a="1"/>
  <c r="D554" i="2" a="1"/>
  <c r="E554" i="2" a="1"/>
  <c r="I551" i="2" l="1"/>
  <c r="D554" i="2"/>
  <c r="E554" i="2"/>
  <c r="K550" i="2"/>
  <c r="B556" i="2"/>
  <c r="C555" i="2"/>
  <c r="N550" i="2"/>
  <c r="L550" i="2"/>
  <c r="P550" i="2" s="1"/>
  <c r="M549" i="2"/>
  <c r="O549" i="2" s="1"/>
  <c r="J550" i="2"/>
  <c r="F551" i="2"/>
  <c r="G552" i="2"/>
  <c r="H552" i="2" s="1"/>
  <c r="P549" i="2"/>
  <c r="K551" i="2" a="1"/>
  <c r="F552" i="2" a="1"/>
  <c r="I552" i="2" a="1"/>
  <c r="E555" i="2" a="1"/>
  <c r="D555" i="2" a="1"/>
  <c r="D555" i="2" l="1"/>
  <c r="E555" i="2"/>
  <c r="I552" i="2"/>
  <c r="K551" i="2"/>
  <c r="B557" i="2"/>
  <c r="C556" i="2"/>
  <c r="N551" i="2"/>
  <c r="L551" i="2"/>
  <c r="P551" i="2" s="1"/>
  <c r="M550" i="2"/>
  <c r="O550" i="2" s="1"/>
  <c r="J551" i="2"/>
  <c r="F552" i="2"/>
  <c r="G553" i="2"/>
  <c r="H553" i="2" s="1"/>
  <c r="D556" i="2" a="1"/>
  <c r="E556" i="2" a="1"/>
  <c r="F553" i="2" a="1"/>
  <c r="K552" i="2" a="1"/>
  <c r="I553" i="2" a="1"/>
  <c r="E556" i="2" l="1"/>
  <c r="D556" i="2"/>
  <c r="I553" i="2"/>
  <c r="K552" i="2"/>
  <c r="B558" i="2"/>
  <c r="C557" i="2"/>
  <c r="L552" i="2"/>
  <c r="P552" i="2" s="1"/>
  <c r="N552" i="2"/>
  <c r="M551" i="2"/>
  <c r="O551" i="2" s="1"/>
  <c r="J552" i="2"/>
  <c r="F553" i="2"/>
  <c r="G554" i="2"/>
  <c r="H554" i="2" s="1"/>
  <c r="D557" i="2" a="1"/>
  <c r="F554" i="2" a="1"/>
  <c r="K553" i="2" a="1"/>
  <c r="I554" i="2" a="1"/>
  <c r="E557" i="2" a="1"/>
  <c r="E557" i="2" l="1"/>
  <c r="D557" i="2"/>
  <c r="I554" i="2"/>
  <c r="K553" i="2"/>
  <c r="B559" i="2"/>
  <c r="C558" i="2"/>
  <c r="N553" i="2"/>
  <c r="L553" i="2"/>
  <c r="M552" i="2"/>
  <c r="O552" i="2" s="1"/>
  <c r="F554" i="2"/>
  <c r="J553" i="2"/>
  <c r="G555" i="2"/>
  <c r="H555" i="2" s="1"/>
  <c r="E558" i="2" a="1"/>
  <c r="D558" i="2" a="1"/>
  <c r="I555" i="2" a="1"/>
  <c r="F555" i="2" a="1"/>
  <c r="K554" i="2" a="1"/>
  <c r="D558" i="2" l="1"/>
  <c r="E558" i="2"/>
  <c r="I555" i="2"/>
  <c r="K554" i="2"/>
  <c r="B560" i="2"/>
  <c r="C559" i="2"/>
  <c r="L554" i="2"/>
  <c r="P554" i="2" s="1"/>
  <c r="N554" i="2"/>
  <c r="M553" i="2"/>
  <c r="J554" i="2"/>
  <c r="F555" i="2"/>
  <c r="P553" i="2"/>
  <c r="O553" i="2"/>
  <c r="G556" i="2"/>
  <c r="H556" i="2" s="1"/>
  <c r="E559" i="2" a="1"/>
  <c r="I556" i="2" a="1"/>
  <c r="F556" i="2" a="1"/>
  <c r="D559" i="2" a="1"/>
  <c r="K555" i="2" a="1"/>
  <c r="E559" i="2" l="1"/>
  <c r="D559" i="2"/>
  <c r="K555" i="2"/>
  <c r="I556" i="2"/>
  <c r="L555" i="2"/>
  <c r="N555" i="2"/>
  <c r="B561" i="2"/>
  <c r="C560" i="2"/>
  <c r="M554" i="2"/>
  <c r="O554" i="2" s="1"/>
  <c r="J555" i="2"/>
  <c r="F556" i="2"/>
  <c r="G557" i="2"/>
  <c r="H557" i="2" s="1"/>
  <c r="E560" i="2" a="1"/>
  <c r="F557" i="2" a="1"/>
  <c r="K556" i="2" a="1"/>
  <c r="D560" i="2" a="1"/>
  <c r="I557" i="2" a="1"/>
  <c r="I557" i="2" l="1"/>
  <c r="D560" i="2"/>
  <c r="E560" i="2"/>
  <c r="K556" i="2"/>
  <c r="B562" i="2"/>
  <c r="C561" i="2"/>
  <c r="N556" i="2"/>
  <c r="L556" i="2"/>
  <c r="P556" i="2" s="1"/>
  <c r="M555" i="2"/>
  <c r="O555" i="2" s="1"/>
  <c r="J556" i="2"/>
  <c r="F557" i="2"/>
  <c r="P555" i="2"/>
  <c r="G558" i="2"/>
  <c r="H558" i="2" s="1"/>
  <c r="E561" i="2" a="1"/>
  <c r="K557" i="2" a="1"/>
  <c r="F558" i="2" a="1"/>
  <c r="D561" i="2" a="1"/>
  <c r="I558" i="2" a="1"/>
  <c r="I558" i="2" l="1"/>
  <c r="D561" i="2"/>
  <c r="E561" i="2"/>
  <c r="K557" i="2"/>
  <c r="B563" i="2"/>
  <c r="C562" i="2"/>
  <c r="N557" i="2"/>
  <c r="L557" i="2"/>
  <c r="P557" i="2" s="1"/>
  <c r="M556" i="2"/>
  <c r="O556" i="2" s="1"/>
  <c r="J557" i="2"/>
  <c r="F558" i="2"/>
  <c r="G559" i="2"/>
  <c r="H559" i="2" s="1"/>
  <c r="E562" i="2" a="1"/>
  <c r="F559" i="2" a="1"/>
  <c r="K558" i="2" a="1"/>
  <c r="D562" i="2" a="1"/>
  <c r="I559" i="2" a="1"/>
  <c r="E562" i="2" l="1"/>
  <c r="D562" i="2"/>
  <c r="I559" i="2"/>
  <c r="K558" i="2"/>
  <c r="B564" i="2"/>
  <c r="C563" i="2"/>
  <c r="N558" i="2"/>
  <c r="L558" i="2"/>
  <c r="M557" i="2"/>
  <c r="O557" i="2" s="1"/>
  <c r="J558" i="2"/>
  <c r="F559" i="2"/>
  <c r="G560" i="2"/>
  <c r="H560" i="2" s="1"/>
  <c r="E563" i="2" a="1"/>
  <c r="F560" i="2" a="1"/>
  <c r="D563" i="2" a="1"/>
  <c r="I560" i="2" a="1"/>
  <c r="K559" i="2" a="1"/>
  <c r="D563" i="2" l="1"/>
  <c r="E563" i="2"/>
  <c r="I560" i="2"/>
  <c r="K559" i="2"/>
  <c r="B565" i="2"/>
  <c r="C564" i="2"/>
  <c r="L559" i="2"/>
  <c r="P559" i="2" s="1"/>
  <c r="N559" i="2"/>
  <c r="M558" i="2"/>
  <c r="J559" i="2"/>
  <c r="F560" i="2"/>
  <c r="G561" i="2"/>
  <c r="H561" i="2" s="1"/>
  <c r="O558" i="2"/>
  <c r="P558" i="2"/>
  <c r="K560" i="2" a="1"/>
  <c r="E564" i="2" a="1"/>
  <c r="F561" i="2" a="1"/>
  <c r="D564" i="2" a="1"/>
  <c r="I561" i="2" a="1"/>
  <c r="D564" i="2" l="1"/>
  <c r="E564" i="2"/>
  <c r="I561" i="2"/>
  <c r="K560" i="2"/>
  <c r="B566" i="2"/>
  <c r="C565" i="2"/>
  <c r="N560" i="2"/>
  <c r="L560" i="2"/>
  <c r="M559" i="2"/>
  <c r="O559" i="2" s="1"/>
  <c r="F561" i="2"/>
  <c r="J560" i="2"/>
  <c r="G562" i="2"/>
  <c r="H562" i="2" s="1"/>
  <c r="D565" i="2" a="1"/>
  <c r="E565" i="2" a="1"/>
  <c r="F562" i="2" a="1"/>
  <c r="K561" i="2" a="1"/>
  <c r="I562" i="2" a="1"/>
  <c r="E565" i="2" l="1"/>
  <c r="D565" i="2"/>
  <c r="I562" i="2"/>
  <c r="K561" i="2"/>
  <c r="L561" i="2"/>
  <c r="P561" i="2" s="1"/>
  <c r="N561" i="2"/>
  <c r="B567" i="2"/>
  <c r="C566" i="2"/>
  <c r="M560" i="2"/>
  <c r="O560" i="2" s="1"/>
  <c r="J561" i="2"/>
  <c r="F562" i="2"/>
  <c r="G563" i="2"/>
  <c r="H563" i="2" s="1"/>
  <c r="P560" i="2"/>
  <c r="I563" i="2" a="1"/>
  <c r="K562" i="2" a="1"/>
  <c r="E566" i="2" a="1"/>
  <c r="F563" i="2" a="1"/>
  <c r="D566" i="2" a="1"/>
  <c r="K562" i="2" l="1"/>
  <c r="I563" i="2"/>
  <c r="E566" i="2"/>
  <c r="D566" i="2"/>
  <c r="B568" i="2"/>
  <c r="C567" i="2"/>
  <c r="N562" i="2"/>
  <c r="L562" i="2"/>
  <c r="M561" i="2"/>
  <c r="F563" i="2"/>
  <c r="J562" i="2"/>
  <c r="O561" i="2"/>
  <c r="G564" i="2"/>
  <c r="H564" i="2" s="1"/>
  <c r="F564" i="2" a="1"/>
  <c r="D567" i="2" a="1"/>
  <c r="K563" i="2" a="1"/>
  <c r="E567" i="2" a="1"/>
  <c r="I564" i="2" a="1"/>
  <c r="I564" i="2" l="1"/>
  <c r="E567" i="2"/>
  <c r="D567" i="2"/>
  <c r="K563" i="2"/>
  <c r="B569" i="2"/>
  <c r="C568" i="2"/>
  <c r="N563" i="2"/>
  <c r="L563" i="2"/>
  <c r="P563" i="2" s="1"/>
  <c r="M562" i="2"/>
  <c r="O562" i="2" s="1"/>
  <c r="J563" i="2"/>
  <c r="F564" i="2"/>
  <c r="P562" i="2"/>
  <c r="G565" i="2"/>
  <c r="H565" i="2" s="1"/>
  <c r="I565" i="2" a="1"/>
  <c r="F565" i="2" a="1"/>
  <c r="E568" i="2" a="1"/>
  <c r="K564" i="2" a="1"/>
  <c r="D568" i="2" a="1"/>
  <c r="E568" i="2" l="1"/>
  <c r="D568" i="2"/>
  <c r="I565" i="2"/>
  <c r="K564" i="2"/>
  <c r="B570" i="2"/>
  <c r="C569" i="2"/>
  <c r="N564" i="2"/>
  <c r="L564" i="2"/>
  <c r="M563" i="2"/>
  <c r="O563" i="2" s="1"/>
  <c r="J564" i="2"/>
  <c r="F565" i="2"/>
  <c r="G566" i="2"/>
  <c r="H566" i="2" s="1"/>
  <c r="E569" i="2" a="1"/>
  <c r="I566" i="2" a="1"/>
  <c r="F566" i="2" a="1"/>
  <c r="D569" i="2" a="1"/>
  <c r="K565" i="2" a="1"/>
  <c r="I566" i="2" l="1"/>
  <c r="E569" i="2"/>
  <c r="D569" i="2"/>
  <c r="K565" i="2"/>
  <c r="B571" i="2"/>
  <c r="C570" i="2"/>
  <c r="N565" i="2"/>
  <c r="L565" i="2"/>
  <c r="M564" i="2"/>
  <c r="O564" i="2" s="1"/>
  <c r="F566" i="2"/>
  <c r="J565" i="2"/>
  <c r="G567" i="2"/>
  <c r="H567" i="2" s="1"/>
  <c r="P564" i="2"/>
  <c r="D570" i="2" a="1"/>
  <c r="F567" i="2" a="1"/>
  <c r="K566" i="2" a="1"/>
  <c r="E570" i="2" a="1"/>
  <c r="I567" i="2" a="1"/>
  <c r="I567" i="2" l="1"/>
  <c r="E570" i="2"/>
  <c r="D570" i="2"/>
  <c r="K566" i="2"/>
  <c r="B572" i="2"/>
  <c r="C571" i="2"/>
  <c r="N566" i="2"/>
  <c r="L566" i="2"/>
  <c r="M565" i="2"/>
  <c r="O565" i="2" s="1"/>
  <c r="J566" i="2"/>
  <c r="F567" i="2"/>
  <c r="P565" i="2"/>
  <c r="G568" i="2"/>
  <c r="H568" i="2" s="1"/>
  <c r="K567" i="2" a="1"/>
  <c r="F568" i="2" a="1"/>
  <c r="E571" i="2" a="1"/>
  <c r="I568" i="2" a="1"/>
  <c r="D571" i="2" a="1"/>
  <c r="I568" i="2" l="1"/>
  <c r="D571" i="2"/>
  <c r="E571" i="2"/>
  <c r="K567" i="2"/>
  <c r="B573" i="2"/>
  <c r="C572" i="2"/>
  <c r="N567" i="2"/>
  <c r="L567" i="2"/>
  <c r="P567" i="2" s="1"/>
  <c r="M566" i="2"/>
  <c r="O566" i="2" s="1"/>
  <c r="P566" i="2"/>
  <c r="J567" i="2"/>
  <c r="F568" i="2"/>
  <c r="G569" i="2"/>
  <c r="H569" i="2" s="1"/>
  <c r="E572" i="2" a="1"/>
  <c r="D572" i="2" a="1"/>
  <c r="I569" i="2" a="1"/>
  <c r="K568" i="2" a="1"/>
  <c r="F569" i="2" a="1"/>
  <c r="I569" i="2" l="1"/>
  <c r="E572" i="2"/>
  <c r="D572" i="2"/>
  <c r="K568" i="2"/>
  <c r="B574" i="2"/>
  <c r="C573" i="2"/>
  <c r="N568" i="2"/>
  <c r="L568" i="2"/>
  <c r="M567" i="2"/>
  <c r="O567" i="2" s="1"/>
  <c r="J568" i="2"/>
  <c r="F569" i="2"/>
  <c r="G570" i="2"/>
  <c r="H570" i="2" s="1"/>
  <c r="E573" i="2" a="1"/>
  <c r="F570" i="2" a="1"/>
  <c r="I570" i="2" a="1"/>
  <c r="K569" i="2" a="1"/>
  <c r="D573" i="2" a="1"/>
  <c r="I570" i="2" l="1"/>
  <c r="E573" i="2"/>
  <c r="D573" i="2"/>
  <c r="K569" i="2"/>
  <c r="B575" i="2"/>
  <c r="C574" i="2"/>
  <c r="N569" i="2"/>
  <c r="L569" i="2"/>
  <c r="P569" i="2" s="1"/>
  <c r="M568" i="2"/>
  <c r="O568" i="2" s="1"/>
  <c r="J569" i="2"/>
  <c r="F570" i="2"/>
  <c r="G571" i="2"/>
  <c r="H571" i="2" s="1"/>
  <c r="P568" i="2"/>
  <c r="E574" i="2" a="1"/>
  <c r="I571" i="2" a="1"/>
  <c r="K570" i="2" a="1"/>
  <c r="F571" i="2" a="1"/>
  <c r="D574" i="2" a="1"/>
  <c r="D574" i="2" l="1"/>
  <c r="E574" i="2"/>
  <c r="I571" i="2"/>
  <c r="K570" i="2"/>
  <c r="B576" i="2"/>
  <c r="C575" i="2"/>
  <c r="L570" i="2"/>
  <c r="N570" i="2"/>
  <c r="M569" i="2"/>
  <c r="O569" i="2" s="1"/>
  <c r="J570" i="2"/>
  <c r="F571" i="2"/>
  <c r="G572" i="2"/>
  <c r="H572" i="2" s="1"/>
  <c r="F572" i="2" a="1"/>
  <c r="D575" i="2" a="1"/>
  <c r="I572" i="2" a="1"/>
  <c r="K571" i="2" a="1"/>
  <c r="E575" i="2" a="1"/>
  <c r="D575" i="2" l="1"/>
  <c r="E575" i="2"/>
  <c r="I572" i="2"/>
  <c r="K571" i="2"/>
  <c r="L571" i="2"/>
  <c r="P571" i="2" s="1"/>
  <c r="N571" i="2"/>
  <c r="B577" i="2"/>
  <c r="C576" i="2"/>
  <c r="M570" i="2"/>
  <c r="O570" i="2" s="1"/>
  <c r="J571" i="2"/>
  <c r="F572" i="2"/>
  <c r="G573" i="2"/>
  <c r="H573" i="2" s="1"/>
  <c r="P570" i="2"/>
  <c r="D576" i="2" a="1"/>
  <c r="K572" i="2" a="1"/>
  <c r="I573" i="2" a="1"/>
  <c r="E576" i="2" a="1"/>
  <c r="F573" i="2" a="1"/>
  <c r="E576" i="2" l="1"/>
  <c r="D576" i="2"/>
  <c r="K572" i="2"/>
  <c r="I573" i="2"/>
  <c r="B578" i="2"/>
  <c r="C577" i="2"/>
  <c r="L572" i="2"/>
  <c r="N572" i="2"/>
  <c r="M571" i="2"/>
  <c r="O571" i="2" s="1"/>
  <c r="F573" i="2"/>
  <c r="J572" i="2"/>
  <c r="G574" i="2"/>
  <c r="H574" i="2" s="1"/>
  <c r="D577" i="2" a="1"/>
  <c r="F574" i="2" a="1"/>
  <c r="K573" i="2" a="1"/>
  <c r="I574" i="2" a="1"/>
  <c r="E577" i="2" a="1"/>
  <c r="D577" i="2" l="1"/>
  <c r="E577" i="2"/>
  <c r="I574" i="2"/>
  <c r="K573" i="2"/>
  <c r="B579" i="2"/>
  <c r="C578" i="2"/>
  <c r="N573" i="2"/>
  <c r="L573" i="2"/>
  <c r="M572" i="2"/>
  <c r="O572" i="2" s="1"/>
  <c r="J573" i="2"/>
  <c r="F574" i="2"/>
  <c r="P572" i="2"/>
  <c r="G575" i="2"/>
  <c r="H575" i="2" s="1"/>
  <c r="I575" i="2" a="1"/>
  <c r="D578" i="2" a="1"/>
  <c r="F575" i="2" a="1"/>
  <c r="K574" i="2" a="1"/>
  <c r="E578" i="2" a="1"/>
  <c r="D578" i="2" l="1"/>
  <c r="E578" i="2"/>
  <c r="K574" i="2"/>
  <c r="I575" i="2"/>
  <c r="B580" i="2"/>
  <c r="C579" i="2"/>
  <c r="L574" i="2"/>
  <c r="N574" i="2"/>
  <c r="M573" i="2"/>
  <c r="O573" i="2" s="1"/>
  <c r="F575" i="2"/>
  <c r="J574" i="2"/>
  <c r="G576" i="2"/>
  <c r="H576" i="2" s="1"/>
  <c r="P573" i="2"/>
  <c r="K575" i="2" a="1"/>
  <c r="E579" i="2" a="1"/>
  <c r="F576" i="2" a="1"/>
  <c r="D579" i="2" a="1"/>
  <c r="I576" i="2" a="1"/>
  <c r="I576" i="2" l="1"/>
  <c r="E579" i="2"/>
  <c r="D579" i="2"/>
  <c r="K575" i="2"/>
  <c r="B581" i="2"/>
  <c r="C580" i="2"/>
  <c r="L575" i="2"/>
  <c r="P575" i="2" s="1"/>
  <c r="N575" i="2"/>
  <c r="M574" i="2"/>
  <c r="O574" i="2" s="1"/>
  <c r="J575" i="2"/>
  <c r="F576" i="2"/>
  <c r="P574" i="2"/>
  <c r="G577" i="2"/>
  <c r="H577" i="2" s="1"/>
  <c r="E580" i="2" a="1"/>
  <c r="K576" i="2" a="1"/>
  <c r="I577" i="2" a="1"/>
  <c r="D580" i="2" a="1"/>
  <c r="F577" i="2" a="1"/>
  <c r="I577" i="2" l="1"/>
  <c r="D580" i="2"/>
  <c r="E580" i="2"/>
  <c r="K576" i="2"/>
  <c r="B582" i="2"/>
  <c r="C581" i="2"/>
  <c r="N576" i="2"/>
  <c r="L576" i="2"/>
  <c r="M575" i="2"/>
  <c r="O575" i="2" s="1"/>
  <c r="J576" i="2"/>
  <c r="F577" i="2"/>
  <c r="G578" i="2"/>
  <c r="H578" i="2" s="1"/>
  <c r="D581" i="2" a="1"/>
  <c r="F578" i="2" a="1"/>
  <c r="K577" i="2" a="1"/>
  <c r="I578" i="2" a="1"/>
  <c r="E581" i="2" a="1"/>
  <c r="I578" i="2" l="1"/>
  <c r="E581" i="2"/>
  <c r="D581" i="2"/>
  <c r="K577" i="2"/>
  <c r="B583" i="2"/>
  <c r="C582" i="2"/>
  <c r="N577" i="2"/>
  <c r="L577" i="2"/>
  <c r="M576" i="2"/>
  <c r="O576" i="2" s="1"/>
  <c r="J577" i="2"/>
  <c r="F578" i="2"/>
  <c r="P576" i="2"/>
  <c r="G579" i="2"/>
  <c r="H579" i="2" s="1"/>
  <c r="E582" i="2" a="1"/>
  <c r="D582" i="2" a="1"/>
  <c r="K578" i="2" a="1"/>
  <c r="F579" i="2" a="1"/>
  <c r="I579" i="2" a="1"/>
  <c r="I579" i="2" l="1"/>
  <c r="D582" i="2"/>
  <c r="E582" i="2"/>
  <c r="K578" i="2"/>
  <c r="B584" i="2"/>
  <c r="C583" i="2"/>
  <c r="N578" i="2"/>
  <c r="L578" i="2"/>
  <c r="M577" i="2"/>
  <c r="O577" i="2" s="1"/>
  <c r="P577" i="2"/>
  <c r="F579" i="2"/>
  <c r="J578" i="2"/>
  <c r="G580" i="2"/>
  <c r="H580" i="2" s="1"/>
  <c r="I580" i="2" a="1"/>
  <c r="E583" i="2" a="1"/>
  <c r="K579" i="2" a="1"/>
  <c r="F580" i="2" a="1"/>
  <c r="D583" i="2" a="1"/>
  <c r="D583" i="2" l="1"/>
  <c r="E583" i="2"/>
  <c r="I580" i="2"/>
  <c r="K579" i="2"/>
  <c r="B585" i="2"/>
  <c r="C584" i="2"/>
  <c r="N579" i="2"/>
  <c r="L579" i="2"/>
  <c r="M578" i="2"/>
  <c r="O578" i="2" s="1"/>
  <c r="F580" i="2"/>
  <c r="P578" i="2"/>
  <c r="J579" i="2"/>
  <c r="G581" i="2"/>
  <c r="H581" i="2" s="1"/>
  <c r="E584" i="2" a="1"/>
  <c r="D584" i="2" a="1"/>
  <c r="I581" i="2" a="1"/>
  <c r="F581" i="2" a="1"/>
  <c r="K580" i="2" a="1"/>
  <c r="I581" i="2" l="1"/>
  <c r="E584" i="2"/>
  <c r="D584" i="2"/>
  <c r="K580" i="2"/>
  <c r="B586" i="2"/>
  <c r="C585" i="2"/>
  <c r="N580" i="2"/>
  <c r="L580" i="2"/>
  <c r="M579" i="2"/>
  <c r="F581" i="2"/>
  <c r="J580" i="2"/>
  <c r="P579" i="2"/>
  <c r="O579" i="2"/>
  <c r="G582" i="2"/>
  <c r="H582" i="2" s="1"/>
  <c r="I582" i="2" a="1"/>
  <c r="F582" i="2" a="1"/>
  <c r="K581" i="2" a="1"/>
  <c r="E585" i="2" a="1"/>
  <c r="D585" i="2" a="1"/>
  <c r="I582" i="2" l="1"/>
  <c r="E585" i="2"/>
  <c r="D585" i="2"/>
  <c r="K581" i="2"/>
  <c r="B587" i="2"/>
  <c r="C586" i="2"/>
  <c r="N581" i="2"/>
  <c r="L581" i="2"/>
  <c r="P581" i="2" s="1"/>
  <c r="M580" i="2"/>
  <c r="O580" i="2" s="1"/>
  <c r="J581" i="2"/>
  <c r="F582" i="2"/>
  <c r="G583" i="2"/>
  <c r="H583" i="2" s="1"/>
  <c r="P580" i="2"/>
  <c r="I583" i="2" a="1"/>
  <c r="F583" i="2" a="1"/>
  <c r="D586" i="2" a="1"/>
  <c r="K582" i="2" a="1"/>
  <c r="E586" i="2" a="1"/>
  <c r="E586" i="2" l="1"/>
  <c r="D586" i="2"/>
  <c r="I583" i="2"/>
  <c r="K582" i="2"/>
  <c r="B588" i="2"/>
  <c r="C587" i="2"/>
  <c r="N582" i="2"/>
  <c r="L582" i="2"/>
  <c r="P582" i="2" s="1"/>
  <c r="M581" i="2"/>
  <c r="O581" i="2" s="1"/>
  <c r="J582" i="2"/>
  <c r="F583" i="2"/>
  <c r="G584" i="2"/>
  <c r="H584" i="2" s="1"/>
  <c r="I584" i="2" a="1"/>
  <c r="K583" i="2" a="1"/>
  <c r="D587" i="2" a="1"/>
  <c r="F584" i="2" a="1"/>
  <c r="E587" i="2" a="1"/>
  <c r="I584" i="2" l="1"/>
  <c r="E587" i="2"/>
  <c r="D587" i="2"/>
  <c r="K583" i="2"/>
  <c r="B589" i="2"/>
  <c r="C588" i="2"/>
  <c r="N583" i="2"/>
  <c r="L583" i="2"/>
  <c r="M582" i="2"/>
  <c r="O582" i="2" s="1"/>
  <c r="J583" i="2"/>
  <c r="F584" i="2"/>
  <c r="G585" i="2"/>
  <c r="H585" i="2" s="1"/>
  <c r="I585" i="2" a="1"/>
  <c r="K584" i="2" a="1"/>
  <c r="D588" i="2" a="1"/>
  <c r="F585" i="2" a="1"/>
  <c r="E588" i="2" a="1"/>
  <c r="D588" i="2" l="1"/>
  <c r="E588" i="2"/>
  <c r="I585" i="2"/>
  <c r="K584" i="2"/>
  <c r="B590" i="2"/>
  <c r="C589" i="2"/>
  <c r="N584" i="2"/>
  <c r="L584" i="2"/>
  <c r="M583" i="2"/>
  <c r="O583" i="2" s="1"/>
  <c r="F585" i="2"/>
  <c r="J584" i="2"/>
  <c r="G586" i="2"/>
  <c r="H586" i="2" s="1"/>
  <c r="P583" i="2"/>
  <c r="D589" i="2" a="1"/>
  <c r="E589" i="2" a="1"/>
  <c r="F586" i="2" a="1"/>
  <c r="I586" i="2" a="1"/>
  <c r="K585" i="2" a="1"/>
  <c r="I586" i="2" l="1"/>
  <c r="K585" i="2"/>
  <c r="D589" i="2"/>
  <c r="E589" i="2"/>
  <c r="N585" i="2"/>
  <c r="L585" i="2"/>
  <c r="P585" i="2" s="1"/>
  <c r="B591" i="2"/>
  <c r="C590" i="2"/>
  <c r="M584" i="2"/>
  <c r="O584" i="2" s="1"/>
  <c r="J585" i="2"/>
  <c r="F586" i="2"/>
  <c r="P584" i="2"/>
  <c r="G587" i="2"/>
  <c r="H587" i="2" s="1"/>
  <c r="F587" i="2" a="1"/>
  <c r="E590" i="2" a="1"/>
  <c r="K586" i="2" a="1"/>
  <c r="I587" i="2" a="1"/>
  <c r="D590" i="2" a="1"/>
  <c r="I587" i="2" l="1"/>
  <c r="D590" i="2"/>
  <c r="E590" i="2"/>
  <c r="K586" i="2"/>
  <c r="B592" i="2"/>
  <c r="C591" i="2"/>
  <c r="N586" i="2"/>
  <c r="L586" i="2"/>
  <c r="M585" i="2"/>
  <c r="O585" i="2" s="1"/>
  <c r="J586" i="2"/>
  <c r="F587" i="2"/>
  <c r="G588" i="2"/>
  <c r="H588" i="2" s="1"/>
  <c r="D591" i="2" a="1"/>
  <c r="I588" i="2" a="1"/>
  <c r="E591" i="2" a="1"/>
  <c r="K587" i="2" a="1"/>
  <c r="F588" i="2" a="1"/>
  <c r="E591" i="2" l="1"/>
  <c r="D591" i="2"/>
  <c r="I588" i="2"/>
  <c r="K587" i="2"/>
  <c r="B593" i="2"/>
  <c r="C592" i="2"/>
  <c r="L587" i="2"/>
  <c r="P587" i="2" s="1"/>
  <c r="N587" i="2"/>
  <c r="M586" i="2"/>
  <c r="O586" i="2" s="1"/>
  <c r="J587" i="2"/>
  <c r="F588" i="2"/>
  <c r="G589" i="2"/>
  <c r="H589" i="2" s="1"/>
  <c r="P586" i="2"/>
  <c r="F589" i="2" a="1"/>
  <c r="K588" i="2" a="1"/>
  <c r="E592" i="2" a="1"/>
  <c r="D592" i="2" a="1"/>
  <c r="I589" i="2" a="1"/>
  <c r="I589" i="2" l="1"/>
  <c r="D592" i="2"/>
  <c r="E592" i="2"/>
  <c r="K588" i="2"/>
  <c r="B594" i="2"/>
  <c r="C593" i="2"/>
  <c r="N588" i="2"/>
  <c r="L588" i="2"/>
  <c r="M587" i="2"/>
  <c r="O587" i="2" s="1"/>
  <c r="J588" i="2"/>
  <c r="F589" i="2"/>
  <c r="G590" i="2"/>
  <c r="H590" i="2" s="1"/>
  <c r="D593" i="2" a="1"/>
  <c r="E593" i="2" a="1"/>
  <c r="K589" i="2" a="1"/>
  <c r="I590" i="2" a="1"/>
  <c r="F590" i="2" a="1"/>
  <c r="I590" i="2" l="1"/>
  <c r="D593" i="2"/>
  <c r="E593" i="2"/>
  <c r="K589" i="2"/>
  <c r="B595" i="2"/>
  <c r="C594" i="2"/>
  <c r="N589" i="2"/>
  <c r="L589" i="2"/>
  <c r="P589" i="2" s="1"/>
  <c r="M588" i="2"/>
  <c r="O588" i="2" s="1"/>
  <c r="J589" i="2"/>
  <c r="F590" i="2"/>
  <c r="P588" i="2"/>
  <c r="G591" i="2"/>
  <c r="H591" i="2" s="1"/>
  <c r="K590" i="2" a="1"/>
  <c r="F591" i="2" a="1"/>
  <c r="D594" i="2" a="1"/>
  <c r="E594" i="2" a="1"/>
  <c r="I591" i="2" a="1"/>
  <c r="I591" i="2" l="1"/>
  <c r="E594" i="2"/>
  <c r="D594" i="2"/>
  <c r="K590" i="2"/>
  <c r="B596" i="2"/>
  <c r="C595" i="2"/>
  <c r="L590" i="2"/>
  <c r="N590" i="2"/>
  <c r="M589" i="2"/>
  <c r="O589" i="2" s="1"/>
  <c r="F591" i="2"/>
  <c r="J590" i="2"/>
  <c r="G592" i="2"/>
  <c r="H592" i="2" s="1"/>
  <c r="K591" i="2" a="1"/>
  <c r="E595" i="2" a="1"/>
  <c r="D595" i="2" a="1"/>
  <c r="F592" i="2" a="1"/>
  <c r="I592" i="2" a="1"/>
  <c r="I592" i="2" l="1"/>
  <c r="D595" i="2"/>
  <c r="E595" i="2"/>
  <c r="K591" i="2"/>
  <c r="B597" i="2"/>
  <c r="C596" i="2"/>
  <c r="N591" i="2"/>
  <c r="L591" i="2"/>
  <c r="M590" i="2"/>
  <c r="O590" i="2" s="1"/>
  <c r="F592" i="2"/>
  <c r="J591" i="2"/>
  <c r="P590" i="2"/>
  <c r="G593" i="2"/>
  <c r="H593" i="2" s="1"/>
  <c r="K592" i="2" a="1"/>
  <c r="I593" i="2" a="1"/>
  <c r="F593" i="2" a="1"/>
  <c r="E596" i="2" a="1"/>
  <c r="D596" i="2" a="1"/>
  <c r="D596" i="2" l="1"/>
  <c r="E596" i="2"/>
  <c r="I593" i="2"/>
  <c r="K592" i="2"/>
  <c r="B598" i="2"/>
  <c r="C597" i="2"/>
  <c r="L592" i="2"/>
  <c r="P592" i="2" s="1"/>
  <c r="N592" i="2"/>
  <c r="M591" i="2"/>
  <c r="O591" i="2" s="1"/>
  <c r="J592" i="2"/>
  <c r="F593" i="2"/>
  <c r="P591" i="2"/>
  <c r="G594" i="2"/>
  <c r="H594" i="2" s="1"/>
  <c r="D597" i="2" a="1"/>
  <c r="K593" i="2" a="1"/>
  <c r="E597" i="2" a="1"/>
  <c r="I594" i="2" a="1"/>
  <c r="F594" i="2" a="1"/>
  <c r="I594" i="2" l="1"/>
  <c r="E597" i="2"/>
  <c r="D597" i="2"/>
  <c r="K593" i="2"/>
  <c r="B599" i="2"/>
  <c r="C598" i="2"/>
  <c r="N593" i="2"/>
  <c r="L593" i="2"/>
  <c r="M592" i="2"/>
  <c r="O592" i="2" s="1"/>
  <c r="F594" i="2"/>
  <c r="J593" i="2"/>
  <c r="G595" i="2"/>
  <c r="H595" i="2" s="1"/>
  <c r="F595" i="2" a="1"/>
  <c r="E598" i="2" a="1"/>
  <c r="K594" i="2" a="1"/>
  <c r="D598" i="2" a="1"/>
  <c r="I595" i="2" a="1"/>
  <c r="E598" i="2" l="1"/>
  <c r="D598" i="2"/>
  <c r="I595" i="2"/>
  <c r="K594" i="2"/>
  <c r="B600" i="2"/>
  <c r="C599" i="2"/>
  <c r="N594" i="2"/>
  <c r="L594" i="2"/>
  <c r="M593" i="2"/>
  <c r="O593" i="2" s="1"/>
  <c r="F595" i="2"/>
  <c r="J594" i="2"/>
  <c r="P593" i="2"/>
  <c r="G596" i="2"/>
  <c r="H596" i="2" s="1"/>
  <c r="K595" i="2" a="1"/>
  <c r="E599" i="2" a="1"/>
  <c r="F596" i="2" a="1"/>
  <c r="I596" i="2" a="1"/>
  <c r="D599" i="2" a="1"/>
  <c r="I596" i="2" l="1"/>
  <c r="D599" i="2"/>
  <c r="E599" i="2"/>
  <c r="K595" i="2"/>
  <c r="B601" i="2"/>
  <c r="C600" i="2"/>
  <c r="N595" i="2"/>
  <c r="L595" i="2"/>
  <c r="M594" i="2"/>
  <c r="O594" i="2" s="1"/>
  <c r="F596" i="2"/>
  <c r="P594" i="2"/>
  <c r="J595" i="2"/>
  <c r="G597" i="2"/>
  <c r="H597" i="2" s="1"/>
  <c r="I597" i="2" a="1"/>
  <c r="D600" i="2" a="1"/>
  <c r="K596" i="2" a="1"/>
  <c r="F597" i="2" a="1"/>
  <c r="E600" i="2" a="1"/>
  <c r="E600" i="2" l="1"/>
  <c r="D600" i="2"/>
  <c r="I597" i="2"/>
  <c r="K596" i="2"/>
  <c r="B602" i="2"/>
  <c r="C601" i="2"/>
  <c r="L596" i="2"/>
  <c r="N596" i="2"/>
  <c r="M595" i="2"/>
  <c r="O595" i="2" s="1"/>
  <c r="J596" i="2"/>
  <c r="F597" i="2"/>
  <c r="P595" i="2"/>
  <c r="G598" i="2"/>
  <c r="H598" i="2" s="1"/>
  <c r="I598" i="2" a="1"/>
  <c r="K597" i="2" a="1"/>
  <c r="E601" i="2" a="1"/>
  <c r="D601" i="2" a="1"/>
  <c r="F598" i="2" a="1"/>
  <c r="D601" i="2" l="1"/>
  <c r="E601" i="2"/>
  <c r="I598" i="2"/>
  <c r="K597" i="2"/>
  <c r="B603" i="2"/>
  <c r="C602" i="2"/>
  <c r="N597" i="2"/>
  <c r="L597" i="2"/>
  <c r="M596" i="2"/>
  <c r="O596" i="2" s="1"/>
  <c r="F598" i="2"/>
  <c r="J597" i="2"/>
  <c r="P596" i="2"/>
  <c r="G599" i="2"/>
  <c r="H599" i="2" s="1"/>
  <c r="K598" i="2" a="1"/>
  <c r="F599" i="2" a="1"/>
  <c r="D602" i="2" a="1"/>
  <c r="I599" i="2" a="1"/>
  <c r="E602" i="2" a="1"/>
  <c r="I599" i="2" l="1"/>
  <c r="E602" i="2"/>
  <c r="D602" i="2"/>
  <c r="K598" i="2"/>
  <c r="N598" i="2"/>
  <c r="L598" i="2"/>
  <c r="B604" i="2"/>
  <c r="C603" i="2"/>
  <c r="M597" i="2"/>
  <c r="O597" i="2" s="1"/>
  <c r="F599" i="2"/>
  <c r="J598" i="2"/>
  <c r="P597" i="2"/>
  <c r="G600" i="2"/>
  <c r="H600" i="2" s="1"/>
  <c r="K599" i="2" a="1"/>
  <c r="I600" i="2" a="1"/>
  <c r="F600" i="2" a="1"/>
  <c r="D603" i="2" a="1"/>
  <c r="E603" i="2" a="1"/>
  <c r="E603" i="2" l="1"/>
  <c r="D603" i="2"/>
  <c r="I600" i="2"/>
  <c r="K599" i="2"/>
  <c r="B605" i="2"/>
  <c r="C604" i="2"/>
  <c r="L599" i="2"/>
  <c r="P599" i="2" s="1"/>
  <c r="N599" i="2"/>
  <c r="M598" i="2"/>
  <c r="O598" i="2" s="1"/>
  <c r="J599" i="2"/>
  <c r="F600" i="2"/>
  <c r="P598" i="2"/>
  <c r="G601" i="2"/>
  <c r="H601" i="2" s="1"/>
  <c r="K600" i="2" a="1"/>
  <c r="I601" i="2" a="1"/>
  <c r="D604" i="2" a="1"/>
  <c r="E604" i="2" a="1"/>
  <c r="F601" i="2" a="1"/>
  <c r="E604" i="2" l="1"/>
  <c r="D604" i="2"/>
  <c r="I601" i="2"/>
  <c r="K600" i="2"/>
  <c r="B606" i="2"/>
  <c r="C605" i="2"/>
  <c r="N600" i="2"/>
  <c r="L600" i="2"/>
  <c r="P600" i="2" s="1"/>
  <c r="M599" i="2"/>
  <c r="O599" i="2" s="1"/>
  <c r="J600" i="2"/>
  <c r="F601" i="2"/>
  <c r="G602" i="2"/>
  <c r="H602" i="2" s="1"/>
  <c r="E605" i="2" a="1"/>
  <c r="F602" i="2" a="1"/>
  <c r="D605" i="2" a="1"/>
  <c r="I602" i="2" a="1"/>
  <c r="K601" i="2" a="1"/>
  <c r="I602" i="2" l="1"/>
  <c r="D605" i="2"/>
  <c r="E605" i="2"/>
  <c r="K601" i="2"/>
  <c r="B607" i="2"/>
  <c r="C606" i="2"/>
  <c r="L601" i="2"/>
  <c r="N601" i="2"/>
  <c r="M600" i="2"/>
  <c r="O600" i="2" s="1"/>
  <c r="F602" i="2"/>
  <c r="J601" i="2"/>
  <c r="G603" i="2"/>
  <c r="H603" i="2" s="1"/>
  <c r="I603" i="2" a="1"/>
  <c r="E606" i="2" a="1"/>
  <c r="K602" i="2" a="1"/>
  <c r="F603" i="2" a="1"/>
  <c r="D606" i="2" a="1"/>
  <c r="E606" i="2" l="1"/>
  <c r="D606" i="2"/>
  <c r="I603" i="2"/>
  <c r="K602" i="2"/>
  <c r="B608" i="2"/>
  <c r="C607" i="2"/>
  <c r="N602" i="2"/>
  <c r="L602" i="2"/>
  <c r="M601" i="2"/>
  <c r="O601" i="2" s="1"/>
  <c r="F603" i="2"/>
  <c r="J602" i="2"/>
  <c r="P601" i="2"/>
  <c r="G604" i="2"/>
  <c r="H604" i="2" s="1"/>
  <c r="K603" i="2" a="1"/>
  <c r="D607" i="2" a="1"/>
  <c r="I604" i="2" a="1"/>
  <c r="F604" i="2" a="1"/>
  <c r="E607" i="2" a="1"/>
  <c r="I604" i="2" l="1"/>
  <c r="D607" i="2"/>
  <c r="E607" i="2"/>
  <c r="K603" i="2"/>
  <c r="B609" i="2"/>
  <c r="C608" i="2"/>
  <c r="L603" i="2"/>
  <c r="P603" i="2" s="1"/>
  <c r="N603" i="2"/>
  <c r="M602" i="2"/>
  <c r="O602" i="2" s="1"/>
  <c r="J603" i="2"/>
  <c r="F604" i="2"/>
  <c r="P602" i="2"/>
  <c r="G605" i="2"/>
  <c r="H605" i="2" s="1"/>
  <c r="E608" i="2" a="1"/>
  <c r="D608" i="2" a="1"/>
  <c r="I605" i="2" a="1"/>
  <c r="K604" i="2" a="1"/>
  <c r="F605" i="2" a="1"/>
  <c r="I605" i="2" l="1"/>
  <c r="E608" i="2"/>
  <c r="D608" i="2"/>
  <c r="K604" i="2"/>
  <c r="B610" i="2"/>
  <c r="C609" i="2"/>
  <c r="L604" i="2"/>
  <c r="N604" i="2"/>
  <c r="M603" i="2"/>
  <c r="O603" i="2" s="1"/>
  <c r="J604" i="2"/>
  <c r="F605" i="2"/>
  <c r="G606" i="2"/>
  <c r="H606" i="2" s="1"/>
  <c r="D609" i="2" a="1"/>
  <c r="I606" i="2" a="1"/>
  <c r="E609" i="2" a="1"/>
  <c r="K605" i="2" a="1"/>
  <c r="F606" i="2" a="1"/>
  <c r="E609" i="2" l="1"/>
  <c r="D609" i="2"/>
  <c r="I606" i="2"/>
  <c r="K605" i="2"/>
  <c r="B611" i="2"/>
  <c r="C610" i="2"/>
  <c r="L605" i="2"/>
  <c r="N605" i="2"/>
  <c r="M604" i="2"/>
  <c r="O604" i="2" s="1"/>
  <c r="J605" i="2"/>
  <c r="F606" i="2"/>
  <c r="G607" i="2"/>
  <c r="H607" i="2" s="1"/>
  <c r="P604" i="2"/>
  <c r="K606" i="2" a="1"/>
  <c r="D610" i="2" a="1"/>
  <c r="E610" i="2" a="1"/>
  <c r="I607" i="2" a="1"/>
  <c r="F607" i="2" a="1"/>
  <c r="I607" i="2" l="1"/>
  <c r="E610" i="2"/>
  <c r="D610" i="2"/>
  <c r="K606" i="2"/>
  <c r="B612" i="2"/>
  <c r="C611" i="2"/>
  <c r="N606" i="2"/>
  <c r="L606" i="2"/>
  <c r="M605" i="2"/>
  <c r="O605" i="2" s="1"/>
  <c r="J606" i="2"/>
  <c r="F607" i="2"/>
  <c r="G608" i="2"/>
  <c r="H608" i="2" s="1"/>
  <c r="P605" i="2"/>
  <c r="F608" i="2" a="1"/>
  <c r="K607" i="2" a="1"/>
  <c r="D611" i="2" a="1"/>
  <c r="E611" i="2" a="1"/>
  <c r="I608" i="2" a="1"/>
  <c r="D611" i="2" l="1"/>
  <c r="E611" i="2"/>
  <c r="I608" i="2"/>
  <c r="K607" i="2"/>
  <c r="B613" i="2"/>
  <c r="C612" i="2"/>
  <c r="N607" i="2"/>
  <c r="L607" i="2"/>
  <c r="M606" i="2"/>
  <c r="O606" i="2" s="1"/>
  <c r="F608" i="2"/>
  <c r="J607" i="2"/>
  <c r="P606" i="2"/>
  <c r="G609" i="2"/>
  <c r="H609" i="2" s="1"/>
  <c r="D612" i="2" a="1"/>
  <c r="E612" i="2" a="1"/>
  <c r="F609" i="2" a="1"/>
  <c r="K608" i="2" a="1"/>
  <c r="I609" i="2" a="1"/>
  <c r="I609" i="2" l="1"/>
  <c r="K608" i="2"/>
  <c r="D612" i="2"/>
  <c r="E612" i="2"/>
  <c r="N608" i="2"/>
  <c r="L608" i="2"/>
  <c r="B614" i="2"/>
  <c r="C613" i="2"/>
  <c r="M607" i="2"/>
  <c r="O607" i="2" s="1"/>
  <c r="F609" i="2"/>
  <c r="P607" i="2"/>
  <c r="J608" i="2"/>
  <c r="G610" i="2"/>
  <c r="H610" i="2" s="1"/>
  <c r="I610" i="2" a="1"/>
  <c r="E613" i="2" a="1"/>
  <c r="K609" i="2" a="1"/>
  <c r="D613" i="2" a="1"/>
  <c r="F610" i="2" a="1"/>
  <c r="E613" i="2" l="1"/>
  <c r="D613" i="2"/>
  <c r="I610" i="2"/>
  <c r="K609" i="2"/>
  <c r="B615" i="2"/>
  <c r="C614" i="2"/>
  <c r="N609" i="2"/>
  <c r="L609" i="2"/>
  <c r="M608" i="2"/>
  <c r="O608" i="2" s="1"/>
  <c r="J609" i="2"/>
  <c r="F610" i="2"/>
  <c r="P608" i="2"/>
  <c r="G611" i="2"/>
  <c r="H611" i="2" s="1"/>
  <c r="K610" i="2" a="1"/>
  <c r="E614" i="2" a="1"/>
  <c r="D614" i="2" a="1"/>
  <c r="I611" i="2" a="1"/>
  <c r="F611" i="2" a="1"/>
  <c r="I611" i="2" l="1"/>
  <c r="E614" i="2"/>
  <c r="D614" i="2"/>
  <c r="K610" i="2"/>
  <c r="B616" i="2"/>
  <c r="C615" i="2"/>
  <c r="N610" i="2"/>
  <c r="L610" i="2"/>
  <c r="M609" i="2"/>
  <c r="O609" i="2" s="1"/>
  <c r="F611" i="2"/>
  <c r="J610" i="2"/>
  <c r="G612" i="2"/>
  <c r="H612" i="2" s="1"/>
  <c r="P609" i="2"/>
  <c r="E615" i="2" a="1"/>
  <c r="I612" i="2" a="1"/>
  <c r="K611" i="2" a="1"/>
  <c r="D615" i="2" a="1"/>
  <c r="F612" i="2" a="1"/>
  <c r="D615" i="2" l="1"/>
  <c r="E615" i="2"/>
  <c r="I612" i="2"/>
  <c r="K611" i="2"/>
  <c r="B617" i="2"/>
  <c r="C616" i="2"/>
  <c r="N611" i="2"/>
  <c r="L611" i="2"/>
  <c r="P611" i="2" s="1"/>
  <c r="M610" i="2"/>
  <c r="O610" i="2" s="1"/>
  <c r="J611" i="2"/>
  <c r="F612" i="2"/>
  <c r="P610" i="2"/>
  <c r="G613" i="2"/>
  <c r="H613" i="2" s="1"/>
  <c r="E616" i="2" a="1"/>
  <c r="D616" i="2" a="1"/>
  <c r="F613" i="2" a="1"/>
  <c r="K612" i="2" a="1"/>
  <c r="I613" i="2" a="1"/>
  <c r="I613" i="2" l="1"/>
  <c r="K612" i="2"/>
  <c r="E616" i="2"/>
  <c r="D616" i="2"/>
  <c r="B618" i="2"/>
  <c r="C617" i="2"/>
  <c r="N612" i="2"/>
  <c r="L612" i="2"/>
  <c r="M611" i="2"/>
  <c r="O611" i="2" s="1"/>
  <c r="J612" i="2"/>
  <c r="F613" i="2"/>
  <c r="G614" i="2"/>
  <c r="H614" i="2" s="1"/>
  <c r="F614" i="2" a="1"/>
  <c r="K613" i="2" a="1"/>
  <c r="D617" i="2" a="1"/>
  <c r="I614" i="2" a="1"/>
  <c r="E617" i="2" a="1"/>
  <c r="I614" i="2" l="1"/>
  <c r="E617" i="2"/>
  <c r="D617" i="2"/>
  <c r="K613" i="2"/>
  <c r="B619" i="2"/>
  <c r="C618" i="2"/>
  <c r="N613" i="2"/>
  <c r="L613" i="2"/>
  <c r="M612" i="2"/>
  <c r="O612" i="2" s="1"/>
  <c r="J613" i="2"/>
  <c r="F614" i="2"/>
  <c r="P612" i="2"/>
  <c r="G615" i="2"/>
  <c r="H615" i="2" s="1"/>
  <c r="D618" i="2" a="1"/>
  <c r="I615" i="2" a="1"/>
  <c r="K614" i="2" a="1"/>
  <c r="E618" i="2" a="1"/>
  <c r="F615" i="2" a="1"/>
  <c r="I615" i="2" l="1"/>
  <c r="E618" i="2"/>
  <c r="D618" i="2"/>
  <c r="K614" i="2"/>
  <c r="B620" i="2"/>
  <c r="C619" i="2"/>
  <c r="N614" i="2"/>
  <c r="L614" i="2"/>
  <c r="M613" i="2"/>
  <c r="O613" i="2" s="1"/>
  <c r="F615" i="2"/>
  <c r="J614" i="2"/>
  <c r="G616" i="2"/>
  <c r="H616" i="2" s="1"/>
  <c r="P613" i="2"/>
  <c r="F616" i="2" a="1"/>
  <c r="I616" i="2" a="1"/>
  <c r="D619" i="2" a="1"/>
  <c r="K615" i="2" a="1"/>
  <c r="E619" i="2" a="1"/>
  <c r="E619" i="2" l="1"/>
  <c r="D619" i="2"/>
  <c r="I616" i="2"/>
  <c r="K615" i="2"/>
  <c r="B621" i="2"/>
  <c r="C620" i="2"/>
  <c r="N615" i="2"/>
  <c r="L615" i="2"/>
  <c r="M614" i="2"/>
  <c r="O614" i="2" s="1"/>
  <c r="J615" i="2"/>
  <c r="F616" i="2"/>
  <c r="P614" i="2"/>
  <c r="G617" i="2"/>
  <c r="H617" i="2" s="1"/>
  <c r="F617" i="2" a="1"/>
  <c r="I617" i="2" a="1"/>
  <c r="D620" i="2" a="1"/>
  <c r="E620" i="2" a="1"/>
  <c r="K616" i="2" a="1"/>
  <c r="E620" i="2" l="1"/>
  <c r="D620" i="2"/>
  <c r="I617" i="2"/>
  <c r="K616" i="2"/>
  <c r="B622" i="2"/>
  <c r="C621" i="2"/>
  <c r="N616" i="2"/>
  <c r="L616" i="2"/>
  <c r="M615" i="2"/>
  <c r="O615" i="2" s="1"/>
  <c r="F617" i="2"/>
  <c r="J616" i="2"/>
  <c r="G618" i="2"/>
  <c r="H618" i="2" s="1"/>
  <c r="P615" i="2"/>
  <c r="I618" i="2" a="1"/>
  <c r="E621" i="2" a="1"/>
  <c r="D621" i="2" a="1"/>
  <c r="F618" i="2" a="1"/>
  <c r="K617" i="2" a="1"/>
  <c r="D621" i="2" l="1"/>
  <c r="E621" i="2"/>
  <c r="I618" i="2"/>
  <c r="K617" i="2"/>
  <c r="B623" i="2"/>
  <c r="C622" i="2"/>
  <c r="N617" i="2"/>
  <c r="L617" i="2"/>
  <c r="M616" i="2"/>
  <c r="O616" i="2" s="1"/>
  <c r="F618" i="2"/>
  <c r="J617" i="2"/>
  <c r="P616" i="2"/>
  <c r="G619" i="2"/>
  <c r="H619" i="2" s="1"/>
  <c r="E622" i="2" a="1"/>
  <c r="D622" i="2" a="1"/>
  <c r="K618" i="2" a="1"/>
  <c r="I619" i="2" a="1"/>
  <c r="F619" i="2" a="1"/>
  <c r="I619" i="2" l="1"/>
  <c r="D622" i="2"/>
  <c r="E622" i="2"/>
  <c r="K618" i="2"/>
  <c r="B624" i="2"/>
  <c r="C623" i="2"/>
  <c r="N618" i="2"/>
  <c r="L618" i="2"/>
  <c r="P618" i="2" s="1"/>
  <c r="M617" i="2"/>
  <c r="O617" i="2" s="1"/>
  <c r="J618" i="2"/>
  <c r="F619" i="2"/>
  <c r="G620" i="2"/>
  <c r="H620" i="2" s="1"/>
  <c r="P617" i="2"/>
  <c r="K619" i="2" a="1"/>
  <c r="F620" i="2" a="1"/>
  <c r="I620" i="2" a="1"/>
  <c r="E623" i="2" a="1"/>
  <c r="D623" i="2" a="1"/>
  <c r="D623" i="2" l="1"/>
  <c r="E623" i="2"/>
  <c r="I620" i="2"/>
  <c r="K619" i="2"/>
  <c r="B625" i="2"/>
  <c r="C624" i="2"/>
  <c r="L619" i="2"/>
  <c r="N619" i="2"/>
  <c r="M618" i="2"/>
  <c r="O618" i="2" s="1"/>
  <c r="F620" i="2"/>
  <c r="J619" i="2"/>
  <c r="G621" i="2"/>
  <c r="H621" i="2" s="1"/>
  <c r="D624" i="2" a="1"/>
  <c r="F621" i="2" a="1"/>
  <c r="K620" i="2" a="1"/>
  <c r="E624" i="2" a="1"/>
  <c r="I621" i="2" a="1"/>
  <c r="D624" i="2" l="1"/>
  <c r="E624" i="2"/>
  <c r="I621" i="2"/>
  <c r="K620" i="2"/>
  <c r="B626" i="2"/>
  <c r="C625" i="2"/>
  <c r="N620" i="2"/>
  <c r="L620" i="2"/>
  <c r="M619" i="2"/>
  <c r="O619" i="2" s="1"/>
  <c r="F621" i="2"/>
  <c r="J620" i="2"/>
  <c r="P619" i="2"/>
  <c r="G622" i="2"/>
  <c r="H622" i="2" s="1"/>
  <c r="E625" i="2" a="1"/>
  <c r="F622" i="2" a="1"/>
  <c r="D625" i="2" a="1"/>
  <c r="K621" i="2" a="1"/>
  <c r="I622" i="2" a="1"/>
  <c r="D625" i="2" l="1"/>
  <c r="E625" i="2"/>
  <c r="I622" i="2"/>
  <c r="K621" i="2"/>
  <c r="B627" i="2"/>
  <c r="C626" i="2"/>
  <c r="N621" i="2"/>
  <c r="L621" i="2"/>
  <c r="M620" i="2"/>
  <c r="O620" i="2" s="1"/>
  <c r="F622" i="2"/>
  <c r="J621" i="2"/>
  <c r="P620" i="2"/>
  <c r="G623" i="2"/>
  <c r="H623" i="2" s="1"/>
  <c r="K622" i="2" a="1"/>
  <c r="I623" i="2" a="1"/>
  <c r="F623" i="2" a="1"/>
  <c r="E626" i="2" a="1"/>
  <c r="D626" i="2" a="1"/>
  <c r="D626" i="2" l="1"/>
  <c r="E626" i="2"/>
  <c r="K622" i="2"/>
  <c r="I623" i="2"/>
  <c r="N622" i="2"/>
  <c r="L622" i="2"/>
  <c r="P622" i="2" s="1"/>
  <c r="B628" i="2"/>
  <c r="C627" i="2"/>
  <c r="M621" i="2"/>
  <c r="O621" i="2" s="1"/>
  <c r="J622" i="2"/>
  <c r="F623" i="2"/>
  <c r="P621" i="2"/>
  <c r="G624" i="2"/>
  <c r="H624" i="2" s="1"/>
  <c r="E627" i="2" a="1"/>
  <c r="F624" i="2" a="1"/>
  <c r="D627" i="2" a="1"/>
  <c r="I624" i="2" a="1"/>
  <c r="K623" i="2" a="1"/>
  <c r="E627" i="2" l="1"/>
  <c r="D627" i="2"/>
  <c r="I624" i="2"/>
  <c r="K623" i="2"/>
  <c r="B629" i="2"/>
  <c r="C628" i="2"/>
  <c r="N623" i="2"/>
  <c r="L623" i="2"/>
  <c r="P623" i="2" s="1"/>
  <c r="M622" i="2"/>
  <c r="O622" i="2" s="1"/>
  <c r="J623" i="2"/>
  <c r="F624" i="2"/>
  <c r="G625" i="2"/>
  <c r="H625" i="2" s="1"/>
  <c r="K624" i="2" a="1"/>
  <c r="I625" i="2" a="1"/>
  <c r="F625" i="2" a="1"/>
  <c r="E628" i="2" a="1"/>
  <c r="D628" i="2" a="1"/>
  <c r="I625" i="2" l="1"/>
  <c r="K624" i="2"/>
  <c r="E628" i="2"/>
  <c r="D628" i="2"/>
  <c r="B630" i="2"/>
  <c r="C629" i="2"/>
  <c r="N624" i="2"/>
  <c r="L624" i="2"/>
  <c r="M623" i="2"/>
  <c r="O623" i="2" s="1"/>
  <c r="F625" i="2"/>
  <c r="J624" i="2"/>
  <c r="G626" i="2"/>
  <c r="H626" i="2" s="1"/>
  <c r="K625" i="2" a="1"/>
  <c r="I626" i="2" a="1"/>
  <c r="F626" i="2" a="1"/>
  <c r="D629" i="2" a="1"/>
  <c r="E629" i="2" a="1"/>
  <c r="I626" i="2" l="1"/>
  <c r="E629" i="2"/>
  <c r="D629" i="2"/>
  <c r="K625" i="2"/>
  <c r="B631" i="2"/>
  <c r="C630" i="2"/>
  <c r="L625" i="2"/>
  <c r="P625" i="2" s="1"/>
  <c r="N625" i="2"/>
  <c r="M624" i="2"/>
  <c r="O624" i="2" s="1"/>
  <c r="J625" i="2"/>
  <c r="F626" i="2"/>
  <c r="P624" i="2"/>
  <c r="G627" i="2"/>
  <c r="H627" i="2" s="1"/>
  <c r="K626" i="2" a="1"/>
  <c r="I627" i="2" a="1"/>
  <c r="E630" i="2" a="1"/>
  <c r="D630" i="2" a="1"/>
  <c r="F627" i="2" a="1"/>
  <c r="I627" i="2" l="1"/>
  <c r="D630" i="2"/>
  <c r="E630" i="2"/>
  <c r="K626" i="2"/>
  <c r="B632" i="2"/>
  <c r="C631" i="2"/>
  <c r="L626" i="2"/>
  <c r="N626" i="2"/>
  <c r="M625" i="2"/>
  <c r="O625" i="2" s="1"/>
  <c r="J626" i="2"/>
  <c r="F627" i="2"/>
  <c r="G628" i="2"/>
  <c r="H628" i="2" s="1"/>
  <c r="D631" i="2" a="1"/>
  <c r="E631" i="2" a="1"/>
  <c r="K627" i="2" a="1"/>
  <c r="I628" i="2" a="1"/>
  <c r="F628" i="2" a="1"/>
  <c r="E631" i="2" l="1"/>
  <c r="D631" i="2"/>
  <c r="I628" i="2"/>
  <c r="K627" i="2"/>
  <c r="B633" i="2"/>
  <c r="C632" i="2"/>
  <c r="N627" i="2"/>
  <c r="L627" i="2"/>
  <c r="M626" i="2"/>
  <c r="O626" i="2" s="1"/>
  <c r="F628" i="2"/>
  <c r="J627" i="2"/>
  <c r="G629" i="2"/>
  <c r="H629" i="2" s="1"/>
  <c r="P626" i="2"/>
  <c r="F629" i="2" a="1"/>
  <c r="E632" i="2" a="1"/>
  <c r="I629" i="2" a="1"/>
  <c r="D632" i="2" a="1"/>
  <c r="K628" i="2" a="1"/>
  <c r="E632" i="2" l="1"/>
  <c r="D632" i="2"/>
  <c r="I629" i="2"/>
  <c r="K628" i="2"/>
  <c r="B634" i="2"/>
  <c r="C633" i="2"/>
  <c r="N628" i="2"/>
  <c r="L628" i="2"/>
  <c r="M627" i="2"/>
  <c r="F629" i="2"/>
  <c r="J628" i="2"/>
  <c r="G630" i="2"/>
  <c r="H630" i="2" s="1"/>
  <c r="O627" i="2"/>
  <c r="P627" i="2"/>
  <c r="F630" i="2" a="1"/>
  <c r="K629" i="2" a="1"/>
  <c r="I630" i="2" a="1"/>
  <c r="E633" i="2" a="1"/>
  <c r="D633" i="2" a="1"/>
  <c r="E633" i="2" l="1"/>
  <c r="D633" i="2"/>
  <c r="I630" i="2"/>
  <c r="K629" i="2"/>
  <c r="B635" i="2"/>
  <c r="C634" i="2"/>
  <c r="L629" i="2"/>
  <c r="N629" i="2"/>
  <c r="M628" i="2"/>
  <c r="O628" i="2" s="1"/>
  <c r="P628" i="2"/>
  <c r="J629" i="2"/>
  <c r="F630" i="2"/>
  <c r="G631" i="2"/>
  <c r="H631" i="2" s="1"/>
  <c r="E634" i="2" a="1"/>
  <c r="D634" i="2" a="1"/>
  <c r="K630" i="2" a="1"/>
  <c r="I631" i="2" a="1"/>
  <c r="F631" i="2" a="1"/>
  <c r="I631" i="2" l="1"/>
  <c r="D634" i="2"/>
  <c r="E634" i="2"/>
  <c r="K630" i="2"/>
  <c r="B636" i="2"/>
  <c r="C635" i="2"/>
  <c r="N630" i="2"/>
  <c r="L630" i="2"/>
  <c r="M629" i="2"/>
  <c r="O629" i="2" s="1"/>
  <c r="F631" i="2"/>
  <c r="J630" i="2"/>
  <c r="G632" i="2"/>
  <c r="H632" i="2" s="1"/>
  <c r="P629" i="2"/>
  <c r="F632" i="2" a="1"/>
  <c r="K631" i="2" a="1"/>
  <c r="E635" i="2" a="1"/>
  <c r="D635" i="2" a="1"/>
  <c r="I632" i="2" a="1"/>
  <c r="E635" i="2" l="1"/>
  <c r="D635" i="2"/>
  <c r="I632" i="2"/>
  <c r="K631" i="2"/>
  <c r="B637" i="2"/>
  <c r="C637" i="2" s="1"/>
  <c r="C636" i="2"/>
  <c r="N631" i="2"/>
  <c r="L631" i="2"/>
  <c r="M630" i="2"/>
  <c r="O630" i="2" s="1"/>
  <c r="J631" i="2"/>
  <c r="F632" i="2"/>
  <c r="P630" i="2"/>
  <c r="G633" i="2"/>
  <c r="H633" i="2" s="1"/>
  <c r="E636" i="2" a="1"/>
  <c r="D636" i="2" a="1"/>
  <c r="K632" i="2" a="1"/>
  <c r="F633" i="2" a="1"/>
  <c r="D637" i="2" a="1"/>
  <c r="E637" i="2" a="1"/>
  <c r="I633" i="2" a="1"/>
  <c r="E636" i="2" l="1"/>
  <c r="D636" i="2"/>
  <c r="I633" i="2"/>
  <c r="D637" i="2"/>
  <c r="E637" i="2"/>
  <c r="K632" i="2"/>
  <c r="N632" i="2"/>
  <c r="L632" i="2"/>
  <c r="P632" i="2" s="1"/>
  <c r="M631" i="2"/>
  <c r="O631" i="2" s="1"/>
  <c r="J632" i="2"/>
  <c r="P631" i="2"/>
  <c r="F633" i="2"/>
  <c r="G634" i="2"/>
  <c r="H634" i="2" s="1"/>
  <c r="K633" i="2" a="1"/>
  <c r="I634" i="2" a="1"/>
  <c r="F634" i="2" a="1"/>
  <c r="I634" i="2" l="1"/>
  <c r="K633" i="2"/>
  <c r="N633" i="2"/>
  <c r="L633" i="2"/>
  <c r="M632" i="2"/>
  <c r="O632" i="2" s="1"/>
  <c r="M633" i="2"/>
  <c r="F634" i="2"/>
  <c r="J633" i="2"/>
  <c r="G635" i="2"/>
  <c r="H635" i="2" s="1"/>
  <c r="K634" i="2" a="1"/>
  <c r="I635" i="2" a="1"/>
  <c r="F635" i="2" a="1"/>
  <c r="I635" i="2" l="1"/>
  <c r="K634" i="2"/>
  <c r="N634" i="2"/>
  <c r="L634" i="2"/>
  <c r="M634" i="2"/>
  <c r="F635" i="2"/>
  <c r="J634" i="2"/>
  <c r="G636" i="2"/>
  <c r="H636" i="2" s="1"/>
  <c r="P633" i="2"/>
  <c r="O633" i="2"/>
  <c r="K635" i="2" a="1"/>
  <c r="F636" i="2" a="1"/>
  <c r="I636" i="2" a="1"/>
  <c r="I636" i="2" l="1"/>
  <c r="K635" i="2"/>
  <c r="N635" i="2"/>
  <c r="L635" i="2"/>
  <c r="P635" i="2" s="1"/>
  <c r="J635" i="2"/>
  <c r="F636" i="2"/>
  <c r="M635" i="2"/>
  <c r="O635" i="2" s="1"/>
  <c r="G637" i="2"/>
  <c r="H637" i="2" s="1"/>
  <c r="O634" i="2"/>
  <c r="P634" i="2"/>
  <c r="I637" i="2" a="1"/>
  <c r="F637" i="2" a="1"/>
  <c r="K636" i="2" a="1"/>
  <c r="I637" i="2" l="1"/>
  <c r="K636" i="2"/>
  <c r="L636" i="2"/>
  <c r="N636" i="2"/>
  <c r="M636" i="2"/>
  <c r="F637" i="2"/>
  <c r="J636" i="2"/>
  <c r="K637" i="2" a="1"/>
  <c r="K637" i="2" l="1"/>
  <c r="N637" i="2"/>
  <c r="L637" i="2"/>
  <c r="O636" i="2"/>
  <c r="J637" i="2"/>
  <c r="M637" i="2"/>
  <c r="P636" i="2"/>
  <c r="O637" i="2" l="1"/>
  <c r="Q6" i="2" s="1" a="1"/>
  <c r="Q6" i="2" s="1"/>
  <c r="P637" i="2"/>
  <c r="Q5" i="2" s="1" a="1"/>
  <c r="Q5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M6" authorId="0" shapeId="0" xr:uid="{D8E0053B-47C4-4DCF-94F5-ED05A74CE0FE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F6F90D1D-2F16-400C-8976-D4AA71674C9A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L13" authorId="0" shapeId="0" xr:uid="{AF2CE76A-5D21-41C9-96EB-3C5ACE1C66F5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Above this discharge rate excess heat is generated and battery capacity is degraded at an increased pace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tc={3E4DDC08-3BAD-464C-B037-15155767C509}</author>
    <author>tc={26E2053B-EC67-446E-875D-AB4E74D6C523}</author>
    <author>tc={3FEB35E2-FE6E-44D8-9532-0B358699BED7}</author>
    <author>tc={CB5D3B55-0A0C-4F30-8758-69E66496A913}</author>
    <author>tc={5F7F28DE-92B2-484F-A577-3E757370780E}</author>
    <author>tc={516126C3-F7BF-41F5-91E6-A1B329ACC964}</author>
  </authors>
  <commentList>
    <comment ref="B15" authorId="0" shapeId="0" xr:uid="{3E4DDC08-3BAD-464C-B037-15155767C509}">
      <text>
        <t>[Threaded comment]
Your version of Excel allows you to read this threaded comment; however, any edits to it will get removed if the file is opened in a newer version of Excel. Learn more: https://go.microsoft.com/fwlink/?linkid=870924
Comment:
    We can use this as a low-res just by reducing the resolution of the recorded image in memory.</t>
      </text>
    </comment>
    <comment ref="B16" authorId="1" shapeId="0" xr:uid="{26E2053B-EC67-446E-875D-AB4E74D6C523}">
      <text>
        <t>[Threaded comment]
Your version of Excel allows you to read this threaded comment; however, any edits to it will get removed if the file is opened in a newer version of Excel. Learn more: https://go.microsoft.com/fwlink/?linkid=870924
Comment:
    There will be a few</t>
      </text>
    </comment>
    <comment ref="A26" authorId="2" shapeId="0" xr:uid="{3FEB35E2-FE6E-44D8-9532-0B358699BED7}">
      <text>
        <t>[Threaded comment]
Your version of Excel allows you to read this threaded comment; however, any edits to it will get removed if the file is opened in a newer version of Excel. Learn more: https://go.microsoft.com/fwlink/?linkid=870924
Comment:
    WOD will likely be determined through drive train sensors</t>
      </text>
    </comment>
    <comment ref="C30" authorId="3" shapeId="0" xr:uid="{CB5D3B55-0A0C-4F30-8758-69E66496A913}">
      <text>
        <t>[Threaded comment]
Your version of Excel allows you to read this threaded comment; however, any edits to it will get removed if the file is opened in a newer version of Excel. Learn more: https://go.microsoft.com/fwlink/?linkid=870924
Comment:
    Primary load plus waste loads from pass-through devices</t>
      </text>
    </comment>
    <comment ref="C31" authorId="4" shapeId="0" xr:uid="{5F7F28DE-92B2-484F-A577-3E757370780E}">
      <text>
        <t>[Threaded comment]
Your version of Excel allows you to read this threaded comment; however, any edits to it will get removed if the file is opened in a newer version of Excel. Learn more: https://go.microsoft.com/fwlink/?linkid=870924
Comment:
    Primary loads plus waste from pass-through devices</t>
      </text>
    </comment>
    <comment ref="C32" authorId="5" shapeId="0" xr:uid="{516126C3-F7BF-41F5-91E6-A1B329ACC964}">
      <text>
        <t>[Threaded comment]
Your version of Excel allows you to read this threaded comment; however, any edits to it will get removed if the file is opened in a newer version of Excel. Learn more: https://go.microsoft.com/fwlink/?linkid=870924
Comment:
    Everything not drilling or driving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L6" authorId="0" shapeId="0" xr:uid="{0BD4FE8A-7E59-4484-AB02-2B859AB35429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CADEC3F6-16C5-4AB9-9B1E-D5A2FE4638CB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K13" authorId="0" shapeId="0" xr:uid="{A0BD5D88-211D-4556-AA3C-9E2E55D4CA6D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Above this discharge rate excess heat is generated and battery capacity is degraded at an increased pace
</t>
        </r>
      </text>
    </comment>
    <comment ref="C14" authorId="0" shapeId="0" xr:uid="{B602D071-5145-4B72-A438-CA26B6F50FAE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Highlight green where primary mission is complete</t>
        </r>
      </text>
    </comment>
    <comment ref="L14" authorId="0" shapeId="0" xr:uid="{D7A0FCC1-3470-4117-A344-E0F3195E200C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Highlight red where where &lt;0 margin
</t>
        </r>
      </text>
    </comment>
    <comment ref="M14" authorId="0" shapeId="0" xr:uid="{173B2D85-0DAA-4E61-A8DD-8962EF91D1D5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Highlight red where where &lt;0 margin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M6" authorId="0" shapeId="0" xr:uid="{3EFF6149-B9AB-4FF6-92CD-F487B64069EF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0C1C8921-8BE1-49B8-95A4-6124F829551B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L13" authorId="0" shapeId="0" xr:uid="{B936C65F-4DE0-4D01-BFB4-A3FCBFF1BF8E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Above this discharge rate excess heat is generated and battery capacity is degraded at an increased pace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L6" authorId="0" shapeId="0" xr:uid="{FA5EE0EF-F6E9-4BDB-8614-3421A49AA042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41B0693A-4C06-4284-A600-ECAF77DDFBFC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K13" authorId="0" shapeId="0" xr:uid="{60F22445-49ED-4CAB-9453-7F511C3E29F2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Above this discharge rate excess heat is generated and battery capacity is degraded at an increased pace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<sst xmlns="http://schemas.openxmlformats.org/spreadsheetml/2006/main" count="410" uniqueCount="182">
  <si>
    <t>mAh</t>
  </si>
  <si>
    <t>Cap Slope</t>
  </si>
  <si>
    <t>Cap Intercept</t>
  </si>
  <si>
    <t>%</t>
  </si>
  <si>
    <t>dim</t>
  </si>
  <si>
    <t>m</t>
  </si>
  <si>
    <t>m/s</t>
  </si>
  <si>
    <t>Watts</t>
  </si>
  <si>
    <t>m/s^2</t>
  </si>
  <si>
    <t>Trip Number</t>
  </si>
  <si>
    <t>dH</t>
  </si>
  <si>
    <t>Depth(m)</t>
  </si>
  <si>
    <t>Estimated Trip Energy (kJ)</t>
  </si>
  <si>
    <t>Voltage</t>
  </si>
  <si>
    <t>Batt Cap</t>
  </si>
  <si>
    <t>V</t>
  </si>
  <si>
    <t>kJ</t>
  </si>
  <si>
    <t>SOC Max</t>
  </si>
  <si>
    <t>SOC Min</t>
  </si>
  <si>
    <t>Est. Drive Power</t>
  </si>
  <si>
    <t>seconds</t>
  </si>
  <si>
    <t>Estimated Trip Energy (kJ) WOB</t>
  </si>
  <si>
    <t>J</t>
  </si>
  <si>
    <t>General Loads Expected</t>
  </si>
  <si>
    <t>System</t>
  </si>
  <si>
    <t>Subsystem</t>
  </si>
  <si>
    <t>Estimated  Voltage (V)</t>
  </si>
  <si>
    <t>Estimated Current (A)</t>
  </si>
  <si>
    <t>Component Power (W)</t>
  </si>
  <si>
    <t>Efficiency (%)</t>
  </si>
  <si>
    <t>Waste Power [assumed heat] (W)</t>
  </si>
  <si>
    <t>Pass Through Device</t>
  </si>
  <si>
    <t>Assumptions</t>
  </si>
  <si>
    <t>Drive</t>
  </si>
  <si>
    <t>Drive Motor 1</t>
  </si>
  <si>
    <t>Motor Control 1</t>
  </si>
  <si>
    <t>Buck Converter 1</t>
  </si>
  <si>
    <t>Drive Motor 2</t>
  </si>
  <si>
    <t>Motor Control 2</t>
  </si>
  <si>
    <t>Buck Converter 2</t>
  </si>
  <si>
    <t>Tread Pressure sensing</t>
  </si>
  <si>
    <t>Processing</t>
  </si>
  <si>
    <t>Primary FPGA</t>
  </si>
  <si>
    <t>Assume Zync Soc Z-7020 with all processing power becoming heat, http://www.bertendsp.com/pdf/whitepaper/BWP001_GPU_vs_FPGA_Performance_Comparison_v1.0.pdf</t>
  </si>
  <si>
    <t>Buck Converter 4</t>
  </si>
  <si>
    <t>This takes the place of the several voltage converters feeding a typical FPGA (5v, 3.3v, and a 1.7v usually)</t>
  </si>
  <si>
    <t>9 Dof Orientation</t>
  </si>
  <si>
    <t>Data from Bosch BNO055 intelligent 9-axis Sensor in Normal mode at 100Hz</t>
  </si>
  <si>
    <t>High Res Camera</t>
  </si>
  <si>
    <t>Thermometers</t>
  </si>
  <si>
    <t>Assumes a dozen MCP9701A units, Plus 6 thermocouple units as described in https://www.ti.com/lit/ug/tidu449b/tidu449b.pdf,  MSP430F51x2 processors running at 1MHz</t>
  </si>
  <si>
    <t>Pressure sensor</t>
  </si>
  <si>
    <t>Assuming pulsed operation of PVC3000 series sensor. https://posifatech.com/vacuum-sensors/pvc3000/</t>
  </si>
  <si>
    <t>Drill</t>
  </si>
  <si>
    <t>Drill Motor</t>
  </si>
  <si>
    <t>Motor Control 3</t>
  </si>
  <si>
    <t>Buck Converter 7</t>
  </si>
  <si>
    <t>Heat Generated</t>
  </si>
  <si>
    <t>Load from Drilling</t>
  </si>
  <si>
    <t>W</t>
  </si>
  <si>
    <t>A</t>
  </si>
  <si>
    <t>Load from Driving</t>
  </si>
  <si>
    <t>Total Hotel loads</t>
  </si>
  <si>
    <t>Maximum instant power draw</t>
  </si>
  <si>
    <t>Drive Eff (overall)</t>
  </si>
  <si>
    <t>Total mission charge cycles</t>
  </si>
  <si>
    <t>g</t>
  </si>
  <si>
    <t>Capacity used during trip</t>
  </si>
  <si>
    <t>Margin to Min SOC</t>
  </si>
  <si>
    <t>Total battery capacity after this cycle (kJ)</t>
  </si>
  <si>
    <t>Useable capacity after this cycle (kJ)</t>
  </si>
  <si>
    <t>Number of bots</t>
  </si>
  <si>
    <t>Cycles per Bot</t>
  </si>
  <si>
    <t>Battery Capacity degrade (kJ)</t>
  </si>
  <si>
    <t>Trip Increment</t>
  </si>
  <si>
    <t>Zero Margin to min SOC</t>
  </si>
  <si>
    <t>0% SOC</t>
  </si>
  <si>
    <t>Depth where battery finishes at 0%</t>
  </si>
  <si>
    <t>Depth where battery finishes at SOC Min</t>
  </si>
  <si>
    <t>Heater</t>
  </si>
  <si>
    <t>Only edit blue cells</t>
  </si>
  <si>
    <t>Drive efficiency</t>
  </si>
  <si>
    <t>Depth at 0%</t>
  </si>
  <si>
    <t>depth at 25%</t>
  </si>
  <si>
    <t>Varying drive efficiency</t>
  </si>
  <si>
    <t>Varying drive speed</t>
  </si>
  <si>
    <t>Speed (m/s)</t>
  </si>
  <si>
    <t>Varying batteries</t>
  </si>
  <si>
    <t>Total Battery Capacity (mAh)</t>
  </si>
  <si>
    <t>one 5 pack</t>
  </si>
  <si>
    <t>two 5 packs (current design)</t>
  </si>
  <si>
    <t>three</t>
  </si>
  <si>
    <t>etc…</t>
  </si>
  <si>
    <t>Bot Mass</t>
  </si>
  <si>
    <t>kg</t>
  </si>
  <si>
    <t>Drive Power (W)</t>
  </si>
  <si>
    <t>depth at 25% SOC</t>
  </si>
  <si>
    <t>Depth at 0% SOC</t>
  </si>
  <si>
    <t>Estimated Trip Duration (min)</t>
  </si>
  <si>
    <t>maxDepthToMinSOC(H5,0,C10,C11,C8,$H$4,$C$6,$H$10,$C$5,$C$7,$C$4)</t>
  </si>
  <si>
    <t xml:space="preserve">ending at 0% SOC </t>
  </si>
  <si>
    <t>Nominal Capacity (kJ)</t>
  </si>
  <si>
    <t>Drive Power</t>
  </si>
  <si>
    <t>Drive Speed</t>
  </si>
  <si>
    <t>Drive Friction</t>
  </si>
  <si>
    <t>N</t>
  </si>
  <si>
    <t>Gravity Force</t>
  </si>
  <si>
    <t>mA</t>
  </si>
  <si>
    <t>.5C Power</t>
  </si>
  <si>
    <t>.5C Discharge</t>
  </si>
  <si>
    <t>Drill Power</t>
  </si>
  <si>
    <t>Drill Energy total</t>
  </si>
  <si>
    <t>Drill time</t>
  </si>
  <si>
    <t>Useable cap.</t>
  </si>
  <si>
    <t>Battery Cap. Nom.</t>
  </si>
  <si>
    <t>Hotel Power</t>
  </si>
  <si>
    <t>Extra Battery Mass (kg)</t>
  </si>
  <si>
    <t>Final Mass (kg)</t>
  </si>
  <si>
    <t>Additional Hotel</t>
  </si>
  <si>
    <t>Total load Driving</t>
  </si>
  <si>
    <t>Total Load Drilling</t>
  </si>
  <si>
    <t>depth at 25% More 1</t>
  </si>
  <si>
    <t>depth at 25% More 2</t>
  </si>
  <si>
    <t>depth at 25% More 3</t>
  </si>
  <si>
    <t>depth at 25% More 4</t>
  </si>
  <si>
    <t>delayMicroseconds(10);</t>
  </si>
  <si>
    <t>Operational Power Draw</t>
  </si>
  <si>
    <t>Variable Hotel (W)</t>
  </si>
  <si>
    <t>depth at 25% SOC 4400Ah</t>
  </si>
  <si>
    <t>Battery</t>
  </si>
  <si>
    <t>Capacity (mAh)</t>
  </si>
  <si>
    <t>Energy (kJ)</t>
  </si>
  <si>
    <t>Varying Battery Capacity</t>
  </si>
  <si>
    <t>Reduced Life</t>
  </si>
  <si>
    <t>Nominal Life</t>
  </si>
  <si>
    <t>Alt. Reduced Life</t>
  </si>
  <si>
    <t>Max Depth at 25% SOC (m)</t>
  </si>
  <si>
    <t>Cap. Decay Slope</t>
  </si>
  <si>
    <t>Cap Decay Intercept</t>
  </si>
  <si>
    <t>Reduced Life Factors</t>
  </si>
  <si>
    <t>Alt. Reduction Factor</t>
  </si>
  <si>
    <t xml:space="preserve">Percent Reduction Nominal Cap </t>
  </si>
  <si>
    <t>depth at 25% More 5</t>
  </si>
  <si>
    <t>THIS PLOT IS AFFECTED BY SPEED IN CELL C9</t>
  </si>
  <si>
    <t>STEP 1 - ESTIAMTE DRIVE SPEED FOR A RANGE OF BATTERY CAPACITIES</t>
  </si>
  <si>
    <t>STEP 2: SET YOUR ESTIMATED SPEED IN C9 TO GET REQ'D BATT. CAP. FOR DEPTH</t>
  </si>
  <si>
    <t>STEP 3 - FIND DRIVETRAIN EFFICIENCY REQUIREMENTS FOR REQ'D DEPTH</t>
  </si>
  <si>
    <t>TYPE YOUR REQUIRED BATT. CAP. FOR DEPTH IN CELL K5</t>
  </si>
  <si>
    <t>THESE ALL NEED TO BE THE SAME AS THE ABOVE / LEFT ONE!!!</t>
  </si>
  <si>
    <t xml:space="preserve">this plot uses dumb batteries. Needs to be level-set to 300k Ah or something for all three. </t>
  </si>
  <si>
    <r>
      <t xml:space="preserve">depth at 25% SoC </t>
    </r>
    <r>
      <rPr>
        <b/>
        <sz val="11"/>
        <color rgb="FFFF0000"/>
        <rFont val="Calibri"/>
        <family val="2"/>
        <scheme val="minor"/>
      </rPr>
      <t>(dumb / small battery pack)</t>
    </r>
  </si>
  <si>
    <t>Drilling time (s)</t>
  </si>
  <si>
    <t>tesla calc</t>
  </si>
  <si>
    <t>watt hours</t>
  </si>
  <si>
    <t>i.e., 1/7th of a tesla pack</t>
  </si>
  <si>
    <t>per tesla 1/16th module of 444 18650s</t>
  </si>
  <si>
    <t>(85 kWh, 540 kg)</t>
  </si>
  <si>
    <t>16 kwh from 3, pretty cool</t>
  </si>
  <si>
    <t>Ah 12v</t>
  </si>
  <si>
    <t>kg for 4 tesla modules</t>
  </si>
  <si>
    <t>dH (core length)</t>
  </si>
  <si>
    <t>Trips per Bot</t>
  </si>
  <si>
    <t>Trips to Bottom</t>
  </si>
  <si>
    <t>Ice Sheet Thickness</t>
  </si>
  <si>
    <t>PICK THE HIGHEST SPEED THAT ISN'T DUMB</t>
  </si>
  <si>
    <t>THIS PLOT IS AFFECTED BY SPEED IN CELL C9 AND BATT. CAP. IN K5</t>
  </si>
  <si>
    <t xml:space="preserve">NOTE: THIS PAGE IS MAINLY JUST FOR THIS PLOT AT THIS POINT. </t>
  </si>
  <si>
    <t>IT SHOWS THAT THIS IS POSSIBLE FOR EVEN ~20% DRIVE EFFICIENCY, SO THE ONLY REMAINING QUESTION IS "HOW"</t>
  </si>
  <si>
    <t>Borebot Mass (kg)</t>
  </si>
  <si>
    <t>Friction (N)</t>
  </si>
  <si>
    <t>Depth = (velocity/2) ∙ [battery Joules / (power draw)   – cumulative drilling time]</t>
  </si>
  <si>
    <t xml:space="preserve">Drive power = (gravity ∙ borebot mass ∙ velocity) / (system efficiency) + (friction ∙ velocity) </t>
  </si>
  <si>
    <t>Power draw</t>
  </si>
  <si>
    <t>Gravity (m/s^2)</t>
  </si>
  <si>
    <t>System Efficiency</t>
  </si>
  <si>
    <t>Power Draw Calculation</t>
  </si>
  <si>
    <t>Depth Battery 1</t>
  </si>
  <si>
    <t>Depth Battery 2</t>
  </si>
  <si>
    <t>Depth Battery 3</t>
  </si>
  <si>
    <t>Depth Battery 4</t>
  </si>
  <si>
    <t>Depth Battery 5</t>
  </si>
  <si>
    <t>Depth Battery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</si>
</sst>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%"/>
    <numFmt numFmtId="165" formatCode="0.00000%"/>
    <numFmt numFmtId="166" formatCode="0.0000"/>
    <numFmt numFmtId="167" formatCode="0.000"/>
    <numFmt numFmtId="168" formatCode="0.000000"/>
    <numFmt numFmtId="169" formatCode="0.000%"/>
    <numFmt numFmtId="170" formatCode="0.0"/>
    <numFmt numFmtId="171" formatCode="0.0000%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1">
    <xf numFmtId="0" fontId="0" fillId="0" borderId="0" xfId="0"/>
    <xf numFmtId="166" fontId="0" fillId="0" borderId="0" xfId="0" applyNumberFormat="1"/>
    <xf numFmtId="0" fontId="0" fillId="2" borderId="1" xfId="0" applyFill="1" applyBorder="1"/>
    <xf numFmtId="0" fontId="0" fillId="0" borderId="1" xfId="0" applyBorder="1"/>
    <xf numFmtId="0" fontId="2" fillId="0" borderId="0" xfId="0" applyFont="1"/>
    <xf numFmtId="167" fontId="0" fillId="0" borderId="0" xfId="0" applyNumberFormat="1"/>
    <xf numFmtId="0" fontId="0" fillId="0" borderId="0" xfId="0" applyAlignment="1">
      <alignment wrapText="1"/>
    </xf>
    <xf numFmtId="2" fontId="0" fillId="0" borderId="0" xfId="0" applyNumberFormat="1"/>
    <xf numFmtId="9" fontId="0" fillId="0" borderId="0" xfId="1" applyFont="1"/>
    <xf numFmtId="165" fontId="0" fillId="0" borderId="1" xfId="1" applyNumberFormat="1" applyFont="1" applyFill="1" applyBorder="1"/>
    <xf numFmtId="164" fontId="0" fillId="0" borderId="1" xfId="1" applyNumberFormat="1" applyFont="1" applyFill="1" applyBorder="1"/>
    <xf numFmtId="2" fontId="0" fillId="0" borderId="1" xfId="0" applyNumberFormat="1" applyBorder="1"/>
    <xf numFmtId="9" fontId="0" fillId="0" borderId="1" xfId="1" applyFont="1" applyBorder="1"/>
    <xf numFmtId="0" fontId="3" fillId="0" borderId="0" xfId="0" applyFont="1"/>
    <xf numFmtId="9" fontId="4" fillId="0" borderId="0" xfId="1" applyFont="1" applyAlignment="1">
      <alignment wrapText="1"/>
    </xf>
    <xf numFmtId="0" fontId="4" fillId="0" borderId="1" xfId="0" applyFont="1" applyBorder="1" applyAlignment="1">
      <alignment wrapText="1"/>
    </xf>
    <xf numFmtId="0" fontId="2" fillId="0" borderId="1" xfId="0" applyFont="1" applyBorder="1" applyAlignment="1">
      <alignment wrapText="1"/>
    </xf>
    <xf numFmtId="0" fontId="2" fillId="0" borderId="2" xfId="0" applyFont="1" applyBorder="1" applyAlignment="1">
      <alignment wrapText="1"/>
    </xf>
    <xf numFmtId="0" fontId="2" fillId="0" borderId="3" xfId="0" applyFont="1" applyBorder="1" applyAlignment="1">
      <alignment wrapText="1"/>
    </xf>
    <xf numFmtId="0" fontId="2" fillId="0" borderId="4" xfId="0" applyFont="1" applyBorder="1" applyAlignment="1">
      <alignment wrapText="1"/>
    </xf>
    <xf numFmtId="9" fontId="2" fillId="0" borderId="0" xfId="1" applyFont="1"/>
    <xf numFmtId="167" fontId="2" fillId="0" borderId="1" xfId="0" applyNumberFormat="1" applyFont="1" applyBorder="1"/>
    <xf numFmtId="167" fontId="0" fillId="0" borderId="2" xfId="0" applyNumberFormat="1" applyBorder="1"/>
    <xf numFmtId="9" fontId="0" fillId="0" borderId="1" xfId="0" applyNumberFormat="1" applyBorder="1"/>
    <xf numFmtId="167" fontId="0" fillId="0" borderId="3" xfId="0" applyNumberFormat="1" applyBorder="1"/>
    <xf numFmtId="0" fontId="0" fillId="0" borderId="1" xfId="0" applyBorder="1" applyAlignment="1">
      <alignment wrapText="1"/>
    </xf>
    <xf numFmtId="0" fontId="2" fillId="0" borderId="1" xfId="0" applyFont="1" applyBorder="1"/>
    <xf numFmtId="0" fontId="0" fillId="0" borderId="2" xfId="0" applyBorder="1"/>
    <xf numFmtId="168" fontId="0" fillId="0" borderId="2" xfId="0" applyNumberFormat="1" applyBorder="1"/>
    <xf numFmtId="9" fontId="0" fillId="0" borderId="0" xfId="0" applyNumberFormat="1"/>
    <xf numFmtId="167" fontId="0" fillId="0" borderId="1" xfId="0" applyNumberFormat="1" applyBorder="1"/>
    <xf numFmtId="0" fontId="0" fillId="0" borderId="5" xfId="0" applyBorder="1"/>
    <xf numFmtId="167" fontId="0" fillId="0" borderId="5" xfId="0" applyNumberFormat="1" applyBorder="1"/>
    <xf numFmtId="0" fontId="0" fillId="3" borderId="6" xfId="0" applyFill="1" applyBorder="1"/>
    <xf numFmtId="167" fontId="0" fillId="3" borderId="7" xfId="0" applyNumberFormat="1" applyFill="1" applyBorder="1"/>
    <xf numFmtId="0" fontId="0" fillId="3" borderId="7" xfId="0" applyFill="1" applyBorder="1"/>
    <xf numFmtId="166" fontId="0" fillId="3" borderId="7" xfId="0" applyNumberFormat="1" applyFill="1" applyBorder="1"/>
    <xf numFmtId="0" fontId="0" fillId="3" borderId="8" xfId="0" applyFill="1" applyBorder="1"/>
    <xf numFmtId="0" fontId="0" fillId="0" borderId="9" xfId="0" applyBorder="1"/>
    <xf numFmtId="0" fontId="0" fillId="0" borderId="10" xfId="0" applyBorder="1"/>
    <xf numFmtId="0" fontId="0" fillId="3" borderId="9" xfId="0" applyFill="1" applyBorder="1"/>
    <xf numFmtId="167" fontId="0" fillId="3" borderId="1" xfId="0" applyNumberFormat="1" applyFill="1" applyBorder="1"/>
    <xf numFmtId="0" fontId="0" fillId="3" borderId="1" xfId="0" applyFill="1" applyBorder="1"/>
    <xf numFmtId="0" fontId="0" fillId="3" borderId="10" xfId="0" applyFill="1" applyBorder="1"/>
    <xf numFmtId="0" fontId="0" fillId="0" borderId="11" xfId="0" applyBorder="1"/>
    <xf numFmtId="167" fontId="0" fillId="0" borderId="12" xfId="0" applyNumberFormat="1" applyBorder="1"/>
    <xf numFmtId="0" fontId="0" fillId="0" borderId="12" xfId="0" applyBorder="1"/>
    <xf numFmtId="0" fontId="0" fillId="0" borderId="13" xfId="0" applyBorder="1"/>
    <xf numFmtId="169" fontId="0" fillId="0" borderId="0" xfId="1" applyNumberFormat="1" applyFont="1"/>
    <xf numFmtId="0" fontId="2" fillId="0" borderId="0" xfId="0" applyFont="1" applyAlignment="1">
      <alignment wrapText="1"/>
    </xf>
    <xf numFmtId="1" fontId="0" fillId="0" borderId="0" xfId="0" applyNumberFormat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0" borderId="10" xfId="0" applyBorder="1" applyAlignment="1">
      <alignment wrapText="1"/>
    </xf>
    <xf numFmtId="167" fontId="0" fillId="0" borderId="1" xfId="1" applyNumberFormat="1" applyFont="1" applyBorder="1"/>
    <xf numFmtId="1" fontId="0" fillId="0" borderId="1" xfId="1" applyNumberFormat="1" applyFont="1" applyBorder="1"/>
    <xf numFmtId="2" fontId="0" fillId="0" borderId="1" xfId="1" applyNumberFormat="1" applyFont="1" applyBorder="1"/>
    <xf numFmtId="2" fontId="0" fillId="0" borderId="10" xfId="0" applyNumberFormat="1" applyBorder="1"/>
    <xf numFmtId="170" fontId="0" fillId="0" borderId="0" xfId="0" applyNumberFormat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4" xfId="0" applyFont="1" applyBorder="1"/>
    <xf numFmtId="0" fontId="2" fillId="0" borderId="15" xfId="0" applyFont="1" applyBorder="1"/>
    <xf numFmtId="0" fontId="0" fillId="0" borderId="3" xfId="0" applyBorder="1"/>
    <xf numFmtId="0" fontId="0" fillId="0" borderId="3" xfId="0" applyBorder="1" applyAlignment="1">
      <alignment wrapText="1"/>
    </xf>
    <xf numFmtId="167" fontId="0" fillId="5" borderId="1" xfId="0" applyNumberFormat="1" applyFill="1" applyBorder="1"/>
    <xf numFmtId="2" fontId="0" fillId="5" borderId="1" xfId="0" applyNumberFormat="1" applyFill="1" applyBorder="1"/>
    <xf numFmtId="0" fontId="2" fillId="0" borderId="17" xfId="0" applyFont="1" applyBorder="1" applyAlignment="1">
      <alignment horizontal="center"/>
    </xf>
    <xf numFmtId="2" fontId="0" fillId="0" borderId="3" xfId="1" applyNumberFormat="1" applyFont="1" applyBorder="1"/>
    <xf numFmtId="0" fontId="0" fillId="5" borderId="0" xfId="0" applyFill="1"/>
    <xf numFmtId="1" fontId="0" fillId="0" borderId="3" xfId="1" applyNumberFormat="1" applyFont="1" applyBorder="1"/>
    <xf numFmtId="0" fontId="0" fillId="0" borderId="9" xfId="0" applyBorder="1" applyAlignment="1">
      <alignment wrapText="1"/>
    </xf>
    <xf numFmtId="171" fontId="0" fillId="0" borderId="9" xfId="1" applyNumberFormat="1" applyFont="1" applyBorder="1"/>
    <xf numFmtId="10" fontId="0" fillId="0" borderId="10" xfId="1" applyNumberFormat="1" applyFont="1" applyBorder="1"/>
    <xf numFmtId="2" fontId="0" fillId="0" borderId="9" xfId="0" applyNumberFormat="1" applyBorder="1"/>
    <xf numFmtId="170" fontId="0" fillId="0" borderId="10" xfId="0" applyNumberFormat="1" applyBorder="1"/>
    <xf numFmtId="1" fontId="0" fillId="0" borderId="9" xfId="1" applyNumberFormat="1" applyFont="1" applyBorder="1"/>
    <xf numFmtId="0" fontId="2" fillId="0" borderId="18" xfId="0" applyFont="1" applyBorder="1" applyAlignment="1">
      <alignment horizontal="center" wrapText="1"/>
    </xf>
    <xf numFmtId="0" fontId="0" fillId="0" borderId="19" xfId="0" applyBorder="1" applyAlignment="1">
      <alignment wrapText="1"/>
    </xf>
    <xf numFmtId="10" fontId="0" fillId="0" borderId="19" xfId="1" applyNumberFormat="1" applyFont="1" applyBorder="1"/>
    <xf numFmtId="0" fontId="0" fillId="0" borderId="0" xfId="0" quotePrefix="1" applyAlignment="1">
      <alignment horizontal="right"/>
    </xf>
    <xf numFmtId="0" fontId="0" fillId="0" borderId="4" xfId="0" applyBorder="1" applyAlignment="1">
      <alignment wrapText="1"/>
    </xf>
    <xf numFmtId="1" fontId="11" fillId="0" borderId="1" xfId="1" applyNumberFormat="1" applyFont="1" applyBorder="1"/>
    <xf numFmtId="0" fontId="2" fillId="6" borderId="14" xfId="0" applyFont="1" applyFill="1" applyBorder="1"/>
    <xf numFmtId="0" fontId="2" fillId="6" borderId="15" xfId="0" applyFont="1" applyFill="1" applyBorder="1"/>
    <xf numFmtId="0" fontId="2" fillId="6" borderId="0" xfId="0" applyFont="1" applyFill="1"/>
    <xf numFmtId="0" fontId="0" fillId="6" borderId="0" xfId="0" applyFill="1"/>
    <xf numFmtId="0" fontId="2" fillId="6" borderId="6" xfId="0" applyFont="1" applyFill="1" applyBorder="1"/>
    <xf numFmtId="0" fontId="2" fillId="6" borderId="7" xfId="0" applyFont="1" applyFill="1" applyBorder="1"/>
    <xf numFmtId="0" fontId="2" fillId="6" borderId="8" xfId="0" applyFont="1" applyFill="1" applyBorder="1"/>
    <xf numFmtId="9" fontId="0" fillId="6" borderId="1" xfId="0" applyNumberFormat="1" applyFill="1" applyBorder="1"/>
    <xf numFmtId="0" fontId="0" fillId="6" borderId="3" xfId="0" applyFill="1" applyBorder="1"/>
    <xf numFmtId="0" fontId="0" fillId="6" borderId="1" xfId="0" applyFill="1" applyBorder="1" applyAlignment="1">
      <alignment wrapText="1"/>
    </xf>
    <xf numFmtId="0" fontId="0" fillId="6" borderId="3" xfId="0" applyFill="1" applyBorder="1" applyAlignment="1">
      <alignment wrapText="1"/>
    </xf>
    <xf numFmtId="0" fontId="0" fillId="6" borderId="10" xfId="0" applyFill="1" applyBorder="1" applyAlignment="1">
      <alignment wrapText="1"/>
    </xf>
    <xf numFmtId="167" fontId="0" fillId="6" borderId="1" xfId="1" applyNumberFormat="1" applyFont="1" applyFill="1" applyBorder="1"/>
    <xf numFmtId="2" fontId="0" fillId="6" borderId="1" xfId="1" applyNumberFormat="1" applyFont="1" applyFill="1" applyBorder="1"/>
    <xf numFmtId="2" fontId="0" fillId="6" borderId="3" xfId="1" applyNumberFormat="1" applyFont="1" applyFill="1" applyBorder="1"/>
    <xf numFmtId="2" fontId="0" fillId="6" borderId="10" xfId="0" applyNumberFormat="1" applyFill="1" applyBorder="1"/>
    <xf numFmtId="2" fontId="0" fillId="6" borderId="3" xfId="0" applyNumberFormat="1" applyFill="1" applyBorder="1"/>
    <xf numFmtId="1" fontId="0" fillId="6" borderId="1" xfId="1" applyNumberFormat="1" applyFont="1" applyFill="1" applyBorder="1"/>
    <xf numFmtId="2" fontId="0" fillId="6" borderId="0" xfId="0" applyNumberFormat="1" applyFill="1"/>
    <xf numFmtId="0" fontId="10" fillId="0" borderId="0" xfId="0" applyFont="1"/>
    <xf numFmtId="2" fontId="2" fillId="5" borderId="1" xfId="0" applyNumberFormat="1" applyFont="1" applyFill="1" applyBorder="1"/>
    <xf numFmtId="170" fontId="0" fillId="0" borderId="1" xfId="0" applyNumberFormat="1" applyBorder="1"/>
    <xf numFmtId="0" fontId="0" fillId="4" borderId="3" xfId="0" applyFill="1" applyBorder="1"/>
    <xf numFmtId="0" fontId="0" fillId="5" borderId="20" xfId="0" applyFill="1" applyBorder="1"/>
    <xf numFmtId="0" fontId="0" fillId="0" borderId="20" xfId="0" applyBorder="1"/>
    <xf numFmtId="0" fontId="2" fillId="0" borderId="21" xfId="0" applyFont="1" applyBorder="1"/>
    <xf numFmtId="0" fontId="2" fillId="0" borderId="22" xfId="0" applyFont="1" applyBorder="1"/>
    <xf numFmtId="2" fontId="0" fillId="5" borderId="5" xfId="0" applyNumberFormat="1" applyFill="1" applyBorder="1"/>
    <xf numFmtId="0" fontId="0" fillId="5" borderId="5" xfId="0" applyFill="1" applyBorder="1"/>
    <xf numFmtId="0" fontId="0" fillId="7" borderId="1" xfId="0" applyFill="1" applyBorder="1"/>
    <xf numFmtId="167" fontId="2" fillId="7" borderId="1" xfId="0" applyNumberFormat="1" applyFont="1" applyFill="1" applyBorder="1"/>
    <xf numFmtId="0" fontId="0" fillId="7" borderId="0" xfId="0" applyFill="1"/>
    <xf numFmtId="1" fontId="0" fillId="5" borderId="1" xfId="0" applyNumberFormat="1" applyFill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70" fontId="0" fillId="0" borderId="1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11" xfId="0" applyBorder="1" applyAlignment="1">
      <alignment horizontal="center"/>
    </xf>
    <xf numFmtId="9" fontId="0" fillId="0" borderId="13" xfId="0" applyNumberForma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9" xfId="0" applyBorder="1" applyAlignment="1">
      <alignment horizontal="center"/>
    </xf>
    <xf numFmtId="170" fontId="0" fillId="0" borderId="12" xfId="0" applyNumberForma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0" xfId="0" applyBorder="1" applyAlignment="1">
      <alignment horizontal="center"/>
    </xf>
    <xf numFmtId="170" fontId="0" fillId="0" borderId="20" xfId="0" applyNumberFormat="1" applyBorder="1" applyAlignment="1">
      <alignment horizontal="center"/>
    </xf>
    <xf numFmtId="170" fontId="0" fillId="0" borderId="27" xfId="0" applyNumberFormat="1" applyBorder="1" applyAlignment="1">
      <alignment horizontal="center"/>
    </xf>
    <xf numFmtId="170" fontId="0" fillId="0" borderId="10" xfId="0" applyNumberFormat="1" applyBorder="1" applyAlignment="1">
      <alignment horizontal="center"/>
    </xf>
    <xf numFmtId="170" fontId="0" fillId="0" borderId="13" xfId="0" applyNumberFormat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4" borderId="26" xfId="0" applyFill="1" applyBorder="1" applyAlignment="1">
      <alignment horizontal="left"/>
    </xf>
    <xf numFmtId="0" fontId="0" fillId="2" borderId="9" xfId="0" applyFill="1" applyBorder="1" applyAlignment="1">
      <alignment horizontal="left"/>
    </xf>
    <xf numFmtId="0" fontId="0" fillId="4" borderId="9" xfId="0" applyFill="1" applyBorder="1" applyAlignment="1">
      <alignment horizontal="left"/>
    </xf>
    <xf numFmtId="0" fontId="0" fillId="4" borderId="11" xfId="0" applyFill="1" applyBorder="1" applyAlignment="1">
      <alignment horizontal="left"/>
    </xf>
    <xf numFmtId="0" fontId="0" fillId="0" borderId="23" xfId="0" applyBorder="1" applyAlignment="1">
      <alignment horizontal="center" vertical="center"/>
    </xf>
    <xf numFmtId="0" fontId="2" fillId="0" borderId="24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7" fillId="4" borderId="0" xfId="0" applyFont="1" applyFill="1" applyAlignment="1">
      <alignment horizontal="left"/>
    </xf>
    <xf numFmtId="0" fontId="2" fillId="0" borderId="6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14" xfId="0" applyFont="1" applyBorder="1" applyAlignment="1">
      <alignment horizontal="center" wrapText="1"/>
    </xf>
    <xf numFmtId="0" fontId="2" fillId="0" borderId="15" xfId="0" applyFont="1" applyBorder="1" applyAlignment="1">
      <alignment horizontal="center" wrapText="1"/>
    </xf>
    <xf numFmtId="0" fontId="2" fillId="0" borderId="16" xfId="0" applyFont="1" applyBorder="1" applyAlignment="1">
      <alignment horizontal="center" wrapText="1"/>
    </xf>
    <xf numFmtId="0" fontId="0" fillId="0" borderId="1" xfId="0" applyBorder="1" applyAlignment="1">
      <alignment horizontal="left"/>
    </xf>
    <xf numFmtId="0" fontId="2" fillId="0" borderId="23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0" fillId="6" borderId="2" xfId="0" applyFill="1" applyBorder="1" applyAlignment="1">
      <alignment horizontal="right"/>
    </xf>
    <xf numFmtId="0" fontId="0" fillId="6" borderId="1" xfId="0" applyFill="1" applyBorder="1" applyAlignment="1">
      <alignment horizontal="right"/>
    </xf>
  </cellXfs>
  <cellStyles count="2">
    <cellStyle name="Normal" xfId="0" builtinId="0"/>
    <cellStyle name="Percent" xfId="1" builtinId="5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microsoft.com/office/2017/10/relationships/person" Target="persons/perso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eetMetadata" Target="metadata.xml"/><Relationship Id="rId5" Type="http://schemas.openxmlformats.org/officeDocument/2006/relationships/worksheet" Target="worksheets/sheet4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0" i="0" u="none" strike="noStrike" kern="1200" spc="0" baseline="0">
                <a:solidFill>
                  <a:schemeClr val="tx1"/>
                </a:solidFill>
              </a:rPr>
              <a:t>0.350 m Borebot - </a:t>
            </a:r>
            <a:r>
              <a:rPr lang="en-US" sz="2000">
                <a:solidFill>
                  <a:schemeClr val="tx1"/>
                </a:solidFill>
              </a:rPr>
              <a:t>Maximum Depth Vs. Battery Capacity - Pluto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0887021940795"/>
          <c:y val="9.4793096668480223E-2"/>
          <c:w val="0.82678885851174133"/>
          <c:h val="0.7502066672992647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'Depth vs Battery Pluto'!$T$17</c:f>
              <c:strCache>
                <c:ptCount val="1"/>
                <c:pt idx="0">
                  <c:v>Nominal Life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Pluto'!$O$18:$O$79</c:f>
              <c:numCache>
                <c:formatCode>0</c:formatCode>
                <c:ptCount val="62"/>
                <c:pt idx="0">
                  <c:v>95.039999999999992</c:v>
                </c:pt>
                <c:pt idx="1">
                  <c:v>190.07999999999998</c:v>
                </c:pt>
                <c:pt idx="2">
                  <c:v>285.12</c:v>
                </c:pt>
                <c:pt idx="3">
                  <c:v>380.15999999999997</c:v>
                </c:pt>
                <c:pt idx="4">
                  <c:v>475.20000000000005</c:v>
                </c:pt>
                <c:pt idx="5">
                  <c:v>570.24</c:v>
                </c:pt>
                <c:pt idx="6">
                  <c:v>665.28</c:v>
                </c:pt>
                <c:pt idx="7">
                  <c:v>760.31999999999994</c:v>
                </c:pt>
                <c:pt idx="8">
                  <c:v>855.36</c:v>
                </c:pt>
                <c:pt idx="9">
                  <c:v>950.40000000000009</c:v>
                </c:pt>
                <c:pt idx="10">
                  <c:v>1045.44</c:v>
                </c:pt>
                <c:pt idx="11">
                  <c:v>1235.52</c:v>
                </c:pt>
                <c:pt idx="12">
                  <c:v>1615.6799999999998</c:v>
                </c:pt>
                <c:pt idx="13">
                  <c:v>1995.84</c:v>
                </c:pt>
                <c:pt idx="14">
                  <c:v>2376</c:v>
                </c:pt>
                <c:pt idx="15">
                  <c:v>2756.16</c:v>
                </c:pt>
                <c:pt idx="16">
                  <c:v>3136.32</c:v>
                </c:pt>
                <c:pt idx="17">
                  <c:v>3516.4800000000005</c:v>
                </c:pt>
                <c:pt idx="18">
                  <c:v>3896.6400000000003</c:v>
                </c:pt>
                <c:pt idx="19">
                  <c:v>4276.7999999999993</c:v>
                </c:pt>
                <c:pt idx="20">
                  <c:v>4656.96</c:v>
                </c:pt>
                <c:pt idx="21">
                  <c:v>5417.28</c:v>
                </c:pt>
                <c:pt idx="22">
                  <c:v>6177.5999999999995</c:v>
                </c:pt>
                <c:pt idx="23">
                  <c:v>6937.92</c:v>
                </c:pt>
                <c:pt idx="24">
                  <c:v>7698.24</c:v>
                </c:pt>
                <c:pt idx="25">
                  <c:v>8458.56</c:v>
                </c:pt>
                <c:pt idx="26">
                  <c:v>9218.880000000001</c:v>
                </c:pt>
                <c:pt idx="27">
                  <c:v>9979.2000000000007</c:v>
                </c:pt>
                <c:pt idx="28">
                  <c:v>10739.52</c:v>
                </c:pt>
                <c:pt idx="29">
                  <c:v>12035.52</c:v>
                </c:pt>
                <c:pt idx="30">
                  <c:v>13331.52</c:v>
                </c:pt>
                <c:pt idx="31">
                  <c:v>14627.52</c:v>
                </c:pt>
                <c:pt idx="32">
                  <c:v>15923.52</c:v>
                </c:pt>
                <c:pt idx="33">
                  <c:v>17219.52</c:v>
                </c:pt>
                <c:pt idx="34">
                  <c:v>18515.52</c:v>
                </c:pt>
                <c:pt idx="35">
                  <c:v>19811.52</c:v>
                </c:pt>
                <c:pt idx="36">
                  <c:v>21971.52</c:v>
                </c:pt>
                <c:pt idx="37">
                  <c:v>24131.52</c:v>
                </c:pt>
                <c:pt idx="38">
                  <c:v>26291.52</c:v>
                </c:pt>
                <c:pt idx="39">
                  <c:v>28451.52</c:v>
                </c:pt>
                <c:pt idx="40">
                  <c:v>30611.52</c:v>
                </c:pt>
                <c:pt idx="41">
                  <c:v>32771.520000000004</c:v>
                </c:pt>
                <c:pt idx="42">
                  <c:v>34931.520000000004</c:v>
                </c:pt>
                <c:pt idx="43">
                  <c:v>37091.520000000004</c:v>
                </c:pt>
                <c:pt idx="44">
                  <c:v>39251.520000000004</c:v>
                </c:pt>
              </c:numCache>
            </c:numRef>
          </c:xVal>
          <c:yVal>
            <c:numRef>
              <c:f>'Depth vs Battery Pluto'!$T$18:$T$79</c:f>
              <c:numCache>
                <c:formatCode>0.00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319</c:v>
                </c:pt>
                <c:pt idx="14">
                  <c:v>646</c:v>
                </c:pt>
                <c:pt idx="15">
                  <c:v>972</c:v>
                </c:pt>
                <c:pt idx="16">
                  <c:v>1295</c:v>
                </c:pt>
                <c:pt idx="17">
                  <c:v>1617</c:v>
                </c:pt>
                <c:pt idx="18">
                  <c:v>1936</c:v>
                </c:pt>
                <c:pt idx="19">
                  <c:v>2253</c:v>
                </c:pt>
                <c:pt idx="20">
                  <c:v>2569</c:v>
                </c:pt>
                <c:pt idx="21">
                  <c:v>3193</c:v>
                </c:pt>
                <c:pt idx="22">
                  <c:v>3810</c:v>
                </c:pt>
                <c:pt idx="23">
                  <c:v>4420</c:v>
                </c:pt>
                <c:pt idx="24">
                  <c:v>5022</c:v>
                </c:pt>
                <c:pt idx="25">
                  <c:v>5617</c:v>
                </c:pt>
                <c:pt idx="26">
                  <c:v>6204</c:v>
                </c:pt>
                <c:pt idx="27">
                  <c:v>6785</c:v>
                </c:pt>
                <c:pt idx="28">
                  <c:v>7358</c:v>
                </c:pt>
                <c:pt idx="29">
                  <c:v>8320</c:v>
                </c:pt>
                <c:pt idx="30">
                  <c:v>9263</c:v>
                </c:pt>
                <c:pt idx="31">
                  <c:v>10187</c:v>
                </c:pt>
                <c:pt idx="32">
                  <c:v>11093</c:v>
                </c:pt>
                <c:pt idx="33">
                  <c:v>11981</c:v>
                </c:pt>
                <c:pt idx="34">
                  <c:v>12853</c:v>
                </c:pt>
                <c:pt idx="35">
                  <c:v>13707</c:v>
                </c:pt>
                <c:pt idx="36">
                  <c:v>15097</c:v>
                </c:pt>
                <c:pt idx="37">
                  <c:v>16443</c:v>
                </c:pt>
                <c:pt idx="38">
                  <c:v>17749</c:v>
                </c:pt>
                <c:pt idx="39">
                  <c:v>19016</c:v>
                </c:pt>
                <c:pt idx="40">
                  <c:v>20245</c:v>
                </c:pt>
                <c:pt idx="41">
                  <c:v>21440</c:v>
                </c:pt>
                <c:pt idx="42">
                  <c:v>22600</c:v>
                </c:pt>
                <c:pt idx="43">
                  <c:v>23727</c:v>
                </c:pt>
                <c:pt idx="44">
                  <c:v>24823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96-40C2-B751-49EE8FAE1D36}"/>
            </c:ext>
          </c:extLst>
        </c:ser>
        <c:ser>
          <c:idx val="1"/>
          <c:order val="1"/>
          <c:tx>
            <c:strRef>
              <c:f>'Depth vs Battery Pluto'!$U$17</c:f>
              <c:strCache>
                <c:ptCount val="1"/>
                <c:pt idx="0">
                  <c:v>Reduced Life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Pluto'!$O$18:$O$79</c:f>
              <c:numCache>
                <c:formatCode>0</c:formatCode>
                <c:ptCount val="62"/>
                <c:pt idx="0">
                  <c:v>95.039999999999992</c:v>
                </c:pt>
                <c:pt idx="1">
                  <c:v>190.07999999999998</c:v>
                </c:pt>
                <c:pt idx="2">
                  <c:v>285.12</c:v>
                </c:pt>
                <c:pt idx="3">
                  <c:v>380.15999999999997</c:v>
                </c:pt>
                <c:pt idx="4">
                  <c:v>475.20000000000005</c:v>
                </c:pt>
                <c:pt idx="5">
                  <c:v>570.24</c:v>
                </c:pt>
                <c:pt idx="6">
                  <c:v>665.28</c:v>
                </c:pt>
                <c:pt idx="7">
                  <c:v>760.31999999999994</c:v>
                </c:pt>
                <c:pt idx="8">
                  <c:v>855.36</c:v>
                </c:pt>
                <c:pt idx="9">
                  <c:v>950.40000000000009</c:v>
                </c:pt>
                <c:pt idx="10">
                  <c:v>1045.44</c:v>
                </c:pt>
                <c:pt idx="11">
                  <c:v>1235.52</c:v>
                </c:pt>
                <c:pt idx="12">
                  <c:v>1615.6799999999998</c:v>
                </c:pt>
                <c:pt idx="13">
                  <c:v>1995.84</c:v>
                </c:pt>
                <c:pt idx="14">
                  <c:v>2376</c:v>
                </c:pt>
                <c:pt idx="15">
                  <c:v>2756.16</c:v>
                </c:pt>
                <c:pt idx="16">
                  <c:v>3136.32</c:v>
                </c:pt>
                <c:pt idx="17">
                  <c:v>3516.4800000000005</c:v>
                </c:pt>
                <c:pt idx="18">
                  <c:v>3896.6400000000003</c:v>
                </c:pt>
                <c:pt idx="19">
                  <c:v>4276.7999999999993</c:v>
                </c:pt>
                <c:pt idx="20">
                  <c:v>4656.96</c:v>
                </c:pt>
                <c:pt idx="21">
                  <c:v>5417.28</c:v>
                </c:pt>
                <c:pt idx="22">
                  <c:v>6177.5999999999995</c:v>
                </c:pt>
                <c:pt idx="23">
                  <c:v>6937.92</c:v>
                </c:pt>
                <c:pt idx="24">
                  <c:v>7698.24</c:v>
                </c:pt>
                <c:pt idx="25">
                  <c:v>8458.56</c:v>
                </c:pt>
                <c:pt idx="26">
                  <c:v>9218.880000000001</c:v>
                </c:pt>
                <c:pt idx="27">
                  <c:v>9979.2000000000007</c:v>
                </c:pt>
                <c:pt idx="28">
                  <c:v>10739.52</c:v>
                </c:pt>
                <c:pt idx="29">
                  <c:v>12035.52</c:v>
                </c:pt>
                <c:pt idx="30">
                  <c:v>13331.52</c:v>
                </c:pt>
                <c:pt idx="31">
                  <c:v>14627.52</c:v>
                </c:pt>
                <c:pt idx="32">
                  <c:v>15923.52</c:v>
                </c:pt>
                <c:pt idx="33">
                  <c:v>17219.52</c:v>
                </c:pt>
                <c:pt idx="34">
                  <c:v>18515.52</c:v>
                </c:pt>
                <c:pt idx="35">
                  <c:v>19811.52</c:v>
                </c:pt>
                <c:pt idx="36">
                  <c:v>21971.52</c:v>
                </c:pt>
                <c:pt idx="37">
                  <c:v>24131.52</c:v>
                </c:pt>
                <c:pt idx="38">
                  <c:v>26291.52</c:v>
                </c:pt>
                <c:pt idx="39">
                  <c:v>28451.52</c:v>
                </c:pt>
                <c:pt idx="40">
                  <c:v>30611.52</c:v>
                </c:pt>
                <c:pt idx="41">
                  <c:v>32771.520000000004</c:v>
                </c:pt>
                <c:pt idx="42">
                  <c:v>34931.520000000004</c:v>
                </c:pt>
                <c:pt idx="43">
                  <c:v>37091.520000000004</c:v>
                </c:pt>
                <c:pt idx="44">
                  <c:v>39251.520000000004</c:v>
                </c:pt>
              </c:numCache>
            </c:numRef>
          </c:xVal>
          <c:yVal>
            <c:numRef>
              <c:f>'Depth vs Battery Pluto'!$U$18:$U$79</c:f>
              <c:numCache>
                <c:formatCode>0.00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109</c:v>
                </c:pt>
                <c:pt idx="14">
                  <c:v>392</c:v>
                </c:pt>
                <c:pt idx="15">
                  <c:v>671</c:v>
                </c:pt>
                <c:pt idx="16">
                  <c:v>947</c:v>
                </c:pt>
                <c:pt idx="17">
                  <c:v>1220</c:v>
                </c:pt>
                <c:pt idx="18">
                  <c:v>1489</c:v>
                </c:pt>
                <c:pt idx="19">
                  <c:v>1755</c:v>
                </c:pt>
                <c:pt idx="20">
                  <c:v>2018</c:v>
                </c:pt>
                <c:pt idx="21">
                  <c:v>2534</c:v>
                </c:pt>
                <c:pt idx="22">
                  <c:v>3038</c:v>
                </c:pt>
                <c:pt idx="23">
                  <c:v>3530</c:v>
                </c:pt>
                <c:pt idx="24">
                  <c:v>4011</c:v>
                </c:pt>
                <c:pt idx="25">
                  <c:v>4481</c:v>
                </c:pt>
                <c:pt idx="26">
                  <c:v>4941</c:v>
                </c:pt>
                <c:pt idx="27">
                  <c:v>5390</c:v>
                </c:pt>
                <c:pt idx="28">
                  <c:v>5830</c:v>
                </c:pt>
                <c:pt idx="29">
                  <c:v>6557</c:v>
                </c:pt>
                <c:pt idx="30">
                  <c:v>7258</c:v>
                </c:pt>
                <c:pt idx="31">
                  <c:v>7935</c:v>
                </c:pt>
                <c:pt idx="32">
                  <c:v>8588</c:v>
                </c:pt>
                <c:pt idx="33">
                  <c:v>9218</c:v>
                </c:pt>
                <c:pt idx="34">
                  <c:v>9827</c:v>
                </c:pt>
                <c:pt idx="35">
                  <c:v>10416</c:v>
                </c:pt>
                <c:pt idx="36">
                  <c:v>11356</c:v>
                </c:pt>
                <c:pt idx="37">
                  <c:v>12247</c:v>
                </c:pt>
                <c:pt idx="38">
                  <c:v>13092</c:v>
                </c:pt>
                <c:pt idx="39">
                  <c:v>13895</c:v>
                </c:pt>
                <c:pt idx="40">
                  <c:v>14660</c:v>
                </c:pt>
                <c:pt idx="41">
                  <c:v>15388</c:v>
                </c:pt>
                <c:pt idx="42">
                  <c:v>16083</c:v>
                </c:pt>
                <c:pt idx="43">
                  <c:v>16746</c:v>
                </c:pt>
                <c:pt idx="44">
                  <c:v>17380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96-40C2-B751-49EE8FAE1D36}"/>
            </c:ext>
          </c:extLst>
        </c:ser>
        <c:ser>
          <c:idx val="2"/>
          <c:order val="2"/>
          <c:tx>
            <c:strRef>
              <c:f>'Depth vs Battery Pluto'!$V$17</c:f>
              <c:strCache>
                <c:ptCount val="1"/>
                <c:pt idx="0">
                  <c:v>Alt. Reduced Life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Pluto'!$O$18:$O$79</c:f>
              <c:numCache>
                <c:formatCode>0</c:formatCode>
                <c:ptCount val="62"/>
                <c:pt idx="0">
                  <c:v>95.039999999999992</c:v>
                </c:pt>
                <c:pt idx="1">
                  <c:v>190.07999999999998</c:v>
                </c:pt>
                <c:pt idx="2">
                  <c:v>285.12</c:v>
                </c:pt>
                <c:pt idx="3">
                  <c:v>380.15999999999997</c:v>
                </c:pt>
                <c:pt idx="4">
                  <c:v>475.20000000000005</c:v>
                </c:pt>
                <c:pt idx="5">
                  <c:v>570.24</c:v>
                </c:pt>
                <c:pt idx="6">
                  <c:v>665.28</c:v>
                </c:pt>
                <c:pt idx="7">
                  <c:v>760.31999999999994</c:v>
                </c:pt>
                <c:pt idx="8">
                  <c:v>855.36</c:v>
                </c:pt>
                <c:pt idx="9">
                  <c:v>950.40000000000009</c:v>
                </c:pt>
                <c:pt idx="10">
                  <c:v>1045.44</c:v>
                </c:pt>
                <c:pt idx="11">
                  <c:v>1235.52</c:v>
                </c:pt>
                <c:pt idx="12">
                  <c:v>1615.6799999999998</c:v>
                </c:pt>
                <c:pt idx="13">
                  <c:v>1995.84</c:v>
                </c:pt>
                <c:pt idx="14">
                  <c:v>2376</c:v>
                </c:pt>
                <c:pt idx="15">
                  <c:v>2756.16</c:v>
                </c:pt>
                <c:pt idx="16">
                  <c:v>3136.32</c:v>
                </c:pt>
                <c:pt idx="17">
                  <c:v>3516.4800000000005</c:v>
                </c:pt>
                <c:pt idx="18">
                  <c:v>3896.6400000000003</c:v>
                </c:pt>
                <c:pt idx="19">
                  <c:v>4276.7999999999993</c:v>
                </c:pt>
                <c:pt idx="20">
                  <c:v>4656.96</c:v>
                </c:pt>
                <c:pt idx="21">
                  <c:v>5417.28</c:v>
                </c:pt>
                <c:pt idx="22">
                  <c:v>6177.5999999999995</c:v>
                </c:pt>
                <c:pt idx="23">
                  <c:v>6937.92</c:v>
                </c:pt>
                <c:pt idx="24">
                  <c:v>7698.24</c:v>
                </c:pt>
                <c:pt idx="25">
                  <c:v>8458.56</c:v>
                </c:pt>
                <c:pt idx="26">
                  <c:v>9218.880000000001</c:v>
                </c:pt>
                <c:pt idx="27">
                  <c:v>9979.2000000000007</c:v>
                </c:pt>
                <c:pt idx="28">
                  <c:v>10739.52</c:v>
                </c:pt>
                <c:pt idx="29">
                  <c:v>12035.52</c:v>
                </c:pt>
                <c:pt idx="30">
                  <c:v>13331.52</c:v>
                </c:pt>
                <c:pt idx="31">
                  <c:v>14627.52</c:v>
                </c:pt>
                <c:pt idx="32">
                  <c:v>15923.52</c:v>
                </c:pt>
                <c:pt idx="33">
                  <c:v>17219.52</c:v>
                </c:pt>
                <c:pt idx="34">
                  <c:v>18515.52</c:v>
                </c:pt>
                <c:pt idx="35">
                  <c:v>19811.52</c:v>
                </c:pt>
                <c:pt idx="36">
                  <c:v>21971.52</c:v>
                </c:pt>
                <c:pt idx="37">
                  <c:v>24131.52</c:v>
                </c:pt>
                <c:pt idx="38">
                  <c:v>26291.52</c:v>
                </c:pt>
                <c:pt idx="39">
                  <c:v>28451.52</c:v>
                </c:pt>
                <c:pt idx="40">
                  <c:v>30611.52</c:v>
                </c:pt>
                <c:pt idx="41">
                  <c:v>32771.520000000004</c:v>
                </c:pt>
                <c:pt idx="42">
                  <c:v>34931.520000000004</c:v>
                </c:pt>
                <c:pt idx="43">
                  <c:v>37091.520000000004</c:v>
                </c:pt>
                <c:pt idx="44">
                  <c:v>39251.520000000004</c:v>
                </c:pt>
              </c:numCache>
            </c:numRef>
          </c:xVal>
          <c:yVal>
            <c:numRef>
              <c:f>'Depth vs Battery Pluto'!$V$18:$V$79</c:f>
              <c:numCache>
                <c:formatCode>0.0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59</c:v>
                </c:pt>
                <c:pt idx="14">
                  <c:v>339</c:v>
                </c:pt>
                <c:pt idx="15">
                  <c:v>616</c:v>
                </c:pt>
                <c:pt idx="16">
                  <c:v>893</c:v>
                </c:pt>
                <c:pt idx="17">
                  <c:v>1167</c:v>
                </c:pt>
                <c:pt idx="18">
                  <c:v>1440</c:v>
                </c:pt>
                <c:pt idx="19">
                  <c:v>1712</c:v>
                </c:pt>
                <c:pt idx="20">
                  <c:v>1982</c:v>
                </c:pt>
                <c:pt idx="21">
                  <c:v>2517</c:v>
                </c:pt>
                <c:pt idx="22">
                  <c:v>3045</c:v>
                </c:pt>
                <c:pt idx="23">
                  <c:v>3568</c:v>
                </c:pt>
                <c:pt idx="24">
                  <c:v>4085</c:v>
                </c:pt>
                <c:pt idx="25">
                  <c:v>4596</c:v>
                </c:pt>
                <c:pt idx="26">
                  <c:v>5101</c:v>
                </c:pt>
                <c:pt idx="27">
                  <c:v>5601</c:v>
                </c:pt>
                <c:pt idx="28">
                  <c:v>6095</c:v>
                </c:pt>
                <c:pt idx="29">
                  <c:v>6924</c:v>
                </c:pt>
                <c:pt idx="30">
                  <c:v>7738</c:v>
                </c:pt>
                <c:pt idx="31">
                  <c:v>8537</c:v>
                </c:pt>
                <c:pt idx="32">
                  <c:v>9322</c:v>
                </c:pt>
                <c:pt idx="33">
                  <c:v>10092</c:v>
                </c:pt>
                <c:pt idx="34">
                  <c:v>10848</c:v>
                </c:pt>
                <c:pt idx="35">
                  <c:v>11591</c:v>
                </c:pt>
                <c:pt idx="36">
                  <c:v>12801</c:v>
                </c:pt>
                <c:pt idx="37">
                  <c:v>13975</c:v>
                </c:pt>
                <c:pt idx="38">
                  <c:v>15116</c:v>
                </c:pt>
                <c:pt idx="39">
                  <c:v>16225</c:v>
                </c:pt>
                <c:pt idx="40">
                  <c:v>17304</c:v>
                </c:pt>
                <c:pt idx="41">
                  <c:v>18353</c:v>
                </c:pt>
                <c:pt idx="42">
                  <c:v>19374</c:v>
                </c:pt>
                <c:pt idx="43">
                  <c:v>20368</c:v>
                </c:pt>
                <c:pt idx="44">
                  <c:v>21336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B96-40C2-B751-49EE8FAE1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754496"/>
        <c:axId val="676767392"/>
      </c:scatterChart>
      <c:valAx>
        <c:axId val="676754496"/>
        <c:scaling>
          <c:orientation val="minMax"/>
          <c:max val="40000"/>
          <c:min val="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Nominal Battery Capacity (kJ)</a:t>
                </a:r>
              </a:p>
            </c:rich>
          </c:tx>
          <c:layout>
            <c:manualLayout>
              <c:xMode val="edge"/>
              <c:yMode val="edge"/>
              <c:x val="0.38587979698093622"/>
              <c:y val="0.912575401179334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67392"/>
        <c:crosses val="autoZero"/>
        <c:crossBetween val="midCat"/>
      </c:valAx>
      <c:valAx>
        <c:axId val="676767392"/>
        <c:scaling>
          <c:orientation val="minMax"/>
          <c:max val="2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Depth achievable for 25% min SoC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54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394693786349858"/>
          <c:y val="0.11610863714340255"/>
          <c:w val="0.53767989688389561"/>
          <c:h val="5.8287092468854468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drill depth vs. Operational power</a:t>
            </a:r>
            <a:r>
              <a:rPr lang="en-US" baseline="0"/>
              <a:t> draw at 1 m/s travel speed</a:t>
            </a:r>
            <a:endParaRPr lang="en-US"/>
          </a:p>
        </c:rich>
      </c:tx>
      <c:layout>
        <c:manualLayout>
          <c:xMode val="edge"/>
          <c:yMode val="edge"/>
          <c:x val="0.13679514840260132"/>
          <c:y val="2.43902439024390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2200 mAh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xxx!$J$18:$J$31</c:f>
              <c:numCache>
                <c:formatCode>0.00</c:formatCode>
                <c:ptCount val="14"/>
                <c:pt idx="0">
                  <c:v>411</c:v>
                </c:pt>
                <c:pt idx="1">
                  <c:v>511</c:v>
                </c:pt>
                <c:pt idx="2">
                  <c:v>611</c:v>
                </c:pt>
                <c:pt idx="3">
                  <c:v>711</c:v>
                </c:pt>
                <c:pt idx="4">
                  <c:v>811</c:v>
                </c:pt>
                <c:pt idx="5">
                  <c:v>911</c:v>
                </c:pt>
                <c:pt idx="6">
                  <c:v>1011</c:v>
                </c:pt>
                <c:pt idx="7">
                  <c:v>1111</c:v>
                </c:pt>
                <c:pt idx="8">
                  <c:v>1211</c:v>
                </c:pt>
                <c:pt idx="9">
                  <c:v>1311</c:v>
                </c:pt>
                <c:pt idx="10">
                  <c:v>1411</c:v>
                </c:pt>
                <c:pt idx="11">
                  <c:v>1511</c:v>
                </c:pt>
                <c:pt idx="12">
                  <c:v>1611</c:v>
                </c:pt>
                <c:pt idx="13">
                  <c:v>1711</c:v>
                </c:pt>
              </c:numCache>
            </c:numRef>
          </c:xVal>
          <c:yVal>
            <c:numRef>
              <c:f>xxx!$L$18:$L$31</c:f>
              <c:numCache>
                <c:formatCode>0.00</c:formatCode>
                <c:ptCount val="14"/>
                <c:pt idx="0">
                  <c:v>2914</c:v>
                </c:pt>
                <c:pt idx="1">
                  <c:v>2016</c:v>
                </c:pt>
                <c:pt idx="2">
                  <c:v>1406</c:v>
                </c:pt>
                <c:pt idx="3">
                  <c:v>964</c:v>
                </c:pt>
                <c:pt idx="4">
                  <c:v>629</c:v>
                </c:pt>
                <c:pt idx="5">
                  <c:v>366</c:v>
                </c:pt>
                <c:pt idx="6">
                  <c:v>155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35-4F66-8ECC-993A77E94C29}"/>
            </c:ext>
          </c:extLst>
        </c:ser>
        <c:ser>
          <c:idx val="1"/>
          <c:order val="1"/>
          <c:tx>
            <c:v>4400mAh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xxx!$J$18:$J$31</c:f>
              <c:numCache>
                <c:formatCode>0.00</c:formatCode>
                <c:ptCount val="14"/>
                <c:pt idx="0">
                  <c:v>411</c:v>
                </c:pt>
                <c:pt idx="1">
                  <c:v>511</c:v>
                </c:pt>
                <c:pt idx="2">
                  <c:v>611</c:v>
                </c:pt>
                <c:pt idx="3">
                  <c:v>711</c:v>
                </c:pt>
                <c:pt idx="4">
                  <c:v>811</c:v>
                </c:pt>
                <c:pt idx="5">
                  <c:v>911</c:v>
                </c:pt>
                <c:pt idx="6">
                  <c:v>1011</c:v>
                </c:pt>
                <c:pt idx="7">
                  <c:v>1111</c:v>
                </c:pt>
                <c:pt idx="8">
                  <c:v>1211</c:v>
                </c:pt>
                <c:pt idx="9">
                  <c:v>1311</c:v>
                </c:pt>
                <c:pt idx="10">
                  <c:v>1411</c:v>
                </c:pt>
                <c:pt idx="11">
                  <c:v>1511</c:v>
                </c:pt>
                <c:pt idx="12">
                  <c:v>1611</c:v>
                </c:pt>
                <c:pt idx="13">
                  <c:v>1711</c:v>
                </c:pt>
              </c:numCache>
            </c:numRef>
          </c:xVal>
          <c:yVal>
            <c:numRef>
              <c:f>xxx!$K$18:$K$31</c:f>
              <c:numCache>
                <c:formatCode>0.00</c:formatCode>
                <c:ptCount val="14"/>
                <c:pt idx="0">
                  <c:v>2159</c:v>
                </c:pt>
                <c:pt idx="1">
                  <c:v>1401</c:v>
                </c:pt>
                <c:pt idx="2">
                  <c:v>886</c:v>
                </c:pt>
                <c:pt idx="3">
                  <c:v>514</c:v>
                </c:pt>
                <c:pt idx="4">
                  <c:v>233</c:v>
                </c:pt>
                <c:pt idx="5">
                  <c:v>12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35-4F66-8ECC-993A77E94C29}"/>
            </c:ext>
          </c:extLst>
        </c:ser>
        <c:ser>
          <c:idx val="3"/>
          <c:order val="2"/>
          <c:tx>
            <c:v>6600 mAh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xxx!$J$18:$J$31</c:f>
              <c:numCache>
                <c:formatCode>0.00</c:formatCode>
                <c:ptCount val="14"/>
                <c:pt idx="0">
                  <c:v>411</c:v>
                </c:pt>
                <c:pt idx="1">
                  <c:v>511</c:v>
                </c:pt>
                <c:pt idx="2">
                  <c:v>611</c:v>
                </c:pt>
                <c:pt idx="3">
                  <c:v>711</c:v>
                </c:pt>
                <c:pt idx="4">
                  <c:v>811</c:v>
                </c:pt>
                <c:pt idx="5">
                  <c:v>911</c:v>
                </c:pt>
                <c:pt idx="6">
                  <c:v>1011</c:v>
                </c:pt>
                <c:pt idx="7">
                  <c:v>1111</c:v>
                </c:pt>
                <c:pt idx="8">
                  <c:v>1211</c:v>
                </c:pt>
                <c:pt idx="9">
                  <c:v>1311</c:v>
                </c:pt>
                <c:pt idx="10">
                  <c:v>1411</c:v>
                </c:pt>
                <c:pt idx="11">
                  <c:v>1511</c:v>
                </c:pt>
                <c:pt idx="12">
                  <c:v>1611</c:v>
                </c:pt>
                <c:pt idx="13">
                  <c:v>1711</c:v>
                </c:pt>
              </c:numCache>
            </c:numRef>
          </c:xVal>
          <c:yVal>
            <c:numRef>
              <c:f>xxx!$N$18:$N$31</c:f>
              <c:numCache>
                <c:formatCode>0.00</c:formatCode>
                <c:ptCount val="14"/>
                <c:pt idx="0">
                  <c:v>4395</c:v>
                </c:pt>
                <c:pt idx="1">
                  <c:v>3228</c:v>
                </c:pt>
                <c:pt idx="2">
                  <c:v>2430</c:v>
                </c:pt>
                <c:pt idx="3">
                  <c:v>1851</c:v>
                </c:pt>
                <c:pt idx="4">
                  <c:v>1412</c:v>
                </c:pt>
                <c:pt idx="5">
                  <c:v>1067</c:v>
                </c:pt>
                <c:pt idx="6">
                  <c:v>789</c:v>
                </c:pt>
                <c:pt idx="7">
                  <c:v>560</c:v>
                </c:pt>
                <c:pt idx="8">
                  <c:v>368</c:v>
                </c:pt>
                <c:pt idx="9">
                  <c:v>205</c:v>
                </c:pt>
                <c:pt idx="10">
                  <c:v>65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435-4F66-8ECC-993A77E94C29}"/>
            </c:ext>
          </c:extLst>
        </c:ser>
        <c:ser>
          <c:idx val="4"/>
          <c:order val="3"/>
          <c:tx>
            <c:v>8800 mAh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xxx!$J$18:$J$31</c:f>
              <c:numCache>
                <c:formatCode>0.00</c:formatCode>
                <c:ptCount val="14"/>
                <c:pt idx="0">
                  <c:v>411</c:v>
                </c:pt>
                <c:pt idx="1">
                  <c:v>511</c:v>
                </c:pt>
                <c:pt idx="2">
                  <c:v>611</c:v>
                </c:pt>
                <c:pt idx="3">
                  <c:v>711</c:v>
                </c:pt>
                <c:pt idx="4">
                  <c:v>811</c:v>
                </c:pt>
                <c:pt idx="5">
                  <c:v>911</c:v>
                </c:pt>
                <c:pt idx="6">
                  <c:v>1011</c:v>
                </c:pt>
                <c:pt idx="7">
                  <c:v>1111</c:v>
                </c:pt>
                <c:pt idx="8">
                  <c:v>1211</c:v>
                </c:pt>
                <c:pt idx="9">
                  <c:v>1311</c:v>
                </c:pt>
                <c:pt idx="10">
                  <c:v>1411</c:v>
                </c:pt>
                <c:pt idx="11">
                  <c:v>1511</c:v>
                </c:pt>
                <c:pt idx="12">
                  <c:v>1611</c:v>
                </c:pt>
                <c:pt idx="13">
                  <c:v>1711</c:v>
                </c:pt>
              </c:numCache>
            </c:numRef>
          </c:xVal>
          <c:yVal>
            <c:numRef>
              <c:f>xxx!$O$18:$O$31</c:f>
              <c:numCache>
                <c:formatCode>0.00</c:formatCode>
                <c:ptCount val="14"/>
                <c:pt idx="0">
                  <c:v>5121</c:v>
                </c:pt>
                <c:pt idx="1">
                  <c:v>3824</c:v>
                </c:pt>
                <c:pt idx="2">
                  <c:v>2936</c:v>
                </c:pt>
                <c:pt idx="3">
                  <c:v>2290</c:v>
                </c:pt>
                <c:pt idx="4">
                  <c:v>1800</c:v>
                </c:pt>
                <c:pt idx="5">
                  <c:v>1414</c:v>
                </c:pt>
                <c:pt idx="6">
                  <c:v>1103</c:v>
                </c:pt>
                <c:pt idx="7">
                  <c:v>847</c:v>
                </c:pt>
                <c:pt idx="8">
                  <c:v>632</c:v>
                </c:pt>
                <c:pt idx="9">
                  <c:v>450</c:v>
                </c:pt>
                <c:pt idx="10">
                  <c:v>293</c:v>
                </c:pt>
                <c:pt idx="11">
                  <c:v>156</c:v>
                </c:pt>
                <c:pt idx="12">
                  <c:v>37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435-4F66-8ECC-993A77E94C29}"/>
            </c:ext>
          </c:extLst>
        </c:ser>
        <c:ser>
          <c:idx val="2"/>
          <c:order val="4"/>
          <c:tx>
            <c:v>11000 mAh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xxx!$J$18:$J$31</c:f>
              <c:numCache>
                <c:formatCode>0.00</c:formatCode>
                <c:ptCount val="14"/>
                <c:pt idx="0">
                  <c:v>411</c:v>
                </c:pt>
                <c:pt idx="1">
                  <c:v>511</c:v>
                </c:pt>
                <c:pt idx="2">
                  <c:v>611</c:v>
                </c:pt>
                <c:pt idx="3">
                  <c:v>711</c:v>
                </c:pt>
                <c:pt idx="4">
                  <c:v>811</c:v>
                </c:pt>
                <c:pt idx="5">
                  <c:v>911</c:v>
                </c:pt>
                <c:pt idx="6">
                  <c:v>1011</c:v>
                </c:pt>
                <c:pt idx="7">
                  <c:v>1111</c:v>
                </c:pt>
                <c:pt idx="8">
                  <c:v>1211</c:v>
                </c:pt>
                <c:pt idx="9">
                  <c:v>1311</c:v>
                </c:pt>
                <c:pt idx="10">
                  <c:v>1411</c:v>
                </c:pt>
                <c:pt idx="11">
                  <c:v>1511</c:v>
                </c:pt>
                <c:pt idx="12">
                  <c:v>1611</c:v>
                </c:pt>
                <c:pt idx="13">
                  <c:v>1711</c:v>
                </c:pt>
              </c:numCache>
            </c:numRef>
          </c:xVal>
          <c:yVal>
            <c:numRef>
              <c:f>xxx!$M$18:$M$31</c:f>
              <c:numCache>
                <c:formatCode>0.00</c:formatCode>
                <c:ptCount val="14"/>
                <c:pt idx="0">
                  <c:v>3659</c:v>
                </c:pt>
                <c:pt idx="1">
                  <c:v>2625</c:v>
                </c:pt>
                <c:pt idx="2">
                  <c:v>1920</c:v>
                </c:pt>
                <c:pt idx="3">
                  <c:v>1409</c:v>
                </c:pt>
                <c:pt idx="4">
                  <c:v>1022</c:v>
                </c:pt>
                <c:pt idx="5">
                  <c:v>717</c:v>
                </c:pt>
                <c:pt idx="6">
                  <c:v>473</c:v>
                </c:pt>
                <c:pt idx="7">
                  <c:v>271</c:v>
                </c:pt>
                <c:pt idx="8">
                  <c:v>102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35-4F66-8ECC-993A77E94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4070240"/>
        <c:axId val="1270691360"/>
      </c:scatterChart>
      <c:valAx>
        <c:axId val="1454070240"/>
        <c:scaling>
          <c:orientation val="minMax"/>
          <c:max val="2025"/>
          <c:min val="725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Operational</a:t>
                </a:r>
                <a:r>
                  <a:rPr lang="en-US" baseline="0"/>
                  <a:t> Power Draw (W)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0691360"/>
        <c:crosses val="autoZero"/>
        <c:crossBetween val="midCat"/>
      </c:valAx>
      <c:valAx>
        <c:axId val="12706913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drilling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070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Depth vs. Power draw with varied speed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0.5 m/s Constant Draw</c:v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xxx!$J$18:$J$31</c:f>
              <c:numCache>
                <c:formatCode>0.00</c:formatCode>
                <c:ptCount val="14"/>
                <c:pt idx="0">
                  <c:v>411</c:v>
                </c:pt>
                <c:pt idx="1">
                  <c:v>511</c:v>
                </c:pt>
                <c:pt idx="2">
                  <c:v>611</c:v>
                </c:pt>
                <c:pt idx="3">
                  <c:v>711</c:v>
                </c:pt>
                <c:pt idx="4">
                  <c:v>811</c:v>
                </c:pt>
                <c:pt idx="5">
                  <c:v>911</c:v>
                </c:pt>
                <c:pt idx="6">
                  <c:v>1011</c:v>
                </c:pt>
                <c:pt idx="7">
                  <c:v>1111</c:v>
                </c:pt>
                <c:pt idx="8">
                  <c:v>1211</c:v>
                </c:pt>
                <c:pt idx="9">
                  <c:v>1311</c:v>
                </c:pt>
                <c:pt idx="10">
                  <c:v>1411</c:v>
                </c:pt>
                <c:pt idx="11">
                  <c:v>1511</c:v>
                </c:pt>
                <c:pt idx="12">
                  <c:v>1611</c:v>
                </c:pt>
                <c:pt idx="13">
                  <c:v>1711</c:v>
                </c:pt>
              </c:numCache>
            </c:numRef>
          </c:xVal>
          <c:yVal>
            <c:numRef>
              <c:f>xxx!$K$18:$K$31</c:f>
              <c:numCache>
                <c:formatCode>0.00</c:formatCode>
                <c:ptCount val="14"/>
                <c:pt idx="0">
                  <c:v>2159</c:v>
                </c:pt>
                <c:pt idx="1">
                  <c:v>1401</c:v>
                </c:pt>
                <c:pt idx="2">
                  <c:v>886</c:v>
                </c:pt>
                <c:pt idx="3">
                  <c:v>514</c:v>
                </c:pt>
                <c:pt idx="4">
                  <c:v>233</c:v>
                </c:pt>
                <c:pt idx="5">
                  <c:v>12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B-4D61-974B-694D05F31E08}"/>
            </c:ext>
          </c:extLst>
        </c:ser>
        <c:ser>
          <c:idx val="1"/>
          <c:order val="1"/>
          <c:tx>
            <c:v>1 m/s Constant Draw</c:v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xxx!$U$36:$U$49</c:f>
              <c:numCache>
                <c:formatCode>0.00</c:formatCode>
                <c:ptCount val="14"/>
                <c:pt idx="0">
                  <c:v>616.5</c:v>
                </c:pt>
                <c:pt idx="1">
                  <c:v>716.5</c:v>
                </c:pt>
                <c:pt idx="2">
                  <c:v>816.5</c:v>
                </c:pt>
                <c:pt idx="3">
                  <c:v>916.5</c:v>
                </c:pt>
                <c:pt idx="4">
                  <c:v>1016.5</c:v>
                </c:pt>
                <c:pt idx="5">
                  <c:v>1116.5</c:v>
                </c:pt>
                <c:pt idx="6">
                  <c:v>1216.5</c:v>
                </c:pt>
                <c:pt idx="7">
                  <c:v>1316.5</c:v>
                </c:pt>
                <c:pt idx="8">
                  <c:v>1416.5</c:v>
                </c:pt>
                <c:pt idx="9">
                  <c:v>1516.5</c:v>
                </c:pt>
                <c:pt idx="10">
                  <c:v>1616.5</c:v>
                </c:pt>
                <c:pt idx="11">
                  <c:v>1716.5</c:v>
                </c:pt>
                <c:pt idx="12">
                  <c:v>1816.5</c:v>
                </c:pt>
                <c:pt idx="13">
                  <c:v>1916.5</c:v>
                </c:pt>
              </c:numCache>
            </c:numRef>
          </c:xVal>
          <c:yVal>
            <c:numRef>
              <c:f>xxx!$V$36:$V$49</c:f>
              <c:numCache>
                <c:formatCode>0.00</c:formatCode>
                <c:ptCount val="14"/>
                <c:pt idx="0">
                  <c:v>26146</c:v>
                </c:pt>
                <c:pt idx="1">
                  <c:v>22734</c:v>
                </c:pt>
                <c:pt idx="2">
                  <c:v>20044</c:v>
                </c:pt>
                <c:pt idx="3">
                  <c:v>17869</c:v>
                </c:pt>
                <c:pt idx="4">
                  <c:v>16074</c:v>
                </c:pt>
                <c:pt idx="5">
                  <c:v>14567</c:v>
                </c:pt>
                <c:pt idx="6">
                  <c:v>13283</c:v>
                </c:pt>
                <c:pt idx="7">
                  <c:v>12178</c:v>
                </c:pt>
                <c:pt idx="8">
                  <c:v>11215</c:v>
                </c:pt>
                <c:pt idx="9">
                  <c:v>10369</c:v>
                </c:pt>
                <c:pt idx="10">
                  <c:v>9621</c:v>
                </c:pt>
                <c:pt idx="11">
                  <c:v>8953</c:v>
                </c:pt>
                <c:pt idx="12">
                  <c:v>8354</c:v>
                </c:pt>
                <c:pt idx="13">
                  <c:v>7814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7B-4D61-974B-694D05F31E08}"/>
            </c:ext>
          </c:extLst>
        </c:ser>
        <c:ser>
          <c:idx val="2"/>
          <c:order val="2"/>
          <c:tx>
            <c:v>1.5 m/s Constant Draw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xxx!$U$56:$U$69</c:f>
              <c:numCache>
                <c:formatCode>0.00</c:formatCode>
                <c:ptCount val="14"/>
                <c:pt idx="0">
                  <c:v>822</c:v>
                </c:pt>
                <c:pt idx="1">
                  <c:v>922</c:v>
                </c:pt>
                <c:pt idx="2">
                  <c:v>1022</c:v>
                </c:pt>
                <c:pt idx="3">
                  <c:v>1122</c:v>
                </c:pt>
                <c:pt idx="4">
                  <c:v>1222</c:v>
                </c:pt>
                <c:pt idx="5">
                  <c:v>1322</c:v>
                </c:pt>
                <c:pt idx="6">
                  <c:v>1422</c:v>
                </c:pt>
                <c:pt idx="7">
                  <c:v>1522</c:v>
                </c:pt>
                <c:pt idx="8">
                  <c:v>1622</c:v>
                </c:pt>
                <c:pt idx="9">
                  <c:v>1722</c:v>
                </c:pt>
                <c:pt idx="10">
                  <c:v>1822</c:v>
                </c:pt>
                <c:pt idx="11">
                  <c:v>1922</c:v>
                </c:pt>
                <c:pt idx="12">
                  <c:v>2022</c:v>
                </c:pt>
                <c:pt idx="13">
                  <c:v>2122</c:v>
                </c:pt>
              </c:numCache>
            </c:numRef>
          </c:xVal>
          <c:yVal>
            <c:numRef>
              <c:f>xxx!$V$56:$V$69</c:f>
              <c:numCache>
                <c:formatCode>0.00</c:formatCode>
                <c:ptCount val="14"/>
                <c:pt idx="0">
                  <c:v>26108</c:v>
                </c:pt>
                <c:pt idx="1">
                  <c:v>23393</c:v>
                </c:pt>
                <c:pt idx="2">
                  <c:v>21133</c:v>
                </c:pt>
                <c:pt idx="3">
                  <c:v>19221</c:v>
                </c:pt>
                <c:pt idx="4">
                  <c:v>17584</c:v>
                </c:pt>
                <c:pt idx="5">
                  <c:v>16167</c:v>
                </c:pt>
                <c:pt idx="6">
                  <c:v>14927</c:v>
                </c:pt>
                <c:pt idx="7">
                  <c:v>13833</c:v>
                </c:pt>
                <c:pt idx="8">
                  <c:v>12861</c:v>
                </c:pt>
                <c:pt idx="9">
                  <c:v>11992</c:v>
                </c:pt>
                <c:pt idx="10">
                  <c:v>11210</c:v>
                </c:pt>
                <c:pt idx="11">
                  <c:v>10503</c:v>
                </c:pt>
                <c:pt idx="12">
                  <c:v>9860</c:v>
                </c:pt>
                <c:pt idx="13">
                  <c:v>9274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77B-4D61-974B-694D05F31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183760"/>
        <c:axId val="299909888"/>
      </c:scatterChart>
      <c:scatterChart>
        <c:scatterStyle val="lineMarker"/>
        <c:varyColors val="0"/>
        <c:ser>
          <c:idx val="3"/>
          <c:order val="3"/>
          <c:tx>
            <c:v>Variable speed from Graph Data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xx!$G$18:$G$31</c:f>
              <c:numCache>
                <c:formatCode>0.000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</c:numCache>
            </c:numRef>
          </c:xVal>
          <c:yVal>
            <c:numRef>
              <c:f>xx!$J$18:$J$31</c:f>
              <c:numCache>
                <c:formatCode>0.00</c:formatCode>
                <c:ptCount val="14"/>
                <c:pt idx="0">
                  <c:v>895.5</c:v>
                </c:pt>
                <c:pt idx="1">
                  <c:v>1179</c:v>
                </c:pt>
                <c:pt idx="2">
                  <c:v>1309.5</c:v>
                </c:pt>
                <c:pt idx="3">
                  <c:v>1380</c:v>
                </c:pt>
                <c:pt idx="4">
                  <c:v>1419</c:v>
                </c:pt>
                <c:pt idx="5">
                  <c:v>1440</c:v>
                </c:pt>
                <c:pt idx="6">
                  <c:v>1450.5</c:v>
                </c:pt>
                <c:pt idx="7">
                  <c:v>1453.5</c:v>
                </c:pt>
                <c:pt idx="8">
                  <c:v>1452</c:v>
                </c:pt>
                <c:pt idx="9">
                  <c:v>1446</c:v>
                </c:pt>
                <c:pt idx="10">
                  <c:v>1438.5</c:v>
                </c:pt>
                <c:pt idx="11">
                  <c:v>1428</c:v>
                </c:pt>
                <c:pt idx="12">
                  <c:v>1416</c:v>
                </c:pt>
                <c:pt idx="13">
                  <c:v>1402.5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77B-4D61-974B-694D05F31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526784"/>
        <c:axId val="658528864"/>
      </c:scatterChart>
      <c:valAx>
        <c:axId val="552183760"/>
        <c:scaling>
          <c:orientation val="minMax"/>
          <c:max val="20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Operational Power Draw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909888"/>
        <c:crosses val="autoZero"/>
        <c:crossBetween val="midCat"/>
      </c:valAx>
      <c:valAx>
        <c:axId val="299909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183760"/>
        <c:crosses val="autoZero"/>
        <c:crossBetween val="midCat"/>
      </c:valAx>
      <c:valAx>
        <c:axId val="65852886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526784"/>
        <c:crosses val="max"/>
        <c:crossBetween val="midCat"/>
      </c:valAx>
      <c:valAx>
        <c:axId val="658526784"/>
        <c:scaling>
          <c:orientation val="minMax"/>
          <c:max val="0.77"/>
          <c:min val="0.32000000000000006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(only for yellow)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528864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Drill Depth vs Drive Efficiency, 76.5 MJ</a:t>
            </a:r>
          </a:p>
        </c:rich>
      </c:tx>
      <c:layout>
        <c:manualLayout>
          <c:xMode val="edge"/>
          <c:yMode val="edge"/>
          <c:x val="0.12303478168792553"/>
          <c:y val="2.66001732153011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Batteries end with 0% SOC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xx!$B$18:$B$42</c:f>
              <c:numCache>
                <c:formatCode>0%</c:formatCode>
                <c:ptCount val="25"/>
                <c:pt idx="0">
                  <c:v>0.16</c:v>
                </c:pt>
                <c:pt idx="1">
                  <c:v>0.18</c:v>
                </c:pt>
                <c:pt idx="2">
                  <c:v>0.19999999999999998</c:v>
                </c:pt>
                <c:pt idx="3">
                  <c:v>0.21999999999999997</c:v>
                </c:pt>
                <c:pt idx="4">
                  <c:v>0.23999999999999996</c:v>
                </c:pt>
                <c:pt idx="5">
                  <c:v>0.25999999999999995</c:v>
                </c:pt>
                <c:pt idx="6">
                  <c:v>0.27999999999999997</c:v>
                </c:pt>
                <c:pt idx="7">
                  <c:v>0.3</c:v>
                </c:pt>
                <c:pt idx="8">
                  <c:v>0.32</c:v>
                </c:pt>
                <c:pt idx="9">
                  <c:v>0.34</c:v>
                </c:pt>
                <c:pt idx="10">
                  <c:v>0.36000000000000004</c:v>
                </c:pt>
                <c:pt idx="11">
                  <c:v>0.38000000000000006</c:v>
                </c:pt>
                <c:pt idx="12">
                  <c:v>0.40000000000000008</c:v>
                </c:pt>
                <c:pt idx="13">
                  <c:v>0.4200000000000001</c:v>
                </c:pt>
                <c:pt idx="14">
                  <c:v>0.44000000000000011</c:v>
                </c:pt>
                <c:pt idx="15">
                  <c:v>0.46000000000000013</c:v>
                </c:pt>
                <c:pt idx="16">
                  <c:v>0.48000000000000015</c:v>
                </c:pt>
                <c:pt idx="17">
                  <c:v>0.50000000000000011</c:v>
                </c:pt>
                <c:pt idx="18">
                  <c:v>0.52000000000000013</c:v>
                </c:pt>
                <c:pt idx="19">
                  <c:v>0.54000000000000015</c:v>
                </c:pt>
                <c:pt idx="20">
                  <c:v>0.56000000000000016</c:v>
                </c:pt>
                <c:pt idx="21">
                  <c:v>0.58000000000000018</c:v>
                </c:pt>
                <c:pt idx="22">
                  <c:v>0.6000000000000002</c:v>
                </c:pt>
                <c:pt idx="23">
                  <c:v>0.62000000000000022</c:v>
                </c:pt>
                <c:pt idx="24">
                  <c:v>0.64000000000000024</c:v>
                </c:pt>
              </c:numCache>
            </c:numRef>
          </c:xVal>
          <c:yVal>
            <c:numRef>
              <c:f>xx!$D$18:$D$42</c:f>
              <c:numCache>
                <c:formatCode>0.00</c:formatCode>
                <c:ptCount val="25"/>
                <c:pt idx="0">
                  <c:v>27724.5</c:v>
                </c:pt>
                <c:pt idx="1">
                  <c:v>30349.5</c:v>
                </c:pt>
                <c:pt idx="2">
                  <c:v>32832</c:v>
                </c:pt>
                <c:pt idx="3">
                  <c:v>35184</c:v>
                </c:pt>
                <c:pt idx="4">
                  <c:v>37414.5</c:v>
                </c:pt>
                <c:pt idx="5">
                  <c:v>39535.5</c:v>
                </c:pt>
                <c:pt idx="6">
                  <c:v>41551.5</c:v>
                </c:pt>
                <c:pt idx="7">
                  <c:v>43473</c:v>
                </c:pt>
                <c:pt idx="8">
                  <c:v>45303</c:v>
                </c:pt>
                <c:pt idx="9">
                  <c:v>47052</c:v>
                </c:pt>
                <c:pt idx="10">
                  <c:v>48721.5</c:v>
                </c:pt>
                <c:pt idx="11">
                  <c:v>50319</c:v>
                </c:pt>
                <c:pt idx="12">
                  <c:v>51849</c:v>
                </c:pt>
                <c:pt idx="13">
                  <c:v>53316</c:v>
                </c:pt>
                <c:pt idx="14">
                  <c:v>54721.5</c:v>
                </c:pt>
                <c:pt idx="15">
                  <c:v>56071.5</c:v>
                </c:pt>
                <c:pt idx="16">
                  <c:v>57369</c:v>
                </c:pt>
                <c:pt idx="17">
                  <c:v>58615.5</c:v>
                </c:pt>
                <c:pt idx="18">
                  <c:v>59815.5</c:v>
                </c:pt>
                <c:pt idx="19">
                  <c:v>60972</c:v>
                </c:pt>
                <c:pt idx="20">
                  <c:v>62085</c:v>
                </c:pt>
                <c:pt idx="21">
                  <c:v>63159</c:v>
                </c:pt>
                <c:pt idx="22">
                  <c:v>64195.5</c:v>
                </c:pt>
                <c:pt idx="23">
                  <c:v>65196</c:v>
                </c:pt>
                <c:pt idx="24">
                  <c:v>66162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D2-474E-8B03-824DB2394A49}"/>
            </c:ext>
          </c:extLst>
        </c:ser>
        <c:ser>
          <c:idx val="1"/>
          <c:order val="1"/>
          <c:tx>
            <c:v>Batteries end with 25% SOC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xx!$B$18:$B$42</c:f>
              <c:numCache>
                <c:formatCode>0%</c:formatCode>
                <c:ptCount val="25"/>
                <c:pt idx="0">
                  <c:v>0.16</c:v>
                </c:pt>
                <c:pt idx="1">
                  <c:v>0.18</c:v>
                </c:pt>
                <c:pt idx="2">
                  <c:v>0.19999999999999998</c:v>
                </c:pt>
                <c:pt idx="3">
                  <c:v>0.21999999999999997</c:v>
                </c:pt>
                <c:pt idx="4">
                  <c:v>0.23999999999999996</c:v>
                </c:pt>
                <c:pt idx="5">
                  <c:v>0.25999999999999995</c:v>
                </c:pt>
                <c:pt idx="6">
                  <c:v>0.27999999999999997</c:v>
                </c:pt>
                <c:pt idx="7">
                  <c:v>0.3</c:v>
                </c:pt>
                <c:pt idx="8">
                  <c:v>0.32</c:v>
                </c:pt>
                <c:pt idx="9">
                  <c:v>0.34</c:v>
                </c:pt>
                <c:pt idx="10">
                  <c:v>0.36000000000000004</c:v>
                </c:pt>
                <c:pt idx="11">
                  <c:v>0.38000000000000006</c:v>
                </c:pt>
                <c:pt idx="12">
                  <c:v>0.40000000000000008</c:v>
                </c:pt>
                <c:pt idx="13">
                  <c:v>0.4200000000000001</c:v>
                </c:pt>
                <c:pt idx="14">
                  <c:v>0.44000000000000011</c:v>
                </c:pt>
                <c:pt idx="15">
                  <c:v>0.46000000000000013</c:v>
                </c:pt>
                <c:pt idx="16">
                  <c:v>0.48000000000000015</c:v>
                </c:pt>
                <c:pt idx="17">
                  <c:v>0.50000000000000011</c:v>
                </c:pt>
                <c:pt idx="18">
                  <c:v>0.52000000000000013</c:v>
                </c:pt>
                <c:pt idx="19">
                  <c:v>0.54000000000000015</c:v>
                </c:pt>
                <c:pt idx="20">
                  <c:v>0.56000000000000016</c:v>
                </c:pt>
                <c:pt idx="21">
                  <c:v>0.58000000000000018</c:v>
                </c:pt>
                <c:pt idx="22">
                  <c:v>0.6000000000000002</c:v>
                </c:pt>
                <c:pt idx="23">
                  <c:v>0.62000000000000022</c:v>
                </c:pt>
                <c:pt idx="24">
                  <c:v>0.64000000000000024</c:v>
                </c:pt>
              </c:numCache>
            </c:numRef>
          </c:xVal>
          <c:yVal>
            <c:numRef>
              <c:f>xx!$E$18:$E$42</c:f>
              <c:numCache>
                <c:formatCode>0.00</c:formatCode>
                <c:ptCount val="25"/>
                <c:pt idx="0">
                  <c:v>21273</c:v>
                </c:pt>
                <c:pt idx="1">
                  <c:v>23362.5</c:v>
                </c:pt>
                <c:pt idx="2">
                  <c:v>25350</c:v>
                </c:pt>
                <c:pt idx="3">
                  <c:v>27243</c:v>
                </c:pt>
                <c:pt idx="4">
                  <c:v>29047.5</c:v>
                </c:pt>
                <c:pt idx="5">
                  <c:v>30772.5</c:v>
                </c:pt>
                <c:pt idx="6">
                  <c:v>32419.5</c:v>
                </c:pt>
                <c:pt idx="7">
                  <c:v>33994.5</c:v>
                </c:pt>
                <c:pt idx="8">
                  <c:v>35505</c:v>
                </c:pt>
                <c:pt idx="9">
                  <c:v>36951</c:v>
                </c:pt>
                <c:pt idx="10">
                  <c:v>38338.5</c:v>
                </c:pt>
                <c:pt idx="11">
                  <c:v>39670.5</c:v>
                </c:pt>
                <c:pt idx="12">
                  <c:v>40950</c:v>
                </c:pt>
                <c:pt idx="13">
                  <c:v>42181.5</c:v>
                </c:pt>
                <c:pt idx="14">
                  <c:v>43366.5</c:v>
                </c:pt>
                <c:pt idx="15">
                  <c:v>44506.5</c:v>
                </c:pt>
                <c:pt idx="16">
                  <c:v>45606</c:v>
                </c:pt>
                <c:pt idx="17">
                  <c:v>46666.5</c:v>
                </c:pt>
                <c:pt idx="18">
                  <c:v>47689.5</c:v>
                </c:pt>
                <c:pt idx="19">
                  <c:v>48678</c:v>
                </c:pt>
                <c:pt idx="20">
                  <c:v>49633.5</c:v>
                </c:pt>
                <c:pt idx="21">
                  <c:v>50556</c:v>
                </c:pt>
                <c:pt idx="22">
                  <c:v>51448.5</c:v>
                </c:pt>
                <c:pt idx="23">
                  <c:v>52312.5</c:v>
                </c:pt>
                <c:pt idx="24">
                  <c:v>53149.5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D2-474E-8B03-824DB2394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6020912"/>
        <c:axId val="1546005936"/>
      </c:scatterChart>
      <c:valAx>
        <c:axId val="1546020912"/>
        <c:scaling>
          <c:orientation val="minMax"/>
          <c:max val="0.65000000000000013"/>
          <c:min val="0.1500000000000000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Overall drive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005936"/>
        <c:crosses val="autoZero"/>
        <c:crossBetween val="midCat"/>
      </c:valAx>
      <c:valAx>
        <c:axId val="154600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drilling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020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drill depth vs. variable drive speed </a:t>
            </a:r>
          </a:p>
        </c:rich>
      </c:tx>
      <c:layout>
        <c:manualLayout>
          <c:xMode val="edge"/>
          <c:yMode val="edge"/>
          <c:x val="0.13679514840260132"/>
          <c:y val="2.43902439024390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xx!$G$18:$G$52</c:f>
              <c:numCache>
                <c:formatCode>0.000</c:formatCode>
                <c:ptCount val="35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4.5</c:v>
                </c:pt>
                <c:pt idx="15">
                  <c:v>5.5</c:v>
                </c:pt>
                <c:pt idx="16">
                  <c:v>6.5</c:v>
                </c:pt>
                <c:pt idx="17">
                  <c:v>7.5</c:v>
                </c:pt>
                <c:pt idx="18">
                  <c:v>8.5</c:v>
                </c:pt>
                <c:pt idx="19">
                  <c:v>9.5</c:v>
                </c:pt>
                <c:pt idx="20">
                  <c:v>10.5</c:v>
                </c:pt>
                <c:pt idx="21">
                  <c:v>11.5</c:v>
                </c:pt>
                <c:pt idx="22">
                  <c:v>12.5</c:v>
                </c:pt>
                <c:pt idx="23">
                  <c:v>13.5</c:v>
                </c:pt>
                <c:pt idx="24">
                  <c:v>14.5</c:v>
                </c:pt>
                <c:pt idx="25">
                  <c:v>15.5</c:v>
                </c:pt>
                <c:pt idx="26">
                  <c:v>16.5</c:v>
                </c:pt>
                <c:pt idx="27">
                  <c:v>17.5</c:v>
                </c:pt>
                <c:pt idx="28">
                  <c:v>18.5</c:v>
                </c:pt>
                <c:pt idx="29">
                  <c:v>19.5</c:v>
                </c:pt>
                <c:pt idx="30">
                  <c:v>20.5</c:v>
                </c:pt>
                <c:pt idx="31">
                  <c:v>21.5</c:v>
                </c:pt>
                <c:pt idx="32">
                  <c:v>22.5</c:v>
                </c:pt>
                <c:pt idx="33">
                  <c:v>23.5</c:v>
                </c:pt>
                <c:pt idx="34">
                  <c:v>24.5</c:v>
                </c:pt>
              </c:numCache>
            </c:numRef>
          </c:xVal>
          <c:yVal>
            <c:numRef>
              <c:f>xx!$J$18:$J$52</c:f>
              <c:numCache>
                <c:formatCode>0.00</c:formatCode>
                <c:ptCount val="35"/>
                <c:pt idx="0">
                  <c:v>895.5</c:v>
                </c:pt>
                <c:pt idx="1">
                  <c:v>1179</c:v>
                </c:pt>
                <c:pt idx="2">
                  <c:v>1309.5</c:v>
                </c:pt>
                <c:pt idx="3">
                  <c:v>1380</c:v>
                </c:pt>
                <c:pt idx="4">
                  <c:v>1419</c:v>
                </c:pt>
                <c:pt idx="5">
                  <c:v>1440</c:v>
                </c:pt>
                <c:pt idx="6">
                  <c:v>1450.5</c:v>
                </c:pt>
                <c:pt idx="7">
                  <c:v>1453.5</c:v>
                </c:pt>
                <c:pt idx="8">
                  <c:v>1452</c:v>
                </c:pt>
                <c:pt idx="9">
                  <c:v>1446</c:v>
                </c:pt>
                <c:pt idx="10">
                  <c:v>1438.5</c:v>
                </c:pt>
                <c:pt idx="11">
                  <c:v>1428</c:v>
                </c:pt>
                <c:pt idx="12">
                  <c:v>1416</c:v>
                </c:pt>
                <c:pt idx="13">
                  <c:v>1402.5</c:v>
                </c:pt>
                <c:pt idx="14">
                  <c:v>1339.5</c:v>
                </c:pt>
                <c:pt idx="15">
                  <c:v>1267.5</c:v>
                </c:pt>
                <c:pt idx="16">
                  <c:v>1189.5</c:v>
                </c:pt>
                <c:pt idx="17">
                  <c:v>1110</c:v>
                </c:pt>
                <c:pt idx="18">
                  <c:v>1027.5</c:v>
                </c:pt>
                <c:pt idx="19">
                  <c:v>945</c:v>
                </c:pt>
                <c:pt idx="20">
                  <c:v>859.5</c:v>
                </c:pt>
                <c:pt idx="21">
                  <c:v>775.5</c:v>
                </c:pt>
                <c:pt idx="22">
                  <c:v>688.5</c:v>
                </c:pt>
                <c:pt idx="23">
                  <c:v>603</c:v>
                </c:pt>
                <c:pt idx="24">
                  <c:v>516</c:v>
                </c:pt>
                <c:pt idx="25">
                  <c:v>429</c:v>
                </c:pt>
                <c:pt idx="26">
                  <c:v>342</c:v>
                </c:pt>
                <c:pt idx="27">
                  <c:v>255</c:v>
                </c:pt>
                <c:pt idx="28">
                  <c:v>168</c:v>
                </c:pt>
                <c:pt idx="29">
                  <c:v>81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D6-46F4-99E6-0DAC5EDF0C76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xx!$G$18:$G$52</c:f>
              <c:numCache>
                <c:formatCode>0.000</c:formatCode>
                <c:ptCount val="35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4.5</c:v>
                </c:pt>
                <c:pt idx="15">
                  <c:v>5.5</c:v>
                </c:pt>
                <c:pt idx="16">
                  <c:v>6.5</c:v>
                </c:pt>
                <c:pt idx="17">
                  <c:v>7.5</c:v>
                </c:pt>
                <c:pt idx="18">
                  <c:v>8.5</c:v>
                </c:pt>
                <c:pt idx="19">
                  <c:v>9.5</c:v>
                </c:pt>
                <c:pt idx="20">
                  <c:v>10.5</c:v>
                </c:pt>
                <c:pt idx="21">
                  <c:v>11.5</c:v>
                </c:pt>
                <c:pt idx="22">
                  <c:v>12.5</c:v>
                </c:pt>
                <c:pt idx="23">
                  <c:v>13.5</c:v>
                </c:pt>
                <c:pt idx="24">
                  <c:v>14.5</c:v>
                </c:pt>
                <c:pt idx="25">
                  <c:v>15.5</c:v>
                </c:pt>
                <c:pt idx="26">
                  <c:v>16.5</c:v>
                </c:pt>
                <c:pt idx="27">
                  <c:v>17.5</c:v>
                </c:pt>
                <c:pt idx="28">
                  <c:v>18.5</c:v>
                </c:pt>
                <c:pt idx="29">
                  <c:v>19.5</c:v>
                </c:pt>
                <c:pt idx="30">
                  <c:v>20.5</c:v>
                </c:pt>
                <c:pt idx="31">
                  <c:v>21.5</c:v>
                </c:pt>
                <c:pt idx="32">
                  <c:v>22.5</c:v>
                </c:pt>
                <c:pt idx="33">
                  <c:v>23.5</c:v>
                </c:pt>
                <c:pt idx="34">
                  <c:v>24.5</c:v>
                </c:pt>
              </c:numCache>
            </c:numRef>
          </c:xVal>
          <c:yVal>
            <c:numRef>
              <c:f>xx!$K$18:$K$52</c:f>
              <c:numCache>
                <c:formatCode>0.00</c:formatCode>
                <c:ptCount val="35"/>
                <c:pt idx="0">
                  <c:v>1282.5</c:v>
                </c:pt>
                <c:pt idx="1">
                  <c:v>1693.5</c:v>
                </c:pt>
                <c:pt idx="2">
                  <c:v>1888.5</c:v>
                </c:pt>
                <c:pt idx="3">
                  <c:v>1996.5</c:v>
                </c:pt>
                <c:pt idx="4">
                  <c:v>2059.5</c:v>
                </c:pt>
                <c:pt idx="5">
                  <c:v>2100</c:v>
                </c:pt>
                <c:pt idx="6">
                  <c:v>2124</c:v>
                </c:pt>
                <c:pt idx="7">
                  <c:v>2137.5</c:v>
                </c:pt>
                <c:pt idx="8">
                  <c:v>2143.5</c:v>
                </c:pt>
                <c:pt idx="9">
                  <c:v>2145</c:v>
                </c:pt>
                <c:pt idx="10">
                  <c:v>2143.5</c:v>
                </c:pt>
                <c:pt idx="11">
                  <c:v>2137.5</c:v>
                </c:pt>
                <c:pt idx="12">
                  <c:v>2130</c:v>
                </c:pt>
                <c:pt idx="13">
                  <c:v>2119.5</c:v>
                </c:pt>
                <c:pt idx="14">
                  <c:v>2067</c:v>
                </c:pt>
                <c:pt idx="15">
                  <c:v>2002.5</c:v>
                </c:pt>
                <c:pt idx="16">
                  <c:v>1930.5</c:v>
                </c:pt>
                <c:pt idx="17">
                  <c:v>1854</c:v>
                </c:pt>
                <c:pt idx="18">
                  <c:v>1776</c:v>
                </c:pt>
                <c:pt idx="19">
                  <c:v>1695</c:v>
                </c:pt>
                <c:pt idx="20">
                  <c:v>1612.5</c:v>
                </c:pt>
                <c:pt idx="21">
                  <c:v>1528.5</c:v>
                </c:pt>
                <c:pt idx="22">
                  <c:v>1444.5</c:v>
                </c:pt>
                <c:pt idx="23">
                  <c:v>1360.5</c:v>
                </c:pt>
                <c:pt idx="24">
                  <c:v>1275</c:v>
                </c:pt>
                <c:pt idx="25">
                  <c:v>1189.5</c:v>
                </c:pt>
                <c:pt idx="26">
                  <c:v>1102.5</c:v>
                </c:pt>
                <c:pt idx="27">
                  <c:v>1017</c:v>
                </c:pt>
                <c:pt idx="28">
                  <c:v>930</c:v>
                </c:pt>
                <c:pt idx="29">
                  <c:v>843</c:v>
                </c:pt>
                <c:pt idx="30">
                  <c:v>756</c:v>
                </c:pt>
                <c:pt idx="31">
                  <c:v>669</c:v>
                </c:pt>
                <c:pt idx="32">
                  <c:v>582</c:v>
                </c:pt>
                <c:pt idx="33">
                  <c:v>495</c:v>
                </c:pt>
                <c:pt idx="34">
                  <c:v>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CB-4ACC-9C86-CF880BC20D7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xx!$G$18:$G$52</c:f>
              <c:numCache>
                <c:formatCode>0.000</c:formatCode>
                <c:ptCount val="35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4.5</c:v>
                </c:pt>
                <c:pt idx="15">
                  <c:v>5.5</c:v>
                </c:pt>
                <c:pt idx="16">
                  <c:v>6.5</c:v>
                </c:pt>
                <c:pt idx="17">
                  <c:v>7.5</c:v>
                </c:pt>
                <c:pt idx="18">
                  <c:v>8.5</c:v>
                </c:pt>
                <c:pt idx="19">
                  <c:v>9.5</c:v>
                </c:pt>
                <c:pt idx="20">
                  <c:v>10.5</c:v>
                </c:pt>
                <c:pt idx="21">
                  <c:v>11.5</c:v>
                </c:pt>
                <c:pt idx="22">
                  <c:v>12.5</c:v>
                </c:pt>
                <c:pt idx="23">
                  <c:v>13.5</c:v>
                </c:pt>
                <c:pt idx="24">
                  <c:v>14.5</c:v>
                </c:pt>
                <c:pt idx="25">
                  <c:v>15.5</c:v>
                </c:pt>
                <c:pt idx="26">
                  <c:v>16.5</c:v>
                </c:pt>
                <c:pt idx="27">
                  <c:v>17.5</c:v>
                </c:pt>
                <c:pt idx="28">
                  <c:v>18.5</c:v>
                </c:pt>
                <c:pt idx="29">
                  <c:v>19.5</c:v>
                </c:pt>
                <c:pt idx="30">
                  <c:v>20.5</c:v>
                </c:pt>
                <c:pt idx="31">
                  <c:v>21.5</c:v>
                </c:pt>
                <c:pt idx="32">
                  <c:v>22.5</c:v>
                </c:pt>
                <c:pt idx="33">
                  <c:v>23.5</c:v>
                </c:pt>
                <c:pt idx="34">
                  <c:v>24.5</c:v>
                </c:pt>
              </c:numCache>
            </c:numRef>
          </c:xVal>
          <c:yVal>
            <c:numRef>
              <c:f>xx!$L$18:$L$52</c:f>
              <c:numCache>
                <c:formatCode>0.00</c:formatCode>
                <c:ptCount val="35"/>
                <c:pt idx="0">
                  <c:v>1668</c:v>
                </c:pt>
                <c:pt idx="1">
                  <c:v>2205</c:v>
                </c:pt>
                <c:pt idx="2">
                  <c:v>2461.5</c:v>
                </c:pt>
                <c:pt idx="3">
                  <c:v>2607</c:v>
                </c:pt>
                <c:pt idx="4">
                  <c:v>2695.5</c:v>
                </c:pt>
                <c:pt idx="5">
                  <c:v>2754</c:v>
                </c:pt>
                <c:pt idx="6">
                  <c:v>2791.5</c:v>
                </c:pt>
                <c:pt idx="7">
                  <c:v>2815.5</c:v>
                </c:pt>
                <c:pt idx="8">
                  <c:v>2830.5</c:v>
                </c:pt>
                <c:pt idx="9">
                  <c:v>2838</c:v>
                </c:pt>
                <c:pt idx="10">
                  <c:v>2841</c:v>
                </c:pt>
                <c:pt idx="11">
                  <c:v>2841</c:v>
                </c:pt>
                <c:pt idx="12">
                  <c:v>2836.5</c:v>
                </c:pt>
                <c:pt idx="13">
                  <c:v>2830.5</c:v>
                </c:pt>
                <c:pt idx="14">
                  <c:v>2788.5</c:v>
                </c:pt>
                <c:pt idx="15">
                  <c:v>2731.5</c:v>
                </c:pt>
                <c:pt idx="16">
                  <c:v>2664</c:v>
                </c:pt>
                <c:pt idx="17">
                  <c:v>2592</c:v>
                </c:pt>
                <c:pt idx="18">
                  <c:v>2515.5</c:v>
                </c:pt>
                <c:pt idx="19">
                  <c:v>2437.5</c:v>
                </c:pt>
                <c:pt idx="20">
                  <c:v>2358</c:v>
                </c:pt>
                <c:pt idx="21">
                  <c:v>2275.5</c:v>
                </c:pt>
                <c:pt idx="22">
                  <c:v>2193</c:v>
                </c:pt>
                <c:pt idx="23">
                  <c:v>2109</c:v>
                </c:pt>
                <c:pt idx="24">
                  <c:v>2025</c:v>
                </c:pt>
                <c:pt idx="25">
                  <c:v>1941</c:v>
                </c:pt>
                <c:pt idx="26">
                  <c:v>1855.5</c:v>
                </c:pt>
                <c:pt idx="27">
                  <c:v>1770</c:v>
                </c:pt>
                <c:pt idx="28">
                  <c:v>1684.5</c:v>
                </c:pt>
                <c:pt idx="29">
                  <c:v>1599</c:v>
                </c:pt>
                <c:pt idx="30">
                  <c:v>1512</c:v>
                </c:pt>
                <c:pt idx="31">
                  <c:v>1426.5</c:v>
                </c:pt>
                <c:pt idx="32">
                  <c:v>1339.5</c:v>
                </c:pt>
                <c:pt idx="33">
                  <c:v>1252.5</c:v>
                </c:pt>
                <c:pt idx="34">
                  <c:v>1165.5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CB-4ACC-9C86-CF880BC20D7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xx!$G$18:$G$52</c:f>
              <c:numCache>
                <c:formatCode>0.000</c:formatCode>
                <c:ptCount val="35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4.5</c:v>
                </c:pt>
                <c:pt idx="15">
                  <c:v>5.5</c:v>
                </c:pt>
                <c:pt idx="16">
                  <c:v>6.5</c:v>
                </c:pt>
                <c:pt idx="17">
                  <c:v>7.5</c:v>
                </c:pt>
                <c:pt idx="18">
                  <c:v>8.5</c:v>
                </c:pt>
                <c:pt idx="19">
                  <c:v>9.5</c:v>
                </c:pt>
                <c:pt idx="20">
                  <c:v>10.5</c:v>
                </c:pt>
                <c:pt idx="21">
                  <c:v>11.5</c:v>
                </c:pt>
                <c:pt idx="22">
                  <c:v>12.5</c:v>
                </c:pt>
                <c:pt idx="23">
                  <c:v>13.5</c:v>
                </c:pt>
                <c:pt idx="24">
                  <c:v>14.5</c:v>
                </c:pt>
                <c:pt idx="25">
                  <c:v>15.5</c:v>
                </c:pt>
                <c:pt idx="26">
                  <c:v>16.5</c:v>
                </c:pt>
                <c:pt idx="27">
                  <c:v>17.5</c:v>
                </c:pt>
                <c:pt idx="28">
                  <c:v>18.5</c:v>
                </c:pt>
                <c:pt idx="29">
                  <c:v>19.5</c:v>
                </c:pt>
                <c:pt idx="30">
                  <c:v>20.5</c:v>
                </c:pt>
                <c:pt idx="31">
                  <c:v>21.5</c:v>
                </c:pt>
                <c:pt idx="32">
                  <c:v>22.5</c:v>
                </c:pt>
                <c:pt idx="33">
                  <c:v>23.5</c:v>
                </c:pt>
                <c:pt idx="34">
                  <c:v>24.5</c:v>
                </c:pt>
              </c:numCache>
            </c:numRef>
          </c:xVal>
          <c:yVal>
            <c:numRef>
              <c:f>xx!$M$18:$M$52</c:f>
              <c:numCache>
                <c:formatCode>0.00</c:formatCode>
                <c:ptCount val="35"/>
                <c:pt idx="0">
                  <c:v>2052</c:v>
                </c:pt>
                <c:pt idx="1">
                  <c:v>2713.5</c:v>
                </c:pt>
                <c:pt idx="2">
                  <c:v>3031.5</c:v>
                </c:pt>
                <c:pt idx="3">
                  <c:v>3213</c:v>
                </c:pt>
                <c:pt idx="4">
                  <c:v>3327</c:v>
                </c:pt>
                <c:pt idx="5">
                  <c:v>3402</c:v>
                </c:pt>
                <c:pt idx="6">
                  <c:v>3451.5</c:v>
                </c:pt>
                <c:pt idx="7">
                  <c:v>3486</c:v>
                </c:pt>
                <c:pt idx="8">
                  <c:v>3510</c:v>
                </c:pt>
                <c:pt idx="9">
                  <c:v>3525</c:v>
                </c:pt>
                <c:pt idx="10">
                  <c:v>3532.5</c:v>
                </c:pt>
                <c:pt idx="11">
                  <c:v>3537</c:v>
                </c:pt>
                <c:pt idx="12">
                  <c:v>3537</c:v>
                </c:pt>
                <c:pt idx="13">
                  <c:v>3535.5</c:v>
                </c:pt>
                <c:pt idx="14">
                  <c:v>3504</c:v>
                </c:pt>
                <c:pt idx="15">
                  <c:v>3453</c:v>
                </c:pt>
                <c:pt idx="16">
                  <c:v>3391.5</c:v>
                </c:pt>
                <c:pt idx="17">
                  <c:v>3322.5</c:v>
                </c:pt>
                <c:pt idx="18">
                  <c:v>3249</c:v>
                </c:pt>
                <c:pt idx="19">
                  <c:v>3174</c:v>
                </c:pt>
                <c:pt idx="20">
                  <c:v>3094.5</c:v>
                </c:pt>
                <c:pt idx="21">
                  <c:v>3015</c:v>
                </c:pt>
                <c:pt idx="22">
                  <c:v>2934</c:v>
                </c:pt>
                <c:pt idx="23">
                  <c:v>2851.5</c:v>
                </c:pt>
                <c:pt idx="24">
                  <c:v>2769</c:v>
                </c:pt>
                <c:pt idx="25">
                  <c:v>2685</c:v>
                </c:pt>
                <c:pt idx="26">
                  <c:v>2601</c:v>
                </c:pt>
                <c:pt idx="27">
                  <c:v>2517</c:v>
                </c:pt>
                <c:pt idx="28">
                  <c:v>2431.5</c:v>
                </c:pt>
                <c:pt idx="29">
                  <c:v>2346</c:v>
                </c:pt>
                <c:pt idx="30">
                  <c:v>2260.5</c:v>
                </c:pt>
                <c:pt idx="31">
                  <c:v>2175</c:v>
                </c:pt>
                <c:pt idx="32">
                  <c:v>2089.5</c:v>
                </c:pt>
                <c:pt idx="33">
                  <c:v>2004</c:v>
                </c:pt>
                <c:pt idx="34">
                  <c:v>1917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ACB-4ACC-9C86-CF880BC20D7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xx!$G$18:$G$52</c:f>
              <c:numCache>
                <c:formatCode>0.000</c:formatCode>
                <c:ptCount val="35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4.5</c:v>
                </c:pt>
                <c:pt idx="15">
                  <c:v>5.5</c:v>
                </c:pt>
                <c:pt idx="16">
                  <c:v>6.5</c:v>
                </c:pt>
                <c:pt idx="17">
                  <c:v>7.5</c:v>
                </c:pt>
                <c:pt idx="18">
                  <c:v>8.5</c:v>
                </c:pt>
                <c:pt idx="19">
                  <c:v>9.5</c:v>
                </c:pt>
                <c:pt idx="20">
                  <c:v>10.5</c:v>
                </c:pt>
                <c:pt idx="21">
                  <c:v>11.5</c:v>
                </c:pt>
                <c:pt idx="22">
                  <c:v>12.5</c:v>
                </c:pt>
                <c:pt idx="23">
                  <c:v>13.5</c:v>
                </c:pt>
                <c:pt idx="24">
                  <c:v>14.5</c:v>
                </c:pt>
                <c:pt idx="25">
                  <c:v>15.5</c:v>
                </c:pt>
                <c:pt idx="26">
                  <c:v>16.5</c:v>
                </c:pt>
                <c:pt idx="27">
                  <c:v>17.5</c:v>
                </c:pt>
                <c:pt idx="28">
                  <c:v>18.5</c:v>
                </c:pt>
                <c:pt idx="29">
                  <c:v>19.5</c:v>
                </c:pt>
                <c:pt idx="30">
                  <c:v>20.5</c:v>
                </c:pt>
                <c:pt idx="31">
                  <c:v>21.5</c:v>
                </c:pt>
                <c:pt idx="32">
                  <c:v>22.5</c:v>
                </c:pt>
                <c:pt idx="33">
                  <c:v>23.5</c:v>
                </c:pt>
                <c:pt idx="34">
                  <c:v>24.5</c:v>
                </c:pt>
              </c:numCache>
            </c:numRef>
          </c:xVal>
          <c:yVal>
            <c:numRef>
              <c:f>xx!$N$18:$N$52</c:f>
              <c:numCache>
                <c:formatCode>0.00</c:formatCode>
                <c:ptCount val="35"/>
                <c:pt idx="0">
                  <c:v>2433</c:v>
                </c:pt>
                <c:pt idx="1">
                  <c:v>3217.5</c:v>
                </c:pt>
                <c:pt idx="2">
                  <c:v>3597</c:v>
                </c:pt>
                <c:pt idx="3">
                  <c:v>3814.5</c:v>
                </c:pt>
                <c:pt idx="4">
                  <c:v>3952.5</c:v>
                </c:pt>
                <c:pt idx="5">
                  <c:v>4044</c:v>
                </c:pt>
                <c:pt idx="6">
                  <c:v>4107</c:v>
                </c:pt>
                <c:pt idx="7">
                  <c:v>4152</c:v>
                </c:pt>
                <c:pt idx="8">
                  <c:v>4183.5</c:v>
                </c:pt>
                <c:pt idx="9">
                  <c:v>4204.5</c:v>
                </c:pt>
                <c:pt idx="10">
                  <c:v>4219.5</c:v>
                </c:pt>
                <c:pt idx="11">
                  <c:v>4227</c:v>
                </c:pt>
                <c:pt idx="12">
                  <c:v>4231.5</c:v>
                </c:pt>
                <c:pt idx="13">
                  <c:v>4233</c:v>
                </c:pt>
                <c:pt idx="14">
                  <c:v>4212</c:v>
                </c:pt>
                <c:pt idx="15">
                  <c:v>4167</c:v>
                </c:pt>
                <c:pt idx="16">
                  <c:v>4110</c:v>
                </c:pt>
                <c:pt idx="17">
                  <c:v>4045.5</c:v>
                </c:pt>
                <c:pt idx="18">
                  <c:v>3975</c:v>
                </c:pt>
                <c:pt idx="19">
                  <c:v>3901.5</c:v>
                </c:pt>
                <c:pt idx="20">
                  <c:v>3825</c:v>
                </c:pt>
                <c:pt idx="21">
                  <c:v>3747</c:v>
                </c:pt>
                <c:pt idx="22">
                  <c:v>3667.5</c:v>
                </c:pt>
                <c:pt idx="23">
                  <c:v>3586.5</c:v>
                </c:pt>
                <c:pt idx="24">
                  <c:v>3505.5</c:v>
                </c:pt>
                <c:pt idx="25">
                  <c:v>3423</c:v>
                </c:pt>
                <c:pt idx="26">
                  <c:v>3339</c:v>
                </c:pt>
                <c:pt idx="27">
                  <c:v>3256.5</c:v>
                </c:pt>
                <c:pt idx="28">
                  <c:v>3171</c:v>
                </c:pt>
                <c:pt idx="29">
                  <c:v>3087</c:v>
                </c:pt>
                <c:pt idx="30">
                  <c:v>3003</c:v>
                </c:pt>
                <c:pt idx="31">
                  <c:v>2917.5</c:v>
                </c:pt>
                <c:pt idx="32">
                  <c:v>2832</c:v>
                </c:pt>
                <c:pt idx="33">
                  <c:v>2746.5</c:v>
                </c:pt>
                <c:pt idx="34">
                  <c:v>2661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ACB-4ACC-9C86-CF880BC20D7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xx!$G$18:$G$52</c:f>
              <c:numCache>
                <c:formatCode>0.000</c:formatCode>
                <c:ptCount val="35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4.5</c:v>
                </c:pt>
                <c:pt idx="15">
                  <c:v>5.5</c:v>
                </c:pt>
                <c:pt idx="16">
                  <c:v>6.5</c:v>
                </c:pt>
                <c:pt idx="17">
                  <c:v>7.5</c:v>
                </c:pt>
                <c:pt idx="18">
                  <c:v>8.5</c:v>
                </c:pt>
                <c:pt idx="19">
                  <c:v>9.5</c:v>
                </c:pt>
                <c:pt idx="20">
                  <c:v>10.5</c:v>
                </c:pt>
                <c:pt idx="21">
                  <c:v>11.5</c:v>
                </c:pt>
                <c:pt idx="22">
                  <c:v>12.5</c:v>
                </c:pt>
                <c:pt idx="23">
                  <c:v>13.5</c:v>
                </c:pt>
                <c:pt idx="24">
                  <c:v>14.5</c:v>
                </c:pt>
                <c:pt idx="25">
                  <c:v>15.5</c:v>
                </c:pt>
                <c:pt idx="26">
                  <c:v>16.5</c:v>
                </c:pt>
                <c:pt idx="27">
                  <c:v>17.5</c:v>
                </c:pt>
                <c:pt idx="28">
                  <c:v>18.5</c:v>
                </c:pt>
                <c:pt idx="29">
                  <c:v>19.5</c:v>
                </c:pt>
                <c:pt idx="30">
                  <c:v>20.5</c:v>
                </c:pt>
                <c:pt idx="31">
                  <c:v>21.5</c:v>
                </c:pt>
                <c:pt idx="32">
                  <c:v>22.5</c:v>
                </c:pt>
                <c:pt idx="33">
                  <c:v>23.5</c:v>
                </c:pt>
                <c:pt idx="34">
                  <c:v>24.5</c:v>
                </c:pt>
              </c:numCache>
            </c:numRef>
          </c:xVal>
          <c:yVal>
            <c:numRef>
              <c:f>xx!$O$18:$O$52</c:f>
              <c:numCache>
                <c:formatCode>0.00</c:formatCode>
                <c:ptCount val="35"/>
                <c:pt idx="0">
                  <c:v>2812.5</c:v>
                </c:pt>
                <c:pt idx="1">
                  <c:v>3718.5</c:v>
                </c:pt>
                <c:pt idx="2">
                  <c:v>4156.5</c:v>
                </c:pt>
                <c:pt idx="3">
                  <c:v>4411.5</c:v>
                </c:pt>
                <c:pt idx="4">
                  <c:v>4572</c:v>
                </c:pt>
                <c:pt idx="5">
                  <c:v>4681.5</c:v>
                </c:pt>
                <c:pt idx="6">
                  <c:v>4758</c:v>
                </c:pt>
                <c:pt idx="7">
                  <c:v>4812</c:v>
                </c:pt>
                <c:pt idx="8">
                  <c:v>4851</c:v>
                </c:pt>
                <c:pt idx="9">
                  <c:v>4878</c:v>
                </c:pt>
                <c:pt idx="10">
                  <c:v>4897.5</c:v>
                </c:pt>
                <c:pt idx="11">
                  <c:v>4911</c:v>
                </c:pt>
                <c:pt idx="12">
                  <c:v>4920</c:v>
                </c:pt>
                <c:pt idx="13">
                  <c:v>4923</c:v>
                </c:pt>
                <c:pt idx="14">
                  <c:v>4912.5</c:v>
                </c:pt>
                <c:pt idx="15">
                  <c:v>4875</c:v>
                </c:pt>
                <c:pt idx="16">
                  <c:v>4824</c:v>
                </c:pt>
                <c:pt idx="17">
                  <c:v>4762.5</c:v>
                </c:pt>
                <c:pt idx="18">
                  <c:v>4695</c:v>
                </c:pt>
                <c:pt idx="19">
                  <c:v>4623</c:v>
                </c:pt>
                <c:pt idx="20">
                  <c:v>4549.5</c:v>
                </c:pt>
                <c:pt idx="21">
                  <c:v>4473</c:v>
                </c:pt>
                <c:pt idx="22">
                  <c:v>4395</c:v>
                </c:pt>
                <c:pt idx="23">
                  <c:v>4314</c:v>
                </c:pt>
                <c:pt idx="24">
                  <c:v>4234.5</c:v>
                </c:pt>
                <c:pt idx="25">
                  <c:v>4152</c:v>
                </c:pt>
                <c:pt idx="26">
                  <c:v>4071</c:v>
                </c:pt>
                <c:pt idx="27">
                  <c:v>3987</c:v>
                </c:pt>
                <c:pt idx="28">
                  <c:v>3904.5</c:v>
                </c:pt>
                <c:pt idx="29">
                  <c:v>3820.5</c:v>
                </c:pt>
                <c:pt idx="30">
                  <c:v>3736.5</c:v>
                </c:pt>
                <c:pt idx="31">
                  <c:v>3652.5</c:v>
                </c:pt>
                <c:pt idx="32">
                  <c:v>3567</c:v>
                </c:pt>
                <c:pt idx="33">
                  <c:v>3483</c:v>
                </c:pt>
                <c:pt idx="34">
                  <c:v>3397.5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D7-4E53-B0B0-C18028204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4070240"/>
        <c:axId val="1270691360"/>
      </c:scatterChart>
      <c:valAx>
        <c:axId val="1454070240"/>
        <c:scaling>
          <c:orientation val="minMax"/>
          <c:max val="3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Drive speed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0691360"/>
        <c:crosses val="autoZero"/>
        <c:crossBetween val="midCat"/>
      </c:valAx>
      <c:valAx>
        <c:axId val="1270691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drilling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070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drill depth with battery capacity</a:t>
            </a:r>
          </a:p>
        </c:rich>
      </c:tx>
      <c:layout>
        <c:manualLayout>
          <c:xMode val="edge"/>
          <c:yMode val="edge"/>
          <c:x val="0.10297612798400201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xx!$P$18:$P$52</c:f>
              <c:numCache>
                <c:formatCode>0</c:formatCode>
                <c:ptCount val="35"/>
                <c:pt idx="0">
                  <c:v>21600</c:v>
                </c:pt>
                <c:pt idx="1">
                  <c:v>43200</c:v>
                </c:pt>
                <c:pt idx="2">
                  <c:v>64800</c:v>
                </c:pt>
                <c:pt idx="3">
                  <c:v>86400</c:v>
                </c:pt>
                <c:pt idx="4">
                  <c:v>108000</c:v>
                </c:pt>
                <c:pt idx="5">
                  <c:v>129600</c:v>
                </c:pt>
                <c:pt idx="6">
                  <c:v>151200</c:v>
                </c:pt>
                <c:pt idx="7">
                  <c:v>172800</c:v>
                </c:pt>
                <c:pt idx="8">
                  <c:v>194400</c:v>
                </c:pt>
                <c:pt idx="9">
                  <c:v>216000</c:v>
                </c:pt>
                <c:pt idx="10">
                  <c:v>237600</c:v>
                </c:pt>
                <c:pt idx="11">
                  <c:v>259200</c:v>
                </c:pt>
                <c:pt idx="12">
                  <c:v>280800</c:v>
                </c:pt>
                <c:pt idx="13">
                  <c:v>302400</c:v>
                </c:pt>
                <c:pt idx="14">
                  <c:v>324000</c:v>
                </c:pt>
                <c:pt idx="15">
                  <c:v>345600</c:v>
                </c:pt>
                <c:pt idx="16">
                  <c:v>367200</c:v>
                </c:pt>
                <c:pt idx="17">
                  <c:v>388800</c:v>
                </c:pt>
                <c:pt idx="18">
                  <c:v>410400</c:v>
                </c:pt>
                <c:pt idx="19">
                  <c:v>432000</c:v>
                </c:pt>
                <c:pt idx="20">
                  <c:v>453600</c:v>
                </c:pt>
                <c:pt idx="21">
                  <c:v>475200</c:v>
                </c:pt>
                <c:pt idx="22">
                  <c:v>496800</c:v>
                </c:pt>
                <c:pt idx="23">
                  <c:v>518400</c:v>
                </c:pt>
                <c:pt idx="24">
                  <c:v>540000</c:v>
                </c:pt>
                <c:pt idx="25">
                  <c:v>561600</c:v>
                </c:pt>
                <c:pt idx="26">
                  <c:v>583200</c:v>
                </c:pt>
                <c:pt idx="27">
                  <c:v>604800</c:v>
                </c:pt>
                <c:pt idx="28">
                  <c:v>626400</c:v>
                </c:pt>
                <c:pt idx="29">
                  <c:v>648000</c:v>
                </c:pt>
                <c:pt idx="30">
                  <c:v>669600</c:v>
                </c:pt>
                <c:pt idx="31">
                  <c:v>691200</c:v>
                </c:pt>
                <c:pt idx="32">
                  <c:v>712800</c:v>
                </c:pt>
                <c:pt idx="33">
                  <c:v>734400</c:v>
                </c:pt>
                <c:pt idx="34">
                  <c:v>756000</c:v>
                </c:pt>
              </c:numCache>
            </c:numRef>
          </c:xVal>
          <c:yVal>
            <c:numRef>
              <c:f>xx!$U$18:$U$52</c:f>
              <c:numCache>
                <c:formatCode>0.00</c:formatCode>
                <c:ptCount val="35"/>
                <c:pt idx="0">
                  <c:v>0</c:v>
                </c:pt>
                <c:pt idx="1">
                  <c:v>471</c:v>
                </c:pt>
                <c:pt idx="2">
                  <c:v>1431</c:v>
                </c:pt>
                <c:pt idx="3">
                  <c:v>2377.5</c:v>
                </c:pt>
                <c:pt idx="4">
                  <c:v>3315</c:v>
                </c:pt>
                <c:pt idx="5">
                  <c:v>4242</c:v>
                </c:pt>
                <c:pt idx="6">
                  <c:v>5158.5</c:v>
                </c:pt>
                <c:pt idx="7">
                  <c:v>6063</c:v>
                </c:pt>
                <c:pt idx="8">
                  <c:v>6960</c:v>
                </c:pt>
                <c:pt idx="9">
                  <c:v>7845</c:v>
                </c:pt>
                <c:pt idx="10">
                  <c:v>8722.5</c:v>
                </c:pt>
                <c:pt idx="11">
                  <c:v>9588</c:v>
                </c:pt>
                <c:pt idx="12">
                  <c:v>10446</c:v>
                </c:pt>
                <c:pt idx="13">
                  <c:v>11293.5</c:v>
                </c:pt>
                <c:pt idx="14">
                  <c:v>12133.5</c:v>
                </c:pt>
                <c:pt idx="15">
                  <c:v>12963</c:v>
                </c:pt>
                <c:pt idx="16">
                  <c:v>13783.5</c:v>
                </c:pt>
                <c:pt idx="17">
                  <c:v>14596.5</c:v>
                </c:pt>
                <c:pt idx="18">
                  <c:v>15400.5</c:v>
                </c:pt>
                <c:pt idx="19">
                  <c:v>16197</c:v>
                </c:pt>
                <c:pt idx="20">
                  <c:v>16984.5</c:v>
                </c:pt>
                <c:pt idx="21">
                  <c:v>17763</c:v>
                </c:pt>
                <c:pt idx="22">
                  <c:v>18534</c:v>
                </c:pt>
                <c:pt idx="23">
                  <c:v>19297.5</c:v>
                </c:pt>
                <c:pt idx="24">
                  <c:v>20053.5</c:v>
                </c:pt>
                <c:pt idx="25">
                  <c:v>20800.5</c:v>
                </c:pt>
                <c:pt idx="26">
                  <c:v>21541.5</c:v>
                </c:pt>
                <c:pt idx="27">
                  <c:v>22275</c:v>
                </c:pt>
                <c:pt idx="28">
                  <c:v>22999.5</c:v>
                </c:pt>
                <c:pt idx="29">
                  <c:v>23718</c:v>
                </c:pt>
                <c:pt idx="30">
                  <c:v>24430.5</c:v>
                </c:pt>
                <c:pt idx="31">
                  <c:v>25134</c:v>
                </c:pt>
                <c:pt idx="32">
                  <c:v>25831.5</c:v>
                </c:pt>
                <c:pt idx="33">
                  <c:v>26523</c:v>
                </c:pt>
                <c:pt idx="34">
                  <c:v>27207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C8-48A5-BFE4-FD25D970C39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xx!$P$18:$P$52</c:f>
              <c:numCache>
                <c:formatCode>0</c:formatCode>
                <c:ptCount val="35"/>
                <c:pt idx="0">
                  <c:v>21600</c:v>
                </c:pt>
                <c:pt idx="1">
                  <c:v>43200</c:v>
                </c:pt>
                <c:pt idx="2">
                  <c:v>64800</c:v>
                </c:pt>
                <c:pt idx="3">
                  <c:v>86400</c:v>
                </c:pt>
                <c:pt idx="4">
                  <c:v>108000</c:v>
                </c:pt>
                <c:pt idx="5">
                  <c:v>129600</c:v>
                </c:pt>
                <c:pt idx="6">
                  <c:v>151200</c:v>
                </c:pt>
                <c:pt idx="7">
                  <c:v>172800</c:v>
                </c:pt>
                <c:pt idx="8">
                  <c:v>194400</c:v>
                </c:pt>
                <c:pt idx="9">
                  <c:v>216000</c:v>
                </c:pt>
                <c:pt idx="10">
                  <c:v>237600</c:v>
                </c:pt>
                <c:pt idx="11">
                  <c:v>259200</c:v>
                </c:pt>
                <c:pt idx="12">
                  <c:v>280800</c:v>
                </c:pt>
                <c:pt idx="13">
                  <c:v>302400</c:v>
                </c:pt>
                <c:pt idx="14">
                  <c:v>324000</c:v>
                </c:pt>
                <c:pt idx="15">
                  <c:v>345600</c:v>
                </c:pt>
                <c:pt idx="16">
                  <c:v>367200</c:v>
                </c:pt>
                <c:pt idx="17">
                  <c:v>388800</c:v>
                </c:pt>
                <c:pt idx="18">
                  <c:v>410400</c:v>
                </c:pt>
                <c:pt idx="19">
                  <c:v>432000</c:v>
                </c:pt>
                <c:pt idx="20">
                  <c:v>453600</c:v>
                </c:pt>
                <c:pt idx="21">
                  <c:v>475200</c:v>
                </c:pt>
                <c:pt idx="22">
                  <c:v>496800</c:v>
                </c:pt>
                <c:pt idx="23">
                  <c:v>518400</c:v>
                </c:pt>
                <c:pt idx="24">
                  <c:v>540000</c:v>
                </c:pt>
                <c:pt idx="25">
                  <c:v>561600</c:v>
                </c:pt>
                <c:pt idx="26">
                  <c:v>583200</c:v>
                </c:pt>
                <c:pt idx="27">
                  <c:v>604800</c:v>
                </c:pt>
                <c:pt idx="28">
                  <c:v>626400</c:v>
                </c:pt>
                <c:pt idx="29">
                  <c:v>648000</c:v>
                </c:pt>
                <c:pt idx="30">
                  <c:v>669600</c:v>
                </c:pt>
                <c:pt idx="31">
                  <c:v>691200</c:v>
                </c:pt>
                <c:pt idx="32">
                  <c:v>712800</c:v>
                </c:pt>
                <c:pt idx="33">
                  <c:v>734400</c:v>
                </c:pt>
                <c:pt idx="34">
                  <c:v>756000</c:v>
                </c:pt>
              </c:numCache>
            </c:numRef>
          </c:xVal>
          <c:yVal>
            <c:numRef>
              <c:f>xx!$V$18:$V$52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711</c:v>
                </c:pt>
                <c:pt idx="3">
                  <c:v>1428</c:v>
                </c:pt>
                <c:pt idx="4">
                  <c:v>2137.5</c:v>
                </c:pt>
                <c:pt idx="5">
                  <c:v>2841</c:v>
                </c:pt>
                <c:pt idx="6">
                  <c:v>3537</c:v>
                </c:pt>
                <c:pt idx="7">
                  <c:v>4227</c:v>
                </c:pt>
                <c:pt idx="8">
                  <c:v>4911</c:v>
                </c:pt>
                <c:pt idx="9">
                  <c:v>5589</c:v>
                </c:pt>
                <c:pt idx="10">
                  <c:v>6261</c:v>
                </c:pt>
                <c:pt idx="11">
                  <c:v>6925.5</c:v>
                </c:pt>
                <c:pt idx="12">
                  <c:v>7585.5</c:v>
                </c:pt>
                <c:pt idx="13">
                  <c:v>8239.5</c:v>
                </c:pt>
                <c:pt idx="14">
                  <c:v>8886</c:v>
                </c:pt>
                <c:pt idx="15">
                  <c:v>9528</c:v>
                </c:pt>
                <c:pt idx="16">
                  <c:v>10164</c:v>
                </c:pt>
                <c:pt idx="17">
                  <c:v>10795.5</c:v>
                </c:pt>
                <c:pt idx="18">
                  <c:v>11421</c:v>
                </c:pt>
                <c:pt idx="19">
                  <c:v>12040.5</c:v>
                </c:pt>
                <c:pt idx="20">
                  <c:v>12654</c:v>
                </c:pt>
                <c:pt idx="21">
                  <c:v>13263</c:v>
                </c:pt>
                <c:pt idx="22">
                  <c:v>13867.5</c:v>
                </c:pt>
                <c:pt idx="23">
                  <c:v>14464.5</c:v>
                </c:pt>
                <c:pt idx="24">
                  <c:v>15058.5</c:v>
                </c:pt>
                <c:pt idx="25">
                  <c:v>15646.5</c:v>
                </c:pt>
                <c:pt idx="26">
                  <c:v>16230</c:v>
                </c:pt>
                <c:pt idx="27">
                  <c:v>16809</c:v>
                </c:pt>
                <c:pt idx="28">
                  <c:v>17382</c:v>
                </c:pt>
                <c:pt idx="29">
                  <c:v>17950.5</c:v>
                </c:pt>
                <c:pt idx="30">
                  <c:v>18514.5</c:v>
                </c:pt>
                <c:pt idx="31">
                  <c:v>19074</c:v>
                </c:pt>
                <c:pt idx="32">
                  <c:v>19629</c:v>
                </c:pt>
                <c:pt idx="33">
                  <c:v>20179.5</c:v>
                </c:pt>
                <c:pt idx="34">
                  <c:v>20725.5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C8-48A5-BFE4-FD25D970C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4299008"/>
        <c:axId val="1454298592"/>
      </c:scatterChart>
      <c:valAx>
        <c:axId val="1454299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Battery capacity (mAh)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298592"/>
        <c:crosses val="autoZero"/>
        <c:crossBetween val="midCat"/>
      </c:valAx>
      <c:valAx>
        <c:axId val="145429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299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8D5784D-70F0-4597-897E-8410B311D707}">
  <sheetPr/>
  <sheetViews>
    <sheetView zoomScale="8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505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63078AF-A31C-9507-1B63-950E80215FC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</xdr:colOff>
      <xdr:row>12</xdr:row>
      <xdr:rowOff>165100</xdr:rowOff>
    </xdr:from>
    <xdr:to>
      <xdr:col>5</xdr:col>
      <xdr:colOff>950913</xdr:colOff>
      <xdr:row>28</xdr:row>
      <xdr:rowOff>146050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F82EE9D-A956-4854-8C7D-52B6E94D70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120648</xdr:colOff>
      <xdr:row>31</xdr:row>
      <xdr:rowOff>136524</xdr:rowOff>
    </xdr:from>
    <xdr:to>
      <xdr:col>10</xdr:col>
      <xdr:colOff>215900</xdr:colOff>
      <xdr:row>50</xdr:row>
      <xdr:rowOff>139699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995B4B-D971-4C9F-8C14-2BCFAF9C87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577850</xdr:colOff>
      <xdr:row>42</xdr:row>
      <xdr:rowOff>85724</xdr:rowOff>
    </xdr:from>
    <xdr:to>
      <xdr:col>7</xdr:col>
      <xdr:colOff>3176</xdr:colOff>
      <xdr:row>61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F13745-E767-48D9-A60D-244FED0A14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887412</xdr:colOff>
      <xdr:row>33</xdr:row>
      <xdr:rowOff>85725</xdr:rowOff>
    </xdr:from>
    <xdr:to>
      <xdr:col>22</xdr:col>
      <xdr:colOff>6350</xdr:colOff>
      <xdr:row>52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55A26F0-6812-4242-90E8-EB7701DDFE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65087</xdr:colOff>
      <xdr:row>32</xdr:row>
      <xdr:rowOff>66673</xdr:rowOff>
    </xdr:from>
    <xdr:to>
      <xdr:col>13</xdr:col>
      <xdr:colOff>196850</xdr:colOff>
      <xdr:row>52</xdr:row>
      <xdr:rowOff>6349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45396D2-1643-438F-9FD2-371BB8E9AD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m Bowen" id="{1F4AFBF7-7748-4646-B6EF-79CEB027D0D2}" userId="5410f6a1c06a9589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5" dT="2021-07-26T13:42:05.34" personId="{1F4AFBF7-7748-4646-B6EF-79CEB027D0D2}" id="{3E4DDC08-3BAD-464C-B037-15155767C509}">
    <text>We can use this as a low-res just by reducing the resolution of the recorded image in memory.</text>
  </threadedComment>
  <threadedComment ref="B16" dT="2021-07-26T13:41:09.36" personId="{1F4AFBF7-7748-4646-B6EF-79CEB027D0D2}" id="{26E2053B-EC67-446E-875D-AB4E74D6C523}">
    <text>There will be a few</text>
  </threadedComment>
  <threadedComment ref="A26" dT="2021-07-26T13:46:08.88" personId="{1F4AFBF7-7748-4646-B6EF-79CEB027D0D2}" id="{3FEB35E2-FE6E-44D8-9532-0B358699BED7}">
    <text>WOD will likely be determined through drive train sensors</text>
  </threadedComment>
  <threadedComment ref="C30" dT="2021-07-26T14:02:54.26" personId="{1F4AFBF7-7748-4646-B6EF-79CEB027D0D2}" id="{CB5D3B55-0A0C-4F30-8758-69E66496A913}">
    <text>Primary load plus waste loads from pass-through devices</text>
  </threadedComment>
  <threadedComment ref="C31" dT="2021-07-26T14:03:24.77" personId="{1F4AFBF7-7748-4646-B6EF-79CEB027D0D2}" id="{5F7F28DE-92B2-484F-A577-3E757370780E}">
    <text>Primary loads plus waste from pass-through devices</text>
  </threadedComment>
  <threadedComment ref="C32" dT="2021-08-02T02:29:04.26" personId="{1F4AFBF7-7748-4646-B6EF-79CEB027D0D2}" id="{516126C3-F7BF-41F5-91E6-A1B329ACC964}">
    <text>Everything not drilling or driving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27474-A95D-47C0-A4FA-9A95704975EF}">
  <sheetPr codeName="Sheet10"/>
  <dimension ref="B2:V81"/>
  <sheetViews>
    <sheetView tabSelected="1" zoomScaleNormal="100" workbookViewId="0">
      <selection activeCell="C18" sqref="C18"/>
    </sheetView>
  </sheetViews>
  <sheetFormatPr defaultRowHeight="14.5" x14ac:dyDescent="0.35"/>
  <cols>
    <col min="1" max="1" width="1.81640625" customWidth="1"/>
    <col min="2" max="2" width="16.7265625" customWidth="1"/>
    <col min="3" max="3" width="11.453125" customWidth="1"/>
    <col min="4" max="5" width="10" customWidth="1"/>
    <col min="6" max="6" width="17.26953125" customWidth="1"/>
    <col min="7" max="7" width="10.453125" customWidth="1"/>
    <col min="8" max="8" width="13.54296875" customWidth="1"/>
    <col min="10" max="10" width="12.7265625" customWidth="1"/>
    <col min="11" max="11" width="14.1796875" customWidth="1"/>
    <col min="12" max="12" width="10.1796875" customWidth="1"/>
    <col min="15" max="15" width="11.81640625" bestFit="1" customWidth="1"/>
    <col min="18" max="18" width="10.26953125" customWidth="1"/>
    <col min="19" max="19" width="11.81640625" customWidth="1"/>
  </cols>
  <sheetData>
    <row r="2" spans="2:22" ht="23.5" x14ac:dyDescent="0.55000000000000004">
      <c r="B2" s="150" t="s">
        <v>80</v>
      </c>
      <c r="C2" s="150"/>
      <c r="D2" s="150"/>
      <c r="E2" s="150"/>
      <c r="F2" s="150"/>
    </row>
    <row r="4" spans="2:22" ht="15" thickBot="1" x14ac:dyDescent="0.4">
      <c r="B4" s="51" t="s">
        <v>66</v>
      </c>
      <c r="C4" s="31">
        <v>0.62</v>
      </c>
      <c r="D4" s="31" t="s">
        <v>8</v>
      </c>
      <c r="E4" s="3"/>
      <c r="F4" s="51" t="s">
        <v>71</v>
      </c>
      <c r="G4" s="3">
        <v>8</v>
      </c>
      <c r="H4" s="3" t="s">
        <v>4</v>
      </c>
      <c r="K4" s="51" t="s">
        <v>13</v>
      </c>
      <c r="L4" s="11">
        <v>12</v>
      </c>
      <c r="M4" s="3" t="s">
        <v>15</v>
      </c>
      <c r="Q4" t="s">
        <v>152</v>
      </c>
    </row>
    <row r="5" spans="2:22" ht="15" thickBot="1" x14ac:dyDescent="0.4">
      <c r="B5" s="109" t="s">
        <v>93</v>
      </c>
      <c r="C5" s="112">
        <v>200</v>
      </c>
      <c r="D5" s="113" t="s">
        <v>94</v>
      </c>
      <c r="F5" s="52" t="s">
        <v>111</v>
      </c>
      <c r="G5" s="52">
        <f>G7*G6</f>
        <v>900000</v>
      </c>
      <c r="H5" s="52" t="s">
        <v>22</v>
      </c>
      <c r="K5" s="51" t="s">
        <v>14</v>
      </c>
      <c r="L5" s="3">
        <f>Q13</f>
        <v>885416.66666666663</v>
      </c>
      <c r="M5" s="3" t="s">
        <v>0</v>
      </c>
      <c r="Q5">
        <f>L5/1000</f>
        <v>885.41666666666663</v>
      </c>
    </row>
    <row r="6" spans="2:22" x14ac:dyDescent="0.35">
      <c r="B6" s="52" t="s">
        <v>106</v>
      </c>
      <c r="C6" s="110">
        <f>C4*C5</f>
        <v>124</v>
      </c>
      <c r="D6" s="110" t="s">
        <v>105</v>
      </c>
      <c r="F6" s="51" t="s">
        <v>112</v>
      </c>
      <c r="G6" s="3">
        <v>3600</v>
      </c>
      <c r="H6" s="3" t="s">
        <v>20</v>
      </c>
      <c r="K6" s="51" t="s">
        <v>1</v>
      </c>
      <c r="L6" s="9">
        <v>-3.6000000000000001E-5</v>
      </c>
      <c r="M6" s="3" t="s">
        <v>3</v>
      </c>
      <c r="Q6">
        <f>Q5*L4</f>
        <v>10625</v>
      </c>
      <c r="R6" t="s">
        <v>153</v>
      </c>
    </row>
    <row r="7" spans="2:22" ht="15" thickBot="1" x14ac:dyDescent="0.4">
      <c r="B7" s="52" t="s">
        <v>115</v>
      </c>
      <c r="C7" s="114">
        <f>xxxxx!C32+G8</f>
        <v>49.679160600000003</v>
      </c>
      <c r="D7" s="115" t="s">
        <v>7</v>
      </c>
      <c r="F7" s="51" t="s">
        <v>110</v>
      </c>
      <c r="G7" s="117">
        <v>250</v>
      </c>
      <c r="H7" s="116" t="s">
        <v>59</v>
      </c>
      <c r="I7" s="118"/>
      <c r="K7" s="51" t="s">
        <v>2</v>
      </c>
      <c r="L7" s="10">
        <v>0.93500000000000005</v>
      </c>
      <c r="M7" s="3" t="s">
        <v>3</v>
      </c>
      <c r="Q7">
        <f>85000/Q6</f>
        <v>8</v>
      </c>
      <c r="R7" t="s">
        <v>154</v>
      </c>
    </row>
    <row r="8" spans="2:22" ht="15" thickBot="1" x14ac:dyDescent="0.4">
      <c r="B8" s="109" t="s">
        <v>160</v>
      </c>
      <c r="C8" s="112">
        <v>1</v>
      </c>
      <c r="D8" s="113" t="s">
        <v>5</v>
      </c>
      <c r="F8" s="51" t="s">
        <v>118</v>
      </c>
      <c r="G8" s="26">
        <v>45</v>
      </c>
      <c r="H8" s="3" t="s">
        <v>59</v>
      </c>
      <c r="K8" s="51" t="s">
        <v>17</v>
      </c>
      <c r="L8" s="12">
        <v>1</v>
      </c>
      <c r="M8" s="3"/>
      <c r="Q8">
        <v>85000</v>
      </c>
      <c r="R8" t="s">
        <v>156</v>
      </c>
    </row>
    <row r="9" spans="2:22" ht="15" thickBot="1" x14ac:dyDescent="0.4">
      <c r="B9" s="109" t="s">
        <v>103</v>
      </c>
      <c r="C9" s="112">
        <v>1</v>
      </c>
      <c r="D9" s="113" t="s">
        <v>6</v>
      </c>
      <c r="F9" s="52" t="s">
        <v>120</v>
      </c>
      <c r="G9" s="70">
        <f>C7+G7+C12</f>
        <v>647.67916059999993</v>
      </c>
      <c r="H9" s="52" t="s">
        <v>59</v>
      </c>
      <c r="K9" s="51" t="s">
        <v>18</v>
      </c>
      <c r="L9" s="12">
        <v>0.25</v>
      </c>
      <c r="M9" s="3"/>
      <c r="Q9">
        <f>85000/16</f>
        <v>5312.5</v>
      </c>
      <c r="R9" t="s">
        <v>155</v>
      </c>
    </row>
    <row r="10" spans="2:22" x14ac:dyDescent="0.35">
      <c r="B10" s="51" t="s">
        <v>104</v>
      </c>
      <c r="C10" s="111">
        <v>100</v>
      </c>
      <c r="D10" s="111" t="s">
        <v>105</v>
      </c>
      <c r="F10" s="52" t="s">
        <v>119</v>
      </c>
      <c r="G10" s="70">
        <f>C12+C7</f>
        <v>397.67916059999999</v>
      </c>
      <c r="H10" s="52" t="s">
        <v>59</v>
      </c>
      <c r="K10" s="52" t="s">
        <v>114</v>
      </c>
      <c r="L10" s="52">
        <f>L5*3.6/1000*L4</f>
        <v>38250</v>
      </c>
      <c r="M10" s="52" t="s">
        <v>16</v>
      </c>
      <c r="Q10">
        <f>Q9*2</f>
        <v>10625</v>
      </c>
      <c r="R10" t="s">
        <v>157</v>
      </c>
    </row>
    <row r="11" spans="2:22" x14ac:dyDescent="0.35">
      <c r="B11" s="51" t="s">
        <v>64</v>
      </c>
      <c r="C11" s="12">
        <v>0.5</v>
      </c>
      <c r="D11" s="3"/>
      <c r="I11" s="118"/>
      <c r="K11" s="52" t="s">
        <v>113</v>
      </c>
      <c r="L11" s="107" cm="1">
        <f t="array" ref="L11">UseableCapacity(L10,L8,L9)</f>
        <v>28687.5</v>
      </c>
      <c r="M11" s="52" t="s">
        <v>16</v>
      </c>
      <c r="Q11">
        <f>(540/16)*2</f>
        <v>67.5</v>
      </c>
      <c r="R11" t="s">
        <v>159</v>
      </c>
    </row>
    <row r="12" spans="2:22" x14ac:dyDescent="0.35">
      <c r="B12" s="52" t="s">
        <v>19</v>
      </c>
      <c r="C12" s="52" cm="1">
        <f t="array" ref="C12">drivePower(C4,C5,C9,C10,C11)</f>
        <v>348</v>
      </c>
      <c r="D12" s="52" t="s">
        <v>7</v>
      </c>
      <c r="F12" s="51" t="s">
        <v>163</v>
      </c>
      <c r="G12" s="3">
        <v>20000</v>
      </c>
      <c r="H12" s="3" t="s">
        <v>5</v>
      </c>
      <c r="I12" s="118"/>
      <c r="K12" s="52" t="s">
        <v>109</v>
      </c>
      <c r="L12" s="52">
        <f>L5*0.5</f>
        <v>442708.33333333331</v>
      </c>
      <c r="M12" s="52" t="s">
        <v>107</v>
      </c>
      <c r="Q12">
        <f>Q10/L4</f>
        <v>885.41666666666663</v>
      </c>
      <c r="R12" t="s">
        <v>158</v>
      </c>
    </row>
    <row r="13" spans="2:22" x14ac:dyDescent="0.35">
      <c r="F13" s="110" t="s">
        <v>162</v>
      </c>
      <c r="G13" s="110">
        <f>1/C8*G12</f>
        <v>20000</v>
      </c>
      <c r="K13" s="52" t="s">
        <v>108</v>
      </c>
      <c r="L13" s="52">
        <f>L12*L4/1000</f>
        <v>5312.5</v>
      </c>
      <c r="M13" s="52" t="s">
        <v>59</v>
      </c>
      <c r="Q13">
        <f>Q12*1000</f>
        <v>885416.66666666663</v>
      </c>
    </row>
    <row r="14" spans="2:22" x14ac:dyDescent="0.35">
      <c r="B14" s="118"/>
      <c r="F14" s="52" t="s">
        <v>161</v>
      </c>
      <c r="G14" s="119">
        <f>G13/G4</f>
        <v>2500</v>
      </c>
      <c r="S14" s="7"/>
    </row>
    <row r="15" spans="2:22" ht="15" thickBot="1" x14ac:dyDescent="0.4"/>
    <row r="16" spans="2:22" ht="45" customHeight="1" x14ac:dyDescent="0.35">
      <c r="G16" s="65" t="s">
        <v>132</v>
      </c>
      <c r="H16" s="66"/>
      <c r="I16" s="66"/>
      <c r="J16" s="66"/>
      <c r="P16" s="151" t="s">
        <v>139</v>
      </c>
      <c r="Q16" s="152"/>
      <c r="R16" s="81" t="s">
        <v>140</v>
      </c>
      <c r="S16" s="153" t="s">
        <v>136</v>
      </c>
      <c r="T16" s="154"/>
      <c r="U16" s="154"/>
      <c r="V16" s="155"/>
    </row>
    <row r="17" spans="7:22" ht="58" x14ac:dyDescent="0.35">
      <c r="G17" s="25" t="s">
        <v>86</v>
      </c>
      <c r="H17" s="25" t="s">
        <v>95</v>
      </c>
      <c r="I17" s="25" t="s">
        <v>127</v>
      </c>
      <c r="J17" s="25" t="s">
        <v>126</v>
      </c>
      <c r="K17" s="25" t="s">
        <v>88</v>
      </c>
      <c r="L17" s="25" t="s">
        <v>116</v>
      </c>
      <c r="M17" s="25" t="s">
        <v>117</v>
      </c>
      <c r="N17" s="25" t="s">
        <v>95</v>
      </c>
      <c r="O17" s="68" t="s">
        <v>101</v>
      </c>
      <c r="P17" s="75" t="s">
        <v>137</v>
      </c>
      <c r="Q17" s="54" t="s">
        <v>138</v>
      </c>
      <c r="R17" s="82" t="s">
        <v>141</v>
      </c>
      <c r="S17" s="75" t="s">
        <v>88</v>
      </c>
      <c r="T17" s="75" t="s">
        <v>134</v>
      </c>
      <c r="U17" s="25" t="s">
        <v>133</v>
      </c>
      <c r="V17" s="54" t="s">
        <v>135</v>
      </c>
    </row>
    <row r="18" spans="7:22" x14ac:dyDescent="0.35">
      <c r="G18" s="55">
        <f>$C$9</f>
        <v>1</v>
      </c>
      <c r="H18" s="57" cm="1">
        <f t="array" ref="H18">drivePower($C$4,$C$5,G18,$C$10,$C$11)</f>
        <v>348</v>
      </c>
      <c r="I18" s="72">
        <f>C7</f>
        <v>49.679160600000003</v>
      </c>
      <c r="J18" s="72">
        <f t="shared" ref="J18:J79" si="0">H18+I18</f>
        <v>397.67916059999999</v>
      </c>
      <c r="K18" s="56">
        <v>2200</v>
      </c>
      <c r="L18" s="55">
        <f>(K18-4400)*(5*0.048)/4400</f>
        <v>-0.12</v>
      </c>
      <c r="M18" s="57">
        <f>$C$5+L18*1.1</f>
        <v>199.86799999999999</v>
      </c>
      <c r="N18" s="57" cm="1">
        <f t="array" ref="N18">drivePower($C$4,M18,$C$9,$C$10,$C$11)</f>
        <v>347.83632</v>
      </c>
      <c r="O18" s="74">
        <f t="shared" ref="O18:O79" si="1">K18*3.6/1000*$L$4</f>
        <v>95.039999999999992</v>
      </c>
      <c r="P18" s="76">
        <f>$L$6*3</f>
        <v>-1.08E-4</v>
      </c>
      <c r="Q18" s="77">
        <f>$L$7*0.88</f>
        <v>0.82280000000000009</v>
      </c>
      <c r="R18" s="83">
        <v>0.15</v>
      </c>
      <c r="S18" s="80">
        <f>K18</f>
        <v>2200</v>
      </c>
      <c r="T18" s="78" cm="1">
        <f t="array" ref="T18">maxDepthToMinSOC($L$8,$L$9,$L$6,$L$7,$O18,$G$5,$G$6,drivePower($C$4,$M18,$G18,$C$10,$C$11),$I18,$G18,$G$4,$C$8)</f>
        <v>0</v>
      </c>
      <c r="U18" s="11" cm="1">
        <f t="array" ref="U18">maxDepthToMinSOC($L$8,$L$9,P18,Q18,$O18,$G$5,$G$6,drivePower($C$4,$M18,$G18,$C$10,$C$11),$I18,$G18,$G$4,$C$8)</f>
        <v>0</v>
      </c>
      <c r="V18" s="79" cm="1">
        <f t="array" ref="V18">maxDepthToMinSOC($L$8,$L$9,$L$6,$L$7,$O18*(1-R18),$G$5,$G$6,drivePower($C$4,$M18,$G18,$C$10,$C$11),$I18,$G18,$G$4,$C$8)</f>
        <v>0</v>
      </c>
    </row>
    <row r="19" spans="7:22" x14ac:dyDescent="0.35">
      <c r="G19" s="55">
        <f t="shared" ref="G19:G79" si="2">$C$9</f>
        <v>1</v>
      </c>
      <c r="H19" s="57" cm="1">
        <f t="array" ref="H19">drivePower($C$4,$C$5,G19,$C$10,$C$11)</f>
        <v>348</v>
      </c>
      <c r="I19" s="72">
        <f>I18</f>
        <v>49.679160600000003</v>
      </c>
      <c r="J19" s="72">
        <f t="shared" si="0"/>
        <v>397.67916059999999</v>
      </c>
      <c r="K19" s="56">
        <v>4400</v>
      </c>
      <c r="L19" s="55">
        <f t="shared" ref="L19:L79" si="3">(K19-4400)*(5*0.048)/4400</f>
        <v>0</v>
      </c>
      <c r="M19" s="57">
        <f t="shared" ref="M19" si="4">$C$5+L19</f>
        <v>200</v>
      </c>
      <c r="N19" s="57" cm="1">
        <f t="array" ref="N19">drivePower($C$4,M19,$C$9,$C$10,$C$11)</f>
        <v>348</v>
      </c>
      <c r="O19" s="74">
        <f t="shared" si="1"/>
        <v>190.07999999999998</v>
      </c>
      <c r="P19" s="76">
        <f t="shared" ref="P19:P79" si="5">$L$6*3</f>
        <v>-1.08E-4</v>
      </c>
      <c r="Q19" s="77">
        <f t="shared" ref="Q19:Q79" si="6">$L$7*0.88</f>
        <v>0.82280000000000009</v>
      </c>
      <c r="R19" s="83">
        <v>0.15</v>
      </c>
      <c r="S19" s="80">
        <f t="shared" ref="S19:S79" si="7">K19</f>
        <v>4400</v>
      </c>
      <c r="T19" s="78" cm="1">
        <f t="array" ref="T19">maxDepthToMinSOC($L$8,$L$9,$L$6,$L$7,$O19,$G$5,$G$6,drivePower($C$4,$M19,$G19,$C$10,$C$11),$I19,$G19,$G$4,$C$8)</f>
        <v>0</v>
      </c>
      <c r="U19" s="11" cm="1">
        <f t="array" ref="U19">maxDepthToMinSOC($L$8,$L$9,P19,Q19,$O19,$G$5,$G$6,drivePower($C$4,$M19,$G19,$C$10,$C$11),$I19,$G19,$G$4,$C$8)</f>
        <v>0</v>
      </c>
      <c r="V19" s="79" cm="1">
        <f t="array" ref="V19">maxDepthToMinSOC($L$8,$L$9,$L$6,$L$7,$O19*(1-R19),$G$5,$G$6,drivePower($C$4,$M19,$G19,$C$10,$C$11),$I19,$G19,$G$4,$C$8)</f>
        <v>0</v>
      </c>
    </row>
    <row r="20" spans="7:22" x14ac:dyDescent="0.35">
      <c r="G20" s="55">
        <f t="shared" si="2"/>
        <v>1</v>
      </c>
      <c r="H20" s="57" cm="1">
        <f t="array" ref="H20">drivePower($C$4,$C$5,G20,$C$10,$C$11)</f>
        <v>348</v>
      </c>
      <c r="I20" s="72">
        <f t="shared" ref="I20:I79" si="8">I19</f>
        <v>49.679160600000003</v>
      </c>
      <c r="J20" s="72">
        <f t="shared" si="0"/>
        <v>397.67916059999999</v>
      </c>
      <c r="K20" s="56">
        <v>6600</v>
      </c>
      <c r="L20" s="55">
        <f t="shared" si="3"/>
        <v>0.12</v>
      </c>
      <c r="M20" s="57">
        <f>$C$5+L20*1.1</f>
        <v>200.13200000000001</v>
      </c>
      <c r="N20" s="57" cm="1">
        <f t="array" ref="N20">drivePower($C$4,M20,$C$9,$C$10,$C$11)</f>
        <v>348.16368</v>
      </c>
      <c r="O20" s="74">
        <f t="shared" si="1"/>
        <v>285.12</v>
      </c>
      <c r="P20" s="76">
        <f t="shared" si="5"/>
        <v>-1.08E-4</v>
      </c>
      <c r="Q20" s="77">
        <f t="shared" si="6"/>
        <v>0.82280000000000009</v>
      </c>
      <c r="R20" s="83">
        <v>0.15</v>
      </c>
      <c r="S20" s="80">
        <f t="shared" si="7"/>
        <v>6600</v>
      </c>
      <c r="T20" s="78" cm="1">
        <f t="array" ref="T20">maxDepthToMinSOC($L$8,$L$9,$L$6,$L$7,$O20,$G$5,$G$6,drivePower($C$4,$M20,$G20,$C$10,$C$11),$I20,$G20,$G$4,$C$8)</f>
        <v>0</v>
      </c>
      <c r="U20" s="11" cm="1">
        <f t="array" ref="U20">maxDepthToMinSOC($L$8,$L$9,P20,Q20,$O20,$G$5,$G$6,drivePower($C$4,$M20,$G20,$C$10,$C$11),$I20,$G20,$G$4,$C$8)</f>
        <v>0</v>
      </c>
      <c r="V20" s="79" cm="1">
        <f t="array" ref="V20">maxDepthToMinSOC($L$8,$L$9,$L$6,$L$7,$O20*(1-R20),$G$5,$G$6,drivePower($C$4,$M20,$G20,$C$10,$C$11),$I20,$G20,$G$4,$C$8)</f>
        <v>0</v>
      </c>
    </row>
    <row r="21" spans="7:22" x14ac:dyDescent="0.35">
      <c r="G21" s="55">
        <f t="shared" si="2"/>
        <v>1</v>
      </c>
      <c r="H21" s="57" cm="1">
        <f t="array" ref="H21">drivePower($C$4,$C$5,G21,$C$10,$C$11)</f>
        <v>348</v>
      </c>
      <c r="I21" s="72">
        <f t="shared" si="8"/>
        <v>49.679160600000003</v>
      </c>
      <c r="J21" s="72">
        <f t="shared" si="0"/>
        <v>397.67916059999999</v>
      </c>
      <c r="K21" s="56">
        <v>8800</v>
      </c>
      <c r="L21" s="55">
        <f t="shared" si="3"/>
        <v>0.24</v>
      </c>
      <c r="M21" s="57">
        <f t="shared" ref="M21:M79" si="9">$C$5+L21*1.1</f>
        <v>200.26400000000001</v>
      </c>
      <c r="N21" s="57" cm="1">
        <f t="array" ref="N21">drivePower($C$4,M21,$C$9,$C$10,$C$11)</f>
        <v>348.32736</v>
      </c>
      <c r="O21" s="74">
        <f t="shared" si="1"/>
        <v>380.15999999999997</v>
      </c>
      <c r="P21" s="76">
        <f t="shared" si="5"/>
        <v>-1.08E-4</v>
      </c>
      <c r="Q21" s="77">
        <f t="shared" si="6"/>
        <v>0.82280000000000009</v>
      </c>
      <c r="R21" s="83">
        <v>0.15</v>
      </c>
      <c r="S21" s="80">
        <f t="shared" si="7"/>
        <v>8800</v>
      </c>
      <c r="T21" s="78" cm="1">
        <f t="array" ref="T21">maxDepthToMinSOC($L$8,$L$9,$L$6,$L$7,$O21,$G$5,$G$6,drivePower($C$4,$M21,$G21,$C$10,$C$11),$I21,$G21,$G$4,$C$8)</f>
        <v>0</v>
      </c>
      <c r="U21" s="11" cm="1">
        <f t="array" ref="U21">maxDepthToMinSOC($L$8,$L$9,P21,Q21,$O21,$G$5,$G$6,drivePower($C$4,$M21,$G21,$C$10,$C$11),$I21,$G21,$G$4,$C$8)</f>
        <v>0</v>
      </c>
      <c r="V21" s="79" cm="1">
        <f t="array" ref="V21">maxDepthToMinSOC($L$8,$L$9,$L$6,$L$7,$O21*(1-R21),$G$5,$G$6,drivePower($C$4,$M21,$G21,$C$10,$C$11),$I21,$G21,$G$4,$C$8)</f>
        <v>0</v>
      </c>
    </row>
    <row r="22" spans="7:22" x14ac:dyDescent="0.35">
      <c r="G22" s="55">
        <f t="shared" si="2"/>
        <v>1</v>
      </c>
      <c r="H22" s="57" cm="1">
        <f t="array" ref="H22">drivePower($C$4,$C$5,G22,$C$10,$C$11)</f>
        <v>348</v>
      </c>
      <c r="I22" s="72">
        <f t="shared" si="8"/>
        <v>49.679160600000003</v>
      </c>
      <c r="J22" s="72">
        <f t="shared" si="0"/>
        <v>397.67916059999999</v>
      </c>
      <c r="K22" s="56">
        <f>K21+2200</f>
        <v>11000</v>
      </c>
      <c r="L22" s="55">
        <f t="shared" si="3"/>
        <v>0.36</v>
      </c>
      <c r="M22" s="57">
        <f t="shared" si="9"/>
        <v>200.39599999999999</v>
      </c>
      <c r="N22" s="57" cm="1">
        <f t="array" ref="N22">drivePower($C$4,M22,$C$9,$C$10,$C$11)</f>
        <v>348.49104</v>
      </c>
      <c r="O22" s="74">
        <f t="shared" si="1"/>
        <v>475.20000000000005</v>
      </c>
      <c r="P22" s="76">
        <f t="shared" si="5"/>
        <v>-1.08E-4</v>
      </c>
      <c r="Q22" s="77">
        <f t="shared" si="6"/>
        <v>0.82280000000000009</v>
      </c>
      <c r="R22" s="83">
        <v>0.15</v>
      </c>
      <c r="S22" s="80">
        <f t="shared" si="7"/>
        <v>11000</v>
      </c>
      <c r="T22" s="78" cm="1">
        <f t="array" ref="T22">maxDepthToMinSOC($L$8,$L$9,$L$6,$L$7,$O22,$G$5,$G$6,drivePower($C$4,$M22,$G22,$C$10,$C$11),$I22,$G22,$G$4,$C$8)</f>
        <v>0</v>
      </c>
      <c r="U22" s="11" cm="1">
        <f t="array" ref="U22">maxDepthToMinSOC($L$8,$L$9,P22,Q22,$O22,$G$5,$G$6,drivePower($C$4,$M22,$G22,$C$10,$C$11),$I22,$G22,$G$4,$C$8)</f>
        <v>0</v>
      </c>
      <c r="V22" s="79" cm="1">
        <f t="array" ref="V22">maxDepthToMinSOC($L$8,$L$9,$L$6,$L$7,$O22*(1-R22),$G$5,$G$6,drivePower($C$4,$M22,$G22,$C$10,$C$11),$I22,$G22,$G$4,$C$8)</f>
        <v>0</v>
      </c>
    </row>
    <row r="23" spans="7:22" x14ac:dyDescent="0.35">
      <c r="G23" s="55">
        <f t="shared" si="2"/>
        <v>1</v>
      </c>
      <c r="H23" s="57" cm="1">
        <f t="array" ref="H23">drivePower($C$4,$C$5,G23,$C$10,$C$11)</f>
        <v>348</v>
      </c>
      <c r="I23" s="72">
        <f t="shared" si="8"/>
        <v>49.679160600000003</v>
      </c>
      <c r="J23" s="72">
        <f t="shared" si="0"/>
        <v>397.67916059999999</v>
      </c>
      <c r="K23" s="56">
        <f t="shared" ref="K23:K28" si="10">K22+2200</f>
        <v>13200</v>
      </c>
      <c r="L23" s="55">
        <f t="shared" si="3"/>
        <v>0.48</v>
      </c>
      <c r="M23" s="57">
        <f t="shared" si="9"/>
        <v>200.52799999999999</v>
      </c>
      <c r="N23" s="57" cm="1">
        <f t="array" ref="N23">drivePower($C$4,M23,$C$9,$C$10,$C$11)</f>
        <v>348.65472</v>
      </c>
      <c r="O23" s="74">
        <f t="shared" si="1"/>
        <v>570.24</v>
      </c>
      <c r="P23" s="76">
        <f t="shared" si="5"/>
        <v>-1.08E-4</v>
      </c>
      <c r="Q23" s="77">
        <f t="shared" si="6"/>
        <v>0.82280000000000009</v>
      </c>
      <c r="R23" s="83">
        <v>0.15</v>
      </c>
      <c r="S23" s="80">
        <f t="shared" si="7"/>
        <v>13200</v>
      </c>
      <c r="T23" s="78" cm="1">
        <f t="array" ref="T23">maxDepthToMinSOC($L$8,$L$9,$L$6,$L$7,$O23,$G$5,$G$6,drivePower($C$4,$M23,$G23,$C$10,$C$11),$I23,$G23,$G$4,$C$8)</f>
        <v>0</v>
      </c>
      <c r="U23" s="11" cm="1">
        <f t="array" ref="U23">maxDepthToMinSOC($L$8,$L$9,P23,Q23,$O23,$G$5,$G$6,drivePower($C$4,$M23,$G23,$C$10,$C$11),$I23,$G23,$G$4,$C$8)</f>
        <v>0</v>
      </c>
      <c r="V23" s="79" cm="1">
        <f t="array" ref="V23">maxDepthToMinSOC($L$8,$L$9,$L$6,$L$7,$O23*(1-R23),$G$5,$G$6,drivePower($C$4,$M23,$G23,$C$10,$C$11),$I23,$G23,$G$4,$C$8)</f>
        <v>0</v>
      </c>
    </row>
    <row r="24" spans="7:22" x14ac:dyDescent="0.35">
      <c r="G24" s="55">
        <f t="shared" si="2"/>
        <v>1</v>
      </c>
      <c r="H24" s="57" cm="1">
        <f t="array" ref="H24">drivePower($C$4,$C$5,G24,$C$10,$C$11)</f>
        <v>348</v>
      </c>
      <c r="I24" s="72">
        <f t="shared" si="8"/>
        <v>49.679160600000003</v>
      </c>
      <c r="J24" s="72">
        <f t="shared" si="0"/>
        <v>397.67916059999999</v>
      </c>
      <c r="K24" s="56">
        <f t="shared" si="10"/>
        <v>15400</v>
      </c>
      <c r="L24" s="55">
        <f t="shared" si="3"/>
        <v>0.6</v>
      </c>
      <c r="M24" s="57">
        <f t="shared" si="9"/>
        <v>200.66</v>
      </c>
      <c r="N24" s="57" cm="1">
        <f t="array" ref="N24">drivePower($C$4,M24,$C$9,$C$10,$C$11)</f>
        <v>348.8184</v>
      </c>
      <c r="O24" s="74">
        <f t="shared" si="1"/>
        <v>665.28</v>
      </c>
      <c r="P24" s="76">
        <f t="shared" si="5"/>
        <v>-1.08E-4</v>
      </c>
      <c r="Q24" s="77">
        <f t="shared" si="6"/>
        <v>0.82280000000000009</v>
      </c>
      <c r="R24" s="83">
        <v>0.15</v>
      </c>
      <c r="S24" s="80">
        <f t="shared" si="7"/>
        <v>15400</v>
      </c>
      <c r="T24" s="78" cm="1">
        <f t="array" ref="T24">maxDepthToMinSOC($L$8,$L$9,$L$6,$L$7,$O24,$G$5,$G$6,drivePower($C$4,$M24,$G24,$C$10,$C$11),$I24,$G24,$G$4,$C$8)</f>
        <v>0</v>
      </c>
      <c r="U24" s="11" cm="1">
        <f t="array" ref="U24">maxDepthToMinSOC($L$8,$L$9,P24,Q24,$O24,$G$5,$G$6,drivePower($C$4,$M24,$G24,$C$10,$C$11),$I24,$G24,$G$4,$C$8)</f>
        <v>0</v>
      </c>
      <c r="V24" s="79" cm="1">
        <f t="array" ref="V24">maxDepthToMinSOC($L$8,$L$9,$L$6,$L$7,$O24*(1-R24),$G$5,$G$6,drivePower($C$4,$M24,$G24,$C$10,$C$11),$I24,$G24,$G$4,$C$8)</f>
        <v>0</v>
      </c>
    </row>
    <row r="25" spans="7:22" x14ac:dyDescent="0.35">
      <c r="G25" s="55">
        <f t="shared" si="2"/>
        <v>1</v>
      </c>
      <c r="H25" s="57" cm="1">
        <f t="array" ref="H25">drivePower($C$4,$C$5,G25,$C$10,$C$11)</f>
        <v>348</v>
      </c>
      <c r="I25" s="72">
        <f t="shared" si="8"/>
        <v>49.679160600000003</v>
      </c>
      <c r="J25" s="72">
        <f t="shared" si="0"/>
        <v>397.67916059999999</v>
      </c>
      <c r="K25" s="56">
        <f t="shared" si="10"/>
        <v>17600</v>
      </c>
      <c r="L25" s="55">
        <f t="shared" si="3"/>
        <v>0.72</v>
      </c>
      <c r="M25" s="57">
        <f t="shared" si="9"/>
        <v>200.792</v>
      </c>
      <c r="N25" s="57" cm="1">
        <f t="array" ref="N25">drivePower($C$4,M25,$C$9,$C$10,$C$11)</f>
        <v>348.98208</v>
      </c>
      <c r="O25" s="74">
        <f t="shared" si="1"/>
        <v>760.31999999999994</v>
      </c>
      <c r="P25" s="76">
        <f t="shared" si="5"/>
        <v>-1.08E-4</v>
      </c>
      <c r="Q25" s="77">
        <f t="shared" si="6"/>
        <v>0.82280000000000009</v>
      </c>
      <c r="R25" s="83">
        <v>0.15</v>
      </c>
      <c r="S25" s="80">
        <f t="shared" si="7"/>
        <v>17600</v>
      </c>
      <c r="T25" s="78" cm="1">
        <f t="array" ref="T25">maxDepthToMinSOC($L$8,$L$9,$L$6,$L$7,$O25,$G$5,$G$6,drivePower($C$4,$M25,$G25,$C$10,$C$11),$I25,$G25,$G$4,$C$8)</f>
        <v>0</v>
      </c>
      <c r="U25" s="11" cm="1">
        <f t="array" ref="U25">maxDepthToMinSOC($L$8,$L$9,P25,Q25,$O25,$G$5,$G$6,drivePower($C$4,$M25,$G25,$C$10,$C$11),$I25,$G25,$G$4,$C$8)</f>
        <v>0</v>
      </c>
      <c r="V25" s="79" cm="1">
        <f t="array" ref="V25">maxDepthToMinSOC($L$8,$L$9,$L$6,$L$7,$O25*(1-R25),$G$5,$G$6,drivePower($C$4,$M25,$G25,$C$10,$C$11),$I25,$G25,$G$4,$C$8)</f>
        <v>0</v>
      </c>
    </row>
    <row r="26" spans="7:22" x14ac:dyDescent="0.35">
      <c r="G26" s="55">
        <f t="shared" si="2"/>
        <v>1</v>
      </c>
      <c r="H26" s="57" cm="1">
        <f t="array" ref="H26">drivePower($C$4,$C$5,G26,$C$10,$C$11)</f>
        <v>348</v>
      </c>
      <c r="I26" s="72">
        <f t="shared" si="8"/>
        <v>49.679160600000003</v>
      </c>
      <c r="J26" s="72">
        <f t="shared" si="0"/>
        <v>397.67916059999999</v>
      </c>
      <c r="K26" s="56">
        <f t="shared" si="10"/>
        <v>19800</v>
      </c>
      <c r="L26" s="55">
        <f t="shared" si="3"/>
        <v>0.84</v>
      </c>
      <c r="M26" s="57">
        <f t="shared" si="9"/>
        <v>200.92400000000001</v>
      </c>
      <c r="N26" s="57" cm="1">
        <f t="array" ref="N26">drivePower($C$4,M26,$C$9,$C$10,$C$11)</f>
        <v>349.14576</v>
      </c>
      <c r="O26" s="74">
        <f t="shared" si="1"/>
        <v>855.36</v>
      </c>
      <c r="P26" s="76">
        <f t="shared" si="5"/>
        <v>-1.08E-4</v>
      </c>
      <c r="Q26" s="77">
        <f t="shared" si="6"/>
        <v>0.82280000000000009</v>
      </c>
      <c r="R26" s="83">
        <v>0.15</v>
      </c>
      <c r="S26" s="80">
        <f t="shared" si="7"/>
        <v>19800</v>
      </c>
      <c r="T26" s="78" cm="1">
        <f t="array" ref="T26">maxDepthToMinSOC($L$8,$L$9,$L$6,$L$7,$O26,$G$5,$G$6,drivePower($C$4,$M26,$G26,$C$10,$C$11),$I26,$G26,$G$4,$C$8)</f>
        <v>0</v>
      </c>
      <c r="U26" s="11" cm="1">
        <f t="array" ref="U26">maxDepthToMinSOC($L$8,$L$9,P26,Q26,$O26,$G$5,$G$6,drivePower($C$4,$M26,$G26,$C$10,$C$11),$I26,$G26,$G$4,$C$8)</f>
        <v>0</v>
      </c>
      <c r="V26" s="79" cm="1">
        <f t="array" ref="V26">maxDepthToMinSOC($L$8,$L$9,$L$6,$L$7,$O26*(1-R26),$G$5,$G$6,drivePower($C$4,$M26,$G26,$C$10,$C$11),$I26,$G26,$G$4,$C$8)</f>
        <v>0</v>
      </c>
    </row>
    <row r="27" spans="7:22" x14ac:dyDescent="0.35">
      <c r="G27" s="55">
        <f t="shared" si="2"/>
        <v>1</v>
      </c>
      <c r="H27" s="57" cm="1">
        <f t="array" ref="H27">drivePower($C$4,$C$5,G27,$C$10,$C$11)</f>
        <v>348</v>
      </c>
      <c r="I27" s="72">
        <f t="shared" si="8"/>
        <v>49.679160600000003</v>
      </c>
      <c r="J27" s="72">
        <f t="shared" si="0"/>
        <v>397.67916059999999</v>
      </c>
      <c r="K27" s="56">
        <f t="shared" si="10"/>
        <v>22000</v>
      </c>
      <c r="L27" s="55">
        <f t="shared" si="3"/>
        <v>0.96</v>
      </c>
      <c r="M27" s="57">
        <f t="shared" si="9"/>
        <v>201.05600000000001</v>
      </c>
      <c r="N27" s="57" cm="1">
        <f t="array" ref="N27">drivePower($C$4,M27,$C$9,$C$10,$C$11)</f>
        <v>349.30944</v>
      </c>
      <c r="O27" s="74">
        <f t="shared" si="1"/>
        <v>950.40000000000009</v>
      </c>
      <c r="P27" s="76">
        <f t="shared" si="5"/>
        <v>-1.08E-4</v>
      </c>
      <c r="Q27" s="77">
        <f t="shared" si="6"/>
        <v>0.82280000000000009</v>
      </c>
      <c r="R27" s="83">
        <v>0.15</v>
      </c>
      <c r="S27" s="80">
        <f t="shared" si="7"/>
        <v>22000</v>
      </c>
      <c r="T27" s="78" cm="1">
        <f t="array" ref="T27">maxDepthToMinSOC($L$8,$L$9,$L$6,$L$7,$O27,$G$5,$G$6,drivePower($C$4,$M27,$G27,$C$10,$C$11),$I27,$G27,$G$4,$C$8)</f>
        <v>0</v>
      </c>
      <c r="U27" s="11" cm="1">
        <f t="array" ref="U27">maxDepthToMinSOC($L$8,$L$9,P27,Q27,$O27,$G$5,$G$6,drivePower($C$4,$M27,$G27,$C$10,$C$11),$I27,$G27,$G$4,$C$8)</f>
        <v>0</v>
      </c>
      <c r="V27" s="79" cm="1">
        <f t="array" ref="V27">maxDepthToMinSOC($L$8,$L$9,$L$6,$L$7,$O27*(1-R27),$G$5,$G$6,drivePower($C$4,$M27,$G27,$C$10,$C$11),$I27,$G27,$G$4,$C$8)</f>
        <v>0</v>
      </c>
    </row>
    <row r="28" spans="7:22" x14ac:dyDescent="0.35">
      <c r="G28" s="55">
        <f t="shared" si="2"/>
        <v>1</v>
      </c>
      <c r="H28" s="57" cm="1">
        <f t="array" ref="H28">drivePower($C$4,$C$5,G28,$C$10,$C$11)</f>
        <v>348</v>
      </c>
      <c r="I28" s="72">
        <f t="shared" si="8"/>
        <v>49.679160600000003</v>
      </c>
      <c r="J28" s="72">
        <f t="shared" si="0"/>
        <v>397.67916059999999</v>
      </c>
      <c r="K28" s="56">
        <f t="shared" si="10"/>
        <v>24200</v>
      </c>
      <c r="L28" s="55">
        <f t="shared" si="3"/>
        <v>1.08</v>
      </c>
      <c r="M28" s="57">
        <f t="shared" si="9"/>
        <v>201.18799999999999</v>
      </c>
      <c r="N28" s="57" cm="1">
        <f t="array" ref="N28">drivePower($C$4,M28,$C$9,$C$10,$C$11)</f>
        <v>349.47311999999999</v>
      </c>
      <c r="O28" s="74">
        <f t="shared" si="1"/>
        <v>1045.44</v>
      </c>
      <c r="P28" s="76">
        <f t="shared" si="5"/>
        <v>-1.08E-4</v>
      </c>
      <c r="Q28" s="77">
        <f t="shared" si="6"/>
        <v>0.82280000000000009</v>
      </c>
      <c r="R28" s="83">
        <v>0.15</v>
      </c>
      <c r="S28" s="80">
        <f t="shared" si="7"/>
        <v>24200</v>
      </c>
      <c r="T28" s="78" cm="1">
        <f t="array" ref="T28">maxDepthToMinSOC($L$8,$L$9,$L$6,$L$7,$O28,$G$5,$G$6,drivePower($C$4,$M28,$G28,$C$10,$C$11),$I28,$G28,$G$4,$C$8)</f>
        <v>0</v>
      </c>
      <c r="U28" s="11" cm="1">
        <f t="array" ref="U28">maxDepthToMinSOC($L$8,$L$9,P28,Q28,$O28,$G$5,$G$6,drivePower($C$4,$M28,$G28,$C$10,$C$11),$I28,$G28,$G$4,$C$8)</f>
        <v>0</v>
      </c>
      <c r="V28" s="79" cm="1">
        <f t="array" ref="V28">maxDepthToMinSOC($L$8,$L$9,$L$6,$L$7,$O28*(1-R28),$G$5,$G$6,drivePower($C$4,$M28,$G28,$C$10,$C$11),$I28,$G28,$G$4,$C$8)</f>
        <v>0</v>
      </c>
    </row>
    <row r="29" spans="7:22" x14ac:dyDescent="0.35">
      <c r="G29" s="55">
        <f t="shared" si="2"/>
        <v>1</v>
      </c>
      <c r="H29" s="57" cm="1">
        <f t="array" ref="H29">drivePower($C$4,$C$5,G29,$C$10,$C$11)</f>
        <v>348</v>
      </c>
      <c r="I29" s="72">
        <f t="shared" si="8"/>
        <v>49.679160600000003</v>
      </c>
      <c r="J29" s="72">
        <f t="shared" si="0"/>
        <v>397.67916059999999</v>
      </c>
      <c r="K29" s="56">
        <f>K28+4400</f>
        <v>28600</v>
      </c>
      <c r="L29" s="55">
        <f t="shared" si="3"/>
        <v>1.32</v>
      </c>
      <c r="M29" s="57">
        <f t="shared" si="9"/>
        <v>201.452</v>
      </c>
      <c r="N29" s="57" cm="1">
        <f t="array" ref="N29">drivePower($C$4,M29,$C$9,$C$10,$C$11)</f>
        <v>349.80047999999999</v>
      </c>
      <c r="O29" s="74">
        <f t="shared" si="1"/>
        <v>1235.52</v>
      </c>
      <c r="P29" s="76">
        <f t="shared" si="5"/>
        <v>-1.08E-4</v>
      </c>
      <c r="Q29" s="77">
        <f t="shared" si="6"/>
        <v>0.82280000000000009</v>
      </c>
      <c r="R29" s="83">
        <v>0.15</v>
      </c>
      <c r="S29" s="80">
        <f t="shared" si="7"/>
        <v>28600</v>
      </c>
      <c r="T29" s="78" cm="1">
        <f t="array" ref="T29">maxDepthToMinSOC($L$8,$L$9,$L$6,$L$7,$O29,$G$5,$G$6,drivePower($C$4,$M29,$G29,$C$10,$C$11),$I29,$G29,$G$4,$C$8)</f>
        <v>0</v>
      </c>
      <c r="U29" s="11" cm="1">
        <f t="array" ref="U29">maxDepthToMinSOC($L$8,$L$9,P29,Q29,$O29,$G$5,$G$6,drivePower($C$4,$M29,$G29,$C$10,$C$11),$I29,$G29,$G$4,$C$8)</f>
        <v>0</v>
      </c>
      <c r="V29" s="79" cm="1">
        <f t="array" ref="V29">maxDepthToMinSOC($L$8,$L$9,$L$6,$L$7,$O29*(1-R29),$G$5,$G$6,drivePower($C$4,$M29,$G29,$C$10,$C$11),$I29,$G29,$G$4,$C$8)</f>
        <v>0</v>
      </c>
    </row>
    <row r="30" spans="7:22" x14ac:dyDescent="0.35">
      <c r="G30" s="55">
        <f t="shared" si="2"/>
        <v>1</v>
      </c>
      <c r="H30" s="57" cm="1">
        <f t="array" ref="H30">drivePower($C$4,$C$5,G30,$C$10,$C$11)</f>
        <v>348</v>
      </c>
      <c r="I30" s="72">
        <f t="shared" si="8"/>
        <v>49.679160600000003</v>
      </c>
      <c r="J30" s="72">
        <f t="shared" si="0"/>
        <v>397.67916059999999</v>
      </c>
      <c r="K30" s="56">
        <f>K29+8800</f>
        <v>37400</v>
      </c>
      <c r="L30" s="55">
        <f t="shared" si="3"/>
        <v>1.8</v>
      </c>
      <c r="M30" s="57">
        <f t="shared" si="9"/>
        <v>201.98</v>
      </c>
      <c r="N30" s="57" cm="1">
        <f t="array" ref="N30">drivePower($C$4,M30,$C$9,$C$10,$C$11)</f>
        <v>350.45519999999999</v>
      </c>
      <c r="O30" s="74">
        <f t="shared" si="1"/>
        <v>1615.6799999999998</v>
      </c>
      <c r="P30" s="76">
        <f t="shared" si="5"/>
        <v>-1.08E-4</v>
      </c>
      <c r="Q30" s="77">
        <f t="shared" si="6"/>
        <v>0.82280000000000009</v>
      </c>
      <c r="R30" s="83">
        <v>0.15</v>
      </c>
      <c r="S30" s="80">
        <f t="shared" si="7"/>
        <v>37400</v>
      </c>
      <c r="T30" s="78" cm="1">
        <f t="array" ref="T30">maxDepthToMinSOC($L$8,$L$9,$L$6,$L$7,$O30,$G$5,$G$6,drivePower($C$4,$M30,$G30,$C$10,$C$11),$I30,$G30,$G$4,$C$8)</f>
        <v>0</v>
      </c>
      <c r="U30" s="11" cm="1">
        <f t="array" ref="U30">maxDepthToMinSOC($L$8,$L$9,P30,Q30,$O30,$G$5,$G$6,drivePower($C$4,$M30,$G30,$C$10,$C$11),$I30,$G30,$G$4,$C$8)</f>
        <v>0</v>
      </c>
      <c r="V30" s="79" cm="1">
        <f t="array" ref="V30">maxDepthToMinSOC($L$8,$L$9,$L$6,$L$7,$O30*(1-R30),$G$5,$G$6,drivePower($C$4,$M30,$G30,$C$10,$C$11),$I30,$G30,$G$4,$C$8)</f>
        <v>0</v>
      </c>
    </row>
    <row r="31" spans="7:22" x14ac:dyDescent="0.35">
      <c r="G31" s="55">
        <f t="shared" si="2"/>
        <v>1</v>
      </c>
      <c r="H31" s="57" cm="1">
        <f t="array" ref="H31">drivePower($C$4,$C$5,G31,$C$10,$C$11)</f>
        <v>348</v>
      </c>
      <c r="I31" s="72">
        <f t="shared" si="8"/>
        <v>49.679160600000003</v>
      </c>
      <c r="J31" s="72">
        <f t="shared" si="0"/>
        <v>397.67916059999999</v>
      </c>
      <c r="K31" s="56">
        <f t="shared" ref="K31:K38" si="11">K30+8800</f>
        <v>46200</v>
      </c>
      <c r="L31" s="55">
        <f t="shared" si="3"/>
        <v>2.2799999999999998</v>
      </c>
      <c r="M31" s="57">
        <f t="shared" si="9"/>
        <v>202.50800000000001</v>
      </c>
      <c r="N31" s="57" cm="1">
        <f t="array" ref="N31">drivePower($C$4,M31,$C$9,$C$10,$C$11)</f>
        <v>351.10991999999999</v>
      </c>
      <c r="O31" s="74">
        <f t="shared" si="1"/>
        <v>1995.84</v>
      </c>
      <c r="P31" s="76">
        <f t="shared" si="5"/>
        <v>-1.08E-4</v>
      </c>
      <c r="Q31" s="77">
        <f t="shared" si="6"/>
        <v>0.82280000000000009</v>
      </c>
      <c r="R31" s="83">
        <v>0.15</v>
      </c>
      <c r="S31" s="80">
        <f t="shared" si="7"/>
        <v>46200</v>
      </c>
      <c r="T31" s="78" cm="1">
        <f t="array" ref="T31">maxDepthToMinSOC($L$8,$L$9,$L$6,$L$7,$O31,$G$5,$G$6,drivePower($C$4,$M31,$G31,$C$10,$C$11),$I31,$G31,$G$4,$C$8)</f>
        <v>319</v>
      </c>
      <c r="U31" s="11" cm="1">
        <f t="array" ref="U31">maxDepthToMinSOC($L$8,$L$9,P31,Q31,$O31,$G$5,$G$6,drivePower($C$4,$M31,$G31,$C$10,$C$11),$I31,$G31,$G$4,$C$8)</f>
        <v>109</v>
      </c>
      <c r="V31" s="79" cm="1">
        <f t="array" ref="V31">maxDepthToMinSOC($L$8,$L$9,$L$6,$L$7,$O31*(1-R31),$G$5,$G$6,drivePower($C$4,$M31,$G31,$C$10,$C$11),$I31,$G31,$G$4,$C$8)</f>
        <v>59</v>
      </c>
    </row>
    <row r="32" spans="7:22" x14ac:dyDescent="0.35">
      <c r="G32" s="55">
        <f t="shared" si="2"/>
        <v>1</v>
      </c>
      <c r="H32" s="57" cm="1">
        <f t="array" ref="H32">drivePower($C$4,$C$5,G32,$C$10,$C$11)</f>
        <v>348</v>
      </c>
      <c r="I32" s="72">
        <f t="shared" si="8"/>
        <v>49.679160600000003</v>
      </c>
      <c r="J32" s="72">
        <f t="shared" si="0"/>
        <v>397.67916059999999</v>
      </c>
      <c r="K32" s="56">
        <f t="shared" si="11"/>
        <v>55000</v>
      </c>
      <c r="L32" s="55">
        <f t="shared" si="3"/>
        <v>2.76</v>
      </c>
      <c r="M32" s="57">
        <f t="shared" si="9"/>
        <v>203.036</v>
      </c>
      <c r="N32" s="57" cm="1">
        <f t="array" ref="N32">drivePower($C$4,M32,$C$9,$C$10,$C$11)</f>
        <v>351.76463999999999</v>
      </c>
      <c r="O32" s="74">
        <f t="shared" si="1"/>
        <v>2376</v>
      </c>
      <c r="P32" s="76">
        <f t="shared" si="5"/>
        <v>-1.08E-4</v>
      </c>
      <c r="Q32" s="77">
        <f t="shared" si="6"/>
        <v>0.82280000000000009</v>
      </c>
      <c r="R32" s="83">
        <v>0.15</v>
      </c>
      <c r="S32" s="80">
        <f t="shared" si="7"/>
        <v>55000</v>
      </c>
      <c r="T32" s="78" cm="1">
        <f t="array" ref="T32">maxDepthToMinSOC($L$8,$L$9,$L$6,$L$7,$O32,$G$5,$G$6,drivePower($C$4,$M32,$G32,$C$10,$C$11),$I32,$G32,$G$4,$C$8)</f>
        <v>646</v>
      </c>
      <c r="U32" s="11" cm="1">
        <f t="array" ref="U32">maxDepthToMinSOC($L$8,$L$9,P32,Q32,$O32,$G$5,$G$6,drivePower($C$4,$M32,$G32,$C$10,$C$11),$I32,$G32,$G$4,$C$8)</f>
        <v>392</v>
      </c>
      <c r="V32" s="79" cm="1">
        <f t="array" ref="V32">maxDepthToMinSOC($L$8,$L$9,$L$6,$L$7,$O32*(1-R32),$G$5,$G$6,drivePower($C$4,$M32,$G32,$C$10,$C$11),$I32,$G32,$G$4,$C$8)</f>
        <v>339</v>
      </c>
    </row>
    <row r="33" spans="7:22" x14ac:dyDescent="0.35">
      <c r="G33" s="55">
        <f t="shared" si="2"/>
        <v>1</v>
      </c>
      <c r="H33" s="57" cm="1">
        <f t="array" ref="H33">drivePower($C$4,$C$5,G33,$C$10,$C$11)</f>
        <v>348</v>
      </c>
      <c r="I33" s="72">
        <f t="shared" si="8"/>
        <v>49.679160600000003</v>
      </c>
      <c r="J33" s="72">
        <f t="shared" si="0"/>
        <v>397.67916059999999</v>
      </c>
      <c r="K33" s="56">
        <f t="shared" si="11"/>
        <v>63800</v>
      </c>
      <c r="L33" s="55">
        <f t="shared" si="3"/>
        <v>3.24</v>
      </c>
      <c r="M33" s="57">
        <f t="shared" si="9"/>
        <v>203.56399999999999</v>
      </c>
      <c r="N33" s="57" cm="1">
        <f t="array" ref="N33">drivePower($C$4,M33,$C$9,$C$10,$C$11)</f>
        <v>352.41935999999998</v>
      </c>
      <c r="O33" s="74">
        <f t="shared" si="1"/>
        <v>2756.16</v>
      </c>
      <c r="P33" s="76">
        <f t="shared" si="5"/>
        <v>-1.08E-4</v>
      </c>
      <c r="Q33" s="77">
        <f t="shared" si="6"/>
        <v>0.82280000000000009</v>
      </c>
      <c r="R33" s="83">
        <v>0.15</v>
      </c>
      <c r="S33" s="80">
        <f t="shared" si="7"/>
        <v>63800</v>
      </c>
      <c r="T33" s="78" cm="1">
        <f t="array" ref="T33">maxDepthToMinSOC($L$8,$L$9,$L$6,$L$7,$O33,$G$5,$G$6,drivePower($C$4,$M33,$G33,$C$10,$C$11),$I33,$G33,$G$4,$C$8)</f>
        <v>972</v>
      </c>
      <c r="U33" s="11" cm="1">
        <f t="array" ref="U33">maxDepthToMinSOC($L$8,$L$9,P33,Q33,$O33,$G$5,$G$6,drivePower($C$4,$M33,$G33,$C$10,$C$11),$I33,$G33,$G$4,$C$8)</f>
        <v>671</v>
      </c>
      <c r="V33" s="79" cm="1">
        <f t="array" ref="V33">maxDepthToMinSOC($L$8,$L$9,$L$6,$L$7,$O33*(1-R33),$G$5,$G$6,drivePower($C$4,$M33,$G33,$C$10,$C$11),$I33,$G33,$G$4,$C$8)</f>
        <v>616</v>
      </c>
    </row>
    <row r="34" spans="7:22" x14ac:dyDescent="0.35">
      <c r="G34" s="55">
        <f t="shared" si="2"/>
        <v>1</v>
      </c>
      <c r="H34" s="57" cm="1">
        <f t="array" ref="H34">drivePower($C$4,$C$5,G34,$C$10,$C$11)</f>
        <v>348</v>
      </c>
      <c r="I34" s="72">
        <f t="shared" si="8"/>
        <v>49.679160600000003</v>
      </c>
      <c r="J34" s="72">
        <f t="shared" si="0"/>
        <v>397.67916059999999</v>
      </c>
      <c r="K34" s="56">
        <f t="shared" si="11"/>
        <v>72600</v>
      </c>
      <c r="L34" s="55">
        <f t="shared" si="3"/>
        <v>3.72</v>
      </c>
      <c r="M34" s="57">
        <f t="shared" si="9"/>
        <v>204.09200000000001</v>
      </c>
      <c r="N34" s="57" cm="1">
        <f t="array" ref="N34">drivePower($C$4,M34,$C$9,$C$10,$C$11)</f>
        <v>353.07407999999998</v>
      </c>
      <c r="O34" s="74">
        <f t="shared" si="1"/>
        <v>3136.32</v>
      </c>
      <c r="P34" s="76">
        <f t="shared" si="5"/>
        <v>-1.08E-4</v>
      </c>
      <c r="Q34" s="77">
        <f t="shared" si="6"/>
        <v>0.82280000000000009</v>
      </c>
      <c r="R34" s="83">
        <v>0.15</v>
      </c>
      <c r="S34" s="80">
        <f t="shared" si="7"/>
        <v>72600</v>
      </c>
      <c r="T34" s="78" cm="1">
        <f t="array" ref="T34">maxDepthToMinSOC($L$8,$L$9,$L$6,$L$7,$O34,$G$5,$G$6,drivePower($C$4,$M34,$G34,$C$10,$C$11),$I34,$G34,$G$4,$C$8)</f>
        <v>1295</v>
      </c>
      <c r="U34" s="11" cm="1">
        <f t="array" ref="U34">maxDepthToMinSOC($L$8,$L$9,P34,Q34,$O34,$G$5,$G$6,drivePower($C$4,$M34,$G34,$C$10,$C$11),$I34,$G34,$G$4,$C$8)</f>
        <v>947</v>
      </c>
      <c r="V34" s="79" cm="1">
        <f t="array" ref="V34">maxDepthToMinSOC($L$8,$L$9,$L$6,$L$7,$O34*(1-R34),$G$5,$G$6,drivePower($C$4,$M34,$G34,$C$10,$C$11),$I34,$G34,$G$4,$C$8)</f>
        <v>893</v>
      </c>
    </row>
    <row r="35" spans="7:22" x14ac:dyDescent="0.35">
      <c r="G35" s="55">
        <f t="shared" si="2"/>
        <v>1</v>
      </c>
      <c r="H35" s="57" cm="1">
        <f t="array" ref="H35">drivePower($C$4,$C$5,G35,$C$10,$C$11)</f>
        <v>348</v>
      </c>
      <c r="I35" s="72">
        <f t="shared" si="8"/>
        <v>49.679160600000003</v>
      </c>
      <c r="J35" s="72">
        <f t="shared" si="0"/>
        <v>397.67916059999999</v>
      </c>
      <c r="K35" s="56">
        <f t="shared" si="11"/>
        <v>81400</v>
      </c>
      <c r="L35" s="55">
        <f t="shared" si="3"/>
        <v>4.2</v>
      </c>
      <c r="M35" s="57">
        <f t="shared" si="9"/>
        <v>204.62</v>
      </c>
      <c r="N35" s="57" cm="1">
        <f t="array" ref="N35">drivePower($C$4,M35,$C$9,$C$10,$C$11)</f>
        <v>353.72879999999998</v>
      </c>
      <c r="O35" s="74">
        <f t="shared" si="1"/>
        <v>3516.4800000000005</v>
      </c>
      <c r="P35" s="76">
        <f t="shared" si="5"/>
        <v>-1.08E-4</v>
      </c>
      <c r="Q35" s="77">
        <f t="shared" si="6"/>
        <v>0.82280000000000009</v>
      </c>
      <c r="R35" s="83">
        <v>0.15</v>
      </c>
      <c r="S35" s="80">
        <f t="shared" si="7"/>
        <v>81400</v>
      </c>
      <c r="T35" s="78" cm="1">
        <f t="array" ref="T35">maxDepthToMinSOC($L$8,$L$9,$L$6,$L$7,$O35,$G$5,$G$6,drivePower($C$4,$M35,$G35,$C$10,$C$11),$I35,$G35,$G$4,$C$8)</f>
        <v>1617</v>
      </c>
      <c r="U35" s="11" cm="1">
        <f t="array" ref="U35">maxDepthToMinSOC($L$8,$L$9,P35,Q35,$O35,$G$5,$G$6,drivePower($C$4,$M35,$G35,$C$10,$C$11),$I35,$G35,$G$4,$C$8)</f>
        <v>1220</v>
      </c>
      <c r="V35" s="79" cm="1">
        <f t="array" ref="V35">maxDepthToMinSOC($L$8,$L$9,$L$6,$L$7,$O35*(1-R35),$G$5,$G$6,drivePower($C$4,$M35,$G35,$C$10,$C$11),$I35,$G35,$G$4,$C$8)</f>
        <v>1167</v>
      </c>
    </row>
    <row r="36" spans="7:22" x14ac:dyDescent="0.35">
      <c r="G36" s="55">
        <f t="shared" si="2"/>
        <v>1</v>
      </c>
      <c r="H36" s="57" cm="1">
        <f t="array" ref="H36">drivePower($C$4,$C$5,G36,$C$10,$C$11)</f>
        <v>348</v>
      </c>
      <c r="I36" s="72">
        <f t="shared" si="8"/>
        <v>49.679160600000003</v>
      </c>
      <c r="J36" s="72">
        <f t="shared" si="0"/>
        <v>397.67916059999999</v>
      </c>
      <c r="K36" s="56">
        <f t="shared" si="11"/>
        <v>90200</v>
      </c>
      <c r="L36" s="55">
        <f t="shared" si="3"/>
        <v>4.68</v>
      </c>
      <c r="M36" s="57">
        <f t="shared" si="9"/>
        <v>205.148</v>
      </c>
      <c r="N36" s="57" cm="1">
        <f t="array" ref="N36">drivePower($C$4,M36,$C$9,$C$10,$C$11)</f>
        <v>354.38351999999998</v>
      </c>
      <c r="O36" s="74">
        <f t="shared" si="1"/>
        <v>3896.6400000000003</v>
      </c>
      <c r="P36" s="76">
        <f t="shared" si="5"/>
        <v>-1.08E-4</v>
      </c>
      <c r="Q36" s="77">
        <f t="shared" si="6"/>
        <v>0.82280000000000009</v>
      </c>
      <c r="R36" s="83">
        <v>0.15</v>
      </c>
      <c r="S36" s="80">
        <f t="shared" si="7"/>
        <v>90200</v>
      </c>
      <c r="T36" s="78" cm="1">
        <f t="array" ref="T36">maxDepthToMinSOC($L$8,$L$9,$L$6,$L$7,$O36,$G$5,$G$6,drivePower($C$4,$M36,$G36,$C$10,$C$11),$I36,$G36,$G$4,$C$8)</f>
        <v>1936</v>
      </c>
      <c r="U36" s="11" cm="1">
        <f t="array" ref="U36">maxDepthToMinSOC($L$8,$L$9,P36,Q36,$O36,$G$5,$G$6,drivePower($C$4,$M36,$G36,$C$10,$C$11),$I36,$G36,$G$4,$C$8)</f>
        <v>1489</v>
      </c>
      <c r="V36" s="79" cm="1">
        <f t="array" ref="V36">maxDepthToMinSOC($L$8,$L$9,$L$6,$L$7,$O36*(1-R36),$G$5,$G$6,drivePower($C$4,$M36,$G36,$C$10,$C$11),$I36,$G36,$G$4,$C$8)</f>
        <v>1440</v>
      </c>
    </row>
    <row r="37" spans="7:22" x14ac:dyDescent="0.35">
      <c r="G37" s="55">
        <f t="shared" si="2"/>
        <v>1</v>
      </c>
      <c r="H37" s="57" cm="1">
        <f t="array" ref="H37">drivePower($C$4,$C$5,G37,$C$10,$C$11)</f>
        <v>348</v>
      </c>
      <c r="I37" s="72">
        <f t="shared" si="8"/>
        <v>49.679160600000003</v>
      </c>
      <c r="J37" s="72">
        <f t="shared" si="0"/>
        <v>397.67916059999999</v>
      </c>
      <c r="K37" s="56">
        <f t="shared" si="11"/>
        <v>99000</v>
      </c>
      <c r="L37" s="55">
        <f t="shared" si="3"/>
        <v>5.16</v>
      </c>
      <c r="M37" s="57">
        <f t="shared" si="9"/>
        <v>205.67599999999999</v>
      </c>
      <c r="N37" s="57" cm="1">
        <f t="array" ref="N37">drivePower($C$4,M37,$C$9,$C$10,$C$11)</f>
        <v>355.03823999999997</v>
      </c>
      <c r="O37" s="74">
        <f t="shared" si="1"/>
        <v>4276.7999999999993</v>
      </c>
      <c r="P37" s="76">
        <f t="shared" si="5"/>
        <v>-1.08E-4</v>
      </c>
      <c r="Q37" s="77">
        <f t="shared" si="6"/>
        <v>0.82280000000000009</v>
      </c>
      <c r="R37" s="83">
        <v>0.15</v>
      </c>
      <c r="S37" s="80">
        <f t="shared" si="7"/>
        <v>99000</v>
      </c>
      <c r="T37" s="78" cm="1">
        <f t="array" ref="T37">maxDepthToMinSOC($L$8,$L$9,$L$6,$L$7,$O37,$G$5,$G$6,drivePower($C$4,$M37,$G37,$C$10,$C$11),$I37,$G37,$G$4,$C$8)</f>
        <v>2253</v>
      </c>
      <c r="U37" s="11" cm="1">
        <f t="array" ref="U37">maxDepthToMinSOC($L$8,$L$9,P37,Q37,$O37,$G$5,$G$6,drivePower($C$4,$M37,$G37,$C$10,$C$11),$I37,$G37,$G$4,$C$8)</f>
        <v>1755</v>
      </c>
      <c r="V37" s="79" cm="1">
        <f t="array" ref="V37">maxDepthToMinSOC($L$8,$L$9,$L$6,$L$7,$O37*(1-R37),$G$5,$G$6,drivePower($C$4,$M37,$G37,$C$10,$C$11),$I37,$G37,$G$4,$C$8)</f>
        <v>1712</v>
      </c>
    </row>
    <row r="38" spans="7:22" x14ac:dyDescent="0.35">
      <c r="G38" s="55">
        <f t="shared" si="2"/>
        <v>1</v>
      </c>
      <c r="H38" s="57" cm="1">
        <f t="array" ref="H38">drivePower($C$4,$C$5,G38,$C$10,$C$11)</f>
        <v>348</v>
      </c>
      <c r="I38" s="72">
        <f t="shared" si="8"/>
        <v>49.679160600000003</v>
      </c>
      <c r="J38" s="72">
        <f t="shared" si="0"/>
        <v>397.67916059999999</v>
      </c>
      <c r="K38" s="56">
        <f t="shared" si="11"/>
        <v>107800</v>
      </c>
      <c r="L38" s="55">
        <f t="shared" si="3"/>
        <v>5.64</v>
      </c>
      <c r="M38" s="57">
        <f t="shared" si="9"/>
        <v>206.20400000000001</v>
      </c>
      <c r="N38" s="57" cm="1">
        <f t="array" ref="N38">drivePower($C$4,M38,$C$9,$C$10,$C$11)</f>
        <v>355.69295999999997</v>
      </c>
      <c r="O38" s="74">
        <f t="shared" si="1"/>
        <v>4656.96</v>
      </c>
      <c r="P38" s="76">
        <f t="shared" si="5"/>
        <v>-1.08E-4</v>
      </c>
      <c r="Q38" s="77">
        <f t="shared" si="6"/>
        <v>0.82280000000000009</v>
      </c>
      <c r="R38" s="83">
        <v>0.15</v>
      </c>
      <c r="S38" s="80">
        <f t="shared" si="7"/>
        <v>107800</v>
      </c>
      <c r="T38" s="78" cm="1">
        <f t="array" ref="T38">maxDepthToMinSOC($L$8,$L$9,$L$6,$L$7,$O38,$G$5,$G$6,drivePower($C$4,$M38,$G38,$C$10,$C$11),$I38,$G38,$G$4,$C$8)</f>
        <v>2569</v>
      </c>
      <c r="U38" s="11" cm="1">
        <f t="array" ref="U38">maxDepthToMinSOC($L$8,$L$9,P38,Q38,$O38,$G$5,$G$6,drivePower($C$4,$M38,$G38,$C$10,$C$11),$I38,$G38,$G$4,$C$8)</f>
        <v>2018</v>
      </c>
      <c r="V38" s="79" cm="1">
        <f t="array" ref="V38">maxDepthToMinSOC($L$8,$L$9,$L$6,$L$7,$O38*(1-R38),$G$5,$G$6,drivePower($C$4,$M38,$G38,$C$10,$C$11),$I38,$G38,$G$4,$C$8)</f>
        <v>1982</v>
      </c>
    </row>
    <row r="39" spans="7:22" x14ac:dyDescent="0.35">
      <c r="G39" s="55">
        <f t="shared" si="2"/>
        <v>1</v>
      </c>
      <c r="H39" s="57" cm="1">
        <f t="array" ref="H39">drivePower($C$4,$C$5,G39,$C$10,$C$11)</f>
        <v>348</v>
      </c>
      <c r="I39" s="72">
        <f t="shared" si="8"/>
        <v>49.679160600000003</v>
      </c>
      <c r="J39" s="72">
        <f t="shared" si="0"/>
        <v>397.67916059999999</v>
      </c>
      <c r="K39" s="56">
        <f>K38+8800*2</f>
        <v>125400</v>
      </c>
      <c r="L39" s="55">
        <f t="shared" si="3"/>
        <v>6.6</v>
      </c>
      <c r="M39" s="57">
        <f t="shared" si="9"/>
        <v>207.26</v>
      </c>
      <c r="N39" s="57" cm="1">
        <f t="array" ref="N39">drivePower($C$4,M39,$C$9,$C$10,$C$11)</f>
        <v>357.00239999999997</v>
      </c>
      <c r="O39" s="74">
        <f t="shared" si="1"/>
        <v>5417.28</v>
      </c>
      <c r="P39" s="76">
        <f t="shared" si="5"/>
        <v>-1.08E-4</v>
      </c>
      <c r="Q39" s="77">
        <f t="shared" si="6"/>
        <v>0.82280000000000009</v>
      </c>
      <c r="R39" s="83">
        <v>0.15</v>
      </c>
      <c r="S39" s="80">
        <f t="shared" si="7"/>
        <v>125400</v>
      </c>
      <c r="T39" s="78" cm="1">
        <f t="array" ref="T39">maxDepthToMinSOC($L$8,$L$9,$L$6,$L$7,$O39,$G$5,$G$6,drivePower($C$4,$M39,$G39,$C$10,$C$11),$I39,$G39,$G$4,$C$8)</f>
        <v>3193</v>
      </c>
      <c r="U39" s="11" cm="1">
        <f t="array" ref="U39">maxDepthToMinSOC($L$8,$L$9,P39,Q39,$O39,$G$5,$G$6,drivePower($C$4,$M39,$G39,$C$10,$C$11),$I39,$G39,$G$4,$C$8)</f>
        <v>2534</v>
      </c>
      <c r="V39" s="79" cm="1">
        <f t="array" ref="V39">maxDepthToMinSOC($L$8,$L$9,$L$6,$L$7,$O39*(1-R39),$G$5,$G$6,drivePower($C$4,$M39,$G39,$C$10,$C$11),$I39,$G39,$G$4,$C$8)</f>
        <v>2517</v>
      </c>
    </row>
    <row r="40" spans="7:22" x14ac:dyDescent="0.35">
      <c r="G40" s="55">
        <f t="shared" si="2"/>
        <v>1</v>
      </c>
      <c r="H40" s="57" cm="1">
        <f t="array" ref="H40">drivePower($C$4,$C$5,G40,$C$10,$C$11)</f>
        <v>348</v>
      </c>
      <c r="I40" s="72">
        <f t="shared" si="8"/>
        <v>49.679160600000003</v>
      </c>
      <c r="J40" s="72">
        <f t="shared" si="0"/>
        <v>397.67916059999999</v>
      </c>
      <c r="K40" s="56">
        <f t="shared" ref="K40:K46" si="12">K39+8800*2</f>
        <v>143000</v>
      </c>
      <c r="L40" s="55">
        <f t="shared" si="3"/>
        <v>7.56</v>
      </c>
      <c r="M40" s="57">
        <f t="shared" si="9"/>
        <v>208.316</v>
      </c>
      <c r="N40" s="57" cm="1">
        <f t="array" ref="N40">drivePower($C$4,M40,$C$9,$C$10,$C$11)</f>
        <v>358.31184000000002</v>
      </c>
      <c r="O40" s="74">
        <f t="shared" si="1"/>
        <v>6177.5999999999995</v>
      </c>
      <c r="P40" s="76">
        <f t="shared" si="5"/>
        <v>-1.08E-4</v>
      </c>
      <c r="Q40" s="77">
        <f t="shared" si="6"/>
        <v>0.82280000000000009</v>
      </c>
      <c r="R40" s="83">
        <v>0.15</v>
      </c>
      <c r="S40" s="80">
        <f t="shared" si="7"/>
        <v>143000</v>
      </c>
      <c r="T40" s="78" cm="1">
        <f t="array" ref="T40">maxDepthToMinSOC($L$8,$L$9,$L$6,$L$7,$O40,$G$5,$G$6,drivePower($C$4,$M40,$G40,$C$10,$C$11),$I40,$G40,$G$4,$C$8)</f>
        <v>3810</v>
      </c>
      <c r="U40" s="11" cm="1">
        <f t="array" ref="U40">maxDepthToMinSOC($L$8,$L$9,P40,Q40,$O40,$G$5,$G$6,drivePower($C$4,$M40,$G40,$C$10,$C$11),$I40,$G40,$G$4,$C$8)</f>
        <v>3038</v>
      </c>
      <c r="V40" s="79" cm="1">
        <f t="array" ref="V40">maxDepthToMinSOC($L$8,$L$9,$L$6,$L$7,$O40*(1-R40),$G$5,$G$6,drivePower($C$4,$M40,$G40,$C$10,$C$11),$I40,$G40,$G$4,$C$8)</f>
        <v>3045</v>
      </c>
    </row>
    <row r="41" spans="7:22" x14ac:dyDescent="0.35">
      <c r="G41" s="55">
        <f t="shared" si="2"/>
        <v>1</v>
      </c>
      <c r="H41" s="57" cm="1">
        <f t="array" ref="H41">drivePower($C$4,$C$5,G41,$C$10,$C$11)</f>
        <v>348</v>
      </c>
      <c r="I41" s="72">
        <f t="shared" si="8"/>
        <v>49.679160600000003</v>
      </c>
      <c r="J41" s="72">
        <f t="shared" si="0"/>
        <v>397.67916059999999</v>
      </c>
      <c r="K41" s="56">
        <f t="shared" si="12"/>
        <v>160600</v>
      </c>
      <c r="L41" s="55">
        <f t="shared" si="3"/>
        <v>8.52</v>
      </c>
      <c r="M41" s="57">
        <f t="shared" si="9"/>
        <v>209.37200000000001</v>
      </c>
      <c r="N41" s="57" cm="1">
        <f t="array" ref="N41">drivePower($C$4,M41,$C$9,$C$10,$C$11)</f>
        <v>359.62128000000001</v>
      </c>
      <c r="O41" s="74">
        <f t="shared" si="1"/>
        <v>6937.92</v>
      </c>
      <c r="P41" s="76">
        <f t="shared" si="5"/>
        <v>-1.08E-4</v>
      </c>
      <c r="Q41" s="77">
        <f t="shared" si="6"/>
        <v>0.82280000000000009</v>
      </c>
      <c r="R41" s="83">
        <v>0.15</v>
      </c>
      <c r="S41" s="80">
        <f t="shared" si="7"/>
        <v>160600</v>
      </c>
      <c r="T41" s="78" cm="1">
        <f t="array" ref="T41">maxDepthToMinSOC($L$8,$L$9,$L$6,$L$7,$O41,$G$5,$G$6,drivePower($C$4,$M41,$G41,$C$10,$C$11),$I41,$G41,$G$4,$C$8)</f>
        <v>4420</v>
      </c>
      <c r="U41" s="11" cm="1">
        <f t="array" ref="U41">maxDepthToMinSOC($L$8,$L$9,P41,Q41,$O41,$G$5,$G$6,drivePower($C$4,$M41,$G41,$C$10,$C$11),$I41,$G41,$G$4,$C$8)</f>
        <v>3530</v>
      </c>
      <c r="V41" s="79" cm="1">
        <f t="array" ref="V41">maxDepthToMinSOC($L$8,$L$9,$L$6,$L$7,$O41*(1-R41),$G$5,$G$6,drivePower($C$4,$M41,$G41,$C$10,$C$11),$I41,$G41,$G$4,$C$8)</f>
        <v>3568</v>
      </c>
    </row>
    <row r="42" spans="7:22" x14ac:dyDescent="0.35">
      <c r="G42" s="55">
        <f t="shared" si="2"/>
        <v>1</v>
      </c>
      <c r="H42" s="57" cm="1">
        <f t="array" ref="H42">drivePower($C$4,$C$5,G42,$C$10,$C$11)</f>
        <v>348</v>
      </c>
      <c r="I42" s="72">
        <f t="shared" si="8"/>
        <v>49.679160600000003</v>
      </c>
      <c r="J42" s="72">
        <f t="shared" si="0"/>
        <v>397.67916059999999</v>
      </c>
      <c r="K42" s="56">
        <f t="shared" si="12"/>
        <v>178200</v>
      </c>
      <c r="L42" s="55">
        <f t="shared" si="3"/>
        <v>9.48</v>
      </c>
      <c r="M42" s="57">
        <f t="shared" si="9"/>
        <v>210.428</v>
      </c>
      <c r="N42" s="57" cm="1">
        <f t="array" ref="N42">drivePower($C$4,M42,$C$9,$C$10,$C$11)</f>
        <v>360.93072000000001</v>
      </c>
      <c r="O42" s="74">
        <f t="shared" si="1"/>
        <v>7698.24</v>
      </c>
      <c r="P42" s="76">
        <f t="shared" si="5"/>
        <v>-1.08E-4</v>
      </c>
      <c r="Q42" s="77">
        <f t="shared" si="6"/>
        <v>0.82280000000000009</v>
      </c>
      <c r="R42" s="83">
        <v>0.15</v>
      </c>
      <c r="S42" s="80">
        <f t="shared" si="7"/>
        <v>178200</v>
      </c>
      <c r="T42" s="78" cm="1">
        <f t="array" ref="T42">maxDepthToMinSOC($L$8,$L$9,$L$6,$L$7,$O42,$G$5,$G$6,drivePower($C$4,$M42,$G42,$C$10,$C$11),$I42,$G42,$G$4,$C$8)</f>
        <v>5022</v>
      </c>
      <c r="U42" s="11" cm="1">
        <f t="array" ref="U42">maxDepthToMinSOC($L$8,$L$9,P42,Q42,$O42,$G$5,$G$6,drivePower($C$4,$M42,$G42,$C$10,$C$11),$I42,$G42,$G$4,$C$8)</f>
        <v>4011</v>
      </c>
      <c r="V42" s="79" cm="1">
        <f t="array" ref="V42">maxDepthToMinSOC($L$8,$L$9,$L$6,$L$7,$O42*(1-R42),$G$5,$G$6,drivePower($C$4,$M42,$G42,$C$10,$C$11),$I42,$G42,$G$4,$C$8)</f>
        <v>4085</v>
      </c>
    </row>
    <row r="43" spans="7:22" x14ac:dyDescent="0.35">
      <c r="G43" s="55">
        <f t="shared" si="2"/>
        <v>1</v>
      </c>
      <c r="H43" s="57" cm="1">
        <f t="array" ref="H43">drivePower($C$4,$C$5,G43,$C$10,$C$11)</f>
        <v>348</v>
      </c>
      <c r="I43" s="72">
        <f t="shared" si="8"/>
        <v>49.679160600000003</v>
      </c>
      <c r="J43" s="72">
        <f t="shared" si="0"/>
        <v>397.67916059999999</v>
      </c>
      <c r="K43" s="56">
        <f t="shared" si="12"/>
        <v>195800</v>
      </c>
      <c r="L43" s="55">
        <f t="shared" si="3"/>
        <v>10.44</v>
      </c>
      <c r="M43" s="57">
        <f t="shared" si="9"/>
        <v>211.48400000000001</v>
      </c>
      <c r="N43" s="57" cm="1">
        <f t="array" ref="N43">drivePower($C$4,M43,$C$9,$C$10,$C$11)</f>
        <v>362.24016</v>
      </c>
      <c r="O43" s="74">
        <f t="shared" si="1"/>
        <v>8458.56</v>
      </c>
      <c r="P43" s="76">
        <f t="shared" si="5"/>
        <v>-1.08E-4</v>
      </c>
      <c r="Q43" s="77">
        <f t="shared" si="6"/>
        <v>0.82280000000000009</v>
      </c>
      <c r="R43" s="83">
        <v>0.15</v>
      </c>
      <c r="S43" s="80">
        <f t="shared" si="7"/>
        <v>195800</v>
      </c>
      <c r="T43" s="78" cm="1">
        <f t="array" ref="T43">maxDepthToMinSOC($L$8,$L$9,$L$6,$L$7,$O43,$G$5,$G$6,drivePower($C$4,$M43,$G43,$C$10,$C$11),$I43,$G43,$G$4,$C$8)</f>
        <v>5617</v>
      </c>
      <c r="U43" s="11" cm="1">
        <f t="array" ref="U43">maxDepthToMinSOC($L$8,$L$9,P43,Q43,$O43,$G$5,$G$6,drivePower($C$4,$M43,$G43,$C$10,$C$11),$I43,$G43,$G$4,$C$8)</f>
        <v>4481</v>
      </c>
      <c r="V43" s="79" cm="1">
        <f t="array" ref="V43">maxDepthToMinSOC($L$8,$L$9,$L$6,$L$7,$O43*(1-R43),$G$5,$G$6,drivePower($C$4,$M43,$G43,$C$10,$C$11),$I43,$G43,$G$4,$C$8)</f>
        <v>4596</v>
      </c>
    </row>
    <row r="44" spans="7:22" x14ac:dyDescent="0.35">
      <c r="G44" s="55">
        <f t="shared" si="2"/>
        <v>1</v>
      </c>
      <c r="H44" s="57" cm="1">
        <f t="array" ref="H44">drivePower($C$4,$C$5,G44,$C$10,$C$11)</f>
        <v>348</v>
      </c>
      <c r="I44" s="72">
        <f t="shared" si="8"/>
        <v>49.679160600000003</v>
      </c>
      <c r="J44" s="72">
        <f t="shared" si="0"/>
        <v>397.67916059999999</v>
      </c>
      <c r="K44" s="56">
        <f t="shared" si="12"/>
        <v>213400</v>
      </c>
      <c r="L44" s="55">
        <f t="shared" si="3"/>
        <v>11.4</v>
      </c>
      <c r="M44" s="57">
        <f t="shared" si="9"/>
        <v>212.54</v>
      </c>
      <c r="N44" s="57" cm="1">
        <f t="array" ref="N44">drivePower($C$4,M44,$C$9,$C$10,$C$11)</f>
        <v>363.5496</v>
      </c>
      <c r="O44" s="74">
        <f t="shared" si="1"/>
        <v>9218.880000000001</v>
      </c>
      <c r="P44" s="76">
        <f t="shared" si="5"/>
        <v>-1.08E-4</v>
      </c>
      <c r="Q44" s="77">
        <f t="shared" si="6"/>
        <v>0.82280000000000009</v>
      </c>
      <c r="R44" s="83">
        <v>0.15</v>
      </c>
      <c r="S44" s="80">
        <f t="shared" si="7"/>
        <v>213400</v>
      </c>
      <c r="T44" s="78" cm="1">
        <f t="array" ref="T44">maxDepthToMinSOC($L$8,$L$9,$L$6,$L$7,$O44,$G$5,$G$6,drivePower($C$4,$M44,$G44,$C$10,$C$11),$I44,$G44,$G$4,$C$8)</f>
        <v>6204</v>
      </c>
      <c r="U44" s="11" cm="1">
        <f t="array" ref="U44">maxDepthToMinSOC($L$8,$L$9,P44,Q44,$O44,$G$5,$G$6,drivePower($C$4,$M44,$G44,$C$10,$C$11),$I44,$G44,$G$4,$C$8)</f>
        <v>4941</v>
      </c>
      <c r="V44" s="79" cm="1">
        <f t="array" ref="V44">maxDepthToMinSOC($L$8,$L$9,$L$6,$L$7,$O44*(1-R44),$G$5,$G$6,drivePower($C$4,$M44,$G44,$C$10,$C$11),$I44,$G44,$G$4,$C$8)</f>
        <v>5101</v>
      </c>
    </row>
    <row r="45" spans="7:22" x14ac:dyDescent="0.35">
      <c r="G45" s="55">
        <f t="shared" si="2"/>
        <v>1</v>
      </c>
      <c r="H45" s="57" cm="1">
        <f t="array" ref="H45">drivePower($C$4,$C$5,G45,$C$10,$C$11)</f>
        <v>348</v>
      </c>
      <c r="I45" s="72">
        <f t="shared" si="8"/>
        <v>49.679160600000003</v>
      </c>
      <c r="J45" s="72">
        <f t="shared" si="0"/>
        <v>397.67916059999999</v>
      </c>
      <c r="K45" s="56">
        <f t="shared" si="12"/>
        <v>231000</v>
      </c>
      <c r="L45" s="55">
        <f t="shared" si="3"/>
        <v>12.36</v>
      </c>
      <c r="M45" s="57">
        <f t="shared" si="9"/>
        <v>213.596</v>
      </c>
      <c r="N45" s="57" cm="1">
        <f t="array" ref="N45">drivePower($C$4,M45,$C$9,$C$10,$C$11)</f>
        <v>364.85903999999999</v>
      </c>
      <c r="O45" s="74">
        <f t="shared" si="1"/>
        <v>9979.2000000000007</v>
      </c>
      <c r="P45" s="76">
        <f t="shared" si="5"/>
        <v>-1.08E-4</v>
      </c>
      <c r="Q45" s="77">
        <f t="shared" si="6"/>
        <v>0.82280000000000009</v>
      </c>
      <c r="R45" s="83">
        <v>0.15</v>
      </c>
      <c r="S45" s="80">
        <f t="shared" si="7"/>
        <v>231000</v>
      </c>
      <c r="T45" s="78" cm="1">
        <f t="array" ref="T45">maxDepthToMinSOC($L$8,$L$9,$L$6,$L$7,$O45,$G$5,$G$6,drivePower($C$4,$M45,$G45,$C$10,$C$11),$I45,$G45,$G$4,$C$8)</f>
        <v>6785</v>
      </c>
      <c r="U45" s="11" cm="1">
        <f t="array" ref="U45">maxDepthToMinSOC($L$8,$L$9,P45,Q45,$O45,$G$5,$G$6,drivePower($C$4,$M45,$G45,$C$10,$C$11),$I45,$G45,$G$4,$C$8)</f>
        <v>5390</v>
      </c>
      <c r="V45" s="79" cm="1">
        <f t="array" ref="V45">maxDepthToMinSOC($L$8,$L$9,$L$6,$L$7,$O45*(1-R45),$G$5,$G$6,drivePower($C$4,$M45,$G45,$C$10,$C$11),$I45,$G45,$G$4,$C$8)</f>
        <v>5601</v>
      </c>
    </row>
    <row r="46" spans="7:22" x14ac:dyDescent="0.35">
      <c r="G46" s="55">
        <f t="shared" si="2"/>
        <v>1</v>
      </c>
      <c r="H46" s="57" cm="1">
        <f t="array" ref="H46">drivePower($C$4,$C$5,G46,$C$10,$C$11)</f>
        <v>348</v>
      </c>
      <c r="I46" s="72">
        <f t="shared" si="8"/>
        <v>49.679160600000003</v>
      </c>
      <c r="J46" s="72">
        <f t="shared" si="0"/>
        <v>397.67916059999999</v>
      </c>
      <c r="K46" s="56">
        <f t="shared" si="12"/>
        <v>248600</v>
      </c>
      <c r="L46" s="55">
        <f t="shared" si="3"/>
        <v>13.32</v>
      </c>
      <c r="M46" s="57">
        <f t="shared" si="9"/>
        <v>214.65199999999999</v>
      </c>
      <c r="N46" s="57" cm="1">
        <f t="array" ref="N46">drivePower($C$4,M46,$C$9,$C$10,$C$11)</f>
        <v>366.16847999999999</v>
      </c>
      <c r="O46" s="74">
        <f t="shared" si="1"/>
        <v>10739.52</v>
      </c>
      <c r="P46" s="76">
        <f t="shared" si="5"/>
        <v>-1.08E-4</v>
      </c>
      <c r="Q46" s="77">
        <f t="shared" si="6"/>
        <v>0.82280000000000009</v>
      </c>
      <c r="R46" s="83">
        <v>0.15</v>
      </c>
      <c r="S46" s="80">
        <f t="shared" si="7"/>
        <v>248600</v>
      </c>
      <c r="T46" s="78" cm="1">
        <f t="array" ref="T46">maxDepthToMinSOC($L$8,$L$9,$L$6,$L$7,$O46,$G$5,$G$6,drivePower($C$4,$M46,$G46,$C$10,$C$11),$I46,$G46,$G$4,$C$8)</f>
        <v>7358</v>
      </c>
      <c r="U46" s="11" cm="1">
        <f t="array" ref="U46">maxDepthToMinSOC($L$8,$L$9,P46,Q46,$O46,$G$5,$G$6,drivePower($C$4,$M46,$G46,$C$10,$C$11),$I46,$G46,$G$4,$C$8)</f>
        <v>5830</v>
      </c>
      <c r="V46" s="79" cm="1">
        <f t="array" ref="V46">maxDepthToMinSOC($L$8,$L$9,$L$6,$L$7,$O46*(1-R46),$G$5,$G$6,drivePower($C$4,$M46,$G46,$C$10,$C$11),$I46,$G46,$G$4,$C$8)</f>
        <v>6095</v>
      </c>
    </row>
    <row r="47" spans="7:22" x14ac:dyDescent="0.35">
      <c r="G47" s="55">
        <f t="shared" si="2"/>
        <v>1</v>
      </c>
      <c r="H47" s="57" cm="1">
        <f t="array" ref="H47">drivePower($C$4,$C$5,G47,$C$10,$C$11)</f>
        <v>348</v>
      </c>
      <c r="I47" s="72">
        <f t="shared" si="8"/>
        <v>49.679160600000003</v>
      </c>
      <c r="J47" s="72">
        <f t="shared" si="0"/>
        <v>397.67916059999999</v>
      </c>
      <c r="K47" s="56">
        <f>K46+30000</f>
        <v>278600</v>
      </c>
      <c r="L47" s="55">
        <f t="shared" si="3"/>
        <v>14.956363636363637</v>
      </c>
      <c r="M47" s="57">
        <f t="shared" si="9"/>
        <v>216.452</v>
      </c>
      <c r="N47" s="57" cm="1">
        <f t="array" ref="N47">drivePower($C$4,M47,$C$9,$C$10,$C$11)</f>
        <v>368.40048000000002</v>
      </c>
      <c r="O47" s="74">
        <f t="shared" si="1"/>
        <v>12035.52</v>
      </c>
      <c r="P47" s="76">
        <f t="shared" si="5"/>
        <v>-1.08E-4</v>
      </c>
      <c r="Q47" s="77">
        <f t="shared" si="6"/>
        <v>0.82280000000000009</v>
      </c>
      <c r="R47" s="83">
        <v>0.15</v>
      </c>
      <c r="S47" s="80">
        <f t="shared" si="7"/>
        <v>278600</v>
      </c>
      <c r="T47" s="78" cm="1">
        <f t="array" ref="T47">maxDepthToMinSOC($L$8,$L$9,$L$6,$L$7,$O47,$G$5,$G$6,drivePower($C$4,$M47,$G47,$C$10,$C$11),$I47,$G47,$G$4,$C$8)</f>
        <v>8320</v>
      </c>
      <c r="U47" s="11" cm="1">
        <f t="array" ref="U47">maxDepthToMinSOC($L$8,$L$9,P47,Q47,$O47,$G$5,$G$6,drivePower($C$4,$M47,$G47,$C$10,$C$11),$I47,$G47,$G$4,$C$8)</f>
        <v>6557</v>
      </c>
      <c r="V47" s="79" cm="1">
        <f t="array" ref="V47">maxDepthToMinSOC($L$8,$L$9,$L$6,$L$7,$O47*(1-R47),$G$5,$G$6,drivePower($C$4,$M47,$G47,$C$10,$C$11),$I47,$G47,$G$4,$C$8)</f>
        <v>6924</v>
      </c>
    </row>
    <row r="48" spans="7:22" x14ac:dyDescent="0.35">
      <c r="G48" s="55">
        <f t="shared" si="2"/>
        <v>1</v>
      </c>
      <c r="H48" s="57" cm="1">
        <f t="array" ref="H48">drivePower($C$4,$C$5,G48,$C$10,$C$11)</f>
        <v>348</v>
      </c>
      <c r="I48" s="72">
        <f t="shared" si="8"/>
        <v>49.679160600000003</v>
      </c>
      <c r="J48" s="72">
        <f t="shared" si="0"/>
        <v>397.67916059999999</v>
      </c>
      <c r="K48" s="56">
        <f t="shared" ref="K48:K53" si="13">K47+30000</f>
        <v>308600</v>
      </c>
      <c r="L48" s="55">
        <f t="shared" si="3"/>
        <v>16.592727272727274</v>
      </c>
      <c r="M48" s="57">
        <f t="shared" si="9"/>
        <v>218.25200000000001</v>
      </c>
      <c r="N48" s="57" cm="1">
        <f t="array" ref="N48">drivePower($C$4,M48,$C$9,$C$10,$C$11)</f>
        <v>370.63247999999999</v>
      </c>
      <c r="O48" s="74">
        <f t="shared" si="1"/>
        <v>13331.52</v>
      </c>
      <c r="P48" s="76">
        <f t="shared" si="5"/>
        <v>-1.08E-4</v>
      </c>
      <c r="Q48" s="77">
        <f t="shared" si="6"/>
        <v>0.82280000000000009</v>
      </c>
      <c r="R48" s="83">
        <v>0.15</v>
      </c>
      <c r="S48" s="80">
        <f t="shared" si="7"/>
        <v>308600</v>
      </c>
      <c r="T48" s="78" cm="1">
        <f t="array" ref="T48">maxDepthToMinSOC($L$8,$L$9,$L$6,$L$7,$O48,$G$5,$G$6,drivePower($C$4,$M48,$G48,$C$10,$C$11),$I48,$G48,$G$4,$C$8)</f>
        <v>9263</v>
      </c>
      <c r="U48" s="11" cm="1">
        <f t="array" ref="U48">maxDepthToMinSOC($L$8,$L$9,P48,Q48,$O48,$G$5,$G$6,drivePower($C$4,$M48,$G48,$C$10,$C$11),$I48,$G48,$G$4,$C$8)</f>
        <v>7258</v>
      </c>
      <c r="V48" s="79" cm="1">
        <f t="array" ref="V48">maxDepthToMinSOC($L$8,$L$9,$L$6,$L$7,$O48*(1-R48),$G$5,$G$6,drivePower($C$4,$M48,$G48,$C$10,$C$11),$I48,$G48,$G$4,$C$8)</f>
        <v>7738</v>
      </c>
    </row>
    <row r="49" spans="7:22" x14ac:dyDescent="0.35">
      <c r="G49" s="55">
        <f t="shared" si="2"/>
        <v>1</v>
      </c>
      <c r="H49" s="57" cm="1">
        <f t="array" ref="H49">drivePower($C$4,$C$5,G49,$C$10,$C$11)</f>
        <v>348</v>
      </c>
      <c r="I49" s="72">
        <f t="shared" si="8"/>
        <v>49.679160600000003</v>
      </c>
      <c r="J49" s="72">
        <f t="shared" si="0"/>
        <v>397.67916059999999</v>
      </c>
      <c r="K49" s="56">
        <f t="shared" si="13"/>
        <v>338600</v>
      </c>
      <c r="L49" s="55">
        <f t="shared" si="3"/>
        <v>18.22909090909091</v>
      </c>
      <c r="M49" s="57">
        <f t="shared" si="9"/>
        <v>220.05199999999999</v>
      </c>
      <c r="N49" s="57" cm="1">
        <f t="array" ref="N49">drivePower($C$4,M49,$C$9,$C$10,$C$11)</f>
        <v>372.86448000000001</v>
      </c>
      <c r="O49" s="74">
        <f t="shared" si="1"/>
        <v>14627.52</v>
      </c>
      <c r="P49" s="76">
        <f t="shared" si="5"/>
        <v>-1.08E-4</v>
      </c>
      <c r="Q49" s="77">
        <f t="shared" si="6"/>
        <v>0.82280000000000009</v>
      </c>
      <c r="R49" s="83">
        <v>0.15</v>
      </c>
      <c r="S49" s="80">
        <f t="shared" si="7"/>
        <v>338600</v>
      </c>
      <c r="T49" s="78" cm="1">
        <f t="array" ref="T49">maxDepthToMinSOC($L$8,$L$9,$L$6,$L$7,$O49,$G$5,$G$6,drivePower($C$4,$M49,$G49,$C$10,$C$11),$I49,$G49,$G$4,$C$8)</f>
        <v>10187</v>
      </c>
      <c r="U49" s="11" cm="1">
        <f t="array" ref="U49">maxDepthToMinSOC($L$8,$L$9,P49,Q49,$O49,$G$5,$G$6,drivePower($C$4,$M49,$G49,$C$10,$C$11),$I49,$G49,$G$4,$C$8)</f>
        <v>7935</v>
      </c>
      <c r="V49" s="79" cm="1">
        <f t="array" ref="V49">maxDepthToMinSOC($L$8,$L$9,$L$6,$L$7,$O49*(1-R49),$G$5,$G$6,drivePower($C$4,$M49,$G49,$C$10,$C$11),$I49,$G49,$G$4,$C$8)</f>
        <v>8537</v>
      </c>
    </row>
    <row r="50" spans="7:22" x14ac:dyDescent="0.35">
      <c r="G50" s="55">
        <f t="shared" si="2"/>
        <v>1</v>
      </c>
      <c r="H50" s="57" cm="1">
        <f t="array" ref="H50">drivePower($C$4,$C$5,G50,$C$10,$C$11)</f>
        <v>348</v>
      </c>
      <c r="I50" s="72">
        <f t="shared" si="8"/>
        <v>49.679160600000003</v>
      </c>
      <c r="J50" s="72">
        <f t="shared" si="0"/>
        <v>397.67916059999999</v>
      </c>
      <c r="K50" s="56">
        <f t="shared" si="13"/>
        <v>368600</v>
      </c>
      <c r="L50" s="55">
        <f t="shared" si="3"/>
        <v>19.865454545454547</v>
      </c>
      <c r="M50" s="57">
        <f t="shared" si="9"/>
        <v>221.852</v>
      </c>
      <c r="N50" s="57" cm="1">
        <f t="array" ref="N50">drivePower($C$4,M50,$C$9,$C$10,$C$11)</f>
        <v>375.09647999999999</v>
      </c>
      <c r="O50" s="74">
        <f t="shared" si="1"/>
        <v>15923.52</v>
      </c>
      <c r="P50" s="76">
        <f t="shared" si="5"/>
        <v>-1.08E-4</v>
      </c>
      <c r="Q50" s="77">
        <f t="shared" si="6"/>
        <v>0.82280000000000009</v>
      </c>
      <c r="R50" s="83">
        <v>0.15</v>
      </c>
      <c r="S50" s="80">
        <f t="shared" si="7"/>
        <v>368600</v>
      </c>
      <c r="T50" s="78" cm="1">
        <f t="array" ref="T50">maxDepthToMinSOC($L$8,$L$9,$L$6,$L$7,$O50,$G$5,$G$6,drivePower($C$4,$M50,$G50,$C$10,$C$11),$I50,$G50,$G$4,$C$8)</f>
        <v>11093</v>
      </c>
      <c r="U50" s="11" cm="1">
        <f t="array" ref="U50">maxDepthToMinSOC($L$8,$L$9,P50,Q50,$O50,$G$5,$G$6,drivePower($C$4,$M50,$G50,$C$10,$C$11),$I50,$G50,$G$4,$C$8)</f>
        <v>8588</v>
      </c>
      <c r="V50" s="79" cm="1">
        <f t="array" ref="V50">maxDepthToMinSOC($L$8,$L$9,$L$6,$L$7,$O50*(1-R50),$G$5,$G$6,drivePower($C$4,$M50,$G50,$C$10,$C$11),$I50,$G50,$G$4,$C$8)</f>
        <v>9322</v>
      </c>
    </row>
    <row r="51" spans="7:22" x14ac:dyDescent="0.35">
      <c r="G51" s="55">
        <f t="shared" si="2"/>
        <v>1</v>
      </c>
      <c r="H51" s="57" cm="1">
        <f t="array" ref="H51">drivePower($C$4,$C$5,G51,$C$10,$C$11)</f>
        <v>348</v>
      </c>
      <c r="I51" s="72">
        <f t="shared" si="8"/>
        <v>49.679160600000003</v>
      </c>
      <c r="J51" s="72">
        <f t="shared" si="0"/>
        <v>397.67916059999999</v>
      </c>
      <c r="K51" s="56">
        <f t="shared" si="13"/>
        <v>398600</v>
      </c>
      <c r="L51" s="55">
        <f t="shared" si="3"/>
        <v>21.50181818181818</v>
      </c>
      <c r="M51" s="57">
        <f t="shared" si="9"/>
        <v>223.65199999999999</v>
      </c>
      <c r="N51" s="57" cm="1">
        <f t="array" ref="N51">drivePower($C$4,M51,$C$9,$C$10,$C$11)</f>
        <v>377.32847999999996</v>
      </c>
      <c r="O51" s="74">
        <f t="shared" si="1"/>
        <v>17219.52</v>
      </c>
      <c r="P51" s="76">
        <f t="shared" si="5"/>
        <v>-1.08E-4</v>
      </c>
      <c r="Q51" s="77">
        <f t="shared" si="6"/>
        <v>0.82280000000000009</v>
      </c>
      <c r="R51" s="83">
        <v>0.15</v>
      </c>
      <c r="S51" s="80">
        <f t="shared" si="7"/>
        <v>398600</v>
      </c>
      <c r="T51" s="78" cm="1">
        <f t="array" ref="T51">maxDepthToMinSOC($L$8,$L$9,$L$6,$L$7,$O51,$G$5,$G$6,drivePower($C$4,$M51,$G51,$C$10,$C$11),$I51,$G51,$G$4,$C$8)</f>
        <v>11981</v>
      </c>
      <c r="U51" s="11" cm="1">
        <f t="array" ref="U51">maxDepthToMinSOC($L$8,$L$9,P51,Q51,$O51,$G$5,$G$6,drivePower($C$4,$M51,$G51,$C$10,$C$11),$I51,$G51,$G$4,$C$8)</f>
        <v>9218</v>
      </c>
      <c r="V51" s="79" cm="1">
        <f t="array" ref="V51">maxDepthToMinSOC($L$8,$L$9,$L$6,$L$7,$O51*(1-R51),$G$5,$G$6,drivePower($C$4,$M51,$G51,$C$10,$C$11),$I51,$G51,$G$4,$C$8)</f>
        <v>10092</v>
      </c>
    </row>
    <row r="52" spans="7:22" x14ac:dyDescent="0.35">
      <c r="G52" s="55">
        <f t="shared" si="2"/>
        <v>1</v>
      </c>
      <c r="H52" s="57" cm="1">
        <f t="array" ref="H52">drivePower($C$4,$C$5,G52,$C$10,$C$11)</f>
        <v>348</v>
      </c>
      <c r="I52" s="72">
        <f t="shared" si="8"/>
        <v>49.679160600000003</v>
      </c>
      <c r="J52" s="72">
        <f t="shared" si="0"/>
        <v>397.67916059999999</v>
      </c>
      <c r="K52" s="56">
        <f t="shared" si="13"/>
        <v>428600</v>
      </c>
      <c r="L52" s="55">
        <f t="shared" si="3"/>
        <v>23.138181818181817</v>
      </c>
      <c r="M52" s="57">
        <f t="shared" si="9"/>
        <v>225.452</v>
      </c>
      <c r="N52" s="57" cm="1">
        <f t="array" ref="N52">drivePower($C$4,M52,$C$9,$C$10,$C$11)</f>
        <v>379.56047999999998</v>
      </c>
      <c r="O52" s="74">
        <f t="shared" si="1"/>
        <v>18515.52</v>
      </c>
      <c r="P52" s="76">
        <f t="shared" si="5"/>
        <v>-1.08E-4</v>
      </c>
      <c r="Q52" s="77">
        <f t="shared" si="6"/>
        <v>0.82280000000000009</v>
      </c>
      <c r="R52" s="83">
        <v>0.15</v>
      </c>
      <c r="S52" s="80">
        <f t="shared" si="7"/>
        <v>428600</v>
      </c>
      <c r="T52" s="78" cm="1">
        <f t="array" ref="T52">maxDepthToMinSOC($L$8,$L$9,$L$6,$L$7,$O52,$G$5,$G$6,drivePower($C$4,$M52,$G52,$C$10,$C$11),$I52,$G52,$G$4,$C$8)</f>
        <v>12853</v>
      </c>
      <c r="U52" s="11" cm="1">
        <f t="array" ref="U52">maxDepthToMinSOC($L$8,$L$9,P52,Q52,$O52,$G$5,$G$6,drivePower($C$4,$M52,$G52,$C$10,$C$11),$I52,$G52,$G$4,$C$8)</f>
        <v>9827</v>
      </c>
      <c r="V52" s="79" cm="1">
        <f t="array" ref="V52">maxDepthToMinSOC($L$8,$L$9,$L$6,$L$7,$O52*(1-R52),$G$5,$G$6,drivePower($C$4,$M52,$G52,$C$10,$C$11),$I52,$G52,$G$4,$C$8)</f>
        <v>10848</v>
      </c>
    </row>
    <row r="53" spans="7:22" x14ac:dyDescent="0.35">
      <c r="G53" s="55">
        <f t="shared" si="2"/>
        <v>1</v>
      </c>
      <c r="H53" s="57" cm="1">
        <f t="array" ref="H53">drivePower($C$4,$C$5,G53,$C$10,$C$11)</f>
        <v>348</v>
      </c>
      <c r="I53" s="72">
        <f t="shared" si="8"/>
        <v>49.679160600000003</v>
      </c>
      <c r="J53" s="72">
        <f t="shared" si="0"/>
        <v>397.67916059999999</v>
      </c>
      <c r="K53" s="56">
        <f t="shared" si="13"/>
        <v>458600</v>
      </c>
      <c r="L53" s="55">
        <f t="shared" si="3"/>
        <v>24.774545454545454</v>
      </c>
      <c r="M53" s="57">
        <f t="shared" si="9"/>
        <v>227.25200000000001</v>
      </c>
      <c r="N53" s="57" cm="1">
        <f t="array" ref="N53">drivePower($C$4,M53,$C$9,$C$10,$C$11)</f>
        <v>381.79248000000001</v>
      </c>
      <c r="O53" s="74">
        <f t="shared" si="1"/>
        <v>19811.52</v>
      </c>
      <c r="P53" s="76">
        <f t="shared" si="5"/>
        <v>-1.08E-4</v>
      </c>
      <c r="Q53" s="77">
        <f t="shared" si="6"/>
        <v>0.82280000000000009</v>
      </c>
      <c r="R53" s="83">
        <v>0.15</v>
      </c>
      <c r="S53" s="80">
        <f t="shared" si="7"/>
        <v>458600</v>
      </c>
      <c r="T53" s="78" cm="1">
        <f t="array" ref="T53">maxDepthToMinSOC($L$8,$L$9,$L$6,$L$7,$O53,$G$5,$G$6,drivePower($C$4,$M53,$G53,$C$10,$C$11),$I53,$G53,$G$4,$C$8)</f>
        <v>13707</v>
      </c>
      <c r="U53" s="11" cm="1">
        <f t="array" ref="U53">maxDepthToMinSOC($L$8,$L$9,P53,Q53,$O53,$G$5,$G$6,drivePower($C$4,$M53,$G53,$C$10,$C$11),$I53,$G53,$G$4,$C$8)</f>
        <v>10416</v>
      </c>
      <c r="V53" s="79" cm="1">
        <f t="array" ref="V53">maxDepthToMinSOC($L$8,$L$9,$L$6,$L$7,$O53*(1-R53),$G$5,$G$6,drivePower($C$4,$M53,$G53,$C$10,$C$11),$I53,$G53,$G$4,$C$8)</f>
        <v>11591</v>
      </c>
    </row>
    <row r="54" spans="7:22" x14ac:dyDescent="0.35">
      <c r="G54" s="55">
        <f t="shared" si="2"/>
        <v>1</v>
      </c>
      <c r="H54" s="57" cm="1">
        <f t="array" ref="H54">drivePower($C$4,$C$5,G54,$C$10,$C$11)</f>
        <v>348</v>
      </c>
      <c r="I54" s="72">
        <f t="shared" si="8"/>
        <v>49.679160600000003</v>
      </c>
      <c r="J54" s="72">
        <f t="shared" si="0"/>
        <v>397.67916059999999</v>
      </c>
      <c r="K54" s="56">
        <f>K53+50000</f>
        <v>508600</v>
      </c>
      <c r="L54" s="55">
        <f t="shared" si="3"/>
        <v>27.50181818181818</v>
      </c>
      <c r="M54" s="57">
        <f t="shared" si="9"/>
        <v>230.25200000000001</v>
      </c>
      <c r="N54" s="57" cm="1">
        <f t="array" ref="N54">drivePower($C$4,M54,$C$9,$C$10,$C$11)</f>
        <v>385.51247999999998</v>
      </c>
      <c r="O54" s="74">
        <f t="shared" si="1"/>
        <v>21971.52</v>
      </c>
      <c r="P54" s="76">
        <f t="shared" si="5"/>
        <v>-1.08E-4</v>
      </c>
      <c r="Q54" s="77">
        <f t="shared" si="6"/>
        <v>0.82280000000000009</v>
      </c>
      <c r="R54" s="83">
        <v>0.15</v>
      </c>
      <c r="S54" s="80">
        <f t="shared" si="7"/>
        <v>508600</v>
      </c>
      <c r="T54" s="78" cm="1">
        <f t="array" ref="T54">maxDepthToMinSOC($L$8,$L$9,$L$6,$L$7,$O54,$G$5,$G$6,drivePower($C$4,$M54,$G54,$C$10,$C$11),$I54,$G54,$G$4,$C$8)</f>
        <v>15097</v>
      </c>
      <c r="U54" s="11" cm="1">
        <f t="array" ref="U54">maxDepthToMinSOC($L$8,$L$9,P54,Q54,$O54,$G$5,$G$6,drivePower($C$4,$M54,$G54,$C$10,$C$11),$I54,$G54,$G$4,$C$8)</f>
        <v>11356</v>
      </c>
      <c r="V54" s="79" cm="1">
        <f t="array" ref="V54">maxDepthToMinSOC($L$8,$L$9,$L$6,$L$7,$O54*(1-R54),$G$5,$G$6,drivePower($C$4,$M54,$G54,$C$10,$C$11),$I54,$G54,$G$4,$C$8)</f>
        <v>12801</v>
      </c>
    </row>
    <row r="55" spans="7:22" x14ac:dyDescent="0.35">
      <c r="G55" s="55">
        <f t="shared" si="2"/>
        <v>1</v>
      </c>
      <c r="H55" s="57" cm="1">
        <f t="array" ref="H55">drivePower($C$4,$C$5,G55,$C$10,$C$11)</f>
        <v>348</v>
      </c>
      <c r="I55" s="72">
        <f t="shared" si="8"/>
        <v>49.679160600000003</v>
      </c>
      <c r="J55" s="72">
        <f t="shared" si="0"/>
        <v>397.67916059999999</v>
      </c>
      <c r="K55" s="56">
        <f t="shared" ref="K55:K79" si="14">K54+50000</f>
        <v>558600</v>
      </c>
      <c r="L55" s="55">
        <f t="shared" si="3"/>
        <v>30.22909090909091</v>
      </c>
      <c r="M55" s="57">
        <f t="shared" si="9"/>
        <v>233.25200000000001</v>
      </c>
      <c r="N55" s="57" cm="1">
        <f t="array" ref="N55">drivePower($C$4,M55,$C$9,$C$10,$C$11)</f>
        <v>389.23248000000001</v>
      </c>
      <c r="O55" s="74">
        <f t="shared" si="1"/>
        <v>24131.52</v>
      </c>
      <c r="P55" s="76">
        <f t="shared" si="5"/>
        <v>-1.08E-4</v>
      </c>
      <c r="Q55" s="77">
        <f t="shared" si="6"/>
        <v>0.82280000000000009</v>
      </c>
      <c r="R55" s="83">
        <v>0.15</v>
      </c>
      <c r="S55" s="80">
        <f t="shared" si="7"/>
        <v>558600</v>
      </c>
      <c r="T55" s="78" cm="1">
        <f t="array" ref="T55">maxDepthToMinSOC($L$8,$L$9,$L$6,$L$7,$O55,$G$5,$G$6,drivePower($C$4,$M55,$G55,$C$10,$C$11),$I55,$G55,$G$4,$C$8)</f>
        <v>16443</v>
      </c>
      <c r="U55" s="11" cm="1">
        <f t="array" ref="U55">maxDepthToMinSOC($L$8,$L$9,P55,Q55,$O55,$G$5,$G$6,drivePower($C$4,$M55,$G55,$C$10,$C$11),$I55,$G55,$G$4,$C$8)</f>
        <v>12247</v>
      </c>
      <c r="V55" s="79" cm="1">
        <f t="array" ref="V55">maxDepthToMinSOC($L$8,$L$9,$L$6,$L$7,$O55*(1-R55),$G$5,$G$6,drivePower($C$4,$M55,$G55,$C$10,$C$11),$I55,$G55,$G$4,$C$8)</f>
        <v>13975</v>
      </c>
    </row>
    <row r="56" spans="7:22" x14ac:dyDescent="0.35">
      <c r="G56" s="55">
        <f t="shared" si="2"/>
        <v>1</v>
      </c>
      <c r="H56" s="57" cm="1">
        <f t="array" ref="H56">drivePower($C$4,$C$5,G56,$C$10,$C$11)</f>
        <v>348</v>
      </c>
      <c r="I56" s="72">
        <f t="shared" si="8"/>
        <v>49.679160600000003</v>
      </c>
      <c r="J56" s="72">
        <f t="shared" si="0"/>
        <v>397.67916059999999</v>
      </c>
      <c r="K56" s="56">
        <f t="shared" si="14"/>
        <v>608600</v>
      </c>
      <c r="L56" s="55">
        <f t="shared" si="3"/>
        <v>32.956363636363633</v>
      </c>
      <c r="M56" s="57">
        <f t="shared" si="9"/>
        <v>236.25200000000001</v>
      </c>
      <c r="N56" s="57" cm="1">
        <f t="array" ref="N56">drivePower($C$4,M56,$C$9,$C$10,$C$11)</f>
        <v>392.95248000000004</v>
      </c>
      <c r="O56" s="74">
        <f t="shared" si="1"/>
        <v>26291.52</v>
      </c>
      <c r="P56" s="76">
        <f t="shared" si="5"/>
        <v>-1.08E-4</v>
      </c>
      <c r="Q56" s="77">
        <f t="shared" si="6"/>
        <v>0.82280000000000009</v>
      </c>
      <c r="R56" s="83">
        <v>0.15</v>
      </c>
      <c r="S56" s="80">
        <f t="shared" si="7"/>
        <v>608600</v>
      </c>
      <c r="T56" s="78" cm="1">
        <f t="array" ref="T56">maxDepthToMinSOC($L$8,$L$9,$L$6,$L$7,$O56,$G$5,$G$6,drivePower($C$4,$M56,$G56,$C$10,$C$11),$I56,$G56,$G$4,$C$8)</f>
        <v>17749</v>
      </c>
      <c r="U56" s="11" cm="1">
        <f t="array" ref="U56">maxDepthToMinSOC($L$8,$L$9,P56,Q56,$O56,$G$5,$G$6,drivePower($C$4,$M56,$G56,$C$10,$C$11),$I56,$G56,$G$4,$C$8)</f>
        <v>13092</v>
      </c>
      <c r="V56" s="79" cm="1">
        <f t="array" ref="V56">maxDepthToMinSOC($L$8,$L$9,$L$6,$L$7,$O56*(1-R56),$G$5,$G$6,drivePower($C$4,$M56,$G56,$C$10,$C$11),$I56,$G56,$G$4,$C$8)</f>
        <v>15116</v>
      </c>
    </row>
    <row r="57" spans="7:22" x14ac:dyDescent="0.35">
      <c r="G57" s="55">
        <f t="shared" si="2"/>
        <v>1</v>
      </c>
      <c r="H57" s="57" cm="1">
        <f t="array" ref="H57">drivePower($C$4,$C$5,G57,$C$10,$C$11)</f>
        <v>348</v>
      </c>
      <c r="I57" s="72">
        <f t="shared" si="8"/>
        <v>49.679160600000003</v>
      </c>
      <c r="J57" s="72">
        <f t="shared" si="0"/>
        <v>397.67916059999999</v>
      </c>
      <c r="K57" s="56">
        <f t="shared" si="14"/>
        <v>658600</v>
      </c>
      <c r="L57" s="55">
        <f t="shared" si="3"/>
        <v>35.683636363636367</v>
      </c>
      <c r="M57" s="57">
        <f t="shared" si="9"/>
        <v>239.25200000000001</v>
      </c>
      <c r="N57" s="57" cm="1">
        <f t="array" ref="N57">drivePower($C$4,M57,$C$9,$C$10,$C$11)</f>
        <v>396.67248000000001</v>
      </c>
      <c r="O57" s="74">
        <f t="shared" si="1"/>
        <v>28451.52</v>
      </c>
      <c r="P57" s="76">
        <f t="shared" si="5"/>
        <v>-1.08E-4</v>
      </c>
      <c r="Q57" s="77">
        <f t="shared" si="6"/>
        <v>0.82280000000000009</v>
      </c>
      <c r="R57" s="83">
        <v>0.15</v>
      </c>
      <c r="S57" s="80">
        <f t="shared" si="7"/>
        <v>658600</v>
      </c>
      <c r="T57" s="78" cm="1">
        <f t="array" ref="T57">maxDepthToMinSOC($L$8,$L$9,$L$6,$L$7,$O57,$G$5,$G$6,drivePower($C$4,$M57,$G57,$C$10,$C$11),$I57,$G57,$G$4,$C$8)</f>
        <v>19016</v>
      </c>
      <c r="U57" s="11" cm="1">
        <f t="array" ref="U57">maxDepthToMinSOC($L$8,$L$9,P57,Q57,$O57,$G$5,$G$6,drivePower($C$4,$M57,$G57,$C$10,$C$11),$I57,$G57,$G$4,$C$8)</f>
        <v>13895</v>
      </c>
      <c r="V57" s="79" cm="1">
        <f t="array" ref="V57">maxDepthToMinSOC($L$8,$L$9,$L$6,$L$7,$O57*(1-R57),$G$5,$G$6,drivePower($C$4,$M57,$G57,$C$10,$C$11),$I57,$G57,$G$4,$C$8)</f>
        <v>16225</v>
      </c>
    </row>
    <row r="58" spans="7:22" x14ac:dyDescent="0.35">
      <c r="G58" s="55">
        <f t="shared" si="2"/>
        <v>1</v>
      </c>
      <c r="H58" s="57" cm="1">
        <f t="array" ref="H58">drivePower($C$4,$C$5,G58,$C$10,$C$11)</f>
        <v>348</v>
      </c>
      <c r="I58" s="72">
        <f t="shared" si="8"/>
        <v>49.679160600000003</v>
      </c>
      <c r="J58" s="72">
        <f t="shared" si="0"/>
        <v>397.67916059999999</v>
      </c>
      <c r="K58" s="56">
        <f t="shared" si="14"/>
        <v>708600</v>
      </c>
      <c r="L58" s="55">
        <f t="shared" si="3"/>
        <v>38.410909090909094</v>
      </c>
      <c r="M58" s="57">
        <f t="shared" si="9"/>
        <v>242.25200000000001</v>
      </c>
      <c r="N58" s="57" cm="1">
        <f t="array" ref="N58">drivePower($C$4,M58,$C$9,$C$10,$C$11)</f>
        <v>400.39248000000003</v>
      </c>
      <c r="O58" s="74">
        <f t="shared" si="1"/>
        <v>30611.52</v>
      </c>
      <c r="P58" s="76">
        <f t="shared" si="5"/>
        <v>-1.08E-4</v>
      </c>
      <c r="Q58" s="77">
        <f t="shared" si="6"/>
        <v>0.82280000000000009</v>
      </c>
      <c r="R58" s="83">
        <v>0.15</v>
      </c>
      <c r="S58" s="80">
        <f t="shared" si="7"/>
        <v>708600</v>
      </c>
      <c r="T58" s="78" cm="1">
        <f t="array" ref="T58">maxDepthToMinSOC($L$8,$L$9,$L$6,$L$7,$O58,$G$5,$G$6,drivePower($C$4,$M58,$G58,$C$10,$C$11),$I58,$G58,$G$4,$C$8)</f>
        <v>20245</v>
      </c>
      <c r="U58" s="11" cm="1">
        <f t="array" ref="U58">maxDepthToMinSOC($L$8,$L$9,P58,Q58,$O58,$G$5,$G$6,drivePower($C$4,$M58,$G58,$C$10,$C$11),$I58,$G58,$G$4,$C$8)</f>
        <v>14660</v>
      </c>
      <c r="V58" s="79" cm="1">
        <f t="array" ref="V58">maxDepthToMinSOC($L$8,$L$9,$L$6,$L$7,$O58*(1-R58),$G$5,$G$6,drivePower($C$4,$M58,$G58,$C$10,$C$11),$I58,$G58,$G$4,$C$8)</f>
        <v>17304</v>
      </c>
    </row>
    <row r="59" spans="7:22" x14ac:dyDescent="0.35">
      <c r="G59" s="55">
        <f t="shared" si="2"/>
        <v>1</v>
      </c>
      <c r="H59" s="57" cm="1">
        <f t="array" ref="H59">drivePower($C$4,$C$5,G59,$C$10,$C$11)</f>
        <v>348</v>
      </c>
      <c r="I59" s="72">
        <f t="shared" si="8"/>
        <v>49.679160600000003</v>
      </c>
      <c r="J59" s="72">
        <f t="shared" si="0"/>
        <v>397.67916059999999</v>
      </c>
      <c r="K59" s="56">
        <f t="shared" si="14"/>
        <v>758600</v>
      </c>
      <c r="L59" s="55">
        <f t="shared" si="3"/>
        <v>41.13818181818182</v>
      </c>
      <c r="M59" s="57">
        <f t="shared" si="9"/>
        <v>245.25200000000001</v>
      </c>
      <c r="N59" s="57" cm="1">
        <f t="array" ref="N59">drivePower($C$4,M59,$C$9,$C$10,$C$11)</f>
        <v>404.11248000000001</v>
      </c>
      <c r="O59" s="74">
        <f t="shared" si="1"/>
        <v>32771.520000000004</v>
      </c>
      <c r="P59" s="76">
        <f t="shared" si="5"/>
        <v>-1.08E-4</v>
      </c>
      <c r="Q59" s="77">
        <f t="shared" si="6"/>
        <v>0.82280000000000009</v>
      </c>
      <c r="R59" s="83">
        <v>0.15</v>
      </c>
      <c r="S59" s="80">
        <f t="shared" si="7"/>
        <v>758600</v>
      </c>
      <c r="T59" s="78" cm="1">
        <f t="array" ref="T59">maxDepthToMinSOC($L$8,$L$9,$L$6,$L$7,$O59,$G$5,$G$6,drivePower($C$4,$M59,$G59,$C$10,$C$11),$I59,$G59,$G$4,$C$8)</f>
        <v>21440</v>
      </c>
      <c r="U59" s="11" cm="1">
        <f t="array" ref="U59">maxDepthToMinSOC($L$8,$L$9,P59,Q59,$O59,$G$5,$G$6,drivePower($C$4,$M59,$G59,$C$10,$C$11),$I59,$G59,$G$4,$C$8)</f>
        <v>15388</v>
      </c>
      <c r="V59" s="79" cm="1">
        <f t="array" ref="V59">maxDepthToMinSOC($L$8,$L$9,$L$6,$L$7,$O59*(1-R59),$G$5,$G$6,drivePower($C$4,$M59,$G59,$C$10,$C$11),$I59,$G59,$G$4,$C$8)</f>
        <v>18353</v>
      </c>
    </row>
    <row r="60" spans="7:22" x14ac:dyDescent="0.35">
      <c r="G60" s="55">
        <f t="shared" si="2"/>
        <v>1</v>
      </c>
      <c r="H60" s="57" cm="1">
        <f t="array" ref="H60">drivePower($C$4,$C$5,G60,$C$10,$C$11)</f>
        <v>348</v>
      </c>
      <c r="I60" s="72">
        <f t="shared" si="8"/>
        <v>49.679160600000003</v>
      </c>
      <c r="J60" s="72">
        <f t="shared" si="0"/>
        <v>397.67916059999999</v>
      </c>
      <c r="K60" s="56">
        <f t="shared" si="14"/>
        <v>808600</v>
      </c>
      <c r="L60" s="55">
        <f t="shared" si="3"/>
        <v>43.865454545454547</v>
      </c>
      <c r="M60" s="57">
        <f t="shared" si="9"/>
        <v>248.25200000000001</v>
      </c>
      <c r="N60" s="57" cm="1">
        <f t="array" ref="N60">drivePower($C$4,M60,$C$9,$C$10,$C$11)</f>
        <v>407.83248000000003</v>
      </c>
      <c r="O60" s="74">
        <f t="shared" si="1"/>
        <v>34931.520000000004</v>
      </c>
      <c r="P60" s="76">
        <f t="shared" si="5"/>
        <v>-1.08E-4</v>
      </c>
      <c r="Q60" s="77">
        <f t="shared" si="6"/>
        <v>0.82280000000000009</v>
      </c>
      <c r="R60" s="83">
        <v>0.15</v>
      </c>
      <c r="S60" s="80">
        <f t="shared" si="7"/>
        <v>808600</v>
      </c>
      <c r="T60" s="78" cm="1">
        <f t="array" ref="T60">maxDepthToMinSOC($L$8,$L$9,$L$6,$L$7,$O60,$G$5,$G$6,drivePower($C$4,$M60,$G60,$C$10,$C$11),$I60,$G60,$G$4,$C$8)</f>
        <v>22600</v>
      </c>
      <c r="U60" s="11" cm="1">
        <f t="array" ref="U60">maxDepthToMinSOC($L$8,$L$9,P60,Q60,$O60,$G$5,$G$6,drivePower($C$4,$M60,$G60,$C$10,$C$11),$I60,$G60,$G$4,$C$8)</f>
        <v>16083</v>
      </c>
      <c r="V60" s="79" cm="1">
        <f t="array" ref="V60">maxDepthToMinSOC($L$8,$L$9,$L$6,$L$7,$O60*(1-R60),$G$5,$G$6,drivePower($C$4,$M60,$G60,$C$10,$C$11),$I60,$G60,$G$4,$C$8)</f>
        <v>19374</v>
      </c>
    </row>
    <row r="61" spans="7:22" x14ac:dyDescent="0.35">
      <c r="G61" s="55">
        <f t="shared" si="2"/>
        <v>1</v>
      </c>
      <c r="H61" s="57" cm="1">
        <f t="array" ref="H61">drivePower($C$4,$C$5,G61,$C$10,$C$11)</f>
        <v>348</v>
      </c>
      <c r="I61" s="72">
        <f t="shared" si="8"/>
        <v>49.679160600000003</v>
      </c>
      <c r="J61" s="72">
        <f t="shared" si="0"/>
        <v>397.67916059999999</v>
      </c>
      <c r="K61" s="56">
        <f t="shared" si="14"/>
        <v>858600</v>
      </c>
      <c r="L61" s="55">
        <f t="shared" si="3"/>
        <v>46.592727272727274</v>
      </c>
      <c r="M61" s="57">
        <f t="shared" si="9"/>
        <v>251.25200000000001</v>
      </c>
      <c r="N61" s="57" cm="1">
        <f t="array" ref="N61">drivePower($C$4,M61,$C$9,$C$10,$C$11)</f>
        <v>411.55248</v>
      </c>
      <c r="O61" s="74">
        <f t="shared" si="1"/>
        <v>37091.520000000004</v>
      </c>
      <c r="P61" s="76">
        <f t="shared" si="5"/>
        <v>-1.08E-4</v>
      </c>
      <c r="Q61" s="77">
        <f t="shared" si="6"/>
        <v>0.82280000000000009</v>
      </c>
      <c r="R61" s="83">
        <v>0.15</v>
      </c>
      <c r="S61" s="80">
        <f t="shared" si="7"/>
        <v>858600</v>
      </c>
      <c r="T61" s="78" cm="1">
        <f t="array" ref="T61">maxDepthToMinSOC($L$8,$L$9,$L$6,$L$7,$O61,$G$5,$G$6,drivePower($C$4,$M61,$G61,$C$10,$C$11),$I61,$G61,$G$4,$C$8)</f>
        <v>23727</v>
      </c>
      <c r="U61" s="11" cm="1">
        <f t="array" ref="U61">maxDepthToMinSOC($L$8,$L$9,P61,Q61,$O61,$G$5,$G$6,drivePower($C$4,$M61,$G61,$C$10,$C$11),$I61,$G61,$G$4,$C$8)</f>
        <v>16746</v>
      </c>
      <c r="V61" s="79" cm="1">
        <f t="array" ref="V61">maxDepthToMinSOC($L$8,$L$9,$L$6,$L$7,$O61*(1-R61),$G$5,$G$6,drivePower($C$4,$M61,$G61,$C$10,$C$11),$I61,$G61,$G$4,$C$8)</f>
        <v>20368</v>
      </c>
    </row>
    <row r="62" spans="7:22" x14ac:dyDescent="0.35">
      <c r="G62" s="55">
        <f t="shared" si="2"/>
        <v>1</v>
      </c>
      <c r="H62" s="57" cm="1">
        <f t="array" ref="H62">drivePower($C$4,$C$5,G62,$C$10,$C$11)</f>
        <v>348</v>
      </c>
      <c r="I62" s="72">
        <f t="shared" si="8"/>
        <v>49.679160600000003</v>
      </c>
      <c r="J62" s="72">
        <f t="shared" si="0"/>
        <v>397.67916059999999</v>
      </c>
      <c r="K62" s="56">
        <f t="shared" si="14"/>
        <v>908600</v>
      </c>
      <c r="L62" s="55">
        <f t="shared" si="3"/>
        <v>49.32</v>
      </c>
      <c r="M62" s="57">
        <f t="shared" si="9"/>
        <v>254.25200000000001</v>
      </c>
      <c r="N62" s="57" cm="1">
        <f t="array" ref="N62">drivePower($C$4,M62,$C$9,$C$10,$C$11)</f>
        <v>415.27248000000003</v>
      </c>
      <c r="O62" s="74">
        <f t="shared" si="1"/>
        <v>39251.520000000004</v>
      </c>
      <c r="P62" s="76">
        <f t="shared" si="5"/>
        <v>-1.08E-4</v>
      </c>
      <c r="Q62" s="77">
        <f t="shared" si="6"/>
        <v>0.82280000000000009</v>
      </c>
      <c r="R62" s="83">
        <v>0.15</v>
      </c>
      <c r="S62" s="80">
        <f t="shared" si="7"/>
        <v>908600</v>
      </c>
      <c r="T62" s="78" cm="1">
        <f t="array" ref="T62">maxDepthToMinSOC($L$8,$L$9,$L$6,$L$7,$O62,$G$5,$G$6,drivePower($C$4,$M62,$G62,$C$10,$C$11),$I62,$G62,$G$4,$C$8)</f>
        <v>24823</v>
      </c>
      <c r="U62" s="11" cm="1">
        <f t="array" ref="U62">maxDepthToMinSOC($L$8,$L$9,P62,Q62,$O62,$G$5,$G$6,drivePower($C$4,$M62,$G62,$C$10,$C$11),$I62,$G62,$G$4,$C$8)</f>
        <v>17380</v>
      </c>
      <c r="V62" s="79" cm="1">
        <f t="array" ref="V62">maxDepthToMinSOC($L$8,$L$9,$L$6,$L$7,$O62*(1-R62),$G$5,$G$6,drivePower($C$4,$M62,$G62,$C$10,$C$11),$I62,$G62,$G$4,$C$8)</f>
        <v>21336</v>
      </c>
    </row>
    <row r="63" spans="7:22" x14ac:dyDescent="0.35">
      <c r="G63" s="55"/>
      <c r="H63" s="57"/>
      <c r="I63" s="72"/>
      <c r="J63" s="72"/>
      <c r="K63" s="56"/>
      <c r="L63" s="55"/>
      <c r="M63" s="57"/>
      <c r="N63" s="57"/>
      <c r="O63" s="74"/>
      <c r="P63" s="76"/>
      <c r="Q63" s="77"/>
      <c r="R63" s="83"/>
      <c r="S63" s="80"/>
      <c r="T63" s="78"/>
      <c r="U63" s="11"/>
      <c r="V63" s="79"/>
    </row>
    <row r="64" spans="7:22" x14ac:dyDescent="0.35">
      <c r="G64" s="55"/>
      <c r="H64" s="57"/>
      <c r="I64" s="72"/>
      <c r="J64" s="72"/>
      <c r="K64" s="56"/>
      <c r="L64" s="55"/>
      <c r="M64" s="57"/>
      <c r="N64" s="57"/>
      <c r="O64" s="74"/>
      <c r="P64" s="76"/>
      <c r="Q64" s="77"/>
      <c r="R64" s="83"/>
      <c r="S64" s="80"/>
      <c r="T64" s="78"/>
      <c r="U64" s="11"/>
      <c r="V64" s="79"/>
    </row>
    <row r="65" spans="7:22" x14ac:dyDescent="0.35">
      <c r="G65" s="55"/>
      <c r="H65" s="57"/>
      <c r="I65" s="72"/>
      <c r="J65" s="72"/>
      <c r="K65" s="56"/>
      <c r="L65" s="55"/>
      <c r="M65" s="57"/>
      <c r="N65" s="57"/>
      <c r="O65" s="74"/>
      <c r="P65" s="76"/>
      <c r="Q65" s="77"/>
      <c r="R65" s="83"/>
      <c r="S65" s="80"/>
      <c r="T65" s="78"/>
      <c r="U65" s="11"/>
      <c r="V65" s="79"/>
    </row>
    <row r="66" spans="7:22" x14ac:dyDescent="0.35">
      <c r="G66" s="55"/>
      <c r="H66" s="57"/>
      <c r="I66" s="72"/>
      <c r="J66" s="72"/>
      <c r="K66" s="56"/>
      <c r="L66" s="55"/>
      <c r="M66" s="57"/>
      <c r="N66" s="57"/>
      <c r="O66" s="74"/>
      <c r="P66" s="76"/>
      <c r="Q66" s="77"/>
      <c r="R66" s="83"/>
      <c r="S66" s="80"/>
      <c r="T66" s="78"/>
      <c r="U66" s="11"/>
      <c r="V66" s="79"/>
    </row>
    <row r="67" spans="7:22" x14ac:dyDescent="0.35">
      <c r="G67" s="55"/>
      <c r="H67" s="57"/>
      <c r="I67" s="72"/>
      <c r="J67" s="72"/>
      <c r="K67" s="56"/>
      <c r="L67" s="55"/>
      <c r="M67" s="57"/>
      <c r="N67" s="57"/>
      <c r="O67" s="74"/>
      <c r="P67" s="76"/>
      <c r="Q67" s="77"/>
      <c r="R67" s="83"/>
      <c r="S67" s="80"/>
      <c r="T67" s="78"/>
      <c r="U67" s="11"/>
      <c r="V67" s="79"/>
    </row>
    <row r="68" spans="7:22" x14ac:dyDescent="0.35">
      <c r="G68" s="55"/>
      <c r="H68" s="57"/>
      <c r="I68" s="72"/>
      <c r="J68" s="72"/>
      <c r="K68" s="56"/>
      <c r="L68" s="55"/>
      <c r="M68" s="57"/>
      <c r="N68" s="57"/>
      <c r="O68" s="74"/>
      <c r="P68" s="76"/>
      <c r="Q68" s="77"/>
      <c r="R68" s="83"/>
      <c r="S68" s="80"/>
      <c r="T68" s="78"/>
      <c r="U68" s="11"/>
      <c r="V68" s="79"/>
    </row>
    <row r="69" spans="7:22" x14ac:dyDescent="0.35">
      <c r="G69" s="55"/>
      <c r="H69" s="57"/>
      <c r="I69" s="72"/>
      <c r="J69" s="72"/>
      <c r="K69" s="56"/>
      <c r="L69" s="55"/>
      <c r="M69" s="57"/>
      <c r="N69" s="57"/>
      <c r="O69" s="74"/>
      <c r="P69" s="76"/>
      <c r="Q69" s="77"/>
      <c r="R69" s="83"/>
      <c r="S69" s="80"/>
      <c r="T69" s="78"/>
      <c r="U69" s="11"/>
      <c r="V69" s="79"/>
    </row>
    <row r="70" spans="7:22" x14ac:dyDescent="0.35">
      <c r="G70" s="55"/>
      <c r="H70" s="57"/>
      <c r="I70" s="72"/>
      <c r="J70" s="72"/>
      <c r="K70" s="56"/>
      <c r="L70" s="55"/>
      <c r="M70" s="57"/>
      <c r="N70" s="57"/>
      <c r="O70" s="74"/>
      <c r="P70" s="76"/>
      <c r="Q70" s="77"/>
      <c r="R70" s="83"/>
      <c r="S70" s="80"/>
      <c r="T70" s="78"/>
      <c r="U70" s="11"/>
      <c r="V70" s="79"/>
    </row>
    <row r="71" spans="7:22" x14ac:dyDescent="0.35">
      <c r="G71" s="55"/>
      <c r="H71" s="57"/>
      <c r="I71" s="72"/>
      <c r="J71" s="72"/>
      <c r="K71" s="56"/>
      <c r="L71" s="55"/>
      <c r="M71" s="57"/>
      <c r="N71" s="57"/>
      <c r="O71" s="74"/>
      <c r="P71" s="76"/>
      <c r="Q71" s="77"/>
      <c r="R71" s="83"/>
      <c r="S71" s="80"/>
      <c r="T71" s="78"/>
      <c r="U71" s="11"/>
      <c r="V71" s="79"/>
    </row>
    <row r="72" spans="7:22" x14ac:dyDescent="0.35">
      <c r="G72" s="55"/>
      <c r="H72" s="57"/>
      <c r="I72" s="72"/>
      <c r="J72" s="72"/>
      <c r="K72" s="56"/>
      <c r="L72" s="55"/>
      <c r="M72" s="57"/>
      <c r="N72" s="57"/>
      <c r="O72" s="74"/>
      <c r="P72" s="76"/>
      <c r="Q72" s="77"/>
      <c r="R72" s="83"/>
      <c r="S72" s="80"/>
      <c r="T72" s="78"/>
      <c r="U72" s="11"/>
      <c r="V72" s="79"/>
    </row>
    <row r="73" spans="7:22" x14ac:dyDescent="0.35">
      <c r="G73" s="55"/>
      <c r="H73" s="57"/>
      <c r="I73" s="72"/>
      <c r="J73" s="72"/>
      <c r="K73" s="56"/>
      <c r="L73" s="55"/>
      <c r="M73" s="57"/>
      <c r="N73" s="57"/>
      <c r="O73" s="74"/>
      <c r="P73" s="76"/>
      <c r="Q73" s="77"/>
      <c r="R73" s="83"/>
      <c r="S73" s="80"/>
      <c r="T73" s="78"/>
      <c r="U73" s="11"/>
      <c r="V73" s="79"/>
    </row>
    <row r="74" spans="7:22" x14ac:dyDescent="0.35">
      <c r="G74" s="55"/>
      <c r="H74" s="57"/>
      <c r="I74" s="72"/>
      <c r="J74" s="72"/>
      <c r="K74" s="56"/>
      <c r="L74" s="55"/>
      <c r="M74" s="57"/>
      <c r="N74" s="57"/>
      <c r="O74" s="74"/>
      <c r="P74" s="76"/>
      <c r="Q74" s="77"/>
      <c r="R74" s="83"/>
      <c r="S74" s="80"/>
      <c r="T74" s="78"/>
      <c r="U74" s="11"/>
      <c r="V74" s="79"/>
    </row>
    <row r="75" spans="7:22" x14ac:dyDescent="0.35">
      <c r="G75" s="55"/>
      <c r="H75" s="57"/>
      <c r="I75" s="72"/>
      <c r="J75" s="72"/>
      <c r="K75" s="56"/>
      <c r="L75" s="55"/>
      <c r="M75" s="57"/>
      <c r="N75" s="57"/>
      <c r="O75" s="74"/>
      <c r="P75" s="76"/>
      <c r="Q75" s="77"/>
      <c r="R75" s="83"/>
      <c r="S75" s="80"/>
      <c r="T75" s="78"/>
      <c r="U75" s="11"/>
      <c r="V75" s="79"/>
    </row>
    <row r="76" spans="7:22" x14ac:dyDescent="0.35">
      <c r="G76" s="55"/>
      <c r="H76" s="57"/>
      <c r="I76" s="72"/>
      <c r="J76" s="72"/>
      <c r="K76" s="56"/>
      <c r="L76" s="55"/>
      <c r="M76" s="57"/>
      <c r="N76" s="57"/>
      <c r="O76" s="74"/>
      <c r="P76" s="76"/>
      <c r="Q76" s="77"/>
      <c r="R76" s="83"/>
      <c r="S76" s="80"/>
      <c r="T76" s="78"/>
      <c r="U76" s="11"/>
      <c r="V76" s="79"/>
    </row>
    <row r="77" spans="7:22" x14ac:dyDescent="0.35">
      <c r="G77" s="55"/>
      <c r="H77" s="57"/>
      <c r="I77" s="72"/>
      <c r="J77" s="72"/>
      <c r="K77" s="56"/>
      <c r="L77" s="55"/>
      <c r="M77" s="57"/>
      <c r="N77" s="57"/>
      <c r="O77" s="74"/>
      <c r="P77" s="76"/>
      <c r="Q77" s="77"/>
      <c r="R77" s="83"/>
      <c r="S77" s="80"/>
      <c r="T77" s="78"/>
      <c r="U77" s="11"/>
      <c r="V77" s="79"/>
    </row>
    <row r="78" spans="7:22" x14ac:dyDescent="0.35">
      <c r="G78" s="55"/>
      <c r="H78" s="57"/>
      <c r="I78" s="72"/>
      <c r="J78" s="72"/>
      <c r="K78" s="56"/>
      <c r="L78" s="55"/>
      <c r="M78" s="57"/>
      <c r="N78" s="57"/>
      <c r="O78" s="74"/>
      <c r="P78" s="76"/>
      <c r="Q78" s="77"/>
      <c r="R78" s="83"/>
      <c r="S78" s="80"/>
      <c r="T78" s="78"/>
      <c r="U78" s="11"/>
      <c r="V78" s="79"/>
    </row>
    <row r="79" spans="7:22" x14ac:dyDescent="0.35">
      <c r="G79" s="55"/>
      <c r="H79" s="57"/>
      <c r="I79" s="72"/>
      <c r="J79" s="72"/>
      <c r="K79" s="56"/>
      <c r="L79" s="55"/>
      <c r="M79" s="57"/>
      <c r="N79" s="57"/>
      <c r="O79" s="74"/>
      <c r="P79" s="76"/>
      <c r="Q79" s="77"/>
      <c r="R79" s="83"/>
      <c r="S79" s="80"/>
      <c r="T79" s="78"/>
      <c r="U79" s="11"/>
      <c r="V79" s="79"/>
    </row>
    <row r="80" spans="7:22" x14ac:dyDescent="0.35">
      <c r="G80" s="55"/>
      <c r="H80" s="57"/>
      <c r="I80" s="72"/>
      <c r="J80" s="72"/>
      <c r="K80" s="56"/>
      <c r="L80" s="55"/>
      <c r="M80" s="57"/>
      <c r="N80" s="57"/>
      <c r="O80" s="74"/>
      <c r="P80" s="76"/>
      <c r="Q80" s="77"/>
      <c r="R80" s="83"/>
      <c r="S80" s="80"/>
      <c r="T80" s="78"/>
      <c r="U80" s="11"/>
      <c r="V80" s="79"/>
    </row>
    <row r="81" spans="7:22" x14ac:dyDescent="0.35">
      <c r="G81" s="55"/>
      <c r="H81" s="57"/>
      <c r="I81" s="72"/>
      <c r="J81" s="72"/>
      <c r="K81" s="56"/>
      <c r="L81" s="55"/>
      <c r="M81" s="57"/>
      <c r="N81" s="57"/>
      <c r="O81" s="74"/>
      <c r="P81" s="76"/>
      <c r="Q81" s="77"/>
      <c r="R81" s="83"/>
      <c r="S81" s="80"/>
      <c r="T81" s="78"/>
      <c r="U81" s="11"/>
      <c r="V81" s="79"/>
    </row>
  </sheetData>
  <mergeCells count="3">
    <mergeCell ref="B2:F2"/>
    <mergeCell ref="P16:Q16"/>
    <mergeCell ref="S16:V16"/>
  </mergeCells>
  <conditionalFormatting sqref="C12">
    <cfRule type="cellIs" dxfId="5" priority="1" operator="greaterThan">
      <formula>$L$13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D9F5E-6698-4961-9FEE-DC5DA3708980}">
  <sheetPr codeName="Sheet1"/>
  <dimension ref="A1:I33"/>
  <sheetViews>
    <sheetView workbookViewId="0">
      <selection activeCell="E7" sqref="E7"/>
    </sheetView>
  </sheetViews>
  <sheetFormatPr defaultRowHeight="14.5" x14ac:dyDescent="0.35"/>
  <cols>
    <col min="1" max="1" width="21" customWidth="1"/>
    <col min="2" max="2" width="41.1796875" customWidth="1"/>
    <col min="3" max="4" width="10.7265625" customWidth="1"/>
    <col min="5" max="5" width="12.26953125" customWidth="1"/>
    <col min="7" max="7" width="11.1796875" customWidth="1"/>
    <col min="9" max="9" width="50.453125" customWidth="1"/>
  </cols>
  <sheetData>
    <row r="1" spans="1:9" x14ac:dyDescent="0.35">
      <c r="I1" s="6"/>
    </row>
    <row r="2" spans="1:9" ht="26" x14ac:dyDescent="0.6">
      <c r="A2" s="13" t="s">
        <v>23</v>
      </c>
      <c r="B2" s="6"/>
      <c r="C2" s="6"/>
      <c r="D2" s="6"/>
      <c r="I2" s="6"/>
    </row>
    <row r="3" spans="1:9" ht="59" x14ac:dyDescent="0.45">
      <c r="A3" s="14" t="s">
        <v>24</v>
      </c>
      <c r="B3" s="15" t="s">
        <v>25</v>
      </c>
      <c r="C3" s="16" t="s">
        <v>26</v>
      </c>
      <c r="D3" s="16" t="s">
        <v>27</v>
      </c>
      <c r="E3" s="17" t="s">
        <v>28</v>
      </c>
      <c r="F3" s="16" t="s">
        <v>29</v>
      </c>
      <c r="G3" s="18" t="s">
        <v>30</v>
      </c>
      <c r="H3" s="16" t="s">
        <v>31</v>
      </c>
      <c r="I3" s="19" t="s">
        <v>32</v>
      </c>
    </row>
    <row r="4" spans="1:9" x14ac:dyDescent="0.35">
      <c r="A4" s="20" t="s">
        <v>33</v>
      </c>
      <c r="B4" s="21" t="s">
        <v>34</v>
      </c>
      <c r="C4" s="2"/>
      <c r="D4" s="2"/>
      <c r="E4" s="22">
        <v>6</v>
      </c>
      <c r="F4" s="23">
        <v>0.95</v>
      </c>
      <c r="G4" s="24">
        <f t="shared" ref="G4:G9" si="0">(1-F4)*E4</f>
        <v>0.30000000000000027</v>
      </c>
      <c r="H4" s="3">
        <v>0</v>
      </c>
      <c r="I4" s="25"/>
    </row>
    <row r="5" spans="1:9" x14ac:dyDescent="0.35">
      <c r="A5" s="8"/>
      <c r="B5" s="26" t="s">
        <v>35</v>
      </c>
      <c r="C5" s="2"/>
      <c r="D5" s="2"/>
      <c r="E5" s="22">
        <f>E4</f>
        <v>6</v>
      </c>
      <c r="F5" s="23">
        <v>0.95</v>
      </c>
      <c r="G5" s="24">
        <f t="shared" si="0"/>
        <v>0.30000000000000027</v>
      </c>
      <c r="H5" s="3">
        <v>1</v>
      </c>
      <c r="I5" s="25"/>
    </row>
    <row r="6" spans="1:9" x14ac:dyDescent="0.35">
      <c r="A6" s="8"/>
      <c r="B6" s="26" t="s">
        <v>36</v>
      </c>
      <c r="C6" s="2"/>
      <c r="D6" s="2"/>
      <c r="E6" s="22">
        <f>E5</f>
        <v>6</v>
      </c>
      <c r="F6" s="23">
        <v>0.95</v>
      </c>
      <c r="G6" s="24">
        <f t="shared" si="0"/>
        <v>0.30000000000000027</v>
      </c>
      <c r="H6" s="3">
        <v>1</v>
      </c>
      <c r="I6" s="25"/>
    </row>
    <row r="7" spans="1:9" x14ac:dyDescent="0.35">
      <c r="A7" s="8"/>
      <c r="B7" s="26" t="s">
        <v>37</v>
      </c>
      <c r="C7" s="2"/>
      <c r="D7" s="2"/>
      <c r="E7" s="22">
        <v>0</v>
      </c>
      <c r="F7" s="23">
        <v>0.95</v>
      </c>
      <c r="G7" s="24">
        <f t="shared" si="0"/>
        <v>0</v>
      </c>
      <c r="H7" s="3">
        <v>0</v>
      </c>
      <c r="I7" s="25"/>
    </row>
    <row r="8" spans="1:9" x14ac:dyDescent="0.35">
      <c r="A8" s="8"/>
      <c r="B8" s="26" t="s">
        <v>38</v>
      </c>
      <c r="C8" s="2"/>
      <c r="D8" s="2"/>
      <c r="E8" s="22">
        <f>E7</f>
        <v>0</v>
      </c>
      <c r="F8" s="23">
        <v>0.95</v>
      </c>
      <c r="G8" s="24">
        <f t="shared" si="0"/>
        <v>0</v>
      </c>
      <c r="H8" s="3">
        <v>1</v>
      </c>
      <c r="I8" s="25"/>
    </row>
    <row r="9" spans="1:9" x14ac:dyDescent="0.35">
      <c r="A9" s="8"/>
      <c r="B9" s="26" t="s">
        <v>39</v>
      </c>
      <c r="C9" s="2"/>
      <c r="D9" s="2"/>
      <c r="E9" s="22">
        <f>E8</f>
        <v>0</v>
      </c>
      <c r="F9" s="23">
        <v>0.95</v>
      </c>
      <c r="G9" s="24">
        <f t="shared" si="0"/>
        <v>0</v>
      </c>
      <c r="H9" s="3">
        <v>1</v>
      </c>
      <c r="I9" s="25"/>
    </row>
    <row r="10" spans="1:9" x14ac:dyDescent="0.35">
      <c r="A10" s="8"/>
      <c r="B10" s="26" t="s">
        <v>40</v>
      </c>
      <c r="C10" s="2"/>
      <c r="D10" s="2"/>
      <c r="E10" s="27"/>
      <c r="F10" s="23"/>
      <c r="G10" s="24"/>
      <c r="H10" s="3"/>
      <c r="I10" s="25"/>
    </row>
    <row r="11" spans="1:9" x14ac:dyDescent="0.35">
      <c r="A11" s="8"/>
      <c r="B11" s="3"/>
      <c r="C11" s="3"/>
      <c r="D11" s="3"/>
      <c r="G11" s="5"/>
      <c r="H11" s="3"/>
      <c r="I11" s="25"/>
    </row>
    <row r="12" spans="1:9" ht="58" x14ac:dyDescent="0.35">
      <c r="A12" s="20" t="s">
        <v>41</v>
      </c>
      <c r="B12" s="26" t="s">
        <v>42</v>
      </c>
      <c r="C12" s="2"/>
      <c r="D12" s="2"/>
      <c r="E12" s="27">
        <v>2.5</v>
      </c>
      <c r="F12" s="23">
        <v>0</v>
      </c>
      <c r="G12" s="24">
        <f t="shared" ref="G12:G17" si="1">(1-F12)*E12</f>
        <v>2.5</v>
      </c>
      <c r="H12" s="3">
        <v>0</v>
      </c>
      <c r="I12" s="25" t="s">
        <v>43</v>
      </c>
    </row>
    <row r="13" spans="1:9" ht="29" x14ac:dyDescent="0.35">
      <c r="A13" s="8"/>
      <c r="B13" s="26" t="s">
        <v>44</v>
      </c>
      <c r="C13" s="3">
        <v>3.3</v>
      </c>
      <c r="D13" s="2"/>
      <c r="E13" s="27">
        <f>E12</f>
        <v>2.5</v>
      </c>
      <c r="F13" s="23">
        <v>0.95</v>
      </c>
      <c r="G13" s="24">
        <f t="shared" si="1"/>
        <v>0.12500000000000011</v>
      </c>
      <c r="H13" s="3">
        <v>1</v>
      </c>
      <c r="I13" s="25" t="s">
        <v>45</v>
      </c>
    </row>
    <row r="14" spans="1:9" ht="29" x14ac:dyDescent="0.35">
      <c r="B14" s="26" t="s">
        <v>46</v>
      </c>
      <c r="C14" s="3">
        <v>3.3</v>
      </c>
      <c r="D14" s="3">
        <f>12.23/1000</f>
        <v>1.2230000000000001E-2</v>
      </c>
      <c r="E14" s="27">
        <f>C14*D14</f>
        <v>4.0358999999999999E-2</v>
      </c>
      <c r="F14" s="23">
        <v>0</v>
      </c>
      <c r="G14" s="24">
        <f t="shared" si="1"/>
        <v>4.0358999999999999E-2</v>
      </c>
      <c r="H14" s="3">
        <v>0</v>
      </c>
      <c r="I14" s="25" t="s">
        <v>47</v>
      </c>
    </row>
    <row r="15" spans="1:9" x14ac:dyDescent="0.35">
      <c r="B15" s="26" t="s">
        <v>48</v>
      </c>
      <c r="C15" s="3"/>
      <c r="D15" s="3"/>
      <c r="E15" s="27"/>
      <c r="F15" s="23">
        <v>0</v>
      </c>
      <c r="G15" s="24">
        <f t="shared" si="1"/>
        <v>0</v>
      </c>
      <c r="H15" s="3">
        <v>0</v>
      </c>
      <c r="I15" s="25"/>
    </row>
    <row r="16" spans="1:9" ht="58" x14ac:dyDescent="0.35">
      <c r="B16" s="26" t="s">
        <v>49</v>
      </c>
      <c r="C16" s="3">
        <v>3.3</v>
      </c>
      <c r="D16" s="3">
        <f>(6)/1000000</f>
        <v>6.0000000000000002E-6</v>
      </c>
      <c r="E16" s="28">
        <f>C16*12*D16+6*C16*180/1000000</f>
        <v>3.8015999999999996E-3</v>
      </c>
      <c r="F16" s="23">
        <v>0</v>
      </c>
      <c r="G16" s="24">
        <f t="shared" si="1"/>
        <v>3.8015999999999996E-3</v>
      </c>
      <c r="H16" s="3">
        <v>0</v>
      </c>
      <c r="I16" s="25" t="s">
        <v>50</v>
      </c>
    </row>
    <row r="17" spans="1:9" ht="29" x14ac:dyDescent="0.35">
      <c r="B17" s="26" t="s">
        <v>51</v>
      </c>
      <c r="C17" s="3"/>
      <c r="D17" s="3"/>
      <c r="E17" s="27">
        <f>10/1000</f>
        <v>0.01</v>
      </c>
      <c r="F17" s="23">
        <v>0</v>
      </c>
      <c r="G17" s="24">
        <f t="shared" si="1"/>
        <v>0.01</v>
      </c>
      <c r="H17" s="3">
        <v>0</v>
      </c>
      <c r="I17" s="25" t="s">
        <v>52</v>
      </c>
    </row>
    <row r="18" spans="1:9" x14ac:dyDescent="0.35">
      <c r="B18" s="26"/>
      <c r="C18" s="3"/>
      <c r="D18" s="3"/>
      <c r="F18" s="29"/>
      <c r="G18" s="5"/>
      <c r="I18" s="6"/>
    </row>
    <row r="19" spans="1:9" x14ac:dyDescent="0.35">
      <c r="A19" s="4" t="s">
        <v>79</v>
      </c>
      <c r="B19" s="26"/>
      <c r="C19" s="3"/>
      <c r="D19" s="3"/>
      <c r="E19" s="3"/>
      <c r="F19" s="23"/>
      <c r="G19" s="30">
        <v>2</v>
      </c>
      <c r="H19" s="3"/>
      <c r="I19" s="25"/>
    </row>
    <row r="20" spans="1:9" x14ac:dyDescent="0.35">
      <c r="B20" s="26"/>
      <c r="C20" s="3"/>
      <c r="D20" s="3"/>
      <c r="F20" s="29"/>
      <c r="G20" s="5"/>
      <c r="I20" s="6"/>
    </row>
    <row r="21" spans="1:9" x14ac:dyDescent="0.35">
      <c r="B21" s="26"/>
      <c r="C21" s="3"/>
      <c r="D21" s="3"/>
      <c r="F21" s="29"/>
      <c r="G21" s="5"/>
      <c r="I21" s="6"/>
    </row>
    <row r="22" spans="1:9" x14ac:dyDescent="0.35">
      <c r="B22" s="26"/>
      <c r="C22" s="3"/>
      <c r="D22" s="3"/>
      <c r="F22" s="29"/>
      <c r="G22" s="5"/>
      <c r="I22" s="6"/>
    </row>
    <row r="23" spans="1:9" x14ac:dyDescent="0.35">
      <c r="B23" s="26"/>
      <c r="C23" s="3"/>
      <c r="D23" s="3"/>
      <c r="F23" s="29"/>
      <c r="G23" s="5"/>
      <c r="I23" s="6"/>
    </row>
    <row r="24" spans="1:9" x14ac:dyDescent="0.35">
      <c r="B24" s="26"/>
      <c r="C24" s="3"/>
      <c r="D24" s="3"/>
      <c r="F24" s="29"/>
      <c r="G24" s="5"/>
      <c r="I24" s="6"/>
    </row>
    <row r="25" spans="1:9" x14ac:dyDescent="0.35">
      <c r="B25" s="3"/>
      <c r="C25" s="3"/>
      <c r="D25" s="3"/>
      <c r="G25" s="5"/>
      <c r="I25" s="6"/>
    </row>
    <row r="26" spans="1:9" x14ac:dyDescent="0.35">
      <c r="A26" s="4" t="s">
        <v>53</v>
      </c>
      <c r="B26" s="26" t="s">
        <v>54</v>
      </c>
      <c r="C26" s="2"/>
      <c r="D26" s="2"/>
      <c r="E26" s="27">
        <v>30</v>
      </c>
      <c r="F26" s="23">
        <v>0.95</v>
      </c>
      <c r="G26" s="30">
        <f t="shared" ref="G26:G28" si="2">(1-F26)*E26</f>
        <v>1.5000000000000013</v>
      </c>
      <c r="I26" s="6"/>
    </row>
    <row r="27" spans="1:9" x14ac:dyDescent="0.35">
      <c r="B27" s="26" t="s">
        <v>55</v>
      </c>
      <c r="C27" s="2"/>
      <c r="D27" s="2"/>
      <c r="E27" s="27">
        <v>30</v>
      </c>
      <c r="F27" s="23">
        <v>0.95</v>
      </c>
      <c r="G27" s="30">
        <f t="shared" si="2"/>
        <v>1.5000000000000013</v>
      </c>
      <c r="I27" s="6"/>
    </row>
    <row r="28" spans="1:9" x14ac:dyDescent="0.35">
      <c r="B28" s="26" t="s">
        <v>56</v>
      </c>
      <c r="C28" s="2"/>
      <c r="D28" s="2"/>
      <c r="E28" s="27">
        <v>30</v>
      </c>
      <c r="F28" s="23">
        <v>0.95</v>
      </c>
      <c r="G28" s="3">
        <f t="shared" si="2"/>
        <v>1.5000000000000013</v>
      </c>
      <c r="I28" s="6"/>
    </row>
    <row r="29" spans="1:9" ht="15" thickBot="1" x14ac:dyDescent="0.4">
      <c r="F29" s="31"/>
      <c r="G29" s="32" t="s">
        <v>57</v>
      </c>
      <c r="I29" s="6"/>
    </row>
    <row r="30" spans="1:9" ht="15" thickBot="1" x14ac:dyDescent="0.4">
      <c r="B30" s="33" t="s">
        <v>58</v>
      </c>
      <c r="C30" s="34">
        <f>E26+SUM(G27:G28)</f>
        <v>33</v>
      </c>
      <c r="D30" s="35" t="s">
        <v>59</v>
      </c>
      <c r="E30" s="36" t="e">
        <f>C30/xxxx!$H$9</f>
        <v>#DIV/0!</v>
      </c>
      <c r="F30" s="35" t="s">
        <v>60</v>
      </c>
      <c r="G30" s="34">
        <f>SUM(G26:G29)</f>
        <v>4.5000000000000036</v>
      </c>
      <c r="H30" s="37" t="s">
        <v>59</v>
      </c>
      <c r="I30" s="6"/>
    </row>
    <row r="31" spans="1:9" ht="15" thickBot="1" x14ac:dyDescent="0.4">
      <c r="B31" s="38" t="s">
        <v>61</v>
      </c>
      <c r="C31" s="30">
        <f>E4+E7+SUM(G5:G6,G8:G9)</f>
        <v>6.6000000000000005</v>
      </c>
      <c r="D31" s="3" t="s">
        <v>59</v>
      </c>
      <c r="E31" s="36" t="e">
        <f>C31/xxxx!$H$9</f>
        <v>#DIV/0!</v>
      </c>
      <c r="F31" s="3" t="s">
        <v>60</v>
      </c>
      <c r="G31" s="30">
        <f>SUM(G4:G9)</f>
        <v>0.9000000000000008</v>
      </c>
      <c r="H31" s="39" t="s">
        <v>59</v>
      </c>
      <c r="I31" s="6"/>
    </row>
    <row r="32" spans="1:9" ht="15" thickBot="1" x14ac:dyDescent="0.4">
      <c r="B32" s="40" t="s">
        <v>62</v>
      </c>
      <c r="C32" s="41">
        <f>SUM(G12:G20)</f>
        <v>4.6791605999999994</v>
      </c>
      <c r="D32" s="42" t="s">
        <v>59</v>
      </c>
      <c r="E32" s="36" t="e">
        <f>C32/xxxx!$H$9</f>
        <v>#DIV/0!</v>
      </c>
      <c r="F32" s="42" t="s">
        <v>60</v>
      </c>
      <c r="G32" s="41">
        <f>SUM(G12:G17)</f>
        <v>2.6791605999999999</v>
      </c>
      <c r="H32" s="43" t="s">
        <v>59</v>
      </c>
      <c r="I32" s="6"/>
    </row>
    <row r="33" spans="2:9" ht="15" thickBot="1" x14ac:dyDescent="0.4">
      <c r="B33" s="44" t="s">
        <v>63</v>
      </c>
      <c r="C33" s="45">
        <f>SUM(C30:C31)</f>
        <v>39.6</v>
      </c>
      <c r="D33" s="46" t="s">
        <v>59</v>
      </c>
      <c r="E33" s="36" t="e">
        <f>C33/xxxx!$H$9</f>
        <v>#DIV/0!</v>
      </c>
      <c r="F33" s="46" t="s">
        <v>60</v>
      </c>
      <c r="G33" s="45">
        <f>SUM(G30:G31)</f>
        <v>5.4000000000000039</v>
      </c>
      <c r="H33" s="47" t="s">
        <v>59</v>
      </c>
      <c r="I33" s="6"/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83F87-EBD4-4128-AFE2-640BDCD5AC3F}">
  <sheetPr codeName="Sheet2"/>
  <dimension ref="B2:S637"/>
  <sheetViews>
    <sheetView zoomScaleNormal="100" workbookViewId="0">
      <selection activeCell="F10" sqref="F10"/>
    </sheetView>
  </sheetViews>
  <sheetFormatPr defaultRowHeight="14.5" x14ac:dyDescent="0.35"/>
  <cols>
    <col min="1" max="1" width="1.90625" customWidth="1"/>
    <col min="2" max="2" width="16" customWidth="1"/>
    <col min="3" max="3" width="12.1796875" customWidth="1"/>
    <col min="4" max="5" width="14.453125" customWidth="1"/>
    <col min="6" max="6" width="13.7265625" customWidth="1"/>
    <col min="7" max="7" width="16.81640625" customWidth="1"/>
    <col min="8" max="8" width="8.81640625" customWidth="1"/>
    <col min="9" max="9" width="11.1796875" customWidth="1"/>
    <col min="10" max="10" width="12.7265625" customWidth="1"/>
    <col min="11" max="11" width="10.54296875" customWidth="1"/>
    <col min="14" max="14" width="9.1796875" customWidth="1"/>
    <col min="15" max="15" width="8.1796875" customWidth="1"/>
  </cols>
  <sheetData>
    <row r="2" spans="2:19" ht="21.75" customHeight="1" x14ac:dyDescent="0.55000000000000004">
      <c r="B2" s="150" t="s">
        <v>80</v>
      </c>
      <c r="C2" s="150"/>
      <c r="D2" s="150"/>
      <c r="E2" s="150"/>
      <c r="F2" s="150"/>
    </row>
    <row r="4" spans="2:19" x14ac:dyDescent="0.35">
      <c r="B4" s="51" t="s">
        <v>66</v>
      </c>
      <c r="C4" s="3">
        <v>0.311</v>
      </c>
      <c r="D4" s="3" t="s">
        <v>8</v>
      </c>
      <c r="E4" s="3"/>
      <c r="F4" s="51" t="s">
        <v>71</v>
      </c>
      <c r="G4" s="3">
        <v>6</v>
      </c>
      <c r="H4" s="3" t="s">
        <v>4</v>
      </c>
      <c r="J4" s="51" t="s">
        <v>13</v>
      </c>
      <c r="K4" s="11">
        <v>12</v>
      </c>
      <c r="L4" s="3" t="s">
        <v>15</v>
      </c>
    </row>
    <row r="5" spans="2:19" x14ac:dyDescent="0.35">
      <c r="B5" s="51" t="s">
        <v>93</v>
      </c>
      <c r="C5" s="3">
        <v>500</v>
      </c>
      <c r="D5" s="3" t="s">
        <v>94</v>
      </c>
      <c r="F5" s="51" t="s">
        <v>111</v>
      </c>
      <c r="G5" s="3">
        <f>G7*G6</f>
        <v>720000</v>
      </c>
      <c r="H5" s="3" t="s">
        <v>22</v>
      </c>
      <c r="J5" s="51" t="s">
        <v>14</v>
      </c>
      <c r="K5" s="108">
        <v>885416.66666666663</v>
      </c>
      <c r="L5" s="3" t="s">
        <v>0</v>
      </c>
      <c r="M5" s="159" t="s">
        <v>77</v>
      </c>
      <c r="N5" s="160"/>
      <c r="O5" s="160"/>
      <c r="P5" s="160"/>
      <c r="Q5" s="11" t="e" cm="1">
        <f t="array" aca="1" ref="Q5" ca="1">CELL("contents",INDEX(C14:C637,MATCH("yes",P14:P637,0)))</f>
        <v>#N/A</v>
      </c>
      <c r="R5" s="53" t="s">
        <v>5</v>
      </c>
      <c r="S5" t="s">
        <v>99</v>
      </c>
    </row>
    <row r="6" spans="2:19" x14ac:dyDescent="0.35">
      <c r="B6" s="52" t="s">
        <v>106</v>
      </c>
      <c r="C6" s="52">
        <f>C4*C5</f>
        <v>155.5</v>
      </c>
      <c r="D6" s="52" t="s">
        <v>105</v>
      </c>
      <c r="F6" s="51" t="s">
        <v>112</v>
      </c>
      <c r="G6" s="3">
        <v>3600</v>
      </c>
      <c r="H6" s="3" t="s">
        <v>20</v>
      </c>
      <c r="J6" s="51" t="s">
        <v>1</v>
      </c>
      <c r="K6" s="9">
        <v>-3.6000000000000001E-5</v>
      </c>
      <c r="L6" s="3" t="s">
        <v>3</v>
      </c>
      <c r="M6" s="159" t="s">
        <v>78</v>
      </c>
      <c r="N6" s="160"/>
      <c r="O6" s="160"/>
      <c r="P6" s="160"/>
      <c r="Q6" s="11" t="e" cm="1">
        <f t="array" aca="1" ref="Q6" ca="1">CELL("contents",INDEX(C15:C637,MATCH("yes",O15:O637,0)))</f>
        <v>#N/A</v>
      </c>
      <c r="R6" s="53" t="s">
        <v>5</v>
      </c>
      <c r="S6" s="7" t="e" cm="1">
        <f t="array" ref="S6">maxDepthToMinSOC(H6,H7,C11,C12,C9,$H$5,$C$7,$H$11,$C$6,$C$8,$C$5)</f>
        <v>#VALUE!</v>
      </c>
    </row>
    <row r="7" spans="2:19" x14ac:dyDescent="0.35">
      <c r="B7" s="52" t="s">
        <v>115</v>
      </c>
      <c r="C7" s="70">
        <f>xx!C7</f>
        <v>104.6791606</v>
      </c>
      <c r="D7" s="52" t="s">
        <v>7</v>
      </c>
      <c r="F7" s="52" t="s">
        <v>110</v>
      </c>
      <c r="G7" s="69">
        <v>200</v>
      </c>
      <c r="H7" s="52" t="s">
        <v>59</v>
      </c>
      <c r="J7" s="51" t="s">
        <v>2</v>
      </c>
      <c r="K7" s="10">
        <v>0.93500000000000005</v>
      </c>
      <c r="L7" s="3" t="s">
        <v>3</v>
      </c>
    </row>
    <row r="8" spans="2:19" x14ac:dyDescent="0.35">
      <c r="B8" s="51" t="s">
        <v>10</v>
      </c>
      <c r="C8" s="3">
        <v>1</v>
      </c>
      <c r="D8" s="3" t="s">
        <v>5</v>
      </c>
      <c r="J8" s="51" t="s">
        <v>17</v>
      </c>
      <c r="K8" s="12">
        <v>1</v>
      </c>
      <c r="L8" s="3"/>
    </row>
    <row r="9" spans="2:19" x14ac:dyDescent="0.35">
      <c r="B9" s="51" t="s">
        <v>103</v>
      </c>
      <c r="C9" s="3">
        <v>2</v>
      </c>
      <c r="D9" s="3" t="s">
        <v>6</v>
      </c>
      <c r="F9" s="4"/>
      <c r="J9" s="51" t="s">
        <v>18</v>
      </c>
      <c r="K9" s="12">
        <v>0.25</v>
      </c>
      <c r="L9" s="3"/>
    </row>
    <row r="10" spans="2:19" ht="19.5" customHeight="1" x14ac:dyDescent="0.35">
      <c r="B10" s="51" t="s">
        <v>104</v>
      </c>
      <c r="C10" s="3">
        <v>100</v>
      </c>
      <c r="D10" s="3" t="s">
        <v>105</v>
      </c>
      <c r="J10" s="52" t="s">
        <v>114</v>
      </c>
      <c r="K10" s="52">
        <f>K5*3.6/1000*K4</f>
        <v>38250</v>
      </c>
      <c r="L10" s="52" t="s">
        <v>16</v>
      </c>
    </row>
    <row r="11" spans="2:19" x14ac:dyDescent="0.35">
      <c r="B11" s="51" t="s">
        <v>64</v>
      </c>
      <c r="C11" s="12">
        <v>0.5</v>
      </c>
      <c r="D11" s="3"/>
      <c r="E11" s="84"/>
      <c r="J11" s="52" t="s">
        <v>113</v>
      </c>
      <c r="K11" s="70" cm="1">
        <f t="array" ref="K11">UseableCapacity(K10,K8,K9)</f>
        <v>28687.5</v>
      </c>
      <c r="L11" s="52" t="s">
        <v>16</v>
      </c>
    </row>
    <row r="12" spans="2:19" x14ac:dyDescent="0.35">
      <c r="B12" s="52" t="s">
        <v>19</v>
      </c>
      <c r="C12" s="52" cm="1">
        <f t="array" ref="C12">drivePower(C4,C5,C9,C10,C11)</f>
        <v>822</v>
      </c>
      <c r="D12" s="52" t="s">
        <v>7</v>
      </c>
      <c r="F12" s="51" t="s">
        <v>74</v>
      </c>
      <c r="G12" s="3">
        <v>1</v>
      </c>
      <c r="J12" s="52" t="s">
        <v>109</v>
      </c>
      <c r="K12" s="52">
        <f>K5*0.5</f>
        <v>442708.33333333331</v>
      </c>
      <c r="L12" s="52" t="s">
        <v>107</v>
      </c>
    </row>
    <row r="13" spans="2:19" x14ac:dyDescent="0.35">
      <c r="J13" s="52" t="s">
        <v>108</v>
      </c>
      <c r="K13" s="52">
        <f>K12*K4/1000</f>
        <v>5312.5</v>
      </c>
      <c r="L13" s="52" t="s">
        <v>59</v>
      </c>
    </row>
    <row r="14" spans="2:19" ht="72.5" x14ac:dyDescent="0.35">
      <c r="B14" s="49" t="s">
        <v>9</v>
      </c>
      <c r="C14" s="49" t="s">
        <v>11</v>
      </c>
      <c r="D14" s="49" t="s">
        <v>12</v>
      </c>
      <c r="E14" s="49" t="s">
        <v>21</v>
      </c>
      <c r="F14" s="49" t="s">
        <v>98</v>
      </c>
      <c r="G14" s="49" t="s">
        <v>65</v>
      </c>
      <c r="H14" s="49" t="s">
        <v>72</v>
      </c>
      <c r="I14" s="49" t="s">
        <v>69</v>
      </c>
      <c r="J14" s="49" t="s">
        <v>67</v>
      </c>
      <c r="K14" s="49" t="s">
        <v>70</v>
      </c>
      <c r="L14" s="49" t="s">
        <v>100</v>
      </c>
      <c r="M14" s="49" t="s">
        <v>68</v>
      </c>
      <c r="N14" s="49" t="s">
        <v>73</v>
      </c>
      <c r="O14" s="49" t="s">
        <v>75</v>
      </c>
      <c r="P14" s="49" t="s">
        <v>76</v>
      </c>
    </row>
    <row r="15" spans="2:19" x14ac:dyDescent="0.35">
      <c r="B15">
        <v>0</v>
      </c>
      <c r="C15" s="7">
        <f>$C$8*B15</f>
        <v>0</v>
      </c>
      <c r="D15" s="1" cm="1">
        <f t="array" ref="D15">estimatedTripEnergy(C15,G$5,G$6,C$12,C$7,C$9,C$8,FALSE)/1000</f>
        <v>1097.3083177403</v>
      </c>
      <c r="E15" s="1" cm="1">
        <f t="array" ref="E15">estimatedTripEnergy(C15,G$5,G$6,C$12,C$7,C$9,C$8)/1000</f>
        <v>1245.2683177403001</v>
      </c>
      <c r="F15" s="59" cm="1">
        <f t="array" ref="F15">estimatedTripDuration(C15,$C$8,$C$7)/60</f>
        <v>1.7471526767660077</v>
      </c>
      <c r="G15">
        <f>B15</f>
        <v>0</v>
      </c>
      <c r="H15" s="50">
        <f>G15/$G$4</f>
        <v>0</v>
      </c>
      <c r="I15" s="7" cm="1">
        <f t="array" ref="I15">CurrentCapacity(K$10,K$6,K$7,H15)</f>
        <v>35763.75</v>
      </c>
      <c r="J15" s="48">
        <f>E15/I15</f>
        <v>3.4819288182595505E-2</v>
      </c>
      <c r="K15" s="5" cm="1">
        <f t="array" ref="K15">UseableCapacity(I15,$K$8,$K$9)</f>
        <v>26822.8125</v>
      </c>
      <c r="L15" s="59">
        <f>(K$8*I15)-E15</f>
        <v>34518.481682259699</v>
      </c>
      <c r="M15" s="7">
        <f>K15-E15</f>
        <v>25577.544182259699</v>
      </c>
      <c r="N15" s="7">
        <f>$K$10-I15</f>
        <v>2486.25</v>
      </c>
      <c r="O15" t="str">
        <f>IF(M15&lt;0,"yes","no")</f>
        <v>no</v>
      </c>
      <c r="P15" t="str">
        <f>IF(L15&lt;0,"yes","no")</f>
        <v>no</v>
      </c>
    </row>
    <row r="16" spans="2:19" x14ac:dyDescent="0.35">
      <c r="B16">
        <f>B15+$G$12</f>
        <v>1</v>
      </c>
      <c r="C16" s="7">
        <f t="shared" ref="C16:C79" si="0">$C$8*B16</f>
        <v>1</v>
      </c>
      <c r="D16" s="1" cm="1">
        <f t="array" ref="D16">estimatedTripEnergy(C16,G$5,G$6,C$12,C$7,C$9,C$8,FALSE)/1000</f>
        <v>1098.2349969009001</v>
      </c>
      <c r="E16" s="1" cm="1">
        <f t="array" ref="E16">estimatedTripEnergy(C16,G$5,G$6,C$12,C$7,C$9,C$8)/1000</f>
        <v>1246.1949969008999</v>
      </c>
      <c r="F16" s="59" cm="1">
        <f t="array" ref="F16">estimatedTripDuration(C16,$C$8,$C$7)/60</f>
        <v>1.7804860100993412</v>
      </c>
      <c r="G16">
        <f t="shared" ref="G16:G79" si="1">B16</f>
        <v>1</v>
      </c>
      <c r="H16" s="50">
        <f t="shared" ref="H16:H79" si="2">G16/$G$4</f>
        <v>0.16666666666666666</v>
      </c>
      <c r="I16" s="7" cm="1">
        <f t="array" ref="I16">CurrentCapacity(K$10,K$6,K$7,H16)</f>
        <v>35763.520500000006</v>
      </c>
      <c r="J16" s="48">
        <f t="shared" ref="J16:J79" si="3">E16/I16</f>
        <v>3.4845422919169818E-2</v>
      </c>
      <c r="K16" s="5" cm="1">
        <f t="array" ref="K16">UseableCapacity(I16,$K$8,$K$9)</f>
        <v>26822.640375000003</v>
      </c>
      <c r="L16" s="59">
        <f t="shared" ref="L16:L79" si="4">(K$8*I16)-E16</f>
        <v>34517.325503099106</v>
      </c>
      <c r="M16" s="7">
        <f t="shared" ref="M16:M79" si="5">K16-E16</f>
        <v>25576.445378099103</v>
      </c>
      <c r="N16" s="7">
        <f t="shared" ref="N16:N79" si="6">$K$10-I16</f>
        <v>2486.479499999994</v>
      </c>
      <c r="O16" t="str">
        <f t="shared" ref="O16:O79" si="7">IF(M16&lt;0,"yes","no")</f>
        <v>no</v>
      </c>
      <c r="P16" t="str">
        <f t="shared" ref="P16:P79" si="8">IF(L16&lt;0,"yes","no")</f>
        <v>no</v>
      </c>
    </row>
    <row r="17" spans="2:16" x14ac:dyDescent="0.35">
      <c r="B17">
        <f t="shared" ref="B17:B80" si="9">B16+$G$12</f>
        <v>2</v>
      </c>
      <c r="C17" s="7">
        <f t="shared" si="0"/>
        <v>2</v>
      </c>
      <c r="D17" s="1" cm="1">
        <f t="array" ref="D17">estimatedTripEnergy(C17,G$5,G$6,C$12,C$7,C$9,C$8,FALSE)/1000</f>
        <v>1099.1616760615002</v>
      </c>
      <c r="E17" s="1" cm="1">
        <f t="array" ref="E17">estimatedTripEnergy(C17,G$5,G$6,C$12,C$7,C$9,C$8)/1000</f>
        <v>1247.1216760615</v>
      </c>
      <c r="F17" s="59" cm="1">
        <f t="array" ref="F17">estimatedTripDuration(C17,$C$8,$C$7)/60</f>
        <v>1.8138193434326744</v>
      </c>
      <c r="G17">
        <f t="shared" si="1"/>
        <v>2</v>
      </c>
      <c r="H17" s="50">
        <f t="shared" si="2"/>
        <v>0.33333333333333331</v>
      </c>
      <c r="I17" s="7" cm="1">
        <f t="array" ref="I17">CurrentCapacity(K$10,K$6,K$7,H17)</f>
        <v>35763.291000000005</v>
      </c>
      <c r="J17" s="48">
        <f t="shared" si="3"/>
        <v>3.4871557991167534E-2</v>
      </c>
      <c r="K17" s="5" cm="1">
        <f t="array" ref="K17">UseableCapacity(I17,$K$8,$K$9)</f>
        <v>26822.468250000005</v>
      </c>
      <c r="L17" s="59">
        <f t="shared" si="4"/>
        <v>34516.169323938506</v>
      </c>
      <c r="M17" s="7">
        <f t="shared" si="5"/>
        <v>25575.346573938506</v>
      </c>
      <c r="N17" s="7">
        <f t="shared" si="6"/>
        <v>2486.7089999999953</v>
      </c>
      <c r="O17" t="str">
        <f t="shared" si="7"/>
        <v>no</v>
      </c>
      <c r="P17" t="str">
        <f t="shared" si="8"/>
        <v>no</v>
      </c>
    </row>
    <row r="18" spans="2:16" x14ac:dyDescent="0.35">
      <c r="B18">
        <f t="shared" si="9"/>
        <v>3</v>
      </c>
      <c r="C18" s="7">
        <f t="shared" si="0"/>
        <v>3</v>
      </c>
      <c r="D18" s="1" cm="1">
        <f t="array" ref="D18">estimatedTripEnergy(C18,G$5,G$6,C$12,C$7,C$9,C$8,FALSE)/1000</f>
        <v>1100.0883552220998</v>
      </c>
      <c r="E18" s="1" cm="1">
        <f t="array" ref="E18">estimatedTripEnergy(C18,G$5,G$6,C$12,C$7,C$9,C$8)/1000</f>
        <v>1248.0483552220999</v>
      </c>
      <c r="F18" s="59" cm="1">
        <f t="array" ref="F18">estimatedTripDuration(C18,$C$8,$C$7)/60</f>
        <v>1.8471526767660078</v>
      </c>
      <c r="G18">
        <f t="shared" si="1"/>
        <v>3</v>
      </c>
      <c r="H18" s="50">
        <f t="shared" si="2"/>
        <v>0.5</v>
      </c>
      <c r="I18" s="7" cm="1">
        <f t="array" ref="I18">CurrentCapacity(K$10,K$6,K$7,H18)</f>
        <v>35763.061500000003</v>
      </c>
      <c r="J18" s="48">
        <f t="shared" si="3"/>
        <v>3.4897693398595074E-2</v>
      </c>
      <c r="K18" s="5" cm="1">
        <f t="array" ref="K18">UseableCapacity(I18,$K$8,$K$9)</f>
        <v>26822.296125000001</v>
      </c>
      <c r="L18" s="59">
        <f t="shared" si="4"/>
        <v>34515.013144777906</v>
      </c>
      <c r="M18" s="7">
        <f t="shared" si="5"/>
        <v>25574.2477697779</v>
      </c>
      <c r="N18" s="7">
        <f t="shared" si="6"/>
        <v>2486.9384999999966</v>
      </c>
      <c r="O18" t="str">
        <f t="shared" si="7"/>
        <v>no</v>
      </c>
      <c r="P18" t="str">
        <f t="shared" si="8"/>
        <v>no</v>
      </c>
    </row>
    <row r="19" spans="2:16" x14ac:dyDescent="0.35">
      <c r="B19">
        <f t="shared" si="9"/>
        <v>4</v>
      </c>
      <c r="C19" s="7">
        <f t="shared" si="0"/>
        <v>4</v>
      </c>
      <c r="D19" s="1" cm="1">
        <f t="array" ref="D19">estimatedTripEnergy(C19,G$5,G$6,C$12,C$7,C$9,C$8,FALSE)/1000</f>
        <v>1101.0150343826999</v>
      </c>
      <c r="E19" s="1" cm="1">
        <f t="array" ref="E19">estimatedTripEnergy(C19,G$5,G$6,C$12,C$7,C$9,C$8)/1000</f>
        <v>1248.9750343827</v>
      </c>
      <c r="F19" s="59" cm="1">
        <f t="array" ref="F19">estimatedTripDuration(C19,$C$8,$C$7)/60</f>
        <v>1.880486010099341</v>
      </c>
      <c r="G19">
        <f t="shared" si="1"/>
        <v>4</v>
      </c>
      <c r="H19" s="50">
        <f t="shared" si="2"/>
        <v>0.66666666666666663</v>
      </c>
      <c r="I19" s="7" cm="1">
        <f t="array" ref="I19">CurrentCapacity(K$10,K$6,K$7,H19)</f>
        <v>35762.832000000002</v>
      </c>
      <c r="J19" s="48">
        <f t="shared" si="3"/>
        <v>3.4923829141458931E-2</v>
      </c>
      <c r="K19" s="5" cm="1">
        <f t="array" ref="K19">UseableCapacity(I19,$K$8,$K$9)</f>
        <v>26822.124000000003</v>
      </c>
      <c r="L19" s="59">
        <f t="shared" si="4"/>
        <v>34513.856965617306</v>
      </c>
      <c r="M19" s="7">
        <f t="shared" si="5"/>
        <v>25573.148965617303</v>
      </c>
      <c r="N19" s="7">
        <f t="shared" si="6"/>
        <v>2487.1679999999978</v>
      </c>
      <c r="O19" t="str">
        <f t="shared" si="7"/>
        <v>no</v>
      </c>
      <c r="P19" t="str">
        <f t="shared" si="8"/>
        <v>no</v>
      </c>
    </row>
    <row r="20" spans="2:16" x14ac:dyDescent="0.35">
      <c r="B20">
        <f t="shared" si="9"/>
        <v>5</v>
      </c>
      <c r="C20" s="7">
        <f t="shared" si="0"/>
        <v>5</v>
      </c>
      <c r="D20" s="1" cm="1">
        <f t="array" ref="D20">estimatedTripEnergy(C20,G$5,G$6,C$12,C$7,C$9,C$8,FALSE)/1000</f>
        <v>1101.9417135433</v>
      </c>
      <c r="E20" s="1" cm="1">
        <f t="array" ref="E20">estimatedTripEnergy(C20,G$5,G$6,C$12,C$7,C$9,C$8)/1000</f>
        <v>1249.9017135433</v>
      </c>
      <c r="F20" s="59" cm="1">
        <f t="array" ref="F20">estimatedTripDuration(C20,$C$8,$C$7)/60</f>
        <v>1.9138193434326745</v>
      </c>
      <c r="G20">
        <f t="shared" si="1"/>
        <v>5</v>
      </c>
      <c r="H20" s="50">
        <f t="shared" si="2"/>
        <v>0.83333333333333337</v>
      </c>
      <c r="I20" s="7" cm="1">
        <f t="array" ref="I20">CurrentCapacity(K$10,K$6,K$7,H20)</f>
        <v>35762.602500000001</v>
      </c>
      <c r="J20" s="48">
        <f t="shared" si="3"/>
        <v>3.4949965219765539E-2</v>
      </c>
      <c r="K20" s="5" cm="1">
        <f t="array" ref="K20">UseableCapacity(I20,$K$8,$K$9)</f>
        <v>26821.951874999999</v>
      </c>
      <c r="L20" s="59">
        <f t="shared" si="4"/>
        <v>34512.700786456699</v>
      </c>
      <c r="M20" s="7">
        <f t="shared" si="5"/>
        <v>25572.0501614567</v>
      </c>
      <c r="N20" s="7">
        <f t="shared" si="6"/>
        <v>2487.3974999999991</v>
      </c>
      <c r="O20" t="str">
        <f t="shared" si="7"/>
        <v>no</v>
      </c>
      <c r="P20" t="str">
        <f t="shared" si="8"/>
        <v>no</v>
      </c>
    </row>
    <row r="21" spans="2:16" x14ac:dyDescent="0.35">
      <c r="B21">
        <f t="shared" si="9"/>
        <v>6</v>
      </c>
      <c r="C21" s="7">
        <f t="shared" si="0"/>
        <v>6</v>
      </c>
      <c r="D21" s="1" cm="1">
        <f t="array" ref="D21">estimatedTripEnergy(C21,G$5,G$6,C$12,C$7,C$9,C$8,FALSE)/1000</f>
        <v>1102.8683927039001</v>
      </c>
      <c r="E21" s="1" cm="1">
        <f t="array" ref="E21">estimatedTripEnergy(C21,G$5,G$6,C$12,C$7,C$9,C$8)/1000</f>
        <v>1250.8283927039001</v>
      </c>
      <c r="F21" s="59" cm="1">
        <f t="array" ref="F21">estimatedTripDuration(C21,$C$8,$C$7)/60</f>
        <v>1.9471526767660079</v>
      </c>
      <c r="G21">
        <f t="shared" si="1"/>
        <v>6</v>
      </c>
      <c r="H21" s="50">
        <f t="shared" si="2"/>
        <v>1</v>
      </c>
      <c r="I21" s="7" cm="1">
        <f t="array" ref="I21">CurrentCapacity(K$10,K$6,K$7,H21)</f>
        <v>35762.373</v>
      </c>
      <c r="J21" s="48">
        <f t="shared" si="3"/>
        <v>3.4976101633521356E-2</v>
      </c>
      <c r="K21" s="5" cm="1">
        <f t="array" ref="K21">UseableCapacity(I21,$K$8,$K$9)</f>
        <v>26821.779750000002</v>
      </c>
      <c r="L21" s="59">
        <f t="shared" si="4"/>
        <v>34511.544607296099</v>
      </c>
      <c r="M21" s="7">
        <f t="shared" si="5"/>
        <v>25570.9513572961</v>
      </c>
      <c r="N21" s="7">
        <f t="shared" si="6"/>
        <v>2487.6270000000004</v>
      </c>
      <c r="O21" t="str">
        <f t="shared" si="7"/>
        <v>no</v>
      </c>
      <c r="P21" t="str">
        <f t="shared" si="8"/>
        <v>no</v>
      </c>
    </row>
    <row r="22" spans="2:16" x14ac:dyDescent="0.35">
      <c r="B22">
        <f t="shared" si="9"/>
        <v>7</v>
      </c>
      <c r="C22" s="7">
        <f t="shared" si="0"/>
        <v>7</v>
      </c>
      <c r="D22" s="1" cm="1">
        <f t="array" ref="D22">estimatedTripEnergy(C22,G$5,G$6,C$12,C$7,C$9,C$8,FALSE)/1000</f>
        <v>1103.7950718645</v>
      </c>
      <c r="E22" s="1" cm="1">
        <f t="array" ref="E22">estimatedTripEnergy(C22,G$5,G$6,C$12,C$7,C$9,C$8)/1000</f>
        <v>1251.7550718645</v>
      </c>
      <c r="F22" s="59" cm="1">
        <f t="array" ref="F22">estimatedTripDuration(C22,$C$8,$C$7)/60</f>
        <v>1.9804860100993411</v>
      </c>
      <c r="G22">
        <f t="shared" si="1"/>
        <v>7</v>
      </c>
      <c r="H22" s="50">
        <f t="shared" si="2"/>
        <v>1.1666666666666667</v>
      </c>
      <c r="I22" s="7" cm="1">
        <f t="array" ref="I22">CurrentCapacity(K$10,K$6,K$7,H22)</f>
        <v>35762.143500000006</v>
      </c>
      <c r="J22" s="48">
        <f t="shared" si="3"/>
        <v>3.5002238382732843E-2</v>
      </c>
      <c r="K22" s="5" cm="1">
        <f t="array" ref="K22">UseableCapacity(I22,$K$8,$K$9)</f>
        <v>26821.607625000004</v>
      </c>
      <c r="L22" s="59">
        <f t="shared" si="4"/>
        <v>34510.388428135506</v>
      </c>
      <c r="M22" s="7">
        <f t="shared" si="5"/>
        <v>25569.852553135504</v>
      </c>
      <c r="N22" s="7">
        <f t="shared" si="6"/>
        <v>2487.8564999999944</v>
      </c>
      <c r="O22" t="str">
        <f t="shared" si="7"/>
        <v>no</v>
      </c>
      <c r="P22" t="str">
        <f t="shared" si="8"/>
        <v>no</v>
      </c>
    </row>
    <row r="23" spans="2:16" x14ac:dyDescent="0.35">
      <c r="B23">
        <f t="shared" si="9"/>
        <v>8</v>
      </c>
      <c r="C23" s="7">
        <f t="shared" si="0"/>
        <v>8</v>
      </c>
      <c r="D23" s="1" cm="1">
        <f t="array" ref="D23">estimatedTripEnergy(C23,G$5,G$6,C$12,C$7,C$9,C$8,FALSE)/1000</f>
        <v>1104.7217510251</v>
      </c>
      <c r="E23" s="1" cm="1">
        <f t="array" ref="E23">estimatedTripEnergy(C23,G$5,G$6,C$12,C$7,C$9,C$8)/1000</f>
        <v>1252.6817510251001</v>
      </c>
      <c r="F23" s="59" cm="1">
        <f t="array" ref="F23">estimatedTripDuration(C23,$C$8,$C$7)/60</f>
        <v>2.0138193434326745</v>
      </c>
      <c r="G23">
        <f t="shared" si="1"/>
        <v>8</v>
      </c>
      <c r="H23" s="50">
        <f t="shared" si="2"/>
        <v>1.3333333333333333</v>
      </c>
      <c r="I23" s="7" cm="1">
        <f t="array" ref="I23">CurrentCapacity(K$10,K$6,K$7,H23)</f>
        <v>35761.913999999997</v>
      </c>
      <c r="J23" s="48">
        <f t="shared" si="3"/>
        <v>3.5028375467406475E-2</v>
      </c>
      <c r="K23" s="5" cm="1">
        <f t="array" ref="K23">UseableCapacity(I23,$K$8,$K$9)</f>
        <v>26821.4355</v>
      </c>
      <c r="L23" s="59">
        <f t="shared" si="4"/>
        <v>34509.232248974899</v>
      </c>
      <c r="M23" s="7">
        <f t="shared" si="5"/>
        <v>25568.753748974901</v>
      </c>
      <c r="N23" s="7">
        <f t="shared" si="6"/>
        <v>2488.086000000003</v>
      </c>
      <c r="O23" t="str">
        <f t="shared" si="7"/>
        <v>no</v>
      </c>
      <c r="P23" t="str">
        <f t="shared" si="8"/>
        <v>no</v>
      </c>
    </row>
    <row r="24" spans="2:16" x14ac:dyDescent="0.35">
      <c r="B24">
        <f t="shared" si="9"/>
        <v>9</v>
      </c>
      <c r="C24" s="7">
        <f t="shared" si="0"/>
        <v>9</v>
      </c>
      <c r="D24" s="1" cm="1">
        <f t="array" ref="D24">estimatedTripEnergy(C24,G$5,G$6,C$12,C$7,C$9,C$8,FALSE)/1000</f>
        <v>1105.6484301857001</v>
      </c>
      <c r="E24" s="1" cm="1">
        <f t="array" ref="E24">estimatedTripEnergy(C24,G$5,G$6,C$12,C$7,C$9,C$8)/1000</f>
        <v>1253.6084301857002</v>
      </c>
      <c r="F24" s="59" cm="1">
        <f t="array" ref="F24">estimatedTripDuration(C24,$C$8,$C$7)/60</f>
        <v>2.0471526767660078</v>
      </c>
      <c r="G24">
        <f t="shared" si="1"/>
        <v>9</v>
      </c>
      <c r="H24" s="50">
        <f t="shared" si="2"/>
        <v>1.5</v>
      </c>
      <c r="I24" s="7" cm="1">
        <f t="array" ref="I24">CurrentCapacity(K$10,K$6,K$7,H24)</f>
        <v>35761.684500000003</v>
      </c>
      <c r="J24" s="48">
        <f t="shared" si="3"/>
        <v>3.5054512887548683E-2</v>
      </c>
      <c r="K24" s="5" cm="1">
        <f t="array" ref="K24">UseableCapacity(I24,$K$8,$K$9)</f>
        <v>26821.263375000002</v>
      </c>
      <c r="L24" s="59">
        <f t="shared" si="4"/>
        <v>34508.076069814306</v>
      </c>
      <c r="M24" s="7">
        <f t="shared" si="5"/>
        <v>25567.654944814301</v>
      </c>
      <c r="N24" s="7">
        <f t="shared" si="6"/>
        <v>2488.315499999997</v>
      </c>
      <c r="O24" t="str">
        <f t="shared" si="7"/>
        <v>no</v>
      </c>
      <c r="P24" t="str">
        <f t="shared" si="8"/>
        <v>no</v>
      </c>
    </row>
    <row r="25" spans="2:16" x14ac:dyDescent="0.35">
      <c r="B25">
        <f t="shared" si="9"/>
        <v>10</v>
      </c>
      <c r="C25" s="7">
        <f t="shared" si="0"/>
        <v>10</v>
      </c>
      <c r="D25" s="1" cm="1">
        <f t="array" ref="D25">estimatedTripEnergy(C25,G$5,G$6,C$12,C$7,C$9,C$8,FALSE)/1000</f>
        <v>1106.5751093463</v>
      </c>
      <c r="E25" s="1" cm="1">
        <f t="array" ref="E25">estimatedTripEnergy(C25,G$5,G$6,C$12,C$7,C$9,C$8)/1000</f>
        <v>1254.5351093462998</v>
      </c>
      <c r="F25" s="59" cm="1">
        <f t="array" ref="F25">estimatedTripDuration(C25,$C$8,$C$7)/60</f>
        <v>2.080486010099341</v>
      </c>
      <c r="G25">
        <f t="shared" si="1"/>
        <v>10</v>
      </c>
      <c r="H25" s="50">
        <f t="shared" si="2"/>
        <v>1.6666666666666667</v>
      </c>
      <c r="I25" s="7" cm="1">
        <f t="array" ref="I25">CurrentCapacity(K$10,K$6,K$7,H25)</f>
        <v>35761.455000000002</v>
      </c>
      <c r="J25" s="48">
        <f t="shared" si="3"/>
        <v>3.5080650643165935E-2</v>
      </c>
      <c r="K25" s="5" cm="1">
        <f t="array" ref="K25">UseableCapacity(I25,$K$8,$K$9)</f>
        <v>26821.091250000001</v>
      </c>
      <c r="L25" s="59">
        <f t="shared" si="4"/>
        <v>34506.919890653699</v>
      </c>
      <c r="M25" s="7">
        <f t="shared" si="5"/>
        <v>25566.556140653702</v>
      </c>
      <c r="N25" s="7">
        <f t="shared" si="6"/>
        <v>2488.5449999999983</v>
      </c>
      <c r="O25" t="str">
        <f t="shared" si="7"/>
        <v>no</v>
      </c>
      <c r="P25" t="str">
        <f t="shared" si="8"/>
        <v>no</v>
      </c>
    </row>
    <row r="26" spans="2:16" x14ac:dyDescent="0.35">
      <c r="B26">
        <f t="shared" si="9"/>
        <v>11</v>
      </c>
      <c r="C26" s="7">
        <f t="shared" si="0"/>
        <v>11</v>
      </c>
      <c r="D26" s="1" cm="1">
        <f t="array" ref="D26">estimatedTripEnergy(C26,G$5,G$6,C$12,C$7,C$9,C$8,FALSE)/1000</f>
        <v>1107.5017885068999</v>
      </c>
      <c r="E26" s="1" cm="1">
        <f t="array" ref="E26">estimatedTripEnergy(C26,G$5,G$6,C$12,C$7,C$9,C$8)/1000</f>
        <v>1255.4617885068999</v>
      </c>
      <c r="F26" s="59" cm="1">
        <f t="array" ref="F26">estimatedTripDuration(C26,$C$8,$C$7)/60</f>
        <v>2.1138193434326746</v>
      </c>
      <c r="G26">
        <f t="shared" si="1"/>
        <v>11</v>
      </c>
      <c r="H26" s="50">
        <f t="shared" si="2"/>
        <v>1.8333333333333333</v>
      </c>
      <c r="I26" s="7" cm="1">
        <f t="array" ref="I26">CurrentCapacity(K$10,K$6,K$7,H26)</f>
        <v>35761.2255</v>
      </c>
      <c r="J26" s="48">
        <f t="shared" si="3"/>
        <v>3.5106788734264711E-2</v>
      </c>
      <c r="K26" s="5" cm="1">
        <f t="array" ref="K26">UseableCapacity(I26,$K$8,$K$9)</f>
        <v>26820.919125</v>
      </c>
      <c r="L26" s="59">
        <f t="shared" si="4"/>
        <v>34505.763711493099</v>
      </c>
      <c r="M26" s="7">
        <f t="shared" si="5"/>
        <v>25565.457336493102</v>
      </c>
      <c r="N26" s="7">
        <f t="shared" si="6"/>
        <v>2488.7744999999995</v>
      </c>
      <c r="O26" t="str">
        <f t="shared" si="7"/>
        <v>no</v>
      </c>
      <c r="P26" t="str">
        <f t="shared" si="8"/>
        <v>no</v>
      </c>
    </row>
    <row r="27" spans="2:16" x14ac:dyDescent="0.35">
      <c r="B27">
        <f t="shared" si="9"/>
        <v>12</v>
      </c>
      <c r="C27" s="7">
        <f t="shared" si="0"/>
        <v>12</v>
      </c>
      <c r="D27" s="1" cm="1">
        <f t="array" ref="D27">estimatedTripEnergy(C27,G$5,G$6,C$12,C$7,C$9,C$8,FALSE)/1000</f>
        <v>1108.4284676674999</v>
      </c>
      <c r="E27" s="1" cm="1">
        <f t="array" ref="E27">estimatedTripEnergy(C27,G$5,G$6,C$12,C$7,C$9,C$8)/1000</f>
        <v>1256.3884676675</v>
      </c>
      <c r="F27" s="59" cm="1">
        <f t="array" ref="F27">estimatedTripDuration(C27,$C$8,$C$7)/60</f>
        <v>2.1471526767660074</v>
      </c>
      <c r="G27">
        <f t="shared" si="1"/>
        <v>12</v>
      </c>
      <c r="H27" s="50">
        <f t="shared" si="2"/>
        <v>2</v>
      </c>
      <c r="I27" s="7" cm="1">
        <f t="array" ref="I27">CurrentCapacity(K$10,K$6,K$7,H27)</f>
        <v>35760.996000000006</v>
      </c>
      <c r="J27" s="48">
        <f t="shared" si="3"/>
        <v>3.5132927160851445E-2</v>
      </c>
      <c r="K27" s="5" cm="1">
        <f t="array" ref="K27">UseableCapacity(I27,$K$8,$K$9)</f>
        <v>26820.747000000003</v>
      </c>
      <c r="L27" s="59">
        <f t="shared" si="4"/>
        <v>34504.607532332506</v>
      </c>
      <c r="M27" s="7">
        <f t="shared" si="5"/>
        <v>25564.358532332502</v>
      </c>
      <c r="N27" s="7">
        <f t="shared" si="6"/>
        <v>2489.0039999999935</v>
      </c>
      <c r="O27" t="str">
        <f t="shared" si="7"/>
        <v>no</v>
      </c>
      <c r="P27" t="str">
        <f t="shared" si="8"/>
        <v>no</v>
      </c>
    </row>
    <row r="28" spans="2:16" x14ac:dyDescent="0.35">
      <c r="B28">
        <f t="shared" si="9"/>
        <v>13</v>
      </c>
      <c r="C28" s="7">
        <f t="shared" si="0"/>
        <v>13</v>
      </c>
      <c r="D28" s="1" cm="1">
        <f t="array" ref="D28">estimatedTripEnergy(C28,G$5,G$6,C$12,C$7,C$9,C$8,FALSE)/1000</f>
        <v>1109.3551468281</v>
      </c>
      <c r="E28" s="1" cm="1">
        <f t="array" ref="E28">estimatedTripEnergy(C28,G$5,G$6,C$12,C$7,C$9,C$8)/1000</f>
        <v>1257.3151468281001</v>
      </c>
      <c r="F28" s="59" cm="1">
        <f t="array" ref="F28">estimatedTripDuration(C28,$C$8,$C$7)/60</f>
        <v>2.1804860100993411</v>
      </c>
      <c r="G28">
        <f t="shared" si="1"/>
        <v>13</v>
      </c>
      <c r="H28" s="50">
        <f t="shared" si="2"/>
        <v>2.1666666666666665</v>
      </c>
      <c r="I28" s="7" cm="1">
        <f t="array" ref="I28">CurrentCapacity(K$10,K$6,K$7,H28)</f>
        <v>35760.766499999998</v>
      </c>
      <c r="J28" s="48">
        <f t="shared" si="3"/>
        <v>3.5159065922932616E-2</v>
      </c>
      <c r="K28" s="5" cm="1">
        <f t="array" ref="K28">UseableCapacity(I28,$K$8,$K$9)</f>
        <v>26820.574874999998</v>
      </c>
      <c r="L28" s="59">
        <f t="shared" si="4"/>
        <v>34503.451353171899</v>
      </c>
      <c r="M28" s="7">
        <f t="shared" si="5"/>
        <v>25563.259728171899</v>
      </c>
      <c r="N28" s="7">
        <f t="shared" si="6"/>
        <v>2489.2335000000021</v>
      </c>
      <c r="O28" t="str">
        <f t="shared" si="7"/>
        <v>no</v>
      </c>
      <c r="P28" t="str">
        <f t="shared" si="8"/>
        <v>no</v>
      </c>
    </row>
    <row r="29" spans="2:16" x14ac:dyDescent="0.35">
      <c r="B29">
        <f t="shared" si="9"/>
        <v>14</v>
      </c>
      <c r="C29" s="7">
        <f t="shared" si="0"/>
        <v>14</v>
      </c>
      <c r="D29" s="1" cm="1">
        <f t="array" ref="D29">estimatedTripEnergy(C29,G$5,G$6,C$12,C$7,C$9,C$8,FALSE)/1000</f>
        <v>1110.2818259887001</v>
      </c>
      <c r="E29" s="1" cm="1">
        <f t="array" ref="E29">estimatedTripEnergy(C29,G$5,G$6,C$12,C$7,C$9,C$8)/1000</f>
        <v>1258.2418259887002</v>
      </c>
      <c r="F29" s="59" cm="1">
        <f t="array" ref="F29">estimatedTripDuration(C29,$C$8,$C$7)/60</f>
        <v>2.2138193434326743</v>
      </c>
      <c r="G29">
        <f t="shared" si="1"/>
        <v>14</v>
      </c>
      <c r="H29" s="50">
        <f t="shared" si="2"/>
        <v>2.3333333333333335</v>
      </c>
      <c r="I29" s="7" cm="1">
        <f t="array" ref="I29">CurrentCapacity(K$10,K$6,K$7,H29)</f>
        <v>35760.537000000004</v>
      </c>
      <c r="J29" s="48">
        <f t="shared" si="3"/>
        <v>3.5185205020514657E-2</v>
      </c>
      <c r="K29" s="5" cm="1">
        <f t="array" ref="K29">UseableCapacity(I29,$K$8,$K$9)</f>
        <v>26820.402750000001</v>
      </c>
      <c r="L29" s="59">
        <f t="shared" si="4"/>
        <v>34502.295174011306</v>
      </c>
      <c r="M29" s="7">
        <f t="shared" si="5"/>
        <v>25562.160924011299</v>
      </c>
      <c r="N29" s="7">
        <f t="shared" si="6"/>
        <v>2489.4629999999961</v>
      </c>
      <c r="O29" t="str">
        <f t="shared" si="7"/>
        <v>no</v>
      </c>
      <c r="P29" t="str">
        <f t="shared" si="8"/>
        <v>no</v>
      </c>
    </row>
    <row r="30" spans="2:16" x14ac:dyDescent="0.35">
      <c r="B30">
        <f t="shared" si="9"/>
        <v>15</v>
      </c>
      <c r="C30" s="7">
        <f t="shared" si="0"/>
        <v>15</v>
      </c>
      <c r="D30" s="1" cm="1">
        <f t="array" ref="D30">estimatedTripEnergy(C30,G$5,G$6,C$12,C$7,C$9,C$8,FALSE)/1000</f>
        <v>1111.2085051493</v>
      </c>
      <c r="E30" s="1" cm="1">
        <f t="array" ref="E30">estimatedTripEnergy(C30,G$5,G$6,C$12,C$7,C$9,C$8)/1000</f>
        <v>1259.1685051493</v>
      </c>
      <c r="F30" s="59" cm="1">
        <f t="array" ref="F30">estimatedTripDuration(C30,$C$8,$C$7)/60</f>
        <v>2.2471526767660075</v>
      </c>
      <c r="G30">
        <f t="shared" si="1"/>
        <v>15</v>
      </c>
      <c r="H30" s="50">
        <f t="shared" si="2"/>
        <v>2.5</v>
      </c>
      <c r="I30" s="7" cm="1">
        <f t="array" ref="I30">CurrentCapacity(K$10,K$6,K$7,H30)</f>
        <v>35760.307500000003</v>
      </c>
      <c r="J30" s="48">
        <f t="shared" si="3"/>
        <v>3.5211344453604042E-2</v>
      </c>
      <c r="K30" s="5" cm="1">
        <f t="array" ref="K30">UseableCapacity(I30,$K$8,$K$9)</f>
        <v>26820.230625000004</v>
      </c>
      <c r="L30" s="59">
        <f t="shared" si="4"/>
        <v>34501.138994850706</v>
      </c>
      <c r="M30" s="7">
        <f t="shared" si="5"/>
        <v>25561.062119850703</v>
      </c>
      <c r="N30" s="7">
        <f t="shared" si="6"/>
        <v>2489.6924999999974</v>
      </c>
      <c r="O30" t="str">
        <f t="shared" si="7"/>
        <v>no</v>
      </c>
      <c r="P30" t="str">
        <f t="shared" si="8"/>
        <v>no</v>
      </c>
    </row>
    <row r="31" spans="2:16" x14ac:dyDescent="0.35">
      <c r="B31">
        <f t="shared" si="9"/>
        <v>16</v>
      </c>
      <c r="C31" s="7">
        <f t="shared" si="0"/>
        <v>16</v>
      </c>
      <c r="D31" s="1" cm="1">
        <f t="array" ref="D31">estimatedTripEnergy(C31,G$5,G$6,C$12,C$7,C$9,C$8,FALSE)/1000</f>
        <v>1112.1351843099001</v>
      </c>
      <c r="E31" s="1" cm="1">
        <f t="array" ref="E31">estimatedTripEnergy(C31,G$5,G$6,C$12,C$7,C$9,C$8)/1000</f>
        <v>1260.0951843099001</v>
      </c>
      <c r="F31" s="59" cm="1">
        <f t="array" ref="F31">estimatedTripDuration(C31,$C$8,$C$7)/60</f>
        <v>2.2804860100993407</v>
      </c>
      <c r="G31">
        <f t="shared" si="1"/>
        <v>16</v>
      </c>
      <c r="H31" s="50">
        <f t="shared" si="2"/>
        <v>2.6666666666666665</v>
      </c>
      <c r="I31" s="7" cm="1">
        <f t="array" ref="I31">CurrentCapacity(K$10,K$6,K$7,H31)</f>
        <v>35760.078000000001</v>
      </c>
      <c r="J31" s="48">
        <f t="shared" si="3"/>
        <v>3.5237484222207238E-2</v>
      </c>
      <c r="K31" s="5" cm="1">
        <f t="array" ref="K31">UseableCapacity(I31,$K$8,$K$9)</f>
        <v>26820.058499999999</v>
      </c>
      <c r="L31" s="59">
        <f t="shared" si="4"/>
        <v>34499.982815690099</v>
      </c>
      <c r="M31" s="7">
        <f t="shared" si="5"/>
        <v>25559.9633156901</v>
      </c>
      <c r="N31" s="7">
        <f t="shared" si="6"/>
        <v>2489.9219999999987</v>
      </c>
      <c r="O31" t="str">
        <f t="shared" si="7"/>
        <v>no</v>
      </c>
      <c r="P31" t="str">
        <f t="shared" si="8"/>
        <v>no</v>
      </c>
    </row>
    <row r="32" spans="2:16" x14ac:dyDescent="0.35">
      <c r="B32">
        <f t="shared" si="9"/>
        <v>17</v>
      </c>
      <c r="C32" s="7">
        <f t="shared" si="0"/>
        <v>17</v>
      </c>
      <c r="D32" s="1" cm="1">
        <f t="array" ref="D32">estimatedTripEnergy(C32,G$5,G$6,C$12,C$7,C$9,C$8,FALSE)/1000</f>
        <v>1113.0618634704999</v>
      </c>
      <c r="E32" s="1" cm="1">
        <f t="array" ref="E32">estimatedTripEnergy(C32,G$5,G$6,C$12,C$7,C$9,C$8)/1000</f>
        <v>1261.0218634705</v>
      </c>
      <c r="F32" s="59" cm="1">
        <f t="array" ref="F32">estimatedTripDuration(C32,$C$8,$C$7)/60</f>
        <v>2.3138193434326744</v>
      </c>
      <c r="G32">
        <f t="shared" si="1"/>
        <v>17</v>
      </c>
      <c r="H32" s="50">
        <f t="shared" si="2"/>
        <v>2.8333333333333335</v>
      </c>
      <c r="I32" s="7" cm="1">
        <f t="array" ref="I32">CurrentCapacity(K$10,K$6,K$7,H32)</f>
        <v>35759.8485</v>
      </c>
      <c r="J32" s="48">
        <f t="shared" si="3"/>
        <v>3.5263624326330685E-2</v>
      </c>
      <c r="K32" s="5" cm="1">
        <f t="array" ref="K32">UseableCapacity(I32,$K$8,$K$9)</f>
        <v>26819.886375000002</v>
      </c>
      <c r="L32" s="59">
        <f t="shared" si="4"/>
        <v>34498.826636529499</v>
      </c>
      <c r="M32" s="7">
        <f t="shared" si="5"/>
        <v>25558.8645115295</v>
      </c>
      <c r="N32" s="7">
        <f t="shared" si="6"/>
        <v>2490.1514999999999</v>
      </c>
      <c r="O32" t="str">
        <f t="shared" si="7"/>
        <v>no</v>
      </c>
      <c r="P32" t="str">
        <f t="shared" si="8"/>
        <v>no</v>
      </c>
    </row>
    <row r="33" spans="2:16" x14ac:dyDescent="0.35">
      <c r="B33">
        <f t="shared" si="9"/>
        <v>18</v>
      </c>
      <c r="C33" s="7">
        <f t="shared" si="0"/>
        <v>18</v>
      </c>
      <c r="D33" s="1" cm="1">
        <f t="array" ref="D33">estimatedTripEnergy(C33,G$5,G$6,C$12,C$7,C$9,C$8,FALSE)/1000</f>
        <v>1113.9885426311</v>
      </c>
      <c r="E33" s="1" cm="1">
        <f t="array" ref="E33">estimatedTripEnergy(C33,G$5,G$6,C$12,C$7,C$9,C$8)/1000</f>
        <v>1261.9485426310998</v>
      </c>
      <c r="F33" s="59" cm="1">
        <f t="array" ref="F33">estimatedTripDuration(C33,$C$8,$C$7)/60</f>
        <v>2.3471526767660076</v>
      </c>
      <c r="G33">
        <f t="shared" si="1"/>
        <v>18</v>
      </c>
      <c r="H33" s="50">
        <f t="shared" si="2"/>
        <v>3</v>
      </c>
      <c r="I33" s="7" cm="1">
        <f t="array" ref="I33">CurrentCapacity(K$10,K$6,K$7,H33)</f>
        <v>35759.618999999999</v>
      </c>
      <c r="J33" s="48">
        <f t="shared" si="3"/>
        <v>3.5289764765980863E-2</v>
      </c>
      <c r="K33" s="5" cm="1">
        <f t="array" ref="K33">UseableCapacity(I33,$K$8,$K$9)</f>
        <v>26819.714249999997</v>
      </c>
      <c r="L33" s="59">
        <f t="shared" si="4"/>
        <v>34497.670457368898</v>
      </c>
      <c r="M33" s="7">
        <f t="shared" si="5"/>
        <v>25557.765707368897</v>
      </c>
      <c r="N33" s="7">
        <f t="shared" si="6"/>
        <v>2490.3810000000012</v>
      </c>
      <c r="O33" t="str">
        <f t="shared" si="7"/>
        <v>no</v>
      </c>
      <c r="P33" t="str">
        <f t="shared" si="8"/>
        <v>no</v>
      </c>
    </row>
    <row r="34" spans="2:16" x14ac:dyDescent="0.35">
      <c r="B34">
        <f t="shared" si="9"/>
        <v>19</v>
      </c>
      <c r="C34" s="7">
        <f t="shared" si="0"/>
        <v>19</v>
      </c>
      <c r="D34" s="1" cm="1">
        <f t="array" ref="D34">estimatedTripEnergy(C34,G$5,G$6,C$12,C$7,C$9,C$8,FALSE)/1000</f>
        <v>1114.9152217917001</v>
      </c>
      <c r="E34" s="1" cm="1">
        <f t="array" ref="E34">estimatedTripEnergy(C34,G$5,G$6,C$12,C$7,C$9,C$8)/1000</f>
        <v>1262.8752217916999</v>
      </c>
      <c r="F34" s="59" cm="1">
        <f t="array" ref="F34">estimatedTripDuration(C34,$C$8,$C$7)/60</f>
        <v>2.3804860100993408</v>
      </c>
      <c r="G34">
        <f t="shared" si="1"/>
        <v>19</v>
      </c>
      <c r="H34" s="50">
        <f t="shared" si="2"/>
        <v>3.1666666666666665</v>
      </c>
      <c r="I34" s="7" cm="1">
        <f t="array" ref="I34">CurrentCapacity(K$10,K$6,K$7,H34)</f>
        <v>35759.389500000005</v>
      </c>
      <c r="J34" s="48">
        <f t="shared" si="3"/>
        <v>3.5315905541164226E-2</v>
      </c>
      <c r="K34" s="5" cm="1">
        <f t="array" ref="K34">UseableCapacity(I34,$K$8,$K$9)</f>
        <v>26819.542125000004</v>
      </c>
      <c r="L34" s="59">
        <f t="shared" si="4"/>
        <v>34496.514278208306</v>
      </c>
      <c r="M34" s="7">
        <f t="shared" si="5"/>
        <v>25556.666903208305</v>
      </c>
      <c r="N34" s="7">
        <f t="shared" si="6"/>
        <v>2490.6104999999952</v>
      </c>
      <c r="O34" t="str">
        <f t="shared" si="7"/>
        <v>no</v>
      </c>
      <c r="P34" t="str">
        <f t="shared" si="8"/>
        <v>no</v>
      </c>
    </row>
    <row r="35" spans="2:16" x14ac:dyDescent="0.35">
      <c r="B35">
        <f t="shared" si="9"/>
        <v>20</v>
      </c>
      <c r="C35" s="7">
        <f t="shared" si="0"/>
        <v>20</v>
      </c>
      <c r="D35" s="1" cm="1">
        <f t="array" ref="D35">estimatedTripEnergy(C35,G$5,G$6,C$12,C$7,C$9,C$8,FALSE)/1000</f>
        <v>1115.8419009523</v>
      </c>
      <c r="E35" s="1" cm="1">
        <f t="array" ref="E35">estimatedTripEnergy(C35,G$5,G$6,C$12,C$7,C$9,C$8)/1000</f>
        <v>1263.8019009523</v>
      </c>
      <c r="F35" s="59" cm="1">
        <f t="array" ref="F35">estimatedTripDuration(C35,$C$8,$C$7)/60</f>
        <v>2.413819343432674</v>
      </c>
      <c r="G35">
        <f t="shared" si="1"/>
        <v>20</v>
      </c>
      <c r="H35" s="50">
        <f t="shared" si="2"/>
        <v>3.3333333333333335</v>
      </c>
      <c r="I35" s="7" cm="1">
        <f t="array" ref="I35">CurrentCapacity(K$10,K$6,K$7,H35)</f>
        <v>35759.160000000003</v>
      </c>
      <c r="J35" s="48">
        <f t="shared" si="3"/>
        <v>3.5342046651887234E-2</v>
      </c>
      <c r="K35" s="5" cm="1">
        <f t="array" ref="K35">UseableCapacity(I35,$K$8,$K$9)</f>
        <v>26819.370000000003</v>
      </c>
      <c r="L35" s="59">
        <f t="shared" si="4"/>
        <v>34495.358099047706</v>
      </c>
      <c r="M35" s="7">
        <f t="shared" si="5"/>
        <v>25555.568099047701</v>
      </c>
      <c r="N35" s="7">
        <f t="shared" si="6"/>
        <v>2490.8399999999965</v>
      </c>
      <c r="O35" t="str">
        <f t="shared" si="7"/>
        <v>no</v>
      </c>
      <c r="P35" t="str">
        <f t="shared" si="8"/>
        <v>no</v>
      </c>
    </row>
    <row r="36" spans="2:16" x14ac:dyDescent="0.35">
      <c r="B36">
        <f t="shared" si="9"/>
        <v>21</v>
      </c>
      <c r="C36" s="7">
        <f t="shared" si="0"/>
        <v>21</v>
      </c>
      <c r="D36" s="1" cm="1">
        <f t="array" ref="D36">estimatedTripEnergy(C36,G$5,G$6,C$12,C$7,C$9,C$8,FALSE)/1000</f>
        <v>1116.7685801129001</v>
      </c>
      <c r="E36" s="1" cm="1">
        <f t="array" ref="E36">estimatedTripEnergy(C36,G$5,G$6,C$12,C$7,C$9,C$8)/1000</f>
        <v>1264.7285801129001</v>
      </c>
      <c r="F36" s="59" cm="1">
        <f t="array" ref="F36">estimatedTripDuration(C36,$C$8,$C$7)/60</f>
        <v>2.4471526767660077</v>
      </c>
      <c r="G36">
        <f t="shared" si="1"/>
        <v>21</v>
      </c>
      <c r="H36" s="50">
        <f t="shared" si="2"/>
        <v>3.5</v>
      </c>
      <c r="I36" s="7" cm="1">
        <f t="array" ref="I36">CurrentCapacity(K$10,K$6,K$7,H36)</f>
        <v>35758.930500000002</v>
      </c>
      <c r="J36" s="48">
        <f t="shared" si="3"/>
        <v>3.5368188098156346E-2</v>
      </c>
      <c r="K36" s="5" cm="1">
        <f t="array" ref="K36">UseableCapacity(I36,$K$8,$K$9)</f>
        <v>26819.197875000002</v>
      </c>
      <c r="L36" s="59">
        <f t="shared" si="4"/>
        <v>34494.201919887098</v>
      </c>
      <c r="M36" s="7">
        <f t="shared" si="5"/>
        <v>25554.469294887102</v>
      </c>
      <c r="N36" s="7">
        <f t="shared" si="6"/>
        <v>2491.0694999999978</v>
      </c>
      <c r="O36" t="str">
        <f t="shared" si="7"/>
        <v>no</v>
      </c>
      <c r="P36" t="str">
        <f t="shared" si="8"/>
        <v>no</v>
      </c>
    </row>
    <row r="37" spans="2:16" x14ac:dyDescent="0.35">
      <c r="B37">
        <f t="shared" si="9"/>
        <v>22</v>
      </c>
      <c r="C37" s="7">
        <f t="shared" si="0"/>
        <v>22</v>
      </c>
      <c r="D37" s="1" cm="1">
        <f t="array" ref="D37">estimatedTripEnergy(C37,G$5,G$6,C$12,C$7,C$9,C$8,FALSE)/1000</f>
        <v>1117.6952592734999</v>
      </c>
      <c r="E37" s="1" cm="1">
        <f t="array" ref="E37">estimatedTripEnergy(C37,G$5,G$6,C$12,C$7,C$9,C$8)/1000</f>
        <v>1265.6552592735</v>
      </c>
      <c r="F37" s="59" cm="1">
        <f t="array" ref="F37">estimatedTripDuration(C37,$C$8,$C$7)/60</f>
        <v>2.4804860100993409</v>
      </c>
      <c r="G37">
        <f t="shared" si="1"/>
        <v>22</v>
      </c>
      <c r="H37" s="50">
        <f t="shared" si="2"/>
        <v>3.6666666666666665</v>
      </c>
      <c r="I37" s="7" cm="1">
        <f t="array" ref="I37">CurrentCapacity(K$10,K$6,K$7,H37)</f>
        <v>35758.701000000001</v>
      </c>
      <c r="J37" s="48">
        <f t="shared" si="3"/>
        <v>3.5394329879978023E-2</v>
      </c>
      <c r="K37" s="5" cm="1">
        <f t="array" ref="K37">UseableCapacity(I37,$K$8,$K$9)</f>
        <v>26819.025750000001</v>
      </c>
      <c r="L37" s="59">
        <f t="shared" si="4"/>
        <v>34493.045740726498</v>
      </c>
      <c r="M37" s="7">
        <f t="shared" si="5"/>
        <v>25553.370490726502</v>
      </c>
      <c r="N37" s="7">
        <f t="shared" si="6"/>
        <v>2491.2989999999991</v>
      </c>
      <c r="O37" t="str">
        <f t="shared" si="7"/>
        <v>no</v>
      </c>
      <c r="P37" t="str">
        <f t="shared" si="8"/>
        <v>no</v>
      </c>
    </row>
    <row r="38" spans="2:16" x14ac:dyDescent="0.35">
      <c r="B38">
        <f t="shared" si="9"/>
        <v>23</v>
      </c>
      <c r="C38" s="7">
        <f t="shared" si="0"/>
        <v>23</v>
      </c>
      <c r="D38" s="1" cm="1">
        <f t="array" ref="D38">estimatedTripEnergy(C38,G$5,G$6,C$12,C$7,C$9,C$8,FALSE)/1000</f>
        <v>1118.6219384341</v>
      </c>
      <c r="E38" s="1" cm="1">
        <f t="array" ref="E38">estimatedTripEnergy(C38,G$5,G$6,C$12,C$7,C$9,C$8)/1000</f>
        <v>1266.5819384341</v>
      </c>
      <c r="F38" s="59" cm="1">
        <f t="array" ref="F38">estimatedTripDuration(C38,$C$8,$C$7)/60</f>
        <v>2.5138193434326741</v>
      </c>
      <c r="G38">
        <f t="shared" si="1"/>
        <v>23</v>
      </c>
      <c r="H38" s="50">
        <f t="shared" si="2"/>
        <v>3.8333333333333335</v>
      </c>
      <c r="I38" s="7" cm="1">
        <f t="array" ref="I38">CurrentCapacity(K$10,K$6,K$7,H38)</f>
        <v>35758.4715</v>
      </c>
      <c r="J38" s="48">
        <f t="shared" si="3"/>
        <v>3.5420471997358725E-2</v>
      </c>
      <c r="K38" s="5" cm="1">
        <f t="array" ref="K38">UseableCapacity(I38,$K$8,$K$9)</f>
        <v>26818.853625</v>
      </c>
      <c r="L38" s="59">
        <f t="shared" si="4"/>
        <v>34491.889561565898</v>
      </c>
      <c r="M38" s="7">
        <f t="shared" si="5"/>
        <v>25552.271686565899</v>
      </c>
      <c r="N38" s="7">
        <f t="shared" si="6"/>
        <v>2491.5285000000003</v>
      </c>
      <c r="O38" t="str">
        <f t="shared" si="7"/>
        <v>no</v>
      </c>
      <c r="P38" t="str">
        <f t="shared" si="8"/>
        <v>no</v>
      </c>
    </row>
    <row r="39" spans="2:16" x14ac:dyDescent="0.35">
      <c r="B39">
        <f t="shared" si="9"/>
        <v>24</v>
      </c>
      <c r="C39" s="7">
        <f t="shared" si="0"/>
        <v>24</v>
      </c>
      <c r="D39" s="1" cm="1">
        <f t="array" ref="D39">estimatedTripEnergy(C39,G$5,G$6,C$12,C$7,C$9,C$8,FALSE)/1000</f>
        <v>1119.5486175947001</v>
      </c>
      <c r="E39" s="1" cm="1">
        <f t="array" ref="E39">estimatedTripEnergy(C39,G$5,G$6,C$12,C$7,C$9,C$8)/1000</f>
        <v>1267.5086175947001</v>
      </c>
      <c r="F39" s="59" cm="1">
        <f t="array" ref="F39">estimatedTripDuration(C39,$C$8,$C$7)/60</f>
        <v>2.5471526767660078</v>
      </c>
      <c r="G39">
        <f t="shared" si="1"/>
        <v>24</v>
      </c>
      <c r="H39" s="50">
        <f t="shared" si="2"/>
        <v>4</v>
      </c>
      <c r="I39" s="7" cm="1">
        <f t="array" ref="I39">CurrentCapacity(K$10,K$6,K$7,H39)</f>
        <v>35758.241999999998</v>
      </c>
      <c r="J39" s="48">
        <f t="shared" si="3"/>
        <v>3.544661445030492E-2</v>
      </c>
      <c r="K39" s="5" cm="1">
        <f t="array" ref="K39">UseableCapacity(I39,$K$8,$K$9)</f>
        <v>26818.681499999999</v>
      </c>
      <c r="L39" s="59">
        <f t="shared" si="4"/>
        <v>34490.733382405298</v>
      </c>
      <c r="M39" s="7">
        <f t="shared" si="5"/>
        <v>25551.172882405299</v>
      </c>
      <c r="N39" s="7">
        <f t="shared" si="6"/>
        <v>2491.7580000000016</v>
      </c>
      <c r="O39" t="str">
        <f t="shared" si="7"/>
        <v>no</v>
      </c>
      <c r="P39" t="str">
        <f t="shared" si="8"/>
        <v>no</v>
      </c>
    </row>
    <row r="40" spans="2:16" x14ac:dyDescent="0.35">
      <c r="B40">
        <f t="shared" si="9"/>
        <v>25</v>
      </c>
      <c r="C40" s="7">
        <f t="shared" si="0"/>
        <v>25</v>
      </c>
      <c r="D40" s="1" cm="1">
        <f t="array" ref="D40">estimatedTripEnergy(C40,G$5,G$6,C$12,C$7,C$9,C$8,FALSE)/1000</f>
        <v>1120.4752967553</v>
      </c>
      <c r="E40" s="1" cm="1">
        <f t="array" ref="E40">estimatedTripEnergy(C40,G$5,G$6,C$12,C$7,C$9,C$8)/1000</f>
        <v>1268.4352967553</v>
      </c>
      <c r="F40" s="59" cm="1">
        <f t="array" ref="F40">estimatedTripDuration(C40,$C$8,$C$7)/60</f>
        <v>2.580486010099341</v>
      </c>
      <c r="G40">
        <f t="shared" si="1"/>
        <v>25</v>
      </c>
      <c r="H40" s="50">
        <f t="shared" si="2"/>
        <v>4.166666666666667</v>
      </c>
      <c r="I40" s="7" cm="1">
        <f t="array" ref="I40">CurrentCapacity(K$10,K$6,K$7,H40)</f>
        <v>35758.012500000004</v>
      </c>
      <c r="J40" s="48">
        <f t="shared" si="3"/>
        <v>3.5472757238823045E-2</v>
      </c>
      <c r="K40" s="5" cm="1">
        <f t="array" ref="K40">UseableCapacity(I40,$K$8,$K$9)</f>
        <v>26818.509375000001</v>
      </c>
      <c r="L40" s="59">
        <f t="shared" si="4"/>
        <v>34489.577203244706</v>
      </c>
      <c r="M40" s="7">
        <f t="shared" si="5"/>
        <v>25550.074078244703</v>
      </c>
      <c r="N40" s="7">
        <f t="shared" si="6"/>
        <v>2491.9874999999956</v>
      </c>
      <c r="O40" t="str">
        <f t="shared" si="7"/>
        <v>no</v>
      </c>
      <c r="P40" t="str">
        <f t="shared" si="8"/>
        <v>no</v>
      </c>
    </row>
    <row r="41" spans="2:16" x14ac:dyDescent="0.35">
      <c r="B41">
        <f t="shared" si="9"/>
        <v>26</v>
      </c>
      <c r="C41" s="7">
        <f t="shared" si="0"/>
        <v>26</v>
      </c>
      <c r="D41" s="1" cm="1">
        <f t="array" ref="D41">estimatedTripEnergy(C41,G$5,G$6,C$12,C$7,C$9,C$8,FALSE)/1000</f>
        <v>1121.4019759159</v>
      </c>
      <c r="E41" s="1" cm="1">
        <f t="array" ref="E41">estimatedTripEnergy(C41,G$5,G$6,C$12,C$7,C$9,C$8)/1000</f>
        <v>1269.3619759159001</v>
      </c>
      <c r="F41" s="59" cm="1">
        <f t="array" ref="F41">estimatedTripDuration(C41,$C$8,$C$7)/60</f>
        <v>2.6138193434326742</v>
      </c>
      <c r="G41">
        <f t="shared" si="1"/>
        <v>26</v>
      </c>
      <c r="H41" s="50">
        <f t="shared" si="2"/>
        <v>4.333333333333333</v>
      </c>
      <c r="I41" s="7" cm="1">
        <f t="array" ref="I41">CurrentCapacity(K$10,K$6,K$7,H41)</f>
        <v>35757.783000000003</v>
      </c>
      <c r="J41" s="48">
        <f t="shared" si="3"/>
        <v>3.549890036291959E-2</v>
      </c>
      <c r="K41" s="5" cm="1">
        <f t="array" ref="K41">UseableCapacity(I41,$K$8,$K$9)</f>
        <v>26818.337250000004</v>
      </c>
      <c r="L41" s="59">
        <f t="shared" si="4"/>
        <v>34488.421024084106</v>
      </c>
      <c r="M41" s="7">
        <f t="shared" si="5"/>
        <v>25548.975274084103</v>
      </c>
      <c r="N41" s="7">
        <f t="shared" si="6"/>
        <v>2492.2169999999969</v>
      </c>
      <c r="O41" t="str">
        <f t="shared" si="7"/>
        <v>no</v>
      </c>
      <c r="P41" t="str">
        <f t="shared" si="8"/>
        <v>no</v>
      </c>
    </row>
    <row r="42" spans="2:16" x14ac:dyDescent="0.35">
      <c r="B42">
        <f t="shared" si="9"/>
        <v>27</v>
      </c>
      <c r="C42" s="7">
        <f t="shared" si="0"/>
        <v>27</v>
      </c>
      <c r="D42" s="1" cm="1">
        <f t="array" ref="D42">estimatedTripEnergy(C42,G$5,G$6,C$12,C$7,C$9,C$8,FALSE)/1000</f>
        <v>1122.3286550765001</v>
      </c>
      <c r="E42" s="1" cm="1">
        <f t="array" ref="E42">estimatedTripEnergy(C42,G$5,G$6,C$12,C$7,C$9,C$8)/1000</f>
        <v>1270.2886550764999</v>
      </c>
      <c r="F42" s="59" cm="1">
        <f t="array" ref="F42">estimatedTripDuration(C42,$C$8,$C$7)/60</f>
        <v>2.6471526767660074</v>
      </c>
      <c r="G42">
        <f t="shared" si="1"/>
        <v>27</v>
      </c>
      <c r="H42" s="50">
        <f t="shared" si="2"/>
        <v>4.5</v>
      </c>
      <c r="I42" s="7" cm="1">
        <f t="array" ref="I42">CurrentCapacity(K$10,K$6,K$7,H42)</f>
        <v>35757.553500000002</v>
      </c>
      <c r="J42" s="48">
        <f t="shared" si="3"/>
        <v>3.5525043822601E-2</v>
      </c>
      <c r="K42" s="5" cm="1">
        <f t="array" ref="K42">UseableCapacity(I42,$K$8,$K$9)</f>
        <v>26818.165125</v>
      </c>
      <c r="L42" s="59">
        <f t="shared" si="4"/>
        <v>34487.264844923498</v>
      </c>
      <c r="M42" s="7">
        <f t="shared" si="5"/>
        <v>25547.8764699235</v>
      </c>
      <c r="N42" s="7">
        <f t="shared" si="6"/>
        <v>2492.4464999999982</v>
      </c>
      <c r="O42" t="str">
        <f t="shared" si="7"/>
        <v>no</v>
      </c>
      <c r="P42" t="str">
        <f t="shared" si="8"/>
        <v>no</v>
      </c>
    </row>
    <row r="43" spans="2:16" x14ac:dyDescent="0.35">
      <c r="B43">
        <f t="shared" si="9"/>
        <v>28</v>
      </c>
      <c r="C43" s="7">
        <f t="shared" si="0"/>
        <v>28</v>
      </c>
      <c r="D43" s="1" cm="1">
        <f t="array" ref="D43">estimatedTripEnergy(C43,G$5,G$6,C$12,C$7,C$9,C$8,FALSE)/1000</f>
        <v>1123.2553342371</v>
      </c>
      <c r="E43" s="1" cm="1">
        <f t="array" ref="E43">estimatedTripEnergy(C43,G$5,G$6,C$12,C$7,C$9,C$8)/1000</f>
        <v>1271.2153342371</v>
      </c>
      <c r="F43" s="59" cm="1">
        <f t="array" ref="F43">estimatedTripDuration(C43,$C$8,$C$7)/60</f>
        <v>2.6804860100993411</v>
      </c>
      <c r="G43">
        <f t="shared" si="1"/>
        <v>28</v>
      </c>
      <c r="H43" s="50">
        <f t="shared" si="2"/>
        <v>4.666666666666667</v>
      </c>
      <c r="I43" s="7" cm="1">
        <f t="array" ref="I43">CurrentCapacity(K$10,K$6,K$7,H43)</f>
        <v>35757.324000000001</v>
      </c>
      <c r="J43" s="48">
        <f t="shared" si="3"/>
        <v>3.5551187617873757E-2</v>
      </c>
      <c r="K43" s="5" cm="1">
        <f t="array" ref="K43">UseableCapacity(I43,$K$8,$K$9)</f>
        <v>26817.993000000002</v>
      </c>
      <c r="L43" s="59">
        <f t="shared" si="4"/>
        <v>34486.108665762898</v>
      </c>
      <c r="M43" s="7">
        <f t="shared" si="5"/>
        <v>25546.777665762904</v>
      </c>
      <c r="N43" s="7">
        <f t="shared" si="6"/>
        <v>2492.6759999999995</v>
      </c>
      <c r="O43" t="str">
        <f t="shared" si="7"/>
        <v>no</v>
      </c>
      <c r="P43" t="str">
        <f t="shared" si="8"/>
        <v>no</v>
      </c>
    </row>
    <row r="44" spans="2:16" x14ac:dyDescent="0.35">
      <c r="B44">
        <f t="shared" si="9"/>
        <v>29</v>
      </c>
      <c r="C44" s="7">
        <f t="shared" si="0"/>
        <v>29</v>
      </c>
      <c r="D44" s="1" cm="1">
        <f t="array" ref="D44">estimatedTripEnergy(C44,G$5,G$6,C$12,C$7,C$9,C$8,FALSE)/1000</f>
        <v>1124.1820133977001</v>
      </c>
      <c r="E44" s="1" cm="1">
        <f t="array" ref="E44">estimatedTripEnergy(C44,G$5,G$6,C$12,C$7,C$9,C$8)/1000</f>
        <v>1272.1420133977001</v>
      </c>
      <c r="F44" s="59" cm="1">
        <f t="array" ref="F44">estimatedTripDuration(C44,$C$8,$C$7)/60</f>
        <v>2.7138193434326743</v>
      </c>
      <c r="G44">
        <f t="shared" si="1"/>
        <v>29</v>
      </c>
      <c r="H44" s="50">
        <f t="shared" si="2"/>
        <v>4.833333333333333</v>
      </c>
      <c r="I44" s="7" cm="1">
        <f t="array" ref="I44">CurrentCapacity(K$10,K$6,K$7,H44)</f>
        <v>35757.094499999999</v>
      </c>
      <c r="J44" s="48">
        <f t="shared" si="3"/>
        <v>3.5577331748744299E-2</v>
      </c>
      <c r="K44" s="5" cm="1">
        <f t="array" ref="K44">UseableCapacity(I44,$K$8,$K$9)</f>
        <v>26817.820874999998</v>
      </c>
      <c r="L44" s="59">
        <f t="shared" si="4"/>
        <v>34484.952486602298</v>
      </c>
      <c r="M44" s="7">
        <f t="shared" si="5"/>
        <v>25545.678861602297</v>
      </c>
      <c r="N44" s="7">
        <f t="shared" si="6"/>
        <v>2492.9055000000008</v>
      </c>
      <c r="O44" t="str">
        <f t="shared" si="7"/>
        <v>no</v>
      </c>
      <c r="P44" t="str">
        <f t="shared" si="8"/>
        <v>no</v>
      </c>
    </row>
    <row r="45" spans="2:16" x14ac:dyDescent="0.35">
      <c r="B45">
        <f t="shared" si="9"/>
        <v>30</v>
      </c>
      <c r="C45" s="7">
        <f t="shared" si="0"/>
        <v>30</v>
      </c>
      <c r="D45" s="1" cm="1">
        <f t="array" ref="D45">estimatedTripEnergy(C45,G$5,G$6,C$12,C$7,C$9,C$8,FALSE)/1000</f>
        <v>1125.1086925582999</v>
      </c>
      <c r="E45" s="1" cm="1">
        <f t="array" ref="E45">estimatedTripEnergy(C45,G$5,G$6,C$12,C$7,C$9,C$8)/1000</f>
        <v>1273.0686925583</v>
      </c>
      <c r="F45" s="59" cm="1">
        <f t="array" ref="F45">estimatedTripDuration(C45,$C$8,$C$7)/60</f>
        <v>2.7471526767660075</v>
      </c>
      <c r="G45">
        <f t="shared" si="1"/>
        <v>30</v>
      </c>
      <c r="H45" s="50">
        <f t="shared" si="2"/>
        <v>5</v>
      </c>
      <c r="I45" s="7" cm="1">
        <f t="array" ref="I45">CurrentCapacity(K$10,K$6,K$7,H45)</f>
        <v>35756.865000000005</v>
      </c>
      <c r="J45" s="48">
        <f t="shared" si="3"/>
        <v>3.5603476215219088E-2</v>
      </c>
      <c r="K45" s="5" cm="1">
        <f t="array" ref="K45">UseableCapacity(I45,$K$8,$K$9)</f>
        <v>26817.648750000004</v>
      </c>
      <c r="L45" s="59">
        <f t="shared" si="4"/>
        <v>34483.796307441706</v>
      </c>
      <c r="M45" s="7">
        <f t="shared" si="5"/>
        <v>25544.580057441704</v>
      </c>
      <c r="N45" s="7">
        <f t="shared" si="6"/>
        <v>2493.1349999999948</v>
      </c>
      <c r="O45" t="str">
        <f t="shared" si="7"/>
        <v>no</v>
      </c>
      <c r="P45" t="str">
        <f t="shared" si="8"/>
        <v>no</v>
      </c>
    </row>
    <row r="46" spans="2:16" x14ac:dyDescent="0.35">
      <c r="B46">
        <f t="shared" si="9"/>
        <v>31</v>
      </c>
      <c r="C46" s="7">
        <f t="shared" si="0"/>
        <v>31</v>
      </c>
      <c r="D46" s="1" cm="1">
        <f t="array" ref="D46">estimatedTripEnergy(C46,G$5,G$6,C$12,C$7,C$9,C$8,FALSE)/1000</f>
        <v>1126.0353717189</v>
      </c>
      <c r="E46" s="1" cm="1">
        <f t="array" ref="E46">estimatedTripEnergy(C46,G$5,G$6,C$12,C$7,C$9,C$8)/1000</f>
        <v>1273.9953717189001</v>
      </c>
      <c r="F46" s="59" cm="1">
        <f t="array" ref="F46">estimatedTripDuration(C46,$C$8,$C$7)/60</f>
        <v>2.7804860100993407</v>
      </c>
      <c r="G46">
        <f t="shared" si="1"/>
        <v>31</v>
      </c>
      <c r="H46" s="50">
        <f t="shared" si="2"/>
        <v>5.166666666666667</v>
      </c>
      <c r="I46" s="7" cm="1">
        <f t="array" ref="I46">CurrentCapacity(K$10,K$6,K$7,H46)</f>
        <v>35756.635500000004</v>
      </c>
      <c r="J46" s="48">
        <f t="shared" si="3"/>
        <v>3.5629621017304602E-2</v>
      </c>
      <c r="K46" s="5" cm="1">
        <f t="array" ref="K46">UseableCapacity(I46,$K$8,$K$9)</f>
        <v>26817.476625000003</v>
      </c>
      <c r="L46" s="59">
        <f t="shared" si="4"/>
        <v>34482.640128281106</v>
      </c>
      <c r="M46" s="7">
        <f t="shared" si="5"/>
        <v>25543.481253281105</v>
      </c>
      <c r="N46" s="7">
        <f t="shared" si="6"/>
        <v>2493.364499999996</v>
      </c>
      <c r="O46" t="str">
        <f t="shared" si="7"/>
        <v>no</v>
      </c>
      <c r="P46" t="str">
        <f t="shared" si="8"/>
        <v>no</v>
      </c>
    </row>
    <row r="47" spans="2:16" x14ac:dyDescent="0.35">
      <c r="B47">
        <f t="shared" si="9"/>
        <v>32</v>
      </c>
      <c r="C47" s="7">
        <f t="shared" si="0"/>
        <v>32</v>
      </c>
      <c r="D47" s="1" cm="1">
        <f t="array" ref="D47">estimatedTripEnergy(C47,G$5,G$6,C$12,C$7,C$9,C$8,FALSE)/1000</f>
        <v>1126.9620508794999</v>
      </c>
      <c r="E47" s="1" cm="1">
        <f t="array" ref="E47">estimatedTripEnergy(C47,G$5,G$6,C$12,C$7,C$9,C$8)/1000</f>
        <v>1274.9220508794999</v>
      </c>
      <c r="F47" s="59" cm="1">
        <f t="array" ref="F47">estimatedTripDuration(C47,$C$8,$C$7)/60</f>
        <v>2.8138193434326744</v>
      </c>
      <c r="G47">
        <f t="shared" si="1"/>
        <v>32</v>
      </c>
      <c r="H47" s="50">
        <f t="shared" si="2"/>
        <v>5.333333333333333</v>
      </c>
      <c r="I47" s="7" cm="1">
        <f t="array" ref="I47">CurrentCapacity(K$10,K$6,K$7,H47)</f>
        <v>35756.406000000003</v>
      </c>
      <c r="J47" s="48">
        <f t="shared" si="3"/>
        <v>3.5655766155007297E-2</v>
      </c>
      <c r="K47" s="5" cm="1">
        <f t="array" ref="K47">UseableCapacity(I47,$K$8,$K$9)</f>
        <v>26817.304500000002</v>
      </c>
      <c r="L47" s="59">
        <f t="shared" si="4"/>
        <v>34481.483949120506</v>
      </c>
      <c r="M47" s="7">
        <f t="shared" si="5"/>
        <v>25542.382449120501</v>
      </c>
      <c r="N47" s="7">
        <f t="shared" si="6"/>
        <v>2493.5939999999973</v>
      </c>
      <c r="O47" t="str">
        <f t="shared" si="7"/>
        <v>no</v>
      </c>
      <c r="P47" t="str">
        <f t="shared" si="8"/>
        <v>no</v>
      </c>
    </row>
    <row r="48" spans="2:16" x14ac:dyDescent="0.35">
      <c r="B48">
        <f t="shared" si="9"/>
        <v>33</v>
      </c>
      <c r="C48" s="7">
        <f t="shared" si="0"/>
        <v>33</v>
      </c>
      <c r="D48" s="1" cm="1">
        <f t="array" ref="D48">estimatedTripEnergy(C48,G$5,G$6,C$12,C$7,C$9,C$8,FALSE)/1000</f>
        <v>1127.8887300401</v>
      </c>
      <c r="E48" s="1" cm="1">
        <f t="array" ref="E48">estimatedTripEnergy(C48,G$5,G$6,C$12,C$7,C$9,C$8)/1000</f>
        <v>1275.8487300401</v>
      </c>
      <c r="F48" s="59" cm="1">
        <f t="array" ref="F48">estimatedTripDuration(C48,$C$8,$C$7)/60</f>
        <v>2.8471526767660076</v>
      </c>
      <c r="G48">
        <f t="shared" si="1"/>
        <v>33</v>
      </c>
      <c r="H48" s="50">
        <f t="shared" si="2"/>
        <v>5.5</v>
      </c>
      <c r="I48" s="7" cm="1">
        <f t="array" ref="I48">CurrentCapacity(K$10,K$6,K$7,H48)</f>
        <v>35756.176500000001</v>
      </c>
      <c r="J48" s="48">
        <f t="shared" si="3"/>
        <v>3.5681911628333639E-2</v>
      </c>
      <c r="K48" s="5" cm="1">
        <f t="array" ref="K48">UseableCapacity(I48,$K$8,$K$9)</f>
        <v>26817.132375000001</v>
      </c>
      <c r="L48" s="59">
        <f t="shared" si="4"/>
        <v>34480.327769959898</v>
      </c>
      <c r="M48" s="7">
        <f t="shared" si="5"/>
        <v>25541.283644959902</v>
      </c>
      <c r="N48" s="7">
        <f t="shared" si="6"/>
        <v>2493.8234999999986</v>
      </c>
      <c r="O48" t="str">
        <f t="shared" si="7"/>
        <v>no</v>
      </c>
      <c r="P48" t="str">
        <f t="shared" si="8"/>
        <v>no</v>
      </c>
    </row>
    <row r="49" spans="2:16" x14ac:dyDescent="0.35">
      <c r="B49">
        <f t="shared" si="9"/>
        <v>34</v>
      </c>
      <c r="C49" s="7">
        <f t="shared" si="0"/>
        <v>34</v>
      </c>
      <c r="D49" s="1" cm="1">
        <f t="array" ref="D49">estimatedTripEnergy(C49,G$5,G$6,C$12,C$7,C$9,C$8,FALSE)/1000</f>
        <v>1128.8154092007001</v>
      </c>
      <c r="E49" s="1" cm="1">
        <f t="array" ref="E49">estimatedTripEnergy(C49,G$5,G$6,C$12,C$7,C$9,C$8)/1000</f>
        <v>1276.7754092007001</v>
      </c>
      <c r="F49" s="59" cm="1">
        <f t="array" ref="F49">estimatedTripDuration(C49,$C$8,$C$7)/60</f>
        <v>2.8804860100993408</v>
      </c>
      <c r="G49">
        <f t="shared" si="1"/>
        <v>34</v>
      </c>
      <c r="H49" s="50">
        <f t="shared" si="2"/>
        <v>5.666666666666667</v>
      </c>
      <c r="I49" s="7" cm="1">
        <f t="array" ref="I49">CurrentCapacity(K$10,K$6,K$7,H49)</f>
        <v>35755.947</v>
      </c>
      <c r="J49" s="48">
        <f t="shared" si="3"/>
        <v>3.5708057437290087E-2</v>
      </c>
      <c r="K49" s="5" cm="1">
        <f t="array" ref="K49">UseableCapacity(I49,$K$8,$K$9)</f>
        <v>26816.96025</v>
      </c>
      <c r="L49" s="59">
        <f t="shared" si="4"/>
        <v>34479.171590799298</v>
      </c>
      <c r="M49" s="7">
        <f t="shared" si="5"/>
        <v>25540.184840799298</v>
      </c>
      <c r="N49" s="7">
        <f t="shared" si="6"/>
        <v>2494.0529999999999</v>
      </c>
      <c r="O49" t="str">
        <f t="shared" si="7"/>
        <v>no</v>
      </c>
      <c r="P49" t="str">
        <f t="shared" si="8"/>
        <v>no</v>
      </c>
    </row>
    <row r="50" spans="2:16" x14ac:dyDescent="0.35">
      <c r="B50">
        <f t="shared" si="9"/>
        <v>35</v>
      </c>
      <c r="C50" s="7">
        <f t="shared" si="0"/>
        <v>35</v>
      </c>
      <c r="D50" s="1" cm="1">
        <f t="array" ref="D50">estimatedTripEnergy(C50,G$5,G$6,C$12,C$7,C$9,C$8,FALSE)/1000</f>
        <v>1129.7420883613001</v>
      </c>
      <c r="E50" s="1" cm="1">
        <f t="array" ref="E50">estimatedTripEnergy(C50,G$5,G$6,C$12,C$7,C$9,C$8)/1000</f>
        <v>1277.7020883613</v>
      </c>
      <c r="F50" s="59" cm="1">
        <f t="array" ref="F50">estimatedTripDuration(C50,$C$8,$C$7)/60</f>
        <v>2.913819343432674</v>
      </c>
      <c r="G50">
        <f t="shared" si="1"/>
        <v>35</v>
      </c>
      <c r="H50" s="50">
        <f t="shared" si="2"/>
        <v>5.833333333333333</v>
      </c>
      <c r="I50" s="7" cm="1">
        <f t="array" ref="I50">CurrentCapacity(K$10,K$6,K$7,H50)</f>
        <v>35755.717499999999</v>
      </c>
      <c r="J50" s="48">
        <f t="shared" si="3"/>
        <v>3.5734203581883096E-2</v>
      </c>
      <c r="K50" s="5" cm="1">
        <f t="array" ref="K50">UseableCapacity(I50,$K$8,$K$9)</f>
        <v>26816.788124999999</v>
      </c>
      <c r="L50" s="59">
        <f t="shared" si="4"/>
        <v>34478.015411638698</v>
      </c>
      <c r="M50" s="7">
        <f t="shared" si="5"/>
        <v>25539.086036638699</v>
      </c>
      <c r="N50" s="7">
        <f t="shared" si="6"/>
        <v>2494.2825000000012</v>
      </c>
      <c r="O50" t="str">
        <f t="shared" si="7"/>
        <v>no</v>
      </c>
      <c r="P50" t="str">
        <f t="shared" si="8"/>
        <v>no</v>
      </c>
    </row>
    <row r="51" spans="2:16" x14ac:dyDescent="0.35">
      <c r="B51">
        <f t="shared" si="9"/>
        <v>36</v>
      </c>
      <c r="C51" s="7">
        <f t="shared" si="0"/>
        <v>36</v>
      </c>
      <c r="D51" s="1" cm="1">
        <f t="array" ref="D51">estimatedTripEnergy(C51,G$5,G$6,C$12,C$7,C$9,C$8,FALSE)/1000</f>
        <v>1130.6687675219002</v>
      </c>
      <c r="E51" s="1" cm="1">
        <f t="array" ref="E51">estimatedTripEnergy(C51,G$5,G$6,C$12,C$7,C$9,C$8)/1000</f>
        <v>1278.6287675219</v>
      </c>
      <c r="F51" s="59" cm="1">
        <f t="array" ref="F51">estimatedTripDuration(C51,$C$8,$C$7)/60</f>
        <v>2.9471526767660077</v>
      </c>
      <c r="G51">
        <f t="shared" si="1"/>
        <v>36</v>
      </c>
      <c r="H51" s="50">
        <f t="shared" si="2"/>
        <v>6</v>
      </c>
      <c r="I51" s="7" cm="1">
        <f t="array" ref="I51">CurrentCapacity(K$10,K$6,K$7,H51)</f>
        <v>35755.488000000005</v>
      </c>
      <c r="J51" s="48">
        <f t="shared" si="3"/>
        <v>3.5760350062119133E-2</v>
      </c>
      <c r="K51" s="5" cm="1">
        <f t="array" ref="K51">UseableCapacity(I51,$K$8,$K$9)</f>
        <v>26816.616000000002</v>
      </c>
      <c r="L51" s="59">
        <f t="shared" si="4"/>
        <v>34476.859232478106</v>
      </c>
      <c r="M51" s="7">
        <f t="shared" si="5"/>
        <v>25537.987232478103</v>
      </c>
      <c r="N51" s="7">
        <f t="shared" si="6"/>
        <v>2494.5119999999952</v>
      </c>
      <c r="O51" t="str">
        <f t="shared" si="7"/>
        <v>no</v>
      </c>
      <c r="P51" t="str">
        <f t="shared" si="8"/>
        <v>no</v>
      </c>
    </row>
    <row r="52" spans="2:16" x14ac:dyDescent="0.35">
      <c r="B52">
        <f t="shared" si="9"/>
        <v>37</v>
      </c>
      <c r="C52" s="7">
        <f t="shared" si="0"/>
        <v>37</v>
      </c>
      <c r="D52" s="1" cm="1">
        <f t="array" ref="D52">estimatedTripEnergy(C52,G$5,G$6,C$12,C$7,C$9,C$8,FALSE)/1000</f>
        <v>1131.5954466824999</v>
      </c>
      <c r="E52" s="1" cm="1">
        <f t="array" ref="E52">estimatedTripEnergy(C52,G$5,G$6,C$12,C$7,C$9,C$8)/1000</f>
        <v>1279.5554466824999</v>
      </c>
      <c r="F52" s="59" cm="1">
        <f t="array" ref="F52">estimatedTripDuration(C52,$C$8,$C$7)/60</f>
        <v>2.9804860100993409</v>
      </c>
      <c r="G52">
        <f t="shared" si="1"/>
        <v>37</v>
      </c>
      <c r="H52" s="50">
        <f t="shared" si="2"/>
        <v>6.166666666666667</v>
      </c>
      <c r="I52" s="7" cm="1">
        <f t="array" ref="I52">CurrentCapacity(K$10,K$6,K$7,H52)</f>
        <v>35755.258500000004</v>
      </c>
      <c r="J52" s="48">
        <f t="shared" si="3"/>
        <v>3.5786496878004663E-2</v>
      </c>
      <c r="K52" s="5" cm="1">
        <f t="array" ref="K52">UseableCapacity(I52,$K$8,$K$9)</f>
        <v>26816.443875000004</v>
      </c>
      <c r="L52" s="59">
        <f t="shared" si="4"/>
        <v>34475.703053317506</v>
      </c>
      <c r="M52" s="7">
        <f t="shared" si="5"/>
        <v>25536.888428317503</v>
      </c>
      <c r="N52" s="7">
        <f t="shared" si="6"/>
        <v>2494.7414999999964</v>
      </c>
      <c r="O52" t="str">
        <f t="shared" si="7"/>
        <v>no</v>
      </c>
      <c r="P52" t="str">
        <f t="shared" si="8"/>
        <v>no</v>
      </c>
    </row>
    <row r="53" spans="2:16" x14ac:dyDescent="0.35">
      <c r="B53">
        <f t="shared" si="9"/>
        <v>38</v>
      </c>
      <c r="C53" s="7">
        <f t="shared" si="0"/>
        <v>38</v>
      </c>
      <c r="D53" s="1" cm="1">
        <f t="array" ref="D53">estimatedTripEnergy(C53,G$5,G$6,C$12,C$7,C$9,C$8,FALSE)/1000</f>
        <v>1132.5221258431</v>
      </c>
      <c r="E53" s="1" cm="1">
        <f t="array" ref="E53">estimatedTripEnergy(C53,G$5,G$6,C$12,C$7,C$9,C$8)/1000</f>
        <v>1280.4821258431</v>
      </c>
      <c r="F53" s="59" cm="1">
        <f t="array" ref="F53">estimatedTripDuration(C53,$C$8,$C$7)/60</f>
        <v>3.0138193434326741</v>
      </c>
      <c r="G53">
        <f t="shared" si="1"/>
        <v>38</v>
      </c>
      <c r="H53" s="50">
        <f t="shared" si="2"/>
        <v>6.333333333333333</v>
      </c>
      <c r="I53" s="7" cm="1">
        <f t="array" ref="I53">CurrentCapacity(K$10,K$6,K$7,H53)</f>
        <v>35755.029000000002</v>
      </c>
      <c r="J53" s="48">
        <f t="shared" si="3"/>
        <v>3.5812644029546162E-2</v>
      </c>
      <c r="K53" s="5" cm="1">
        <f t="array" ref="K53">UseableCapacity(I53,$K$8,$K$9)</f>
        <v>26816.27175</v>
      </c>
      <c r="L53" s="59">
        <f t="shared" si="4"/>
        <v>34474.546874156906</v>
      </c>
      <c r="M53" s="7">
        <f t="shared" si="5"/>
        <v>25535.7896241569</v>
      </c>
      <c r="N53" s="7">
        <f t="shared" si="6"/>
        <v>2494.9709999999977</v>
      </c>
      <c r="O53" t="str">
        <f t="shared" si="7"/>
        <v>no</v>
      </c>
      <c r="P53" t="str">
        <f t="shared" si="8"/>
        <v>no</v>
      </c>
    </row>
    <row r="54" spans="2:16" x14ac:dyDescent="0.35">
      <c r="B54">
        <f t="shared" si="9"/>
        <v>39</v>
      </c>
      <c r="C54" s="7">
        <f t="shared" si="0"/>
        <v>39</v>
      </c>
      <c r="D54" s="1" cm="1">
        <f t="array" ref="D54">estimatedTripEnergy(C54,G$5,G$6,C$12,C$7,C$9,C$8,FALSE)/1000</f>
        <v>1133.4488050037</v>
      </c>
      <c r="E54" s="1" cm="1">
        <f t="array" ref="E54">estimatedTripEnergy(C54,G$5,G$6,C$12,C$7,C$9,C$8)/1000</f>
        <v>1281.4088050037001</v>
      </c>
      <c r="F54" s="59" cm="1">
        <f t="array" ref="F54">estimatedTripDuration(C54,$C$8,$C$7)/60</f>
        <v>3.0471526767660078</v>
      </c>
      <c r="G54">
        <f t="shared" si="1"/>
        <v>39</v>
      </c>
      <c r="H54" s="50">
        <f t="shared" si="2"/>
        <v>6.5</v>
      </c>
      <c r="I54" s="7" cm="1">
        <f t="array" ref="I54">CurrentCapacity(K$10,K$6,K$7,H54)</f>
        <v>35754.799500000001</v>
      </c>
      <c r="J54" s="48">
        <f t="shared" si="3"/>
        <v>3.5838791516750082E-2</v>
      </c>
      <c r="K54" s="5" cm="1">
        <f t="array" ref="K54">UseableCapacity(I54,$K$8,$K$9)</f>
        <v>26816.099625000003</v>
      </c>
      <c r="L54" s="59">
        <f t="shared" si="4"/>
        <v>34473.390694996298</v>
      </c>
      <c r="M54" s="7">
        <f t="shared" si="5"/>
        <v>25534.690819996304</v>
      </c>
      <c r="N54" s="7">
        <f t="shared" si="6"/>
        <v>2495.200499999999</v>
      </c>
      <c r="O54" t="str">
        <f t="shared" si="7"/>
        <v>no</v>
      </c>
      <c r="P54" t="str">
        <f t="shared" si="8"/>
        <v>no</v>
      </c>
    </row>
    <row r="55" spans="2:16" x14ac:dyDescent="0.35">
      <c r="B55">
        <f t="shared" si="9"/>
        <v>40</v>
      </c>
      <c r="C55" s="7">
        <f t="shared" si="0"/>
        <v>40</v>
      </c>
      <c r="D55" s="1" cm="1">
        <f t="array" ref="D55">estimatedTripEnergy(C55,G$5,G$6,C$12,C$7,C$9,C$8,FALSE)/1000</f>
        <v>1134.3754841642999</v>
      </c>
      <c r="E55" s="1" cm="1">
        <f t="array" ref="E55">estimatedTripEnergy(C55,G$5,G$6,C$12,C$7,C$9,C$8)/1000</f>
        <v>1282.3354841642999</v>
      </c>
      <c r="F55" s="59" cm="1">
        <f t="array" ref="F55">estimatedTripDuration(C55,$C$8,$C$7)/60</f>
        <v>3.080486010099341</v>
      </c>
      <c r="G55">
        <f t="shared" si="1"/>
        <v>40</v>
      </c>
      <c r="H55" s="50">
        <f t="shared" si="2"/>
        <v>6.666666666666667</v>
      </c>
      <c r="I55" s="7" cm="1">
        <f t="array" ref="I55">CurrentCapacity(K$10,K$6,K$7,H55)</f>
        <v>35754.57</v>
      </c>
      <c r="J55" s="48">
        <f t="shared" si="3"/>
        <v>3.5864939339622877E-2</v>
      </c>
      <c r="K55" s="5" cm="1">
        <f t="array" ref="K55">UseableCapacity(I55,$K$8,$K$9)</f>
        <v>26815.927499999998</v>
      </c>
      <c r="L55" s="59">
        <f t="shared" si="4"/>
        <v>34472.234515835698</v>
      </c>
      <c r="M55" s="7">
        <f t="shared" si="5"/>
        <v>25533.592015835697</v>
      </c>
      <c r="N55" s="7">
        <f t="shared" si="6"/>
        <v>2495.4300000000003</v>
      </c>
      <c r="O55" t="str">
        <f t="shared" si="7"/>
        <v>no</v>
      </c>
      <c r="P55" t="str">
        <f t="shared" si="8"/>
        <v>no</v>
      </c>
    </row>
    <row r="56" spans="2:16" x14ac:dyDescent="0.35">
      <c r="B56">
        <f t="shared" si="9"/>
        <v>41</v>
      </c>
      <c r="C56" s="7">
        <f t="shared" si="0"/>
        <v>41</v>
      </c>
      <c r="D56" s="1" cm="1">
        <f t="array" ref="D56">estimatedTripEnergy(C56,G$5,G$6,C$12,C$7,C$9,C$8,FALSE)/1000</f>
        <v>1135.3021633249</v>
      </c>
      <c r="E56" s="1" cm="1">
        <f t="array" ref="E56">estimatedTripEnergy(C56,G$5,G$6,C$12,C$7,C$9,C$8)/1000</f>
        <v>1283.2621633249</v>
      </c>
      <c r="F56" s="59" cm="1">
        <f t="array" ref="F56">estimatedTripDuration(C56,$C$8,$C$7)/60</f>
        <v>3.1138193434326742</v>
      </c>
      <c r="G56">
        <f t="shared" si="1"/>
        <v>41</v>
      </c>
      <c r="H56" s="50">
        <f t="shared" si="2"/>
        <v>6.833333333333333</v>
      </c>
      <c r="I56" s="7" cm="1">
        <f t="array" ref="I56">CurrentCapacity(K$10,K$6,K$7,H56)</f>
        <v>35754.340500000006</v>
      </c>
      <c r="J56" s="48">
        <f t="shared" si="3"/>
        <v>3.589108749817102E-2</v>
      </c>
      <c r="K56" s="5" cm="1">
        <f t="array" ref="K56">UseableCapacity(I56,$K$8,$K$9)</f>
        <v>26815.755375000004</v>
      </c>
      <c r="L56" s="59">
        <f t="shared" si="4"/>
        <v>34471.078336675106</v>
      </c>
      <c r="M56" s="7">
        <f t="shared" si="5"/>
        <v>25532.493211675104</v>
      </c>
      <c r="N56" s="7">
        <f t="shared" si="6"/>
        <v>2495.6594999999943</v>
      </c>
      <c r="O56" t="str">
        <f t="shared" si="7"/>
        <v>no</v>
      </c>
      <c r="P56" t="str">
        <f t="shared" si="8"/>
        <v>no</v>
      </c>
    </row>
    <row r="57" spans="2:16" x14ac:dyDescent="0.35">
      <c r="B57">
        <f t="shared" si="9"/>
        <v>42</v>
      </c>
      <c r="C57" s="7">
        <f t="shared" si="0"/>
        <v>42</v>
      </c>
      <c r="D57" s="1" cm="1">
        <f t="array" ref="D57">estimatedTripEnergy(C57,G$5,G$6,C$12,C$7,C$9,C$8,FALSE)/1000</f>
        <v>1136.2288424855001</v>
      </c>
      <c r="E57" s="1" cm="1">
        <f t="array" ref="E57">estimatedTripEnergy(C57,G$5,G$6,C$12,C$7,C$9,C$8)/1000</f>
        <v>1284.1888424855001</v>
      </c>
      <c r="F57" s="59" cm="1">
        <f t="array" ref="F57">estimatedTripDuration(C57,$C$8,$C$7)/60</f>
        <v>3.1471526767660074</v>
      </c>
      <c r="G57">
        <f t="shared" si="1"/>
        <v>42</v>
      </c>
      <c r="H57" s="50">
        <f t="shared" si="2"/>
        <v>7</v>
      </c>
      <c r="I57" s="7" cm="1">
        <f t="array" ref="I57">CurrentCapacity(K$10,K$6,K$7,H57)</f>
        <v>35754.111000000004</v>
      </c>
      <c r="J57" s="48">
        <f t="shared" si="3"/>
        <v>3.5917235992400987E-2</v>
      </c>
      <c r="K57" s="5" cm="1">
        <f t="array" ref="K57">UseableCapacity(I57,$K$8,$K$9)</f>
        <v>26815.583250000003</v>
      </c>
      <c r="L57" s="59">
        <f t="shared" si="4"/>
        <v>34469.922157514506</v>
      </c>
      <c r="M57" s="7">
        <f t="shared" si="5"/>
        <v>25531.394407514505</v>
      </c>
      <c r="N57" s="7">
        <f t="shared" si="6"/>
        <v>2495.8889999999956</v>
      </c>
      <c r="O57" t="str">
        <f t="shared" si="7"/>
        <v>no</v>
      </c>
      <c r="P57" t="str">
        <f t="shared" si="8"/>
        <v>no</v>
      </c>
    </row>
    <row r="58" spans="2:16" x14ac:dyDescent="0.35">
      <c r="B58">
        <f t="shared" si="9"/>
        <v>43</v>
      </c>
      <c r="C58" s="7">
        <f t="shared" si="0"/>
        <v>43</v>
      </c>
      <c r="D58" s="1" cm="1">
        <f t="array" ref="D58">estimatedTripEnergy(C58,G$5,G$6,C$12,C$7,C$9,C$8,FALSE)/1000</f>
        <v>1137.1555216461002</v>
      </c>
      <c r="E58" s="1" cm="1">
        <f t="array" ref="E58">estimatedTripEnergy(C58,G$5,G$6,C$12,C$7,C$9,C$8)/1000</f>
        <v>1285.1155216461002</v>
      </c>
      <c r="F58" s="59" cm="1">
        <f t="array" ref="F58">estimatedTripDuration(C58,$C$8,$C$7)/60</f>
        <v>3.1804860100993411</v>
      </c>
      <c r="G58">
        <f t="shared" si="1"/>
        <v>43</v>
      </c>
      <c r="H58" s="50">
        <f t="shared" si="2"/>
        <v>7.166666666666667</v>
      </c>
      <c r="I58" s="7" cm="1">
        <f t="array" ref="I58">CurrentCapacity(K$10,K$6,K$7,H58)</f>
        <v>35753.881500000003</v>
      </c>
      <c r="J58" s="48">
        <f t="shared" si="3"/>
        <v>3.5943384822319221E-2</v>
      </c>
      <c r="K58" s="5" cm="1">
        <f t="array" ref="K58">UseableCapacity(I58,$K$8,$K$9)</f>
        <v>26815.411125000002</v>
      </c>
      <c r="L58" s="59">
        <f t="shared" si="4"/>
        <v>34468.765978353906</v>
      </c>
      <c r="M58" s="7">
        <f t="shared" si="5"/>
        <v>25530.295603353901</v>
      </c>
      <c r="N58" s="7">
        <f t="shared" si="6"/>
        <v>2496.1184999999969</v>
      </c>
      <c r="O58" t="str">
        <f t="shared" si="7"/>
        <v>no</v>
      </c>
      <c r="P58" t="str">
        <f t="shared" si="8"/>
        <v>no</v>
      </c>
    </row>
    <row r="59" spans="2:16" x14ac:dyDescent="0.35">
      <c r="B59">
        <f t="shared" si="9"/>
        <v>44</v>
      </c>
      <c r="C59" s="7">
        <f t="shared" si="0"/>
        <v>44</v>
      </c>
      <c r="D59" s="1" cm="1">
        <f t="array" ref="D59">estimatedTripEnergy(C59,G$5,G$6,C$12,C$7,C$9,C$8,FALSE)/1000</f>
        <v>1138.0822008067</v>
      </c>
      <c r="E59" s="1" cm="1">
        <f t="array" ref="E59">estimatedTripEnergy(C59,G$5,G$6,C$12,C$7,C$9,C$8)/1000</f>
        <v>1286.0422008066998</v>
      </c>
      <c r="F59" s="59" cm="1">
        <f t="array" ref="F59">estimatedTripDuration(C59,$C$8,$C$7)/60</f>
        <v>3.2138193434326743</v>
      </c>
      <c r="G59">
        <f t="shared" si="1"/>
        <v>44</v>
      </c>
      <c r="H59" s="50">
        <f t="shared" si="2"/>
        <v>7.333333333333333</v>
      </c>
      <c r="I59" s="7" cm="1">
        <f t="array" ref="I59">CurrentCapacity(K$10,K$6,K$7,H59)</f>
        <v>35753.652000000002</v>
      </c>
      <c r="J59" s="48">
        <f t="shared" si="3"/>
        <v>3.5969533987932192E-2</v>
      </c>
      <c r="K59" s="5" cm="1">
        <f t="array" ref="K59">UseableCapacity(I59,$K$8,$K$9)</f>
        <v>26815.239000000001</v>
      </c>
      <c r="L59" s="59">
        <f t="shared" si="4"/>
        <v>34467.609799193306</v>
      </c>
      <c r="M59" s="7">
        <f t="shared" si="5"/>
        <v>25529.196799193302</v>
      </c>
      <c r="N59" s="7">
        <f t="shared" si="6"/>
        <v>2496.3479999999981</v>
      </c>
      <c r="O59" t="str">
        <f t="shared" si="7"/>
        <v>no</v>
      </c>
      <c r="P59" t="str">
        <f t="shared" si="8"/>
        <v>no</v>
      </c>
    </row>
    <row r="60" spans="2:16" x14ac:dyDescent="0.35">
      <c r="B60">
        <f t="shared" si="9"/>
        <v>45</v>
      </c>
      <c r="C60" s="7">
        <f t="shared" si="0"/>
        <v>45</v>
      </c>
      <c r="D60" s="1" cm="1">
        <f t="array" ref="D60">estimatedTripEnergy(C60,G$5,G$6,C$12,C$7,C$9,C$8,FALSE)/1000</f>
        <v>1139.0088799672999</v>
      </c>
      <c r="E60" s="1" cm="1">
        <f t="array" ref="E60">estimatedTripEnergy(C60,G$5,G$6,C$12,C$7,C$9,C$8)/1000</f>
        <v>1286.9688799672999</v>
      </c>
      <c r="F60" s="59" cm="1">
        <f t="array" ref="F60">estimatedTripDuration(C60,$C$8,$C$7)/60</f>
        <v>3.2471526767660075</v>
      </c>
      <c r="G60">
        <f t="shared" si="1"/>
        <v>45</v>
      </c>
      <c r="H60" s="50">
        <f t="shared" si="2"/>
        <v>7.5</v>
      </c>
      <c r="I60" s="7" cm="1">
        <f t="array" ref="I60">CurrentCapacity(K$10,K$6,K$7,H60)</f>
        <v>35753.422500000001</v>
      </c>
      <c r="J60" s="48">
        <f t="shared" si="3"/>
        <v>3.5995683489246373E-2</v>
      </c>
      <c r="K60" s="5" cm="1">
        <f t="array" ref="K60">UseableCapacity(I60,$K$8,$K$9)</f>
        <v>26815.066875</v>
      </c>
      <c r="L60" s="59">
        <f t="shared" si="4"/>
        <v>34466.453620032698</v>
      </c>
      <c r="M60" s="7">
        <f t="shared" si="5"/>
        <v>25528.097995032702</v>
      </c>
      <c r="N60" s="7">
        <f t="shared" si="6"/>
        <v>2496.5774999999994</v>
      </c>
      <c r="O60" t="str">
        <f t="shared" si="7"/>
        <v>no</v>
      </c>
      <c r="P60" t="str">
        <f t="shared" si="8"/>
        <v>no</v>
      </c>
    </row>
    <row r="61" spans="2:16" x14ac:dyDescent="0.35">
      <c r="B61">
        <f t="shared" si="9"/>
        <v>46</v>
      </c>
      <c r="C61" s="7">
        <f t="shared" si="0"/>
        <v>46</v>
      </c>
      <c r="D61" s="1" cm="1">
        <f t="array" ref="D61">estimatedTripEnergy(C61,G$5,G$6,C$12,C$7,C$9,C$8,FALSE)/1000</f>
        <v>1139.9355591279</v>
      </c>
      <c r="E61" s="1" cm="1">
        <f t="array" ref="E61">estimatedTripEnergy(C61,G$5,G$6,C$12,C$7,C$9,C$8)/1000</f>
        <v>1287.8955591279</v>
      </c>
      <c r="F61" s="59" cm="1">
        <f t="array" ref="F61">estimatedTripDuration(C61,$C$8,$C$7)/60</f>
        <v>3.2804860100993407</v>
      </c>
      <c r="G61">
        <f t="shared" si="1"/>
        <v>46</v>
      </c>
      <c r="H61" s="50">
        <f t="shared" si="2"/>
        <v>7.666666666666667</v>
      </c>
      <c r="I61" s="7" cm="1">
        <f t="array" ref="I61">CurrentCapacity(K$10,K$6,K$7,H61)</f>
        <v>35753.192999999999</v>
      </c>
      <c r="J61" s="48">
        <f t="shared" si="3"/>
        <v>3.6021833326268231E-2</v>
      </c>
      <c r="K61" s="5" cm="1">
        <f t="array" ref="K61">UseableCapacity(I61,$K$8,$K$9)</f>
        <v>26814.894749999999</v>
      </c>
      <c r="L61" s="59">
        <f t="shared" si="4"/>
        <v>34465.297440872098</v>
      </c>
      <c r="M61" s="7">
        <f t="shared" si="5"/>
        <v>25526.999190872099</v>
      </c>
      <c r="N61" s="7">
        <f t="shared" si="6"/>
        <v>2496.8070000000007</v>
      </c>
      <c r="O61" t="str">
        <f t="shared" si="7"/>
        <v>no</v>
      </c>
      <c r="P61" t="str">
        <f t="shared" si="8"/>
        <v>no</v>
      </c>
    </row>
    <row r="62" spans="2:16" x14ac:dyDescent="0.35">
      <c r="B62">
        <f t="shared" si="9"/>
        <v>47</v>
      </c>
      <c r="C62" s="7">
        <f t="shared" si="0"/>
        <v>47</v>
      </c>
      <c r="D62" s="1" cm="1">
        <f t="array" ref="D62">estimatedTripEnergy(C62,G$5,G$6,C$12,C$7,C$9,C$8,FALSE)/1000</f>
        <v>1140.8622382884998</v>
      </c>
      <c r="E62" s="1" cm="1">
        <f t="array" ref="E62">estimatedTripEnergy(C62,G$5,G$6,C$12,C$7,C$9,C$8)/1000</f>
        <v>1288.8222382884999</v>
      </c>
      <c r="F62" s="59" cm="1">
        <f t="array" ref="F62">estimatedTripDuration(C62,$C$8,$C$7)/60</f>
        <v>3.3138193434326744</v>
      </c>
      <c r="G62">
        <f t="shared" si="1"/>
        <v>47</v>
      </c>
      <c r="H62" s="50">
        <f t="shared" si="2"/>
        <v>7.833333333333333</v>
      </c>
      <c r="I62" s="7" cm="1">
        <f t="array" ref="I62">CurrentCapacity(K$10,K$6,K$7,H62)</f>
        <v>35752.963500000005</v>
      </c>
      <c r="J62" s="48">
        <f t="shared" si="3"/>
        <v>3.6047983499004205E-2</v>
      </c>
      <c r="K62" s="5" cm="1">
        <f t="array" ref="K62">UseableCapacity(I62,$K$8,$K$9)</f>
        <v>26814.722625000002</v>
      </c>
      <c r="L62" s="59">
        <f t="shared" si="4"/>
        <v>34464.141261711506</v>
      </c>
      <c r="M62" s="7">
        <f t="shared" si="5"/>
        <v>25525.900386711503</v>
      </c>
      <c r="N62" s="7">
        <f t="shared" si="6"/>
        <v>2497.0364999999947</v>
      </c>
      <c r="O62" t="str">
        <f t="shared" si="7"/>
        <v>no</v>
      </c>
      <c r="P62" t="str">
        <f t="shared" si="8"/>
        <v>no</v>
      </c>
    </row>
    <row r="63" spans="2:16" x14ac:dyDescent="0.35">
      <c r="B63">
        <f t="shared" si="9"/>
        <v>48</v>
      </c>
      <c r="C63" s="7">
        <f t="shared" si="0"/>
        <v>48</v>
      </c>
      <c r="D63" s="1" cm="1">
        <f t="array" ref="D63">estimatedTripEnergy(C63,G$5,G$6,C$12,C$7,C$9,C$8,FALSE)/1000</f>
        <v>1141.7889174490999</v>
      </c>
      <c r="E63" s="1" cm="1">
        <f t="array" ref="E63">estimatedTripEnergy(C63,G$5,G$6,C$12,C$7,C$9,C$8)/1000</f>
        <v>1289.7489174491</v>
      </c>
      <c r="F63" s="59" cm="1">
        <f t="array" ref="F63">estimatedTripDuration(C63,$C$8,$C$7)/60</f>
        <v>3.3471526767660076</v>
      </c>
      <c r="G63">
        <f t="shared" si="1"/>
        <v>48</v>
      </c>
      <c r="H63" s="50">
        <f t="shared" si="2"/>
        <v>8</v>
      </c>
      <c r="I63" s="7" cm="1">
        <f t="array" ref="I63">CurrentCapacity(K$10,K$6,K$7,H63)</f>
        <v>35752.734000000004</v>
      </c>
      <c r="J63" s="48">
        <f t="shared" si="3"/>
        <v>3.6074134007460797E-2</v>
      </c>
      <c r="K63" s="5" cm="1">
        <f t="array" ref="K63">UseableCapacity(I63,$K$8,$K$9)</f>
        <v>26814.550500000005</v>
      </c>
      <c r="L63" s="59">
        <f t="shared" si="4"/>
        <v>34462.985082550906</v>
      </c>
      <c r="M63" s="7">
        <f t="shared" si="5"/>
        <v>25524.801582550906</v>
      </c>
      <c r="N63" s="7">
        <f t="shared" si="6"/>
        <v>2497.265999999996</v>
      </c>
      <c r="O63" t="str">
        <f t="shared" si="7"/>
        <v>no</v>
      </c>
      <c r="P63" t="str">
        <f t="shared" si="8"/>
        <v>no</v>
      </c>
    </row>
    <row r="64" spans="2:16" x14ac:dyDescent="0.35">
      <c r="B64">
        <f t="shared" si="9"/>
        <v>49</v>
      </c>
      <c r="C64" s="7">
        <f t="shared" si="0"/>
        <v>49</v>
      </c>
      <c r="D64" s="1" cm="1">
        <f t="array" ref="D64">estimatedTripEnergy(C64,G$5,G$6,C$12,C$7,C$9,C$8,FALSE)/1000</f>
        <v>1142.7155966097</v>
      </c>
      <c r="E64" s="1" cm="1">
        <f t="array" ref="E64">estimatedTripEnergy(C64,G$5,G$6,C$12,C$7,C$9,C$8)/1000</f>
        <v>1290.6755966097001</v>
      </c>
      <c r="F64" s="59" cm="1">
        <f t="array" ref="F64">estimatedTripDuration(C64,$C$8,$C$7)/60</f>
        <v>3.3804860100993408</v>
      </c>
      <c r="G64">
        <f t="shared" si="1"/>
        <v>49</v>
      </c>
      <c r="H64" s="50">
        <f t="shared" si="2"/>
        <v>8.1666666666666661</v>
      </c>
      <c r="I64" s="7" cm="1">
        <f t="array" ref="I64">CurrentCapacity(K$10,K$6,K$7,H64)</f>
        <v>35752.504500000003</v>
      </c>
      <c r="J64" s="48">
        <f t="shared" si="3"/>
        <v>3.6100284851644446E-2</v>
      </c>
      <c r="K64" s="5" cm="1">
        <f t="array" ref="K64">UseableCapacity(I64,$K$8,$K$9)</f>
        <v>26814.378375</v>
      </c>
      <c r="L64" s="59">
        <f t="shared" si="4"/>
        <v>34461.828903390306</v>
      </c>
      <c r="M64" s="7">
        <f t="shared" si="5"/>
        <v>25523.702778390299</v>
      </c>
      <c r="N64" s="7">
        <f t="shared" si="6"/>
        <v>2497.4954999999973</v>
      </c>
      <c r="O64" t="str">
        <f t="shared" si="7"/>
        <v>no</v>
      </c>
      <c r="P64" t="str">
        <f t="shared" si="8"/>
        <v>no</v>
      </c>
    </row>
    <row r="65" spans="2:16" x14ac:dyDescent="0.35">
      <c r="B65">
        <f t="shared" si="9"/>
        <v>50</v>
      </c>
      <c r="C65" s="7">
        <f t="shared" si="0"/>
        <v>50</v>
      </c>
      <c r="D65" s="1" cm="1">
        <f t="array" ref="D65">estimatedTripEnergy(C65,G$5,G$6,C$12,C$7,C$9,C$8,FALSE)/1000</f>
        <v>1143.6422757703001</v>
      </c>
      <c r="E65" s="1" cm="1">
        <f t="array" ref="E65">estimatedTripEnergy(C65,G$5,G$6,C$12,C$7,C$9,C$8)/1000</f>
        <v>1291.6022757703001</v>
      </c>
      <c r="F65" s="59" cm="1">
        <f t="array" ref="F65">estimatedTripDuration(C65,$C$8,$C$7)/60</f>
        <v>3.413819343432674</v>
      </c>
      <c r="G65">
        <f t="shared" si="1"/>
        <v>50</v>
      </c>
      <c r="H65" s="50">
        <f t="shared" si="2"/>
        <v>8.3333333333333339</v>
      </c>
      <c r="I65" s="7" cm="1">
        <f t="array" ref="I65">CurrentCapacity(K$10,K$6,K$7,H65)</f>
        <v>35752.275000000001</v>
      </c>
      <c r="J65" s="48">
        <f t="shared" si="3"/>
        <v>3.6126436031561633E-2</v>
      </c>
      <c r="K65" s="5" cm="1">
        <f t="array" ref="K65">UseableCapacity(I65,$K$8,$K$9)</f>
        <v>26814.206250000003</v>
      </c>
      <c r="L65" s="59">
        <f t="shared" si="4"/>
        <v>34460.672724229698</v>
      </c>
      <c r="M65" s="7">
        <f t="shared" si="5"/>
        <v>25522.603974229703</v>
      </c>
      <c r="N65" s="7">
        <f t="shared" si="6"/>
        <v>2497.7249999999985</v>
      </c>
      <c r="O65" t="str">
        <f t="shared" si="7"/>
        <v>no</v>
      </c>
      <c r="P65" t="str">
        <f t="shared" si="8"/>
        <v>no</v>
      </c>
    </row>
    <row r="66" spans="2:16" x14ac:dyDescent="0.35">
      <c r="B66">
        <f t="shared" si="9"/>
        <v>51</v>
      </c>
      <c r="C66" s="7">
        <f t="shared" si="0"/>
        <v>51</v>
      </c>
      <c r="D66" s="1" cm="1">
        <f t="array" ref="D66">estimatedTripEnergy(C66,G$5,G$6,C$12,C$7,C$9,C$8,FALSE)/1000</f>
        <v>1144.5689549309002</v>
      </c>
      <c r="E66" s="1" cm="1">
        <f t="array" ref="E66">estimatedTripEnergy(C66,G$5,G$6,C$12,C$7,C$9,C$8)/1000</f>
        <v>1292.5289549309002</v>
      </c>
      <c r="F66" s="59" cm="1">
        <f t="array" ref="F66">estimatedTripDuration(C66,$C$8,$C$7)/60</f>
        <v>3.4471526767660077</v>
      </c>
      <c r="G66">
        <f t="shared" si="1"/>
        <v>51</v>
      </c>
      <c r="H66" s="50">
        <f t="shared" si="2"/>
        <v>8.5</v>
      </c>
      <c r="I66" s="7" cm="1">
        <f t="array" ref="I66">CurrentCapacity(K$10,K$6,K$7,H66)</f>
        <v>35752.0455</v>
      </c>
      <c r="J66" s="48">
        <f t="shared" si="3"/>
        <v>3.6152587547218805E-2</v>
      </c>
      <c r="K66" s="5" cm="1">
        <f t="array" ref="K66">UseableCapacity(I66,$K$8,$K$9)</f>
        <v>26814.034124999998</v>
      </c>
      <c r="L66" s="59">
        <f t="shared" si="4"/>
        <v>34459.516545069098</v>
      </c>
      <c r="M66" s="7">
        <f t="shared" si="5"/>
        <v>25521.505170069096</v>
      </c>
      <c r="N66" s="7">
        <f t="shared" si="6"/>
        <v>2497.9544999999998</v>
      </c>
      <c r="O66" t="str">
        <f t="shared" si="7"/>
        <v>no</v>
      </c>
      <c r="P66" t="str">
        <f t="shared" si="8"/>
        <v>no</v>
      </c>
    </row>
    <row r="67" spans="2:16" x14ac:dyDescent="0.35">
      <c r="B67">
        <f t="shared" si="9"/>
        <v>52</v>
      </c>
      <c r="C67" s="7">
        <f t="shared" si="0"/>
        <v>52</v>
      </c>
      <c r="D67" s="1" cm="1">
        <f t="array" ref="D67">estimatedTripEnergy(C67,G$5,G$6,C$12,C$7,C$9,C$8,FALSE)/1000</f>
        <v>1145.4956340915001</v>
      </c>
      <c r="E67" s="1" cm="1">
        <f t="array" ref="E67">estimatedTripEnergy(C67,G$5,G$6,C$12,C$7,C$9,C$8)/1000</f>
        <v>1293.4556340914999</v>
      </c>
      <c r="F67" s="59" cm="1">
        <f t="array" ref="F67">estimatedTripDuration(C67,$C$8,$C$7)/60</f>
        <v>3.4804860100993409</v>
      </c>
      <c r="G67">
        <f t="shared" si="1"/>
        <v>52</v>
      </c>
      <c r="H67" s="50">
        <f t="shared" si="2"/>
        <v>8.6666666666666661</v>
      </c>
      <c r="I67" s="7" cm="1">
        <f t="array" ref="I67">CurrentCapacity(K$10,K$6,K$7,H67)</f>
        <v>35751.816000000006</v>
      </c>
      <c r="J67" s="48">
        <f t="shared" si="3"/>
        <v>3.6178739398622428E-2</v>
      </c>
      <c r="K67" s="5" cm="1">
        <f t="array" ref="K67">UseableCapacity(I67,$K$8,$K$9)</f>
        <v>26813.862000000005</v>
      </c>
      <c r="L67" s="59">
        <f t="shared" si="4"/>
        <v>34458.360365908506</v>
      </c>
      <c r="M67" s="7">
        <f t="shared" si="5"/>
        <v>25520.406365908504</v>
      </c>
      <c r="N67" s="7">
        <f t="shared" si="6"/>
        <v>2498.1839999999938</v>
      </c>
      <c r="O67" t="str">
        <f t="shared" si="7"/>
        <v>no</v>
      </c>
      <c r="P67" t="str">
        <f t="shared" si="8"/>
        <v>no</v>
      </c>
    </row>
    <row r="68" spans="2:16" x14ac:dyDescent="0.35">
      <c r="B68">
        <f t="shared" si="9"/>
        <v>53</v>
      </c>
      <c r="C68" s="7">
        <f t="shared" si="0"/>
        <v>53</v>
      </c>
      <c r="D68" s="1" cm="1">
        <f t="array" ref="D68">estimatedTripEnergy(C68,G$5,G$6,C$12,C$7,C$9,C$8,FALSE)/1000</f>
        <v>1146.4223132520999</v>
      </c>
      <c r="E68" s="1" cm="1">
        <f t="array" ref="E68">estimatedTripEnergy(C68,G$5,G$6,C$12,C$7,C$9,C$8)/1000</f>
        <v>1294.3823132520999</v>
      </c>
      <c r="F68" s="59" cm="1">
        <f t="array" ref="F68">estimatedTripDuration(C68,$C$8,$C$7)/60</f>
        <v>3.5138193434326741</v>
      </c>
      <c r="G68">
        <f t="shared" si="1"/>
        <v>53</v>
      </c>
      <c r="H68" s="50">
        <f t="shared" si="2"/>
        <v>8.8333333333333339</v>
      </c>
      <c r="I68" s="7" cm="1">
        <f t="array" ref="I68">CurrentCapacity(K$10,K$6,K$7,H68)</f>
        <v>35751.586499999998</v>
      </c>
      <c r="J68" s="48">
        <f t="shared" si="3"/>
        <v>3.6204891585778998E-2</v>
      </c>
      <c r="K68" s="5" cm="1">
        <f t="array" ref="K68">UseableCapacity(I68,$K$8,$K$9)</f>
        <v>26813.689874999996</v>
      </c>
      <c r="L68" s="59">
        <f t="shared" si="4"/>
        <v>34457.204186747898</v>
      </c>
      <c r="M68" s="7">
        <f t="shared" si="5"/>
        <v>25519.307561747897</v>
      </c>
      <c r="N68" s="7">
        <f t="shared" si="6"/>
        <v>2498.4135000000024</v>
      </c>
      <c r="O68" t="str">
        <f t="shared" si="7"/>
        <v>no</v>
      </c>
      <c r="P68" t="str">
        <f t="shared" si="8"/>
        <v>no</v>
      </c>
    </row>
    <row r="69" spans="2:16" x14ac:dyDescent="0.35">
      <c r="B69">
        <f t="shared" si="9"/>
        <v>54</v>
      </c>
      <c r="C69" s="7">
        <f t="shared" si="0"/>
        <v>54</v>
      </c>
      <c r="D69" s="1" cm="1">
        <f t="array" ref="D69">estimatedTripEnergy(C69,G$5,G$6,C$12,C$7,C$9,C$8,FALSE)/1000</f>
        <v>1147.3489924127</v>
      </c>
      <c r="E69" s="1" cm="1">
        <f t="array" ref="E69">estimatedTripEnergy(C69,G$5,G$6,C$12,C$7,C$9,C$8)/1000</f>
        <v>1295.3089924127</v>
      </c>
      <c r="F69" s="59" cm="1">
        <f t="array" ref="F69">estimatedTripDuration(C69,$C$8,$C$7)/60</f>
        <v>3.5471526767660078</v>
      </c>
      <c r="G69">
        <f t="shared" si="1"/>
        <v>54</v>
      </c>
      <c r="H69" s="50">
        <f t="shared" si="2"/>
        <v>9</v>
      </c>
      <c r="I69" s="7" cm="1">
        <f t="array" ref="I69">CurrentCapacity(K$10,K$6,K$7,H69)</f>
        <v>35751.357000000004</v>
      </c>
      <c r="J69" s="48">
        <f t="shared" si="3"/>
        <v>3.6231044108694946E-2</v>
      </c>
      <c r="K69" s="5" cm="1">
        <f t="array" ref="K69">UseableCapacity(I69,$K$8,$K$9)</f>
        <v>26813.517750000003</v>
      </c>
      <c r="L69" s="59">
        <f t="shared" si="4"/>
        <v>34456.048007587306</v>
      </c>
      <c r="M69" s="7">
        <f t="shared" si="5"/>
        <v>25518.208757587301</v>
      </c>
      <c r="N69" s="7">
        <f t="shared" si="6"/>
        <v>2498.6429999999964</v>
      </c>
      <c r="O69" t="str">
        <f t="shared" si="7"/>
        <v>no</v>
      </c>
      <c r="P69" t="str">
        <f t="shared" si="8"/>
        <v>no</v>
      </c>
    </row>
    <row r="70" spans="2:16" x14ac:dyDescent="0.35">
      <c r="B70">
        <f t="shared" si="9"/>
        <v>55</v>
      </c>
      <c r="C70" s="7">
        <f t="shared" si="0"/>
        <v>55</v>
      </c>
      <c r="D70" s="1" cm="1">
        <f t="array" ref="D70">estimatedTripEnergy(C70,G$5,G$6,C$12,C$7,C$9,C$8,FALSE)/1000</f>
        <v>1148.2756715732999</v>
      </c>
      <c r="E70" s="1" cm="1">
        <f t="array" ref="E70">estimatedTripEnergy(C70,G$5,G$6,C$12,C$7,C$9,C$8)/1000</f>
        <v>1296.2356715732999</v>
      </c>
      <c r="F70" s="59" cm="1">
        <f t="array" ref="F70">estimatedTripDuration(C70,$C$8,$C$7)/60</f>
        <v>3.580486010099341</v>
      </c>
      <c r="G70">
        <f t="shared" si="1"/>
        <v>55</v>
      </c>
      <c r="H70" s="50">
        <f t="shared" si="2"/>
        <v>9.1666666666666661</v>
      </c>
      <c r="I70" s="7" cm="1">
        <f t="array" ref="I70">CurrentCapacity(K$10,K$6,K$7,H70)</f>
        <v>35751.127500000002</v>
      </c>
      <c r="J70" s="48">
        <f t="shared" si="3"/>
        <v>3.6257196967376761E-2</v>
      </c>
      <c r="K70" s="5" cm="1">
        <f t="array" ref="K70">UseableCapacity(I70,$K$8,$K$9)</f>
        <v>26813.345625000002</v>
      </c>
      <c r="L70" s="59">
        <f t="shared" si="4"/>
        <v>34454.891828426706</v>
      </c>
      <c r="M70" s="7">
        <f t="shared" si="5"/>
        <v>25517.109953426701</v>
      </c>
      <c r="N70" s="7">
        <f t="shared" si="6"/>
        <v>2498.8724999999977</v>
      </c>
      <c r="O70" t="str">
        <f t="shared" si="7"/>
        <v>no</v>
      </c>
      <c r="P70" t="str">
        <f t="shared" si="8"/>
        <v>no</v>
      </c>
    </row>
    <row r="71" spans="2:16" x14ac:dyDescent="0.35">
      <c r="B71">
        <f t="shared" si="9"/>
        <v>56</v>
      </c>
      <c r="C71" s="7">
        <f t="shared" si="0"/>
        <v>56</v>
      </c>
      <c r="D71" s="1" cm="1">
        <f t="array" ref="D71">estimatedTripEnergy(C71,G$5,G$6,C$12,C$7,C$9,C$8,FALSE)/1000</f>
        <v>1149.2023507338999</v>
      </c>
      <c r="E71" s="1" cm="1">
        <f t="array" ref="E71">estimatedTripEnergy(C71,G$5,G$6,C$12,C$7,C$9,C$8)/1000</f>
        <v>1297.1623507339</v>
      </c>
      <c r="F71" s="59" cm="1">
        <f t="array" ref="F71">estimatedTripDuration(C71,$C$8,$C$7)/60</f>
        <v>3.6138193434326742</v>
      </c>
      <c r="G71">
        <f t="shared" si="1"/>
        <v>56</v>
      </c>
      <c r="H71" s="50">
        <f t="shared" si="2"/>
        <v>9.3333333333333339</v>
      </c>
      <c r="I71" s="7" cm="1">
        <f t="array" ref="I71">CurrentCapacity(K$10,K$6,K$7,H71)</f>
        <v>35750.898000000001</v>
      </c>
      <c r="J71" s="48">
        <f t="shared" si="3"/>
        <v>3.6283350161830902E-2</v>
      </c>
      <c r="K71" s="5" cm="1">
        <f t="array" ref="K71">UseableCapacity(I71,$K$8,$K$9)</f>
        <v>26813.173500000001</v>
      </c>
      <c r="L71" s="59">
        <f t="shared" si="4"/>
        <v>34453.735649266098</v>
      </c>
      <c r="M71" s="7">
        <f t="shared" si="5"/>
        <v>25516.011149266102</v>
      </c>
      <c r="N71" s="7">
        <f t="shared" si="6"/>
        <v>2499.101999999999</v>
      </c>
      <c r="O71" t="str">
        <f t="shared" si="7"/>
        <v>no</v>
      </c>
      <c r="P71" t="str">
        <f t="shared" si="8"/>
        <v>no</v>
      </c>
    </row>
    <row r="72" spans="2:16" x14ac:dyDescent="0.35">
      <c r="B72">
        <f t="shared" si="9"/>
        <v>57</v>
      </c>
      <c r="C72" s="7">
        <f t="shared" si="0"/>
        <v>57</v>
      </c>
      <c r="D72" s="1" cm="1">
        <f t="array" ref="D72">estimatedTripEnergy(C72,G$5,G$6,C$12,C$7,C$9,C$8,FALSE)/1000</f>
        <v>1150.1290298945</v>
      </c>
      <c r="E72" s="1" cm="1">
        <f t="array" ref="E72">estimatedTripEnergy(C72,G$5,G$6,C$12,C$7,C$9,C$8)/1000</f>
        <v>1298.0890298945001</v>
      </c>
      <c r="F72" s="59" cm="1">
        <f t="array" ref="F72">estimatedTripDuration(C72,$C$8,$C$7)/60</f>
        <v>3.6471526767660074</v>
      </c>
      <c r="G72">
        <f t="shared" si="1"/>
        <v>57</v>
      </c>
      <c r="H72" s="50">
        <f t="shared" si="2"/>
        <v>9.5</v>
      </c>
      <c r="I72" s="7" cm="1">
        <f t="array" ref="I72">CurrentCapacity(K$10,K$6,K$7,H72)</f>
        <v>35750.668500000007</v>
      </c>
      <c r="J72" s="48">
        <f t="shared" si="3"/>
        <v>3.6309503692063823E-2</v>
      </c>
      <c r="K72" s="5" cm="1">
        <f t="array" ref="K72">UseableCapacity(I72,$K$8,$K$9)</f>
        <v>26813.001375000007</v>
      </c>
      <c r="L72" s="59">
        <f t="shared" si="4"/>
        <v>34452.579470105506</v>
      </c>
      <c r="M72" s="7">
        <f t="shared" si="5"/>
        <v>25514.912345105506</v>
      </c>
      <c r="N72" s="7">
        <f t="shared" si="6"/>
        <v>2499.331499999993</v>
      </c>
      <c r="O72" t="str">
        <f t="shared" si="7"/>
        <v>no</v>
      </c>
      <c r="P72" t="str">
        <f t="shared" si="8"/>
        <v>no</v>
      </c>
    </row>
    <row r="73" spans="2:16" x14ac:dyDescent="0.35">
      <c r="B73">
        <f t="shared" si="9"/>
        <v>58</v>
      </c>
      <c r="C73" s="7">
        <f t="shared" si="0"/>
        <v>58</v>
      </c>
      <c r="D73" s="1" cm="1">
        <f t="array" ref="D73">estimatedTripEnergy(C73,G$5,G$6,C$12,C$7,C$9,C$8,FALSE)/1000</f>
        <v>1151.0557090551001</v>
      </c>
      <c r="E73" s="1" cm="1">
        <f t="array" ref="E73">estimatedTripEnergy(C73,G$5,G$6,C$12,C$7,C$9,C$8)/1000</f>
        <v>1299.0157090551002</v>
      </c>
      <c r="F73" s="59" cm="1">
        <f t="array" ref="F73">estimatedTripDuration(C73,$C$8,$C$7)/60</f>
        <v>3.6804860100993411</v>
      </c>
      <c r="G73">
        <f t="shared" si="1"/>
        <v>58</v>
      </c>
      <c r="H73" s="50">
        <f t="shared" si="2"/>
        <v>9.6666666666666661</v>
      </c>
      <c r="I73" s="7" cm="1">
        <f t="array" ref="I73">CurrentCapacity(K$10,K$6,K$7,H73)</f>
        <v>35750.438999999998</v>
      </c>
      <c r="J73" s="48">
        <f t="shared" si="3"/>
        <v>3.6335657558082018E-2</v>
      </c>
      <c r="K73" s="5" cm="1">
        <f t="array" ref="K73">UseableCapacity(I73,$K$8,$K$9)</f>
        <v>26812.829249999999</v>
      </c>
      <c r="L73" s="59">
        <f t="shared" si="4"/>
        <v>34451.423290944898</v>
      </c>
      <c r="M73" s="7">
        <f t="shared" si="5"/>
        <v>25513.813540944899</v>
      </c>
      <c r="N73" s="7">
        <f t="shared" si="6"/>
        <v>2499.5610000000015</v>
      </c>
      <c r="O73" t="str">
        <f t="shared" si="7"/>
        <v>no</v>
      </c>
      <c r="P73" t="str">
        <f t="shared" si="8"/>
        <v>no</v>
      </c>
    </row>
    <row r="74" spans="2:16" x14ac:dyDescent="0.35">
      <c r="B74">
        <f t="shared" si="9"/>
        <v>59</v>
      </c>
      <c r="C74" s="7">
        <f t="shared" si="0"/>
        <v>59</v>
      </c>
      <c r="D74" s="1" cm="1">
        <f t="array" ref="D74">estimatedTripEnergy(C74,G$5,G$6,C$12,C$7,C$9,C$8,FALSE)/1000</f>
        <v>1151.9823882157</v>
      </c>
      <c r="E74" s="1" cm="1">
        <f t="array" ref="E74">estimatedTripEnergy(C74,G$5,G$6,C$12,C$7,C$9,C$8)/1000</f>
        <v>1299.9423882157</v>
      </c>
      <c r="F74" s="59" cm="1">
        <f t="array" ref="F74">estimatedTripDuration(C74,$C$8,$C$7)/60</f>
        <v>3.7138193434326743</v>
      </c>
      <c r="G74">
        <f t="shared" si="1"/>
        <v>59</v>
      </c>
      <c r="H74" s="50">
        <f t="shared" si="2"/>
        <v>9.8333333333333339</v>
      </c>
      <c r="I74" s="7" cm="1">
        <f t="array" ref="I74">CurrentCapacity(K$10,K$6,K$7,H74)</f>
        <v>35750.209500000004</v>
      </c>
      <c r="J74" s="48">
        <f t="shared" si="3"/>
        <v>3.6361811759891921E-2</v>
      </c>
      <c r="K74" s="5" cm="1">
        <f t="array" ref="K74">UseableCapacity(I74,$K$8,$K$9)</f>
        <v>26812.657125000005</v>
      </c>
      <c r="L74" s="59">
        <f t="shared" si="4"/>
        <v>34450.267111784306</v>
      </c>
      <c r="M74" s="7">
        <f t="shared" si="5"/>
        <v>25512.714736784306</v>
      </c>
      <c r="N74" s="7">
        <f t="shared" si="6"/>
        <v>2499.7904999999955</v>
      </c>
      <c r="O74" t="str">
        <f t="shared" si="7"/>
        <v>no</v>
      </c>
      <c r="P74" t="str">
        <f t="shared" si="8"/>
        <v>no</v>
      </c>
    </row>
    <row r="75" spans="2:16" x14ac:dyDescent="0.35">
      <c r="B75">
        <f t="shared" si="9"/>
        <v>60</v>
      </c>
      <c r="C75" s="7">
        <f t="shared" si="0"/>
        <v>60</v>
      </c>
      <c r="D75" s="1" cm="1">
        <f t="array" ref="D75">estimatedTripEnergy(C75,G$5,G$6,C$12,C$7,C$9,C$8,FALSE)/1000</f>
        <v>1152.9090673763001</v>
      </c>
      <c r="E75" s="1" cm="1">
        <f t="array" ref="E75">estimatedTripEnergy(C75,G$5,G$6,C$12,C$7,C$9,C$8)/1000</f>
        <v>1300.8690673762999</v>
      </c>
      <c r="F75" s="59" cm="1">
        <f t="array" ref="F75">estimatedTripDuration(C75,$C$8,$C$7)/60</f>
        <v>3.7471526767660075</v>
      </c>
      <c r="G75">
        <f t="shared" si="1"/>
        <v>60</v>
      </c>
      <c r="H75" s="50">
        <f t="shared" si="2"/>
        <v>10</v>
      </c>
      <c r="I75" s="7" cm="1">
        <f t="array" ref="I75">CurrentCapacity(K$10,K$6,K$7,H75)</f>
        <v>35749.980000000003</v>
      </c>
      <c r="J75" s="48">
        <f t="shared" si="3"/>
        <v>3.6387966297500018E-2</v>
      </c>
      <c r="K75" s="5" cm="1">
        <f t="array" ref="K75">UseableCapacity(I75,$K$8,$K$9)</f>
        <v>26812.485000000001</v>
      </c>
      <c r="L75" s="59">
        <f t="shared" si="4"/>
        <v>34449.110932623706</v>
      </c>
      <c r="M75" s="7">
        <f t="shared" si="5"/>
        <v>25511.615932623699</v>
      </c>
      <c r="N75" s="7">
        <f t="shared" si="6"/>
        <v>2500.0199999999968</v>
      </c>
      <c r="O75" t="str">
        <f t="shared" si="7"/>
        <v>no</v>
      </c>
      <c r="P75" t="str">
        <f t="shared" si="8"/>
        <v>no</v>
      </c>
    </row>
    <row r="76" spans="2:16" x14ac:dyDescent="0.35">
      <c r="B76">
        <f t="shared" si="9"/>
        <v>61</v>
      </c>
      <c r="C76" s="7">
        <f t="shared" si="0"/>
        <v>61</v>
      </c>
      <c r="D76" s="1" cm="1">
        <f t="array" ref="D76">estimatedTripEnergy(C76,G$5,G$6,C$12,C$7,C$9,C$8,FALSE)/1000</f>
        <v>1153.8357465369002</v>
      </c>
      <c r="E76" s="1" cm="1">
        <f t="array" ref="E76">estimatedTripEnergy(C76,G$5,G$6,C$12,C$7,C$9,C$8)/1000</f>
        <v>1301.7957465369</v>
      </c>
      <c r="F76" s="59" cm="1">
        <f t="array" ref="F76">estimatedTripDuration(C76,$C$8,$C$7)/60</f>
        <v>3.7804860100993407</v>
      </c>
      <c r="G76">
        <f t="shared" si="1"/>
        <v>61</v>
      </c>
      <c r="H76" s="50">
        <f t="shared" si="2"/>
        <v>10.166666666666666</v>
      </c>
      <c r="I76" s="7" cm="1">
        <f t="array" ref="I76">CurrentCapacity(K$10,K$6,K$7,H76)</f>
        <v>35749.750500000002</v>
      </c>
      <c r="J76" s="48">
        <f t="shared" si="3"/>
        <v>3.6414121170912785E-2</v>
      </c>
      <c r="K76" s="5" cm="1">
        <f t="array" ref="K76">UseableCapacity(I76,$K$8,$K$9)</f>
        <v>26812.312875000003</v>
      </c>
      <c r="L76" s="59">
        <f t="shared" si="4"/>
        <v>34447.954753463098</v>
      </c>
      <c r="M76" s="7">
        <f t="shared" si="5"/>
        <v>25510.517128463103</v>
      </c>
      <c r="N76" s="7">
        <f t="shared" si="6"/>
        <v>2500.2494999999981</v>
      </c>
      <c r="O76" t="str">
        <f t="shared" si="7"/>
        <v>no</v>
      </c>
      <c r="P76" t="str">
        <f t="shared" si="8"/>
        <v>no</v>
      </c>
    </row>
    <row r="77" spans="2:16" x14ac:dyDescent="0.35">
      <c r="B77">
        <f t="shared" si="9"/>
        <v>62</v>
      </c>
      <c r="C77" s="7">
        <f t="shared" si="0"/>
        <v>62</v>
      </c>
      <c r="D77" s="1" cm="1">
        <f t="array" ref="D77">estimatedTripEnergy(C77,G$5,G$6,C$12,C$7,C$9,C$8,FALSE)/1000</f>
        <v>1154.7624256974998</v>
      </c>
      <c r="E77" s="1" cm="1">
        <f t="array" ref="E77">estimatedTripEnergy(C77,G$5,G$6,C$12,C$7,C$9,C$8)/1000</f>
        <v>1302.7224256974998</v>
      </c>
      <c r="F77" s="59" cm="1">
        <f t="array" ref="F77">estimatedTripDuration(C77,$C$8,$C$7)/60</f>
        <v>3.8138193434326744</v>
      </c>
      <c r="G77">
        <f t="shared" si="1"/>
        <v>62</v>
      </c>
      <c r="H77" s="50">
        <f t="shared" si="2"/>
        <v>10.333333333333334</v>
      </c>
      <c r="I77" s="7" cm="1">
        <f t="array" ref="I77">CurrentCapacity(K$10,K$6,K$7,H77)</f>
        <v>35749.521000000001</v>
      </c>
      <c r="J77" s="48">
        <f t="shared" si="3"/>
        <v>3.6440276380136666E-2</v>
      </c>
      <c r="K77" s="5" cm="1">
        <f t="array" ref="K77">UseableCapacity(I77,$K$8,$K$9)</f>
        <v>26812.140749999999</v>
      </c>
      <c r="L77" s="59">
        <f t="shared" si="4"/>
        <v>34446.798574302498</v>
      </c>
      <c r="M77" s="7">
        <f t="shared" si="5"/>
        <v>25509.4183243025</v>
      </c>
      <c r="N77" s="7">
        <f t="shared" si="6"/>
        <v>2500.4789999999994</v>
      </c>
      <c r="O77" t="str">
        <f t="shared" si="7"/>
        <v>no</v>
      </c>
      <c r="P77" t="str">
        <f t="shared" si="8"/>
        <v>no</v>
      </c>
    </row>
    <row r="78" spans="2:16" x14ac:dyDescent="0.35">
      <c r="B78">
        <f t="shared" si="9"/>
        <v>63</v>
      </c>
      <c r="C78" s="7">
        <f t="shared" si="0"/>
        <v>63</v>
      </c>
      <c r="D78" s="1" cm="1">
        <f t="array" ref="D78">estimatedTripEnergy(C78,G$5,G$6,C$12,C$7,C$9,C$8,FALSE)/1000</f>
        <v>1155.6891048580999</v>
      </c>
      <c r="E78" s="1" cm="1">
        <f t="array" ref="E78">estimatedTripEnergy(C78,G$5,G$6,C$12,C$7,C$9,C$8)/1000</f>
        <v>1303.6491048580999</v>
      </c>
      <c r="F78" s="59" cm="1">
        <f t="array" ref="F78">estimatedTripDuration(C78,$C$8,$C$7)/60</f>
        <v>3.8471526767660076</v>
      </c>
      <c r="G78">
        <f t="shared" si="1"/>
        <v>63</v>
      </c>
      <c r="H78" s="50">
        <f t="shared" si="2"/>
        <v>10.5</v>
      </c>
      <c r="I78" s="7" cm="1">
        <f t="array" ref="I78">CurrentCapacity(K$10,K$6,K$7,H78)</f>
        <v>35749.291499999999</v>
      </c>
      <c r="J78" s="48">
        <f t="shared" si="3"/>
        <v>3.646643192517815E-2</v>
      </c>
      <c r="K78" s="5" cm="1">
        <f t="array" ref="K78">UseableCapacity(I78,$K$8,$K$9)</f>
        <v>26811.968625000001</v>
      </c>
      <c r="L78" s="59">
        <f t="shared" si="4"/>
        <v>34445.642395141898</v>
      </c>
      <c r="M78" s="7">
        <f t="shared" si="5"/>
        <v>25508.3195201419</v>
      </c>
      <c r="N78" s="7">
        <f t="shared" si="6"/>
        <v>2500.7085000000006</v>
      </c>
      <c r="O78" t="str">
        <f t="shared" si="7"/>
        <v>no</v>
      </c>
      <c r="P78" t="str">
        <f t="shared" si="8"/>
        <v>no</v>
      </c>
    </row>
    <row r="79" spans="2:16" x14ac:dyDescent="0.35">
      <c r="B79">
        <f t="shared" si="9"/>
        <v>64</v>
      </c>
      <c r="C79" s="7">
        <f t="shared" si="0"/>
        <v>64</v>
      </c>
      <c r="D79" s="1" cm="1">
        <f t="array" ref="D79">estimatedTripEnergy(C79,G$5,G$6,C$12,C$7,C$9,C$8,FALSE)/1000</f>
        <v>1156.6157840187</v>
      </c>
      <c r="E79" s="1" cm="1">
        <f t="array" ref="E79">estimatedTripEnergy(C79,G$5,G$6,C$12,C$7,C$9,C$8)/1000</f>
        <v>1304.5757840187</v>
      </c>
      <c r="F79" s="59" cm="1">
        <f t="array" ref="F79">estimatedTripDuration(C79,$C$8,$C$7)/60</f>
        <v>3.8804860100993408</v>
      </c>
      <c r="G79">
        <f t="shared" si="1"/>
        <v>64</v>
      </c>
      <c r="H79" s="50">
        <f t="shared" si="2"/>
        <v>10.666666666666666</v>
      </c>
      <c r="I79" s="7" cm="1">
        <f t="array" ref="I79">CurrentCapacity(K$10,K$6,K$7,H79)</f>
        <v>35749.061999999998</v>
      </c>
      <c r="J79" s="48">
        <f t="shared" si="3"/>
        <v>3.6492587806043697E-2</v>
      </c>
      <c r="K79" s="5" cm="1">
        <f t="array" ref="K79">UseableCapacity(I79,$K$8,$K$9)</f>
        <v>26811.796499999997</v>
      </c>
      <c r="L79" s="59">
        <f t="shared" si="4"/>
        <v>34444.486215981298</v>
      </c>
      <c r="M79" s="7">
        <f t="shared" si="5"/>
        <v>25507.220715981297</v>
      </c>
      <c r="N79" s="7">
        <f t="shared" si="6"/>
        <v>2500.9380000000019</v>
      </c>
      <c r="O79" t="str">
        <f t="shared" si="7"/>
        <v>no</v>
      </c>
      <c r="P79" t="str">
        <f t="shared" si="8"/>
        <v>no</v>
      </c>
    </row>
    <row r="80" spans="2:16" x14ac:dyDescent="0.35">
      <c r="B80">
        <f t="shared" si="9"/>
        <v>65</v>
      </c>
      <c r="C80" s="7">
        <f t="shared" ref="C80:C143" si="10">$C$8*B80</f>
        <v>65</v>
      </c>
      <c r="D80" s="1" cm="1">
        <f t="array" ref="D80">estimatedTripEnergy(C80,G$5,G$6,C$12,C$7,C$9,C$8,FALSE)/1000</f>
        <v>1157.5424631793001</v>
      </c>
      <c r="E80" s="1" cm="1">
        <f t="array" ref="E80">estimatedTripEnergy(C80,G$5,G$6,C$12,C$7,C$9,C$8)/1000</f>
        <v>1305.5024631793001</v>
      </c>
      <c r="F80" s="59" cm="1">
        <f t="array" ref="F80">estimatedTripDuration(C80,$C$8,$C$7)/60</f>
        <v>3.913819343432674</v>
      </c>
      <c r="G80">
        <f t="shared" ref="G80:G103" si="11">B80</f>
        <v>65</v>
      </c>
      <c r="H80" s="50">
        <f t="shared" ref="H80:H143" si="12">G80/$G$4</f>
        <v>10.833333333333334</v>
      </c>
      <c r="I80" s="7" cm="1">
        <f t="array" ref="I80">CurrentCapacity(K$10,K$6,K$7,H80)</f>
        <v>35748.832500000004</v>
      </c>
      <c r="J80" s="48">
        <f t="shared" ref="J80:J143" si="13">E80/I80</f>
        <v>3.651874402273976E-2</v>
      </c>
      <c r="K80" s="5" cm="1">
        <f t="array" ref="K80">UseableCapacity(I80,$K$8,$K$9)</f>
        <v>26811.624375000003</v>
      </c>
      <c r="L80" s="59">
        <f t="shared" ref="L80:L143" si="14">(K$8*I80)-E80</f>
        <v>34443.330036820706</v>
      </c>
      <c r="M80" s="7">
        <f t="shared" ref="M80:M143" si="15">K80-E80</f>
        <v>25506.121911820705</v>
      </c>
      <c r="N80" s="7">
        <f t="shared" ref="N80:N143" si="16">$K$10-I80</f>
        <v>2501.1674999999959</v>
      </c>
      <c r="O80" t="str">
        <f t="shared" ref="O80:O103" si="17">IF(M80&lt;0,"yes","no")</f>
        <v>no</v>
      </c>
      <c r="P80" t="str">
        <f t="shared" ref="P80:P103" si="18">IF(L80&lt;0,"yes","no")</f>
        <v>no</v>
      </c>
    </row>
    <row r="81" spans="2:16" x14ac:dyDescent="0.35">
      <c r="B81">
        <f t="shared" ref="B81:B144" si="19">B80+$G$12</f>
        <v>66</v>
      </c>
      <c r="C81" s="7">
        <f t="shared" si="10"/>
        <v>66</v>
      </c>
      <c r="D81" s="1" cm="1">
        <f t="array" ref="D81">estimatedTripEnergy(C81,G$5,G$6,C$12,C$7,C$9,C$8,FALSE)/1000</f>
        <v>1158.4691423399001</v>
      </c>
      <c r="E81" s="1" cm="1">
        <f t="array" ref="E81">estimatedTripEnergy(C81,G$5,G$6,C$12,C$7,C$9,C$8)/1000</f>
        <v>1306.4291423399002</v>
      </c>
      <c r="F81" s="59" cm="1">
        <f t="array" ref="F81">estimatedTripDuration(C81,$C$8,$C$7)/60</f>
        <v>3.9471526767660077</v>
      </c>
      <c r="G81">
        <f t="shared" si="11"/>
        <v>66</v>
      </c>
      <c r="H81" s="50">
        <f t="shared" si="12"/>
        <v>11</v>
      </c>
      <c r="I81" s="7" cm="1">
        <f t="array" ref="I81">CurrentCapacity(K$10,K$6,K$7,H81)</f>
        <v>35748.603000000003</v>
      </c>
      <c r="J81" s="48">
        <f t="shared" si="13"/>
        <v>3.6544900575272835E-2</v>
      </c>
      <c r="K81" s="5" cm="1">
        <f t="array" ref="K81">UseableCapacity(I81,$K$8,$K$9)</f>
        <v>26811.452250000002</v>
      </c>
      <c r="L81" s="59">
        <f t="shared" si="14"/>
        <v>34442.173857660106</v>
      </c>
      <c r="M81" s="7">
        <f t="shared" si="15"/>
        <v>25505.023107660101</v>
      </c>
      <c r="N81" s="7">
        <f t="shared" si="16"/>
        <v>2501.3969999999972</v>
      </c>
      <c r="O81" t="str">
        <f t="shared" si="17"/>
        <v>no</v>
      </c>
      <c r="P81" t="str">
        <f t="shared" si="18"/>
        <v>no</v>
      </c>
    </row>
    <row r="82" spans="2:16" x14ac:dyDescent="0.35">
      <c r="B82">
        <f t="shared" si="19"/>
        <v>67</v>
      </c>
      <c r="C82" s="7">
        <f t="shared" si="10"/>
        <v>67</v>
      </c>
      <c r="D82" s="1" cm="1">
        <f t="array" ref="D82">estimatedTripEnergy(C82,G$5,G$6,C$12,C$7,C$9,C$8,FALSE)/1000</f>
        <v>1159.3958215005</v>
      </c>
      <c r="E82" s="1" cm="1">
        <f t="array" ref="E82">estimatedTripEnergy(C82,G$5,G$6,C$12,C$7,C$9,C$8)/1000</f>
        <v>1307.3558215005</v>
      </c>
      <c r="F82" s="59" cm="1">
        <f t="array" ref="F82">estimatedTripDuration(C82,$C$8,$C$7)/60</f>
        <v>3.9804860100993409</v>
      </c>
      <c r="G82">
        <f t="shared" si="11"/>
        <v>67</v>
      </c>
      <c r="H82" s="50">
        <f t="shared" si="12"/>
        <v>11.166666666666666</v>
      </c>
      <c r="I82" s="7" cm="1">
        <f t="array" ref="I82">CurrentCapacity(K$10,K$6,K$7,H82)</f>
        <v>35748.373500000002</v>
      </c>
      <c r="J82" s="48">
        <f t="shared" si="13"/>
        <v>3.6571057463649359E-2</v>
      </c>
      <c r="K82" s="5" cm="1">
        <f t="array" ref="K82">UseableCapacity(I82,$K$8,$K$9)</f>
        <v>26811.280125000001</v>
      </c>
      <c r="L82" s="59">
        <f t="shared" si="14"/>
        <v>34441.017678499498</v>
      </c>
      <c r="M82" s="7">
        <f t="shared" si="15"/>
        <v>25503.924303499502</v>
      </c>
      <c r="N82" s="7">
        <f t="shared" si="16"/>
        <v>2501.6264999999985</v>
      </c>
      <c r="O82" t="str">
        <f t="shared" si="17"/>
        <v>no</v>
      </c>
      <c r="P82" t="str">
        <f t="shared" si="18"/>
        <v>no</v>
      </c>
    </row>
    <row r="83" spans="2:16" x14ac:dyDescent="0.35">
      <c r="B83">
        <f t="shared" si="19"/>
        <v>68</v>
      </c>
      <c r="C83" s="7">
        <f t="shared" si="10"/>
        <v>68</v>
      </c>
      <c r="D83" s="1" cm="1">
        <f t="array" ref="D83">estimatedTripEnergy(C83,G$5,G$6,C$12,C$7,C$9,C$8,FALSE)/1000</f>
        <v>1160.3225006611001</v>
      </c>
      <c r="E83" s="1" cm="1">
        <f t="array" ref="E83">estimatedTripEnergy(C83,G$5,G$6,C$12,C$7,C$9,C$8)/1000</f>
        <v>1308.2825006611001</v>
      </c>
      <c r="F83" s="59" cm="1">
        <f t="array" ref="F83">estimatedTripDuration(C83,$C$8,$C$7)/60</f>
        <v>4.0138193434326741</v>
      </c>
      <c r="G83">
        <f t="shared" si="11"/>
        <v>68</v>
      </c>
      <c r="H83" s="50">
        <f t="shared" si="12"/>
        <v>11.333333333333334</v>
      </c>
      <c r="I83" s="7" cm="1">
        <f t="array" ref="I83">CurrentCapacity(K$10,K$6,K$7,H83)</f>
        <v>35748.144</v>
      </c>
      <c r="J83" s="48">
        <f t="shared" si="13"/>
        <v>3.6597214687875829E-2</v>
      </c>
      <c r="K83" s="5" cm="1">
        <f t="array" ref="K83">UseableCapacity(I83,$K$8,$K$9)</f>
        <v>26811.108</v>
      </c>
      <c r="L83" s="59">
        <f t="shared" si="14"/>
        <v>34439.861499338898</v>
      </c>
      <c r="M83" s="7">
        <f t="shared" si="15"/>
        <v>25502.825499338898</v>
      </c>
      <c r="N83" s="7">
        <f t="shared" si="16"/>
        <v>2501.8559999999998</v>
      </c>
      <c r="O83" t="str">
        <f t="shared" si="17"/>
        <v>no</v>
      </c>
      <c r="P83" t="str">
        <f t="shared" si="18"/>
        <v>no</v>
      </c>
    </row>
    <row r="84" spans="2:16" x14ac:dyDescent="0.35">
      <c r="B84">
        <f t="shared" si="19"/>
        <v>69</v>
      </c>
      <c r="C84" s="7">
        <f t="shared" si="10"/>
        <v>69</v>
      </c>
      <c r="D84" s="1" cm="1">
        <f t="array" ref="D84">estimatedTripEnergy(C84,G$5,G$6,C$12,C$7,C$9,C$8,FALSE)/1000</f>
        <v>1161.2491798217002</v>
      </c>
      <c r="E84" s="1" cm="1">
        <f t="array" ref="E84">estimatedTripEnergy(C84,G$5,G$6,C$12,C$7,C$9,C$8)/1000</f>
        <v>1309.2091798217</v>
      </c>
      <c r="F84" s="59" cm="1">
        <f t="array" ref="F84">estimatedTripDuration(C84,$C$8,$C$7)/60</f>
        <v>4.0471526767660073</v>
      </c>
      <c r="G84">
        <f t="shared" si="11"/>
        <v>69</v>
      </c>
      <c r="H84" s="50">
        <f t="shared" si="12"/>
        <v>11.5</v>
      </c>
      <c r="I84" s="7" cm="1">
        <f t="array" ref="I84">CurrentCapacity(K$10,K$6,K$7,H84)</f>
        <v>35747.914499999999</v>
      </c>
      <c r="J84" s="48">
        <f t="shared" si="13"/>
        <v>3.662337224795869E-2</v>
      </c>
      <c r="K84" s="5" cm="1">
        <f t="array" ref="K84">UseableCapacity(I84,$K$8,$K$9)</f>
        <v>26810.935874999999</v>
      </c>
      <c r="L84" s="59">
        <f t="shared" si="14"/>
        <v>34438.705320178298</v>
      </c>
      <c r="M84" s="7">
        <f t="shared" si="15"/>
        <v>25501.726695178299</v>
      </c>
      <c r="N84" s="7">
        <f t="shared" si="16"/>
        <v>2502.085500000001</v>
      </c>
      <c r="O84" t="str">
        <f t="shared" si="17"/>
        <v>no</v>
      </c>
      <c r="P84" t="str">
        <f t="shared" si="18"/>
        <v>no</v>
      </c>
    </row>
    <row r="85" spans="2:16" x14ac:dyDescent="0.35">
      <c r="B85">
        <f t="shared" si="19"/>
        <v>70</v>
      </c>
      <c r="C85" s="7">
        <f t="shared" si="10"/>
        <v>70</v>
      </c>
      <c r="D85" s="1" cm="1">
        <f t="array" ref="D85">estimatedTripEnergy(C85,G$5,G$6,C$12,C$7,C$9,C$8,FALSE)/1000</f>
        <v>1162.1758589822998</v>
      </c>
      <c r="E85" s="1" cm="1">
        <f t="array" ref="E85">estimatedTripEnergy(C85,G$5,G$6,C$12,C$7,C$9,C$8)/1000</f>
        <v>1310.1358589822999</v>
      </c>
      <c r="F85" s="59" cm="1">
        <f t="array" ref="F85">estimatedTripDuration(C85,$C$8,$C$7)/60</f>
        <v>4.0804860100993405</v>
      </c>
      <c r="G85">
        <f t="shared" si="11"/>
        <v>70</v>
      </c>
      <c r="H85" s="50">
        <f t="shared" si="12"/>
        <v>11.666666666666666</v>
      </c>
      <c r="I85" s="7" cm="1">
        <f t="array" ref="I85">CurrentCapacity(K$10,K$6,K$7,H85)</f>
        <v>35747.685000000005</v>
      </c>
      <c r="J85" s="48">
        <f t="shared" si="13"/>
        <v>3.6649530143904416E-2</v>
      </c>
      <c r="K85" s="5" cm="1">
        <f t="array" ref="K85">UseableCapacity(I85,$K$8,$K$9)</f>
        <v>26810.763750000006</v>
      </c>
      <c r="L85" s="59">
        <f t="shared" si="14"/>
        <v>34437.549141017706</v>
      </c>
      <c r="M85" s="7">
        <f t="shared" si="15"/>
        <v>25500.627891017706</v>
      </c>
      <c r="N85" s="7">
        <f t="shared" si="16"/>
        <v>2502.3149999999951</v>
      </c>
      <c r="O85" t="str">
        <f t="shared" si="17"/>
        <v>no</v>
      </c>
      <c r="P85" t="str">
        <f t="shared" si="18"/>
        <v>no</v>
      </c>
    </row>
    <row r="86" spans="2:16" x14ac:dyDescent="0.35">
      <c r="B86">
        <f t="shared" si="19"/>
        <v>71</v>
      </c>
      <c r="C86" s="7">
        <f t="shared" si="10"/>
        <v>71</v>
      </c>
      <c r="D86" s="1" cm="1">
        <f t="array" ref="D86">estimatedTripEnergy(C86,G$5,G$6,C$12,C$7,C$9,C$8,FALSE)/1000</f>
        <v>1163.1025381428999</v>
      </c>
      <c r="E86" s="1" cm="1">
        <f t="array" ref="E86">estimatedTripEnergy(C86,G$5,G$6,C$12,C$7,C$9,C$8)/1000</f>
        <v>1311.0625381428999</v>
      </c>
      <c r="F86" s="59" cm="1">
        <f t="array" ref="F86">estimatedTripDuration(C86,$C$8,$C$7)/60</f>
        <v>4.1138193434326746</v>
      </c>
      <c r="G86">
        <f t="shared" si="11"/>
        <v>71</v>
      </c>
      <c r="H86" s="50">
        <f t="shared" si="12"/>
        <v>11.833333333333334</v>
      </c>
      <c r="I86" s="7" cm="1">
        <f t="array" ref="I86">CurrentCapacity(K$10,K$6,K$7,H86)</f>
        <v>35747.455500000004</v>
      </c>
      <c r="J86" s="48">
        <f t="shared" si="13"/>
        <v>3.6675688375719488E-2</v>
      </c>
      <c r="K86" s="5" cm="1">
        <f t="array" ref="K86">UseableCapacity(I86,$K$8,$K$9)</f>
        <v>26810.591625000001</v>
      </c>
      <c r="L86" s="59">
        <f t="shared" si="14"/>
        <v>34436.392961857106</v>
      </c>
      <c r="M86" s="7">
        <f t="shared" si="15"/>
        <v>25499.529086857103</v>
      </c>
      <c r="N86" s="7">
        <f t="shared" si="16"/>
        <v>2502.5444999999963</v>
      </c>
      <c r="O86" t="str">
        <f t="shared" si="17"/>
        <v>no</v>
      </c>
      <c r="P86" t="str">
        <f t="shared" si="18"/>
        <v>no</v>
      </c>
    </row>
    <row r="87" spans="2:16" x14ac:dyDescent="0.35">
      <c r="B87">
        <f t="shared" si="19"/>
        <v>72</v>
      </c>
      <c r="C87" s="7">
        <f t="shared" si="10"/>
        <v>72</v>
      </c>
      <c r="D87" s="1" cm="1">
        <f t="array" ref="D87">estimatedTripEnergy(C87,G$5,G$6,C$12,C$7,C$9,C$8,FALSE)/1000</f>
        <v>1164.0292173035</v>
      </c>
      <c r="E87" s="1" cm="1">
        <f t="array" ref="E87">estimatedTripEnergy(C87,G$5,G$6,C$12,C$7,C$9,C$8)/1000</f>
        <v>1311.9892173035</v>
      </c>
      <c r="F87" s="59" cm="1">
        <f t="array" ref="F87">estimatedTripDuration(C87,$C$8,$C$7)/60</f>
        <v>4.1471526767660079</v>
      </c>
      <c r="G87">
        <f t="shared" si="11"/>
        <v>72</v>
      </c>
      <c r="H87" s="50">
        <f t="shared" si="12"/>
        <v>12</v>
      </c>
      <c r="I87" s="7" cm="1">
        <f t="array" ref="I87">CurrentCapacity(K$10,K$6,K$7,H87)</f>
        <v>35747.226000000002</v>
      </c>
      <c r="J87" s="48">
        <f t="shared" si="13"/>
        <v>3.6701846943410374E-2</v>
      </c>
      <c r="K87" s="5" cm="1">
        <f t="array" ref="K87">UseableCapacity(I87,$K$8,$K$9)</f>
        <v>26810.419500000004</v>
      </c>
      <c r="L87" s="59">
        <f t="shared" si="14"/>
        <v>34435.236782696506</v>
      </c>
      <c r="M87" s="7">
        <f t="shared" si="15"/>
        <v>25498.430282696503</v>
      </c>
      <c r="N87" s="7">
        <f t="shared" si="16"/>
        <v>2502.7739999999976</v>
      </c>
      <c r="O87" t="str">
        <f t="shared" si="17"/>
        <v>no</v>
      </c>
      <c r="P87" t="str">
        <f t="shared" si="18"/>
        <v>no</v>
      </c>
    </row>
    <row r="88" spans="2:16" x14ac:dyDescent="0.35">
      <c r="B88">
        <f t="shared" si="19"/>
        <v>73</v>
      </c>
      <c r="C88" s="7">
        <f t="shared" si="10"/>
        <v>73</v>
      </c>
      <c r="D88" s="1" cm="1">
        <f t="array" ref="D88">estimatedTripEnergy(C88,G$5,G$6,C$12,C$7,C$9,C$8,FALSE)/1000</f>
        <v>1164.9558964641001</v>
      </c>
      <c r="E88" s="1" cm="1">
        <f t="array" ref="E88">estimatedTripEnergy(C88,G$5,G$6,C$12,C$7,C$9,C$8)/1000</f>
        <v>1312.9158964641001</v>
      </c>
      <c r="F88" s="59" cm="1">
        <f t="array" ref="F88">estimatedTripDuration(C88,$C$8,$C$7)/60</f>
        <v>4.1804860100993411</v>
      </c>
      <c r="G88">
        <f t="shared" si="11"/>
        <v>73</v>
      </c>
      <c r="H88" s="50">
        <f t="shared" si="12"/>
        <v>12.166666666666666</v>
      </c>
      <c r="I88" s="7" cm="1">
        <f t="array" ref="I88">CurrentCapacity(K$10,K$6,K$7,H88)</f>
        <v>35746.996500000001</v>
      </c>
      <c r="J88" s="48">
        <f t="shared" si="13"/>
        <v>3.672800584698354E-2</v>
      </c>
      <c r="K88" s="5" cm="1">
        <f t="array" ref="K88">UseableCapacity(I88,$K$8,$K$9)</f>
        <v>26810.247374999999</v>
      </c>
      <c r="L88" s="59">
        <f t="shared" si="14"/>
        <v>34434.080603535898</v>
      </c>
      <c r="M88" s="7">
        <f t="shared" si="15"/>
        <v>25497.3314785359</v>
      </c>
      <c r="N88" s="7">
        <f t="shared" si="16"/>
        <v>2503.0034999999989</v>
      </c>
      <c r="O88" t="str">
        <f t="shared" si="17"/>
        <v>no</v>
      </c>
      <c r="P88" t="str">
        <f t="shared" si="18"/>
        <v>no</v>
      </c>
    </row>
    <row r="89" spans="2:16" x14ac:dyDescent="0.35">
      <c r="B89">
        <f t="shared" si="19"/>
        <v>74</v>
      </c>
      <c r="C89" s="7">
        <f t="shared" si="10"/>
        <v>74</v>
      </c>
      <c r="D89" s="1" cm="1">
        <f t="array" ref="D89">estimatedTripEnergy(C89,G$5,G$6,C$12,C$7,C$9,C$8,FALSE)/1000</f>
        <v>1165.8825756246999</v>
      </c>
      <c r="E89" s="1" cm="1">
        <f t="array" ref="E89">estimatedTripEnergy(C89,G$5,G$6,C$12,C$7,C$9,C$8)/1000</f>
        <v>1313.8425756247</v>
      </c>
      <c r="F89" s="59" cm="1">
        <f t="array" ref="F89">estimatedTripDuration(C89,$C$8,$C$7)/60</f>
        <v>4.2138193434326743</v>
      </c>
      <c r="G89">
        <f t="shared" si="11"/>
        <v>74</v>
      </c>
      <c r="H89" s="50">
        <f t="shared" si="12"/>
        <v>12.333333333333334</v>
      </c>
      <c r="I89" s="7" cm="1">
        <f t="array" ref="I89">CurrentCapacity(K$10,K$6,K$7,H89)</f>
        <v>35746.767</v>
      </c>
      <c r="J89" s="48">
        <f t="shared" si="13"/>
        <v>3.6754165086445439E-2</v>
      </c>
      <c r="K89" s="5" cm="1">
        <f t="array" ref="K89">UseableCapacity(I89,$K$8,$K$9)</f>
        <v>26810.075250000002</v>
      </c>
      <c r="L89" s="59">
        <f t="shared" si="14"/>
        <v>34432.924424375298</v>
      </c>
      <c r="M89" s="7">
        <f t="shared" si="15"/>
        <v>25496.2326743753</v>
      </c>
      <c r="N89" s="7">
        <f t="shared" si="16"/>
        <v>2503.2330000000002</v>
      </c>
      <c r="O89" t="str">
        <f t="shared" si="17"/>
        <v>no</v>
      </c>
      <c r="P89" t="str">
        <f t="shared" si="18"/>
        <v>no</v>
      </c>
    </row>
    <row r="90" spans="2:16" x14ac:dyDescent="0.35">
      <c r="B90">
        <f t="shared" si="19"/>
        <v>75</v>
      </c>
      <c r="C90" s="7">
        <f t="shared" si="10"/>
        <v>75</v>
      </c>
      <c r="D90" s="1" cm="1">
        <f t="array" ref="D90">estimatedTripEnergy(C90,G$5,G$6,C$12,C$7,C$9,C$8,FALSE)/1000</f>
        <v>1166.8092547853</v>
      </c>
      <c r="E90" s="1" cm="1">
        <f t="array" ref="E90">estimatedTripEnergy(C90,G$5,G$6,C$12,C$7,C$9,C$8)/1000</f>
        <v>1314.7692547853001</v>
      </c>
      <c r="F90" s="59" cm="1">
        <f t="array" ref="F90">estimatedTripDuration(C90,$C$8,$C$7)/60</f>
        <v>4.2471526767660075</v>
      </c>
      <c r="G90">
        <f t="shared" si="11"/>
        <v>75</v>
      </c>
      <c r="H90" s="50">
        <f t="shared" si="12"/>
        <v>12.5</v>
      </c>
      <c r="I90" s="7" cm="1">
        <f t="array" ref="I90">CurrentCapacity(K$10,K$6,K$7,H90)</f>
        <v>35746.537500000006</v>
      </c>
      <c r="J90" s="48">
        <f t="shared" si="13"/>
        <v>3.6780324661802553E-2</v>
      </c>
      <c r="K90" s="5" cm="1">
        <f t="array" ref="K90">UseableCapacity(I90,$K$8,$K$9)</f>
        <v>26809.903125000004</v>
      </c>
      <c r="L90" s="59">
        <f t="shared" si="14"/>
        <v>34431.768245214706</v>
      </c>
      <c r="M90" s="7">
        <f t="shared" si="15"/>
        <v>25495.133870214704</v>
      </c>
      <c r="N90" s="7">
        <f t="shared" si="16"/>
        <v>2503.4624999999942</v>
      </c>
      <c r="O90" t="str">
        <f t="shared" si="17"/>
        <v>no</v>
      </c>
      <c r="P90" t="str">
        <f t="shared" si="18"/>
        <v>no</v>
      </c>
    </row>
    <row r="91" spans="2:16" x14ac:dyDescent="0.35">
      <c r="B91">
        <f t="shared" si="19"/>
        <v>76</v>
      </c>
      <c r="C91" s="7">
        <f t="shared" si="10"/>
        <v>76</v>
      </c>
      <c r="D91" s="1" cm="1">
        <f t="array" ref="D91">estimatedTripEnergy(C91,G$5,G$6,C$12,C$7,C$9,C$8,FALSE)/1000</f>
        <v>1167.7359339459001</v>
      </c>
      <c r="E91" s="1" cm="1">
        <f t="array" ref="E91">estimatedTripEnergy(C91,G$5,G$6,C$12,C$7,C$9,C$8)/1000</f>
        <v>1315.6959339459002</v>
      </c>
      <c r="F91" s="59" cm="1">
        <f t="array" ref="F91">estimatedTripDuration(C91,$C$8,$C$7)/60</f>
        <v>4.2804860100993407</v>
      </c>
      <c r="G91">
        <f t="shared" si="11"/>
        <v>76</v>
      </c>
      <c r="H91" s="50">
        <f t="shared" si="12"/>
        <v>12.666666666666666</v>
      </c>
      <c r="I91" s="7" cm="1">
        <f t="array" ref="I91">CurrentCapacity(K$10,K$6,K$7,H91)</f>
        <v>35746.308000000005</v>
      </c>
      <c r="J91" s="48">
        <f t="shared" si="13"/>
        <v>3.6806484573061363E-2</v>
      </c>
      <c r="K91" s="5" cm="1">
        <f t="array" ref="K91">UseableCapacity(I91,$K$8,$K$9)</f>
        <v>26809.731000000003</v>
      </c>
      <c r="L91" s="59">
        <f t="shared" si="14"/>
        <v>34430.612066054106</v>
      </c>
      <c r="M91" s="7">
        <f t="shared" si="15"/>
        <v>25494.035066054104</v>
      </c>
      <c r="N91" s="7">
        <f t="shared" si="16"/>
        <v>2503.6919999999955</v>
      </c>
      <c r="O91" t="str">
        <f t="shared" si="17"/>
        <v>no</v>
      </c>
      <c r="P91" t="str">
        <f t="shared" si="18"/>
        <v>no</v>
      </c>
    </row>
    <row r="92" spans="2:16" x14ac:dyDescent="0.35">
      <c r="B92">
        <f t="shared" si="19"/>
        <v>77</v>
      </c>
      <c r="C92" s="7">
        <f t="shared" si="10"/>
        <v>77</v>
      </c>
      <c r="D92" s="1" cm="1">
        <f t="array" ref="D92">estimatedTripEnergy(C92,G$5,G$6,C$12,C$7,C$9,C$8,FALSE)/1000</f>
        <v>1168.6626131065</v>
      </c>
      <c r="E92" s="1" cm="1">
        <f t="array" ref="E92">estimatedTripEnergy(C92,G$5,G$6,C$12,C$7,C$9,C$8)/1000</f>
        <v>1316.6226131064998</v>
      </c>
      <c r="F92" s="59" cm="1">
        <f t="array" ref="F92">estimatedTripDuration(C92,$C$8,$C$7)/60</f>
        <v>4.3138193434326739</v>
      </c>
      <c r="G92">
        <f t="shared" si="11"/>
        <v>77</v>
      </c>
      <c r="H92" s="50">
        <f t="shared" si="12"/>
        <v>12.833333333333334</v>
      </c>
      <c r="I92" s="7" cm="1">
        <f t="array" ref="I92">CurrentCapacity(K$10,K$6,K$7,H92)</f>
        <v>35746.078500000003</v>
      </c>
      <c r="J92" s="48">
        <f t="shared" si="13"/>
        <v>3.6832644820228314E-2</v>
      </c>
      <c r="K92" s="5" cm="1">
        <f t="array" ref="K92">UseableCapacity(I92,$K$8,$K$9)</f>
        <v>26809.558875000002</v>
      </c>
      <c r="L92" s="59">
        <f t="shared" si="14"/>
        <v>34429.455886893506</v>
      </c>
      <c r="M92" s="7">
        <f t="shared" si="15"/>
        <v>25492.936261893501</v>
      </c>
      <c r="N92" s="7">
        <f t="shared" si="16"/>
        <v>2503.9214999999967</v>
      </c>
      <c r="O92" t="str">
        <f t="shared" si="17"/>
        <v>no</v>
      </c>
      <c r="P92" t="str">
        <f t="shared" si="18"/>
        <v>no</v>
      </c>
    </row>
    <row r="93" spans="2:16" x14ac:dyDescent="0.35">
      <c r="B93">
        <f t="shared" si="19"/>
        <v>78</v>
      </c>
      <c r="C93" s="7">
        <f t="shared" si="10"/>
        <v>78</v>
      </c>
      <c r="D93" s="1" cm="1">
        <f t="array" ref="D93">estimatedTripEnergy(C93,G$5,G$6,C$12,C$7,C$9,C$8,FALSE)/1000</f>
        <v>1169.5892922671001</v>
      </c>
      <c r="E93" s="1" cm="1">
        <f t="array" ref="E93">estimatedTripEnergy(C93,G$5,G$6,C$12,C$7,C$9,C$8)/1000</f>
        <v>1317.5492922670999</v>
      </c>
      <c r="F93" s="59" cm="1">
        <f t="array" ref="F93">estimatedTripDuration(C93,$C$8,$C$7)/60</f>
        <v>4.3471526767660071</v>
      </c>
      <c r="G93">
        <f t="shared" si="11"/>
        <v>78</v>
      </c>
      <c r="H93" s="50">
        <f t="shared" si="12"/>
        <v>13</v>
      </c>
      <c r="I93" s="7" cm="1">
        <f t="array" ref="I93">CurrentCapacity(K$10,K$6,K$7,H93)</f>
        <v>35745.849000000002</v>
      </c>
      <c r="J93" s="48">
        <f t="shared" si="13"/>
        <v>3.6858805403309901E-2</v>
      </c>
      <c r="K93" s="5" cm="1">
        <f t="array" ref="K93">UseableCapacity(I93,$K$8,$K$9)</f>
        <v>26809.386750000001</v>
      </c>
      <c r="L93" s="59">
        <f t="shared" si="14"/>
        <v>34428.299707732906</v>
      </c>
      <c r="M93" s="7">
        <f t="shared" si="15"/>
        <v>25491.837457732901</v>
      </c>
      <c r="N93" s="7">
        <f t="shared" si="16"/>
        <v>2504.150999999998</v>
      </c>
      <c r="O93" t="str">
        <f t="shared" si="17"/>
        <v>no</v>
      </c>
      <c r="P93" t="str">
        <f t="shared" si="18"/>
        <v>no</v>
      </c>
    </row>
    <row r="94" spans="2:16" x14ac:dyDescent="0.35">
      <c r="B94">
        <f t="shared" si="19"/>
        <v>79</v>
      </c>
      <c r="C94" s="7">
        <f t="shared" si="10"/>
        <v>79</v>
      </c>
      <c r="D94" s="1" cm="1">
        <f t="array" ref="D94">estimatedTripEnergy(C94,G$5,G$6,C$12,C$7,C$9,C$8,FALSE)/1000</f>
        <v>1170.5159714276999</v>
      </c>
      <c r="E94" s="1" cm="1">
        <f t="array" ref="E94">estimatedTripEnergy(C94,G$5,G$6,C$12,C$7,C$9,C$8)/1000</f>
        <v>1318.4759714277</v>
      </c>
      <c r="F94" s="59" cm="1">
        <f t="array" ref="F94">estimatedTripDuration(C94,$C$8,$C$7)/60</f>
        <v>4.3804860100993412</v>
      </c>
      <c r="G94">
        <f t="shared" si="11"/>
        <v>79</v>
      </c>
      <c r="H94" s="50">
        <f t="shared" si="12"/>
        <v>13.166666666666666</v>
      </c>
      <c r="I94" s="7" cm="1">
        <f t="array" ref="I94">CurrentCapacity(K$10,K$6,K$7,H94)</f>
        <v>35745.619500000001</v>
      </c>
      <c r="J94" s="48">
        <f t="shared" si="13"/>
        <v>3.6884966322312585E-2</v>
      </c>
      <c r="K94" s="5" cm="1">
        <f t="array" ref="K94">UseableCapacity(I94,$K$8,$K$9)</f>
        <v>26809.214625000001</v>
      </c>
      <c r="L94" s="59">
        <f t="shared" si="14"/>
        <v>34427.143528572298</v>
      </c>
      <c r="M94" s="7">
        <f t="shared" si="15"/>
        <v>25490.738653572302</v>
      </c>
      <c r="N94" s="7">
        <f t="shared" si="16"/>
        <v>2504.3804999999993</v>
      </c>
      <c r="O94" t="str">
        <f t="shared" si="17"/>
        <v>no</v>
      </c>
      <c r="P94" t="str">
        <f t="shared" si="18"/>
        <v>no</v>
      </c>
    </row>
    <row r="95" spans="2:16" x14ac:dyDescent="0.35">
      <c r="B95">
        <f t="shared" si="19"/>
        <v>80</v>
      </c>
      <c r="C95" s="7">
        <f t="shared" si="10"/>
        <v>80</v>
      </c>
      <c r="D95" s="1" cm="1">
        <f t="array" ref="D95">estimatedTripEnergy(C95,G$5,G$6,C$12,C$7,C$9,C$8,FALSE)/1000</f>
        <v>1171.4426505883</v>
      </c>
      <c r="E95" s="1" cm="1">
        <f t="array" ref="E95">estimatedTripEnergy(C95,G$5,G$6,C$12,C$7,C$9,C$8)/1000</f>
        <v>1319.4026505883</v>
      </c>
      <c r="F95" s="59" cm="1">
        <f t="array" ref="F95">estimatedTripDuration(C95,$C$8,$C$7)/60</f>
        <v>4.4138193434326745</v>
      </c>
      <c r="G95">
        <f t="shared" si="11"/>
        <v>80</v>
      </c>
      <c r="H95" s="50">
        <f t="shared" si="12"/>
        <v>13.333333333333334</v>
      </c>
      <c r="I95" s="7" cm="1">
        <f t="array" ref="I95">CurrentCapacity(K$10,K$6,K$7,H95)</f>
        <v>35745.39</v>
      </c>
      <c r="J95" s="48">
        <f t="shared" si="13"/>
        <v>3.6911127577242832E-2</v>
      </c>
      <c r="K95" s="5" cm="1">
        <f t="array" ref="K95">UseableCapacity(I95,$K$8,$K$9)</f>
        <v>26809.0425</v>
      </c>
      <c r="L95" s="59">
        <f t="shared" si="14"/>
        <v>34425.987349411698</v>
      </c>
      <c r="M95" s="7">
        <f t="shared" si="15"/>
        <v>25489.639849411698</v>
      </c>
      <c r="N95" s="7">
        <f t="shared" si="16"/>
        <v>2504.6100000000006</v>
      </c>
      <c r="O95" t="str">
        <f t="shared" si="17"/>
        <v>no</v>
      </c>
      <c r="P95" t="str">
        <f t="shared" si="18"/>
        <v>no</v>
      </c>
    </row>
    <row r="96" spans="2:16" x14ac:dyDescent="0.35">
      <c r="B96">
        <f t="shared" si="19"/>
        <v>81</v>
      </c>
      <c r="C96" s="7">
        <f t="shared" si="10"/>
        <v>81</v>
      </c>
      <c r="D96" s="1" cm="1">
        <f t="array" ref="D96">estimatedTripEnergy(C96,G$5,G$6,C$12,C$7,C$9,C$8,FALSE)/1000</f>
        <v>1172.3693297489001</v>
      </c>
      <c r="E96" s="1" cm="1">
        <f t="array" ref="E96">estimatedTripEnergy(C96,G$5,G$6,C$12,C$7,C$9,C$8)/1000</f>
        <v>1320.3293297489001</v>
      </c>
      <c r="F96" s="59" cm="1">
        <f t="array" ref="F96">estimatedTripDuration(C96,$C$8,$C$7)/60</f>
        <v>4.4471526767660077</v>
      </c>
      <c r="G96">
        <f t="shared" si="11"/>
        <v>81</v>
      </c>
      <c r="H96" s="50">
        <f t="shared" si="12"/>
        <v>13.5</v>
      </c>
      <c r="I96" s="7" cm="1">
        <f t="array" ref="I96">CurrentCapacity(K$10,K$6,K$7,H96)</f>
        <v>35745.160500000005</v>
      </c>
      <c r="J96" s="48">
        <f t="shared" si="13"/>
        <v>3.6937289168107103E-2</v>
      </c>
      <c r="K96" s="5" cm="1">
        <f t="array" ref="K96">UseableCapacity(I96,$K$8,$K$9)</f>
        <v>26808.870375000006</v>
      </c>
      <c r="L96" s="59">
        <f t="shared" si="14"/>
        <v>34424.831170251106</v>
      </c>
      <c r="M96" s="7">
        <f t="shared" si="15"/>
        <v>25488.541045251106</v>
      </c>
      <c r="N96" s="7">
        <f t="shared" si="16"/>
        <v>2504.8394999999946</v>
      </c>
      <c r="O96" t="str">
        <f t="shared" si="17"/>
        <v>no</v>
      </c>
      <c r="P96" t="str">
        <f t="shared" si="18"/>
        <v>no</v>
      </c>
    </row>
    <row r="97" spans="2:16" x14ac:dyDescent="0.35">
      <c r="B97">
        <f t="shared" si="19"/>
        <v>82</v>
      </c>
      <c r="C97" s="7">
        <f t="shared" si="10"/>
        <v>82</v>
      </c>
      <c r="D97" s="1" cm="1">
        <f t="array" ref="D97">estimatedTripEnergy(C97,G$5,G$6,C$12,C$7,C$9,C$8,FALSE)/1000</f>
        <v>1173.2960089095</v>
      </c>
      <c r="E97" s="1" cm="1">
        <f t="array" ref="E97">estimatedTripEnergy(C97,G$5,G$6,C$12,C$7,C$9,C$8)/1000</f>
        <v>1321.2560089095</v>
      </c>
      <c r="F97" s="59" cm="1">
        <f t="array" ref="F97">estimatedTripDuration(C97,$C$8,$C$7)/60</f>
        <v>4.4804860100993409</v>
      </c>
      <c r="G97">
        <f t="shared" si="11"/>
        <v>82</v>
      </c>
      <c r="H97" s="50">
        <f t="shared" si="12"/>
        <v>13.666666666666666</v>
      </c>
      <c r="I97" s="7" cm="1">
        <f t="array" ref="I97">CurrentCapacity(K$10,K$6,K$7,H97)</f>
        <v>35744.930999999997</v>
      </c>
      <c r="J97" s="48">
        <f t="shared" si="13"/>
        <v>3.6963451094911892E-2</v>
      </c>
      <c r="K97" s="5" cm="1">
        <f t="array" ref="K97">UseableCapacity(I97,$K$8,$K$9)</f>
        <v>26808.698249999998</v>
      </c>
      <c r="L97" s="59">
        <f t="shared" si="14"/>
        <v>34423.674991090498</v>
      </c>
      <c r="M97" s="7">
        <f t="shared" si="15"/>
        <v>25487.442241090499</v>
      </c>
      <c r="N97" s="7">
        <f t="shared" si="16"/>
        <v>2505.0690000000031</v>
      </c>
      <c r="O97" t="str">
        <f t="shared" si="17"/>
        <v>no</v>
      </c>
      <c r="P97" t="str">
        <f t="shared" si="18"/>
        <v>no</v>
      </c>
    </row>
    <row r="98" spans="2:16" x14ac:dyDescent="0.35">
      <c r="B98">
        <f t="shared" si="19"/>
        <v>83</v>
      </c>
      <c r="C98" s="7">
        <f t="shared" si="10"/>
        <v>83</v>
      </c>
      <c r="D98" s="1" cm="1">
        <f t="array" ref="D98">estimatedTripEnergy(C98,G$5,G$6,C$12,C$7,C$9,C$8,FALSE)/1000</f>
        <v>1174.2226880701</v>
      </c>
      <c r="E98" s="1" cm="1">
        <f t="array" ref="E98">estimatedTripEnergy(C98,G$5,G$6,C$12,C$7,C$9,C$8)/1000</f>
        <v>1322.1826880701001</v>
      </c>
      <c r="F98" s="59" cm="1">
        <f t="array" ref="F98">estimatedTripDuration(C98,$C$8,$C$7)/60</f>
        <v>4.5138193434326741</v>
      </c>
      <c r="G98">
        <f t="shared" si="11"/>
        <v>83</v>
      </c>
      <c r="H98" s="50">
        <f t="shared" si="12"/>
        <v>13.833333333333334</v>
      </c>
      <c r="I98" s="7" cm="1">
        <f t="array" ref="I98">CurrentCapacity(K$10,K$6,K$7,H98)</f>
        <v>35744.701500000003</v>
      </c>
      <c r="J98" s="48">
        <f t="shared" si="13"/>
        <v>3.6989613357663653E-2</v>
      </c>
      <c r="K98" s="5" cm="1">
        <f t="array" ref="K98">UseableCapacity(I98,$K$8,$K$9)</f>
        <v>26808.526125000004</v>
      </c>
      <c r="L98" s="59">
        <f t="shared" si="14"/>
        <v>34422.518811929905</v>
      </c>
      <c r="M98" s="7">
        <f t="shared" si="15"/>
        <v>25486.343436929903</v>
      </c>
      <c r="N98" s="7">
        <f t="shared" si="16"/>
        <v>2505.2984999999971</v>
      </c>
      <c r="O98" t="str">
        <f t="shared" si="17"/>
        <v>no</v>
      </c>
      <c r="P98" t="str">
        <f t="shared" si="18"/>
        <v>no</v>
      </c>
    </row>
    <row r="99" spans="2:16" x14ac:dyDescent="0.35">
      <c r="B99">
        <f t="shared" si="19"/>
        <v>84</v>
      </c>
      <c r="C99" s="7">
        <f t="shared" si="10"/>
        <v>84</v>
      </c>
      <c r="D99" s="1" cm="1">
        <f t="array" ref="D99">estimatedTripEnergy(C99,G$5,G$6,C$12,C$7,C$9,C$8,FALSE)/1000</f>
        <v>1175.1493672307001</v>
      </c>
      <c r="E99" s="1" cm="1">
        <f t="array" ref="E99">estimatedTripEnergy(C99,G$5,G$6,C$12,C$7,C$9,C$8)/1000</f>
        <v>1323.1093672307002</v>
      </c>
      <c r="F99" s="59" cm="1">
        <f t="array" ref="F99">estimatedTripDuration(C99,$C$8,$C$7)/60</f>
        <v>4.5471526767660073</v>
      </c>
      <c r="G99">
        <f t="shared" si="11"/>
        <v>84</v>
      </c>
      <c r="H99" s="50">
        <f t="shared" si="12"/>
        <v>14</v>
      </c>
      <c r="I99" s="7" cm="1">
        <f t="array" ref="I99">CurrentCapacity(K$10,K$6,K$7,H99)</f>
        <v>35744.472000000002</v>
      </c>
      <c r="J99" s="48">
        <f t="shared" si="13"/>
        <v>3.7015775956368867E-2</v>
      </c>
      <c r="K99" s="5" cm="1">
        <f t="array" ref="K99">UseableCapacity(I99,$K$8,$K$9)</f>
        <v>26808.353999999999</v>
      </c>
      <c r="L99" s="59">
        <f t="shared" si="14"/>
        <v>34421.362632769298</v>
      </c>
      <c r="M99" s="7">
        <f t="shared" si="15"/>
        <v>25485.2446327693</v>
      </c>
      <c r="N99" s="7">
        <f t="shared" si="16"/>
        <v>2505.5279999999984</v>
      </c>
      <c r="O99" t="str">
        <f t="shared" si="17"/>
        <v>no</v>
      </c>
      <c r="P99" t="str">
        <f t="shared" si="18"/>
        <v>no</v>
      </c>
    </row>
    <row r="100" spans="2:16" x14ac:dyDescent="0.35">
      <c r="B100">
        <f t="shared" si="19"/>
        <v>85</v>
      </c>
      <c r="C100" s="7">
        <f t="shared" si="10"/>
        <v>85</v>
      </c>
      <c r="D100" s="1" cm="1">
        <f t="array" ref="D100">estimatedTripEnergy(C100,G$5,G$6,C$12,C$7,C$9,C$8,FALSE)/1000</f>
        <v>1176.0760463913</v>
      </c>
      <c r="E100" s="1" cm="1">
        <f t="array" ref="E100">estimatedTripEnergy(C100,G$5,G$6,C$12,C$7,C$9,C$8)/1000</f>
        <v>1324.0360463913</v>
      </c>
      <c r="F100" s="59" cm="1">
        <f t="array" ref="F100">estimatedTripDuration(C100,$C$8,$C$7)/60</f>
        <v>4.5804860100993405</v>
      </c>
      <c r="G100">
        <f t="shared" si="11"/>
        <v>85</v>
      </c>
      <c r="H100" s="50">
        <f t="shared" si="12"/>
        <v>14.166666666666666</v>
      </c>
      <c r="I100" s="7" cm="1">
        <f t="array" ref="I100">CurrentCapacity(K$10,K$6,K$7,H100)</f>
        <v>35744.2425</v>
      </c>
      <c r="J100" s="48">
        <f t="shared" si="13"/>
        <v>3.7041938891033993E-2</v>
      </c>
      <c r="K100" s="5" cm="1">
        <f t="array" ref="K100">UseableCapacity(I100,$K$8,$K$9)</f>
        <v>26808.181875000002</v>
      </c>
      <c r="L100" s="59">
        <f t="shared" si="14"/>
        <v>34420.206453608698</v>
      </c>
      <c r="M100" s="7">
        <f t="shared" si="15"/>
        <v>25484.145828608704</v>
      </c>
      <c r="N100" s="7">
        <f t="shared" si="16"/>
        <v>2505.7574999999997</v>
      </c>
      <c r="O100" t="str">
        <f t="shared" si="17"/>
        <v>no</v>
      </c>
      <c r="P100" t="str">
        <f t="shared" si="18"/>
        <v>no</v>
      </c>
    </row>
    <row r="101" spans="2:16" x14ac:dyDescent="0.35">
      <c r="B101">
        <f t="shared" si="19"/>
        <v>86</v>
      </c>
      <c r="C101" s="7">
        <f t="shared" si="10"/>
        <v>86</v>
      </c>
      <c r="D101" s="1" cm="1">
        <f t="array" ref="D101">estimatedTripEnergy(C101,G$5,G$6,C$12,C$7,C$9,C$8,FALSE)/1000</f>
        <v>1177.0027255519001</v>
      </c>
      <c r="E101" s="1" cm="1">
        <f t="array" ref="E101">estimatedTripEnergy(C101,G$5,G$6,C$12,C$7,C$9,C$8)/1000</f>
        <v>1324.9627255518999</v>
      </c>
      <c r="F101" s="59" cm="1">
        <f t="array" ref="F101">estimatedTripDuration(C101,$C$8,$C$7)/60</f>
        <v>4.6138193434326746</v>
      </c>
      <c r="G101">
        <f t="shared" si="11"/>
        <v>86</v>
      </c>
      <c r="H101" s="50">
        <f t="shared" si="12"/>
        <v>14.333333333333334</v>
      </c>
      <c r="I101" s="7" cm="1">
        <f t="array" ref="I101">CurrentCapacity(K$10,K$6,K$7,H101)</f>
        <v>35744.013000000006</v>
      </c>
      <c r="J101" s="48">
        <f t="shared" si="13"/>
        <v>3.7068102161665499E-2</v>
      </c>
      <c r="K101" s="5" cm="1">
        <f t="array" ref="K101">UseableCapacity(I101,$K$8,$K$9)</f>
        <v>26808.009750000005</v>
      </c>
      <c r="L101" s="59">
        <f t="shared" si="14"/>
        <v>34419.050274448105</v>
      </c>
      <c r="M101" s="7">
        <f t="shared" si="15"/>
        <v>25483.047024448104</v>
      </c>
      <c r="N101" s="7">
        <f t="shared" si="16"/>
        <v>2505.9869999999937</v>
      </c>
      <c r="O101" t="str">
        <f t="shared" si="17"/>
        <v>no</v>
      </c>
      <c r="P101" t="str">
        <f t="shared" si="18"/>
        <v>no</v>
      </c>
    </row>
    <row r="102" spans="2:16" x14ac:dyDescent="0.35">
      <c r="B102">
        <f t="shared" si="19"/>
        <v>87</v>
      </c>
      <c r="C102" s="7">
        <f t="shared" si="10"/>
        <v>87</v>
      </c>
      <c r="D102" s="1" cm="1">
        <f t="array" ref="D102">estimatedTripEnergy(C102,G$5,G$6,C$12,C$7,C$9,C$8,FALSE)/1000</f>
        <v>1177.9294047124999</v>
      </c>
      <c r="E102" s="1" cm="1">
        <f t="array" ref="E102">estimatedTripEnergy(C102,G$5,G$6,C$12,C$7,C$9,C$8)/1000</f>
        <v>1325.8894047125</v>
      </c>
      <c r="F102" s="59" cm="1">
        <f t="array" ref="F102">estimatedTripDuration(C102,$C$8,$C$7)/60</f>
        <v>4.6471526767660079</v>
      </c>
      <c r="G102">
        <f t="shared" si="11"/>
        <v>87</v>
      </c>
      <c r="H102" s="50">
        <f t="shared" si="12"/>
        <v>14.5</v>
      </c>
      <c r="I102" s="7" cm="1">
        <f t="array" ref="I102">CurrentCapacity(K$10,K$6,K$7,H102)</f>
        <v>35743.783499999998</v>
      </c>
      <c r="J102" s="48">
        <f t="shared" si="13"/>
        <v>3.7094265768269886E-2</v>
      </c>
      <c r="K102" s="5" cm="1">
        <f t="array" ref="K102">UseableCapacity(I102,$K$8,$K$9)</f>
        <v>26807.837625</v>
      </c>
      <c r="L102" s="59">
        <f t="shared" si="14"/>
        <v>34417.894095287498</v>
      </c>
      <c r="M102" s="7">
        <f t="shared" si="15"/>
        <v>25481.948220287501</v>
      </c>
      <c r="N102" s="7">
        <f t="shared" si="16"/>
        <v>2506.2165000000023</v>
      </c>
      <c r="O102" t="str">
        <f t="shared" si="17"/>
        <v>no</v>
      </c>
      <c r="P102" t="str">
        <f t="shared" si="18"/>
        <v>no</v>
      </c>
    </row>
    <row r="103" spans="2:16" x14ac:dyDescent="0.35">
      <c r="B103">
        <f t="shared" si="19"/>
        <v>88</v>
      </c>
      <c r="C103" s="7">
        <f t="shared" si="10"/>
        <v>88</v>
      </c>
      <c r="D103" s="1" cm="1">
        <f t="array" ref="D103">estimatedTripEnergy(C103,G$5,G$6,C$12,C$7,C$9,C$8,FALSE)/1000</f>
        <v>1178.8560838731</v>
      </c>
      <c r="E103" s="1" cm="1">
        <f t="array" ref="E103">estimatedTripEnergy(C103,G$5,G$6,C$12,C$7,C$9,C$8)/1000</f>
        <v>1326.8160838731001</v>
      </c>
      <c r="F103" s="59" cm="1">
        <f t="array" ref="F103">estimatedTripDuration(C103,$C$8,$C$7)/60</f>
        <v>4.6804860100993411</v>
      </c>
      <c r="G103">
        <f t="shared" si="11"/>
        <v>88</v>
      </c>
      <c r="H103" s="50">
        <f t="shared" si="12"/>
        <v>14.666666666666666</v>
      </c>
      <c r="I103" s="7" cm="1">
        <f t="array" ref="I103">CurrentCapacity(K$10,K$6,K$7,H103)</f>
        <v>35743.554000000004</v>
      </c>
      <c r="J103" s="48">
        <f t="shared" si="13"/>
        <v>3.7120429710853595E-2</v>
      </c>
      <c r="K103" s="5" cm="1">
        <f t="array" ref="K103">UseableCapacity(I103,$K$8,$K$9)</f>
        <v>26807.665500000003</v>
      </c>
      <c r="L103" s="59">
        <f t="shared" si="14"/>
        <v>34416.737916126905</v>
      </c>
      <c r="M103" s="7">
        <f t="shared" si="15"/>
        <v>25480.849416126905</v>
      </c>
      <c r="N103" s="7">
        <f t="shared" si="16"/>
        <v>2506.4459999999963</v>
      </c>
      <c r="O103" t="str">
        <f t="shared" si="17"/>
        <v>no</v>
      </c>
      <c r="P103" t="str">
        <f t="shared" si="18"/>
        <v>no</v>
      </c>
    </row>
    <row r="104" spans="2:16" x14ac:dyDescent="0.35">
      <c r="B104">
        <f t="shared" si="19"/>
        <v>89</v>
      </c>
      <c r="C104" s="7">
        <f t="shared" si="10"/>
        <v>89</v>
      </c>
      <c r="D104" s="1" cm="1">
        <f t="array" ref="D104">estimatedTripEnergy(C104,G$5,G$6,C$12,C$7,C$9,C$8,FALSE)/1000</f>
        <v>1179.7827630336999</v>
      </c>
      <c r="E104" s="1" cm="1">
        <f t="array" ref="E104">estimatedTripEnergy(C104,G$5,G$6,C$12,C$7,C$9,C$8)/1000</f>
        <v>1327.7427630336999</v>
      </c>
      <c r="F104" s="59" cm="1">
        <f t="array" ref="F104">estimatedTripDuration(C104,$C$8,$C$7)/60</f>
        <v>4.7138193434326743</v>
      </c>
      <c r="G104">
        <f t="shared" ref="G104:G167" si="20">B104</f>
        <v>89</v>
      </c>
      <c r="H104" s="50">
        <f t="shared" si="12"/>
        <v>14.833333333333334</v>
      </c>
      <c r="I104" s="7" cm="1">
        <f t="array" ref="I104">CurrentCapacity(K$10,K$6,K$7,H104)</f>
        <v>35743.324500000002</v>
      </c>
      <c r="J104" s="48">
        <f t="shared" si="13"/>
        <v>3.7146593989423111E-2</v>
      </c>
      <c r="K104" s="5" cm="1">
        <f t="array" ref="K104">UseableCapacity(I104,$K$8,$K$9)</f>
        <v>26807.493375000002</v>
      </c>
      <c r="L104" s="59">
        <f t="shared" si="14"/>
        <v>34415.581736966305</v>
      </c>
      <c r="M104" s="7">
        <f t="shared" si="15"/>
        <v>25479.750611966301</v>
      </c>
      <c r="N104" s="7">
        <f t="shared" si="16"/>
        <v>2506.6754999999976</v>
      </c>
      <c r="O104" t="str">
        <f t="shared" ref="O104:O167" si="21">IF(M104&lt;0,"yes","no")</f>
        <v>no</v>
      </c>
      <c r="P104" t="str">
        <f t="shared" ref="P104:P167" si="22">IF(L104&lt;0,"yes","no")</f>
        <v>no</v>
      </c>
    </row>
    <row r="105" spans="2:16" x14ac:dyDescent="0.35">
      <c r="B105">
        <f t="shared" si="19"/>
        <v>90</v>
      </c>
      <c r="C105" s="7">
        <f t="shared" si="10"/>
        <v>90</v>
      </c>
      <c r="D105" s="1" cm="1">
        <f t="array" ref="D105">estimatedTripEnergy(C105,G$5,G$6,C$12,C$7,C$9,C$8,FALSE)/1000</f>
        <v>1180.7094421943</v>
      </c>
      <c r="E105" s="1" cm="1">
        <f t="array" ref="E105">estimatedTripEnergy(C105,G$5,G$6,C$12,C$7,C$9,C$8)/1000</f>
        <v>1328.6694421943</v>
      </c>
      <c r="F105" s="59" cm="1">
        <f t="array" ref="F105">estimatedTripDuration(C105,$C$8,$C$7)/60</f>
        <v>4.7471526767660075</v>
      </c>
      <c r="G105">
        <f t="shared" si="20"/>
        <v>90</v>
      </c>
      <c r="H105" s="50">
        <f t="shared" si="12"/>
        <v>15</v>
      </c>
      <c r="I105" s="7" cm="1">
        <f t="array" ref="I105">CurrentCapacity(K$10,K$6,K$7,H105)</f>
        <v>35743.095000000001</v>
      </c>
      <c r="J105" s="48">
        <f t="shared" si="13"/>
        <v>3.7172758603984911E-2</v>
      </c>
      <c r="K105" s="5" cm="1">
        <f t="array" ref="K105">UseableCapacity(I105,$K$8,$K$9)</f>
        <v>26807.321250000001</v>
      </c>
      <c r="L105" s="59">
        <f t="shared" si="14"/>
        <v>34414.425557805698</v>
      </c>
      <c r="M105" s="7">
        <f t="shared" si="15"/>
        <v>25478.651807805702</v>
      </c>
      <c r="N105" s="7">
        <f t="shared" si="16"/>
        <v>2506.9049999999988</v>
      </c>
      <c r="O105" t="str">
        <f t="shared" si="21"/>
        <v>no</v>
      </c>
      <c r="P105" t="str">
        <f t="shared" si="22"/>
        <v>no</v>
      </c>
    </row>
    <row r="106" spans="2:16" x14ac:dyDescent="0.35">
      <c r="B106">
        <f t="shared" si="19"/>
        <v>91</v>
      </c>
      <c r="C106" s="7">
        <f t="shared" si="10"/>
        <v>91</v>
      </c>
      <c r="D106" s="1" cm="1">
        <f t="array" ref="D106">estimatedTripEnergy(C106,G$5,G$6,C$12,C$7,C$9,C$8,FALSE)/1000</f>
        <v>1181.6361213549001</v>
      </c>
      <c r="E106" s="1" cm="1">
        <f t="array" ref="E106">estimatedTripEnergy(C106,G$5,G$6,C$12,C$7,C$9,C$8)/1000</f>
        <v>1329.5961213549001</v>
      </c>
      <c r="F106" s="59" cm="1">
        <f t="array" ref="F106">estimatedTripDuration(C106,$C$8,$C$7)/60</f>
        <v>4.7804860100993407</v>
      </c>
      <c r="G106">
        <f t="shared" si="20"/>
        <v>91</v>
      </c>
      <c r="H106" s="50">
        <f t="shared" si="12"/>
        <v>15.166666666666666</v>
      </c>
      <c r="I106" s="7" cm="1">
        <f t="array" ref="I106">CurrentCapacity(K$10,K$6,K$7,H106)</f>
        <v>35742.8655</v>
      </c>
      <c r="J106" s="48">
        <f t="shared" si="13"/>
        <v>3.7198923554545453E-2</v>
      </c>
      <c r="K106" s="5" cm="1">
        <f t="array" ref="K106">UseableCapacity(I106,$K$8,$K$9)</f>
        <v>26807.149125</v>
      </c>
      <c r="L106" s="59">
        <f t="shared" si="14"/>
        <v>34413.269378645098</v>
      </c>
      <c r="M106" s="7">
        <f t="shared" si="15"/>
        <v>25477.553003645098</v>
      </c>
      <c r="N106" s="7">
        <f t="shared" si="16"/>
        <v>2507.1345000000001</v>
      </c>
      <c r="O106" t="str">
        <f t="shared" si="21"/>
        <v>no</v>
      </c>
      <c r="P106" t="str">
        <f t="shared" si="22"/>
        <v>no</v>
      </c>
    </row>
    <row r="107" spans="2:16" x14ac:dyDescent="0.35">
      <c r="B107">
        <f t="shared" si="19"/>
        <v>92</v>
      </c>
      <c r="C107" s="7">
        <f t="shared" si="10"/>
        <v>92</v>
      </c>
      <c r="D107" s="1" cm="1">
        <f t="array" ref="D107">estimatedTripEnergy(C107,G$5,G$6,C$12,C$7,C$9,C$8,FALSE)/1000</f>
        <v>1182.5628005154999</v>
      </c>
      <c r="E107" s="1" cm="1">
        <f t="array" ref="E107">estimatedTripEnergy(C107,G$5,G$6,C$12,C$7,C$9,C$8)/1000</f>
        <v>1330.5228005155</v>
      </c>
      <c r="F107" s="59" cm="1">
        <f t="array" ref="F107">estimatedTripDuration(C107,$C$8,$C$7)/60</f>
        <v>4.8138193434326739</v>
      </c>
      <c r="G107">
        <f t="shared" si="20"/>
        <v>92</v>
      </c>
      <c r="H107" s="50">
        <f t="shared" si="12"/>
        <v>15.333333333333334</v>
      </c>
      <c r="I107" s="7" cm="1">
        <f t="array" ref="I107">CurrentCapacity(K$10,K$6,K$7,H107)</f>
        <v>35742.635999999999</v>
      </c>
      <c r="J107" s="48">
        <f t="shared" si="13"/>
        <v>3.7225088841111219E-2</v>
      </c>
      <c r="K107" s="5" cm="1">
        <f t="array" ref="K107">UseableCapacity(I107,$K$8,$K$9)</f>
        <v>26806.976999999999</v>
      </c>
      <c r="L107" s="59">
        <f t="shared" si="14"/>
        <v>34412.113199484498</v>
      </c>
      <c r="M107" s="7">
        <f t="shared" si="15"/>
        <v>25476.454199484499</v>
      </c>
      <c r="N107" s="7">
        <f t="shared" si="16"/>
        <v>2507.3640000000014</v>
      </c>
      <c r="O107" t="str">
        <f t="shared" si="21"/>
        <v>no</v>
      </c>
      <c r="P107" t="str">
        <f t="shared" si="22"/>
        <v>no</v>
      </c>
    </row>
    <row r="108" spans="2:16" x14ac:dyDescent="0.35">
      <c r="B108">
        <f t="shared" si="19"/>
        <v>93</v>
      </c>
      <c r="C108" s="7">
        <f t="shared" si="10"/>
        <v>93</v>
      </c>
      <c r="D108" s="1" cm="1">
        <f t="array" ref="D108">estimatedTripEnergy(C108,G$5,G$6,C$12,C$7,C$9,C$8,FALSE)/1000</f>
        <v>1183.4894796761</v>
      </c>
      <c r="E108" s="1" cm="1">
        <f t="array" ref="E108">estimatedTripEnergy(C108,G$5,G$6,C$12,C$7,C$9,C$8)/1000</f>
        <v>1331.4494796761001</v>
      </c>
      <c r="F108" s="59" cm="1">
        <f t="array" ref="F108">estimatedTripDuration(C108,$C$8,$C$7)/60</f>
        <v>4.8471526767660071</v>
      </c>
      <c r="G108">
        <f t="shared" si="20"/>
        <v>93</v>
      </c>
      <c r="H108" s="50">
        <f t="shared" si="12"/>
        <v>15.5</v>
      </c>
      <c r="I108" s="7" cm="1">
        <f t="array" ref="I108">CurrentCapacity(K$10,K$6,K$7,H108)</f>
        <v>35742.406500000005</v>
      </c>
      <c r="J108" s="48">
        <f t="shared" si="13"/>
        <v>3.7251254463688668E-2</v>
      </c>
      <c r="K108" s="5" cm="1">
        <f t="array" ref="K108">UseableCapacity(I108,$K$8,$K$9)</f>
        <v>26806.804875000002</v>
      </c>
      <c r="L108" s="59">
        <f t="shared" si="14"/>
        <v>34410.957020323905</v>
      </c>
      <c r="M108" s="7">
        <f t="shared" si="15"/>
        <v>25475.355395323902</v>
      </c>
      <c r="N108" s="7">
        <f t="shared" si="16"/>
        <v>2507.5934999999954</v>
      </c>
      <c r="O108" t="str">
        <f t="shared" si="21"/>
        <v>no</v>
      </c>
      <c r="P108" t="str">
        <f t="shared" si="22"/>
        <v>no</v>
      </c>
    </row>
    <row r="109" spans="2:16" x14ac:dyDescent="0.35">
      <c r="B109">
        <f t="shared" si="19"/>
        <v>94</v>
      </c>
      <c r="C109" s="7">
        <f t="shared" si="10"/>
        <v>94</v>
      </c>
      <c r="D109" s="1" cm="1">
        <f t="array" ref="D109">estimatedTripEnergy(C109,G$5,G$6,C$12,C$7,C$9,C$8,FALSE)/1000</f>
        <v>1184.4161588367001</v>
      </c>
      <c r="E109" s="1" cm="1">
        <f t="array" ref="E109">estimatedTripEnergy(C109,G$5,G$6,C$12,C$7,C$9,C$8)/1000</f>
        <v>1332.3761588366999</v>
      </c>
      <c r="F109" s="59" cm="1">
        <f t="array" ref="F109">estimatedTripDuration(C109,$C$8,$C$7)/60</f>
        <v>4.8804860100993412</v>
      </c>
      <c r="G109">
        <f t="shared" si="20"/>
        <v>94</v>
      </c>
      <c r="H109" s="50">
        <f t="shared" si="12"/>
        <v>15.666666666666666</v>
      </c>
      <c r="I109" s="7" cm="1">
        <f t="array" ref="I109">CurrentCapacity(K$10,K$6,K$7,H109)</f>
        <v>35742.177000000003</v>
      </c>
      <c r="J109" s="48">
        <f t="shared" si="13"/>
        <v>3.7277420422284289E-2</v>
      </c>
      <c r="K109" s="5" cm="1">
        <f t="array" ref="K109">UseableCapacity(I109,$K$8,$K$9)</f>
        <v>26806.632750000004</v>
      </c>
      <c r="L109" s="59">
        <f t="shared" si="14"/>
        <v>34409.800841163305</v>
      </c>
      <c r="M109" s="7">
        <f t="shared" si="15"/>
        <v>25474.256591163303</v>
      </c>
      <c r="N109" s="7">
        <f t="shared" si="16"/>
        <v>2507.8229999999967</v>
      </c>
      <c r="O109" t="str">
        <f t="shared" si="21"/>
        <v>no</v>
      </c>
      <c r="P109" t="str">
        <f t="shared" si="22"/>
        <v>no</v>
      </c>
    </row>
    <row r="110" spans="2:16" x14ac:dyDescent="0.35">
      <c r="B110">
        <f t="shared" si="19"/>
        <v>95</v>
      </c>
      <c r="C110" s="7">
        <f t="shared" si="10"/>
        <v>95</v>
      </c>
      <c r="D110" s="1" cm="1">
        <f t="array" ref="D110">estimatedTripEnergy(C110,G$5,G$6,C$12,C$7,C$9,C$8,FALSE)/1000</f>
        <v>1185.3428379973002</v>
      </c>
      <c r="E110" s="1" cm="1">
        <f t="array" ref="E110">estimatedTripEnergy(C110,G$5,G$6,C$12,C$7,C$9,C$8)/1000</f>
        <v>1333.3028379973</v>
      </c>
      <c r="F110" s="59" cm="1">
        <f t="array" ref="F110">estimatedTripDuration(C110,$C$8,$C$7)/60</f>
        <v>4.9138193434326745</v>
      </c>
      <c r="G110">
        <f t="shared" si="20"/>
        <v>95</v>
      </c>
      <c r="H110" s="50">
        <f t="shared" si="12"/>
        <v>15.833333333333334</v>
      </c>
      <c r="I110" s="7" cm="1">
        <f t="array" ref="I110">CurrentCapacity(K$10,K$6,K$7,H110)</f>
        <v>35741.947500000002</v>
      </c>
      <c r="J110" s="48">
        <f t="shared" si="13"/>
        <v>3.7303586716904556E-2</v>
      </c>
      <c r="K110" s="5" cm="1">
        <f t="array" ref="K110">UseableCapacity(I110,$K$8,$K$9)</f>
        <v>26806.460625</v>
      </c>
      <c r="L110" s="59">
        <f t="shared" si="14"/>
        <v>34408.644662002705</v>
      </c>
      <c r="M110" s="7">
        <f t="shared" si="15"/>
        <v>25473.157787002699</v>
      </c>
      <c r="N110" s="7">
        <f t="shared" si="16"/>
        <v>2508.052499999998</v>
      </c>
      <c r="O110" t="str">
        <f t="shared" si="21"/>
        <v>no</v>
      </c>
      <c r="P110" t="str">
        <f t="shared" si="22"/>
        <v>no</v>
      </c>
    </row>
    <row r="111" spans="2:16" x14ac:dyDescent="0.35">
      <c r="B111">
        <f t="shared" si="19"/>
        <v>96</v>
      </c>
      <c r="C111" s="7">
        <f t="shared" si="10"/>
        <v>96</v>
      </c>
      <c r="D111" s="1" cm="1">
        <f t="array" ref="D111">estimatedTripEnergy(C111,G$5,G$6,C$12,C$7,C$9,C$8,FALSE)/1000</f>
        <v>1186.2695171579001</v>
      </c>
      <c r="E111" s="1" cm="1">
        <f t="array" ref="E111">estimatedTripEnergy(C111,G$5,G$6,C$12,C$7,C$9,C$8)/1000</f>
        <v>1334.2295171579001</v>
      </c>
      <c r="F111" s="59" cm="1">
        <f t="array" ref="F111">estimatedTripDuration(C111,$C$8,$C$7)/60</f>
        <v>4.9471526767660077</v>
      </c>
      <c r="G111">
        <f t="shared" si="20"/>
        <v>96</v>
      </c>
      <c r="H111" s="50">
        <f t="shared" si="12"/>
        <v>16</v>
      </c>
      <c r="I111" s="7" cm="1">
        <f t="array" ref="I111">CurrentCapacity(K$10,K$6,K$7,H111)</f>
        <v>35741.718000000001</v>
      </c>
      <c r="J111" s="48">
        <f t="shared" si="13"/>
        <v>3.7329753347555929E-2</v>
      </c>
      <c r="K111" s="5" cm="1">
        <f t="array" ref="K111">UseableCapacity(I111,$K$8,$K$9)</f>
        <v>26806.288500000002</v>
      </c>
      <c r="L111" s="59">
        <f t="shared" si="14"/>
        <v>34407.488482842098</v>
      </c>
      <c r="M111" s="7">
        <f t="shared" si="15"/>
        <v>25472.058982842103</v>
      </c>
      <c r="N111" s="7">
        <f t="shared" si="16"/>
        <v>2508.2819999999992</v>
      </c>
      <c r="O111" t="str">
        <f t="shared" si="21"/>
        <v>no</v>
      </c>
      <c r="P111" t="str">
        <f t="shared" si="22"/>
        <v>no</v>
      </c>
    </row>
    <row r="112" spans="2:16" x14ac:dyDescent="0.35">
      <c r="B112">
        <f t="shared" si="19"/>
        <v>97</v>
      </c>
      <c r="C112" s="7">
        <f t="shared" si="10"/>
        <v>97</v>
      </c>
      <c r="D112" s="1" cm="1">
        <f t="array" ref="D112">estimatedTripEnergy(C112,G$5,G$6,C$12,C$7,C$9,C$8,FALSE)/1000</f>
        <v>1187.1961963184999</v>
      </c>
      <c r="E112" s="1" cm="1">
        <f t="array" ref="E112">estimatedTripEnergy(C112,G$5,G$6,C$12,C$7,C$9,C$8)/1000</f>
        <v>1335.1561963185</v>
      </c>
      <c r="F112" s="59" cm="1">
        <f t="array" ref="F112">estimatedTripDuration(C112,$C$8,$C$7)/60</f>
        <v>4.9804860100993409</v>
      </c>
      <c r="G112">
        <f t="shared" si="20"/>
        <v>97</v>
      </c>
      <c r="H112" s="50">
        <f t="shared" si="12"/>
        <v>16.166666666666668</v>
      </c>
      <c r="I112" s="7" cm="1">
        <f t="array" ref="I112">CurrentCapacity(K$10,K$6,K$7,H112)</f>
        <v>35741.488500000007</v>
      </c>
      <c r="J112" s="48">
        <f t="shared" si="13"/>
        <v>3.7355920314244881E-2</v>
      </c>
      <c r="K112" s="5" cm="1">
        <f t="array" ref="K112">UseableCapacity(I112,$K$8,$K$9)</f>
        <v>26806.116375000005</v>
      </c>
      <c r="L112" s="59">
        <f t="shared" si="14"/>
        <v>34406.332303681505</v>
      </c>
      <c r="M112" s="7">
        <f t="shared" si="15"/>
        <v>25470.960178681504</v>
      </c>
      <c r="N112" s="7">
        <f t="shared" si="16"/>
        <v>2508.5114999999932</v>
      </c>
      <c r="O112" t="str">
        <f t="shared" si="21"/>
        <v>no</v>
      </c>
      <c r="P112" t="str">
        <f t="shared" si="22"/>
        <v>no</v>
      </c>
    </row>
    <row r="113" spans="2:16" x14ac:dyDescent="0.35">
      <c r="B113">
        <f t="shared" si="19"/>
        <v>98</v>
      </c>
      <c r="C113" s="7">
        <f t="shared" si="10"/>
        <v>98</v>
      </c>
      <c r="D113" s="1" cm="1">
        <f t="array" ref="D113">estimatedTripEnergy(C113,G$5,G$6,C$12,C$7,C$9,C$8,FALSE)/1000</f>
        <v>1188.1228754791</v>
      </c>
      <c r="E113" s="1" cm="1">
        <f t="array" ref="E113">estimatedTripEnergy(C113,G$5,G$6,C$12,C$7,C$9,C$8)/1000</f>
        <v>1336.0828754791</v>
      </c>
      <c r="F113" s="59" cm="1">
        <f t="array" ref="F113">estimatedTripDuration(C113,$C$8,$C$7)/60</f>
        <v>5.0138193434326741</v>
      </c>
      <c r="G113">
        <f t="shared" si="20"/>
        <v>98</v>
      </c>
      <c r="H113" s="50">
        <f t="shared" si="12"/>
        <v>16.333333333333332</v>
      </c>
      <c r="I113" s="7" cm="1">
        <f t="array" ref="I113">CurrentCapacity(K$10,K$6,K$7,H113)</f>
        <v>35741.258999999998</v>
      </c>
      <c r="J113" s="48">
        <f t="shared" si="13"/>
        <v>3.7382087616977908E-2</v>
      </c>
      <c r="K113" s="5" cm="1">
        <f t="array" ref="K113">UseableCapacity(I113,$K$8,$K$9)</f>
        <v>26805.94425</v>
      </c>
      <c r="L113" s="59">
        <f t="shared" si="14"/>
        <v>34405.176124520898</v>
      </c>
      <c r="M113" s="7">
        <f t="shared" si="15"/>
        <v>25469.8613745209</v>
      </c>
      <c r="N113" s="7">
        <f t="shared" si="16"/>
        <v>2508.7410000000018</v>
      </c>
      <c r="O113" t="str">
        <f t="shared" si="21"/>
        <v>no</v>
      </c>
      <c r="P113" t="str">
        <f t="shared" si="22"/>
        <v>no</v>
      </c>
    </row>
    <row r="114" spans="2:16" x14ac:dyDescent="0.35">
      <c r="B114">
        <f t="shared" si="19"/>
        <v>99</v>
      </c>
      <c r="C114" s="7">
        <f t="shared" si="10"/>
        <v>99</v>
      </c>
      <c r="D114" s="1" cm="1">
        <f t="array" ref="D114">estimatedTripEnergy(C114,G$5,G$6,C$12,C$7,C$9,C$8,FALSE)/1000</f>
        <v>1189.0495546396999</v>
      </c>
      <c r="E114" s="1" cm="1">
        <f t="array" ref="E114">estimatedTripEnergy(C114,G$5,G$6,C$12,C$7,C$9,C$8)/1000</f>
        <v>1337.0095546396999</v>
      </c>
      <c r="F114" s="59" cm="1">
        <f t="array" ref="F114">estimatedTripDuration(C114,$C$8,$C$7)/60</f>
        <v>5.0471526767660073</v>
      </c>
      <c r="G114">
        <f t="shared" si="20"/>
        <v>99</v>
      </c>
      <c r="H114" s="50">
        <f t="shared" si="12"/>
        <v>16.5</v>
      </c>
      <c r="I114" s="7" cm="1">
        <f t="array" ref="I114">CurrentCapacity(K$10,K$6,K$7,H114)</f>
        <v>35741.029500000004</v>
      </c>
      <c r="J114" s="48">
        <f t="shared" si="13"/>
        <v>3.7408255255761441E-2</v>
      </c>
      <c r="K114" s="5" cm="1">
        <f t="array" ref="K114">UseableCapacity(I114,$K$8,$K$9)</f>
        <v>26805.772125000003</v>
      </c>
      <c r="L114" s="59">
        <f t="shared" si="14"/>
        <v>34404.019945360305</v>
      </c>
      <c r="M114" s="7">
        <f t="shared" si="15"/>
        <v>25468.762570360304</v>
      </c>
      <c r="N114" s="7">
        <f t="shared" si="16"/>
        <v>2508.9704999999958</v>
      </c>
      <c r="O114" t="str">
        <f t="shared" si="21"/>
        <v>no</v>
      </c>
      <c r="P114" t="str">
        <f t="shared" si="22"/>
        <v>no</v>
      </c>
    </row>
    <row r="115" spans="2:16" x14ac:dyDescent="0.35">
      <c r="B115">
        <f t="shared" si="19"/>
        <v>100</v>
      </c>
      <c r="C115" s="7">
        <f t="shared" si="10"/>
        <v>100</v>
      </c>
      <c r="D115" s="1" cm="1">
        <f t="array" ref="D115">estimatedTripEnergy(C115,G$5,G$6,C$12,C$7,C$9,C$8,FALSE)/1000</f>
        <v>1189.9762338003</v>
      </c>
      <c r="E115" s="1" cm="1">
        <f t="array" ref="E115">estimatedTripEnergy(C115,G$5,G$6,C$12,C$7,C$9,C$8)/1000</f>
        <v>1337.9362338003</v>
      </c>
      <c r="F115" s="59" cm="1">
        <f t="array" ref="F115">estimatedTripDuration(C115,$C$8,$C$7)/60</f>
        <v>5.0804860100993405</v>
      </c>
      <c r="G115">
        <f t="shared" si="20"/>
        <v>100</v>
      </c>
      <c r="H115" s="50">
        <f t="shared" si="12"/>
        <v>16.666666666666668</v>
      </c>
      <c r="I115" s="7" cm="1">
        <f t="array" ref="I115">CurrentCapacity(K$10,K$6,K$7,H115)</f>
        <v>35740.800000000003</v>
      </c>
      <c r="J115" s="48">
        <f t="shared" si="13"/>
        <v>3.7434423230601997E-2</v>
      </c>
      <c r="K115" s="5" cm="1">
        <f t="array" ref="K115">UseableCapacity(I115,$K$8,$K$9)</f>
        <v>26805.600000000002</v>
      </c>
      <c r="L115" s="59">
        <f t="shared" si="14"/>
        <v>34402.863766199705</v>
      </c>
      <c r="M115" s="7">
        <f t="shared" si="15"/>
        <v>25467.663766199701</v>
      </c>
      <c r="N115" s="7">
        <f t="shared" si="16"/>
        <v>2509.1999999999971</v>
      </c>
      <c r="O115" t="str">
        <f t="shared" si="21"/>
        <v>no</v>
      </c>
      <c r="P115" t="str">
        <f t="shared" si="22"/>
        <v>no</v>
      </c>
    </row>
    <row r="116" spans="2:16" x14ac:dyDescent="0.35">
      <c r="B116">
        <f t="shared" si="19"/>
        <v>101</v>
      </c>
      <c r="C116" s="7">
        <f t="shared" si="10"/>
        <v>101</v>
      </c>
      <c r="D116" s="1" cm="1">
        <f t="array" ref="D116">estimatedTripEnergy(C116,G$5,G$6,C$12,C$7,C$9,C$8,FALSE)/1000</f>
        <v>1190.9029129609</v>
      </c>
      <c r="E116" s="1" cm="1">
        <f t="array" ref="E116">estimatedTripEnergy(C116,G$5,G$6,C$12,C$7,C$9,C$8)/1000</f>
        <v>1338.8629129609001</v>
      </c>
      <c r="F116" s="59" cm="1">
        <f t="array" ref="F116">estimatedTripDuration(C116,$C$8,$C$7)/60</f>
        <v>5.1138193434326746</v>
      </c>
      <c r="G116">
        <f t="shared" si="20"/>
        <v>101</v>
      </c>
      <c r="H116" s="50">
        <f t="shared" si="12"/>
        <v>16.833333333333332</v>
      </c>
      <c r="I116" s="7" cm="1">
        <f t="array" ref="I116">CurrentCapacity(K$10,K$6,K$7,H116)</f>
        <v>35740.570500000002</v>
      </c>
      <c r="J116" s="48">
        <f t="shared" si="13"/>
        <v>3.7460591541506029E-2</v>
      </c>
      <c r="K116" s="5" cm="1">
        <f t="array" ref="K116">UseableCapacity(I116,$K$8,$K$9)</f>
        <v>26805.427875000001</v>
      </c>
      <c r="L116" s="59">
        <f t="shared" si="14"/>
        <v>34401.707587039098</v>
      </c>
      <c r="M116" s="7">
        <f t="shared" si="15"/>
        <v>25466.564962039101</v>
      </c>
      <c r="N116" s="7">
        <f t="shared" si="16"/>
        <v>2509.4294999999984</v>
      </c>
      <c r="O116" t="str">
        <f t="shared" si="21"/>
        <v>no</v>
      </c>
      <c r="P116" t="str">
        <f t="shared" si="22"/>
        <v>no</v>
      </c>
    </row>
    <row r="117" spans="2:16" x14ac:dyDescent="0.35">
      <c r="B117">
        <f t="shared" si="19"/>
        <v>102</v>
      </c>
      <c r="C117" s="7">
        <f t="shared" si="10"/>
        <v>102</v>
      </c>
      <c r="D117" s="1" cm="1">
        <f t="array" ref="D117">estimatedTripEnergy(C117,G$5,G$6,C$12,C$7,C$9,C$8,FALSE)/1000</f>
        <v>1191.8295921215001</v>
      </c>
      <c r="E117" s="1" cm="1">
        <f t="array" ref="E117">estimatedTripEnergy(C117,G$5,G$6,C$12,C$7,C$9,C$8)/1000</f>
        <v>1339.7895921215002</v>
      </c>
      <c r="F117" s="59" cm="1">
        <f t="array" ref="F117">estimatedTripDuration(C117,$C$8,$C$7)/60</f>
        <v>5.1471526767660079</v>
      </c>
      <c r="G117">
        <f t="shared" si="20"/>
        <v>102</v>
      </c>
      <c r="H117" s="50">
        <f t="shared" si="12"/>
        <v>17</v>
      </c>
      <c r="I117" s="7" cm="1">
        <f t="array" ref="I117">CurrentCapacity(K$10,K$6,K$7,H117)</f>
        <v>35740.341000000008</v>
      </c>
      <c r="J117" s="48">
        <f t="shared" si="13"/>
        <v>3.748676018848001E-2</v>
      </c>
      <c r="K117" s="5" cm="1">
        <f t="array" ref="K117">UseableCapacity(I117,$K$8,$K$9)</f>
        <v>26805.255750000004</v>
      </c>
      <c r="L117" s="59">
        <f t="shared" si="14"/>
        <v>34400.551407878505</v>
      </c>
      <c r="M117" s="7">
        <f t="shared" si="15"/>
        <v>25465.466157878505</v>
      </c>
      <c r="N117" s="7">
        <f t="shared" si="16"/>
        <v>2509.6589999999924</v>
      </c>
      <c r="O117" t="str">
        <f t="shared" si="21"/>
        <v>no</v>
      </c>
      <c r="P117" t="str">
        <f t="shared" si="22"/>
        <v>no</v>
      </c>
    </row>
    <row r="118" spans="2:16" x14ac:dyDescent="0.35">
      <c r="B118">
        <f t="shared" si="19"/>
        <v>103</v>
      </c>
      <c r="C118" s="7">
        <f t="shared" si="10"/>
        <v>103</v>
      </c>
      <c r="D118" s="1" cm="1">
        <f t="array" ref="D118">estimatedTripEnergy(C118,G$5,G$6,C$12,C$7,C$9,C$8,FALSE)/1000</f>
        <v>1192.7562712821002</v>
      </c>
      <c r="E118" s="1" cm="1">
        <f t="array" ref="E118">estimatedTripEnergy(C118,G$5,G$6,C$12,C$7,C$9,C$8)/1000</f>
        <v>1340.7162712821</v>
      </c>
      <c r="F118" s="59" cm="1">
        <f t="array" ref="F118">estimatedTripDuration(C118,$C$8,$C$7)/60</f>
        <v>5.1804860100993411</v>
      </c>
      <c r="G118">
        <f t="shared" si="20"/>
        <v>103</v>
      </c>
      <c r="H118" s="50">
        <f t="shared" si="12"/>
        <v>17.166666666666668</v>
      </c>
      <c r="I118" s="7" cm="1">
        <f t="array" ref="I118">CurrentCapacity(K$10,K$6,K$7,H118)</f>
        <v>35740.111499999999</v>
      </c>
      <c r="J118" s="48">
        <f t="shared" si="13"/>
        <v>3.7512929171530429E-2</v>
      </c>
      <c r="K118" s="5" cm="1">
        <f t="array" ref="K118">UseableCapacity(I118,$K$8,$K$9)</f>
        <v>26805.083624999999</v>
      </c>
      <c r="L118" s="59">
        <f t="shared" si="14"/>
        <v>34399.395228717898</v>
      </c>
      <c r="M118" s="7">
        <f t="shared" si="15"/>
        <v>25464.367353717898</v>
      </c>
      <c r="N118" s="7">
        <f t="shared" si="16"/>
        <v>2509.8885000000009</v>
      </c>
      <c r="O118" t="str">
        <f t="shared" si="21"/>
        <v>no</v>
      </c>
      <c r="P118" t="str">
        <f t="shared" si="22"/>
        <v>no</v>
      </c>
    </row>
    <row r="119" spans="2:16" x14ac:dyDescent="0.35">
      <c r="B119">
        <f t="shared" si="19"/>
        <v>104</v>
      </c>
      <c r="C119" s="7">
        <f t="shared" si="10"/>
        <v>104</v>
      </c>
      <c r="D119" s="1" cm="1">
        <f t="array" ref="D119">estimatedTripEnergy(C119,G$5,G$6,C$12,C$7,C$9,C$8,FALSE)/1000</f>
        <v>1193.6829504426998</v>
      </c>
      <c r="E119" s="1" cm="1">
        <f t="array" ref="E119">estimatedTripEnergy(C119,G$5,G$6,C$12,C$7,C$9,C$8)/1000</f>
        <v>1341.6429504426999</v>
      </c>
      <c r="F119" s="59" cm="1">
        <f t="array" ref="F119">estimatedTripDuration(C119,$C$8,$C$7)/60</f>
        <v>5.2138193434326743</v>
      </c>
      <c r="G119">
        <f t="shared" si="20"/>
        <v>104</v>
      </c>
      <c r="H119" s="50">
        <f t="shared" si="12"/>
        <v>17.333333333333332</v>
      </c>
      <c r="I119" s="7" cm="1">
        <f t="array" ref="I119">CurrentCapacity(K$10,K$6,K$7,H119)</f>
        <v>35739.882000000005</v>
      </c>
      <c r="J119" s="48">
        <f t="shared" si="13"/>
        <v>3.7539098490663725E-2</v>
      </c>
      <c r="K119" s="5" cm="1">
        <f t="array" ref="K119">UseableCapacity(I119,$K$8,$K$9)</f>
        <v>26804.911500000002</v>
      </c>
      <c r="L119" s="59">
        <f t="shared" si="14"/>
        <v>34398.239049557305</v>
      </c>
      <c r="M119" s="7">
        <f t="shared" si="15"/>
        <v>25463.268549557302</v>
      </c>
      <c r="N119" s="7">
        <f t="shared" si="16"/>
        <v>2510.1179999999949</v>
      </c>
      <c r="O119" t="str">
        <f t="shared" si="21"/>
        <v>no</v>
      </c>
      <c r="P119" t="str">
        <f t="shared" si="22"/>
        <v>no</v>
      </c>
    </row>
    <row r="120" spans="2:16" x14ac:dyDescent="0.35">
      <c r="B120">
        <f t="shared" si="19"/>
        <v>105</v>
      </c>
      <c r="C120" s="7">
        <f t="shared" si="10"/>
        <v>105</v>
      </c>
      <c r="D120" s="1" cm="1">
        <f t="array" ref="D120">estimatedTripEnergy(C120,G$5,G$6,C$12,C$7,C$9,C$8,FALSE)/1000</f>
        <v>1194.6096296032999</v>
      </c>
      <c r="E120" s="1" cm="1">
        <f t="array" ref="E120">estimatedTripEnergy(C120,G$5,G$6,C$12,C$7,C$9,C$8)/1000</f>
        <v>1342.5696296033</v>
      </c>
      <c r="F120" s="59" cm="1">
        <f t="array" ref="F120">estimatedTripDuration(C120,$C$8,$C$7)/60</f>
        <v>5.2471526767660075</v>
      </c>
      <c r="G120">
        <f t="shared" si="20"/>
        <v>105</v>
      </c>
      <c r="H120" s="50">
        <f t="shared" si="12"/>
        <v>17.5</v>
      </c>
      <c r="I120" s="7" cm="1">
        <f t="array" ref="I120">CurrentCapacity(K$10,K$6,K$7,H120)</f>
        <v>35739.652500000004</v>
      </c>
      <c r="J120" s="48">
        <f t="shared" si="13"/>
        <v>3.756526814588642E-2</v>
      </c>
      <c r="K120" s="5" cm="1">
        <f t="array" ref="K120">UseableCapacity(I120,$K$8,$K$9)</f>
        <v>26804.739375000005</v>
      </c>
      <c r="L120" s="59">
        <f t="shared" si="14"/>
        <v>34397.082870396705</v>
      </c>
      <c r="M120" s="7">
        <f t="shared" si="15"/>
        <v>25462.169745396706</v>
      </c>
      <c r="N120" s="7">
        <f t="shared" si="16"/>
        <v>2510.3474999999962</v>
      </c>
      <c r="O120" t="str">
        <f t="shared" si="21"/>
        <v>no</v>
      </c>
      <c r="P120" t="str">
        <f t="shared" si="22"/>
        <v>no</v>
      </c>
    </row>
    <row r="121" spans="2:16" x14ac:dyDescent="0.35">
      <c r="B121">
        <f t="shared" si="19"/>
        <v>106</v>
      </c>
      <c r="C121" s="7">
        <f t="shared" si="10"/>
        <v>106</v>
      </c>
      <c r="D121" s="1" cm="1">
        <f t="array" ref="D121">estimatedTripEnergy(C121,G$5,G$6,C$12,C$7,C$9,C$8,FALSE)/1000</f>
        <v>1195.5363087639</v>
      </c>
      <c r="E121" s="1" cm="1">
        <f t="array" ref="E121">estimatedTripEnergy(C121,G$5,G$6,C$12,C$7,C$9,C$8)/1000</f>
        <v>1343.4963087639001</v>
      </c>
      <c r="F121" s="59" cm="1">
        <f t="array" ref="F121">estimatedTripDuration(C121,$C$8,$C$7)/60</f>
        <v>5.2804860100993407</v>
      </c>
      <c r="G121">
        <f t="shared" si="20"/>
        <v>106</v>
      </c>
      <c r="H121" s="50">
        <f t="shared" si="12"/>
        <v>17.666666666666668</v>
      </c>
      <c r="I121" s="7" cm="1">
        <f t="array" ref="I121">CurrentCapacity(K$10,K$6,K$7,H121)</f>
        <v>35739.423000000003</v>
      </c>
      <c r="J121" s="48">
        <f t="shared" si="13"/>
        <v>3.7591438137204954E-2</v>
      </c>
      <c r="K121" s="5" cm="1">
        <f t="array" ref="K121">UseableCapacity(I121,$K$8,$K$9)</f>
        <v>26804.56725</v>
      </c>
      <c r="L121" s="59">
        <f t="shared" si="14"/>
        <v>34395.926691236105</v>
      </c>
      <c r="M121" s="7">
        <f t="shared" si="15"/>
        <v>25461.070941236099</v>
      </c>
      <c r="N121" s="7">
        <f t="shared" si="16"/>
        <v>2510.5769999999975</v>
      </c>
      <c r="O121" t="str">
        <f t="shared" si="21"/>
        <v>no</v>
      </c>
      <c r="P121" t="str">
        <f t="shared" si="22"/>
        <v>no</v>
      </c>
    </row>
    <row r="122" spans="2:16" x14ac:dyDescent="0.35">
      <c r="B122">
        <f t="shared" si="19"/>
        <v>107</v>
      </c>
      <c r="C122" s="7">
        <f t="shared" si="10"/>
        <v>107</v>
      </c>
      <c r="D122" s="1" cm="1">
        <f t="array" ref="D122">estimatedTripEnergy(C122,G$5,G$6,C$12,C$7,C$9,C$8,FALSE)/1000</f>
        <v>1196.4629879244999</v>
      </c>
      <c r="E122" s="1" cm="1">
        <f t="array" ref="E122">estimatedTripEnergy(C122,G$5,G$6,C$12,C$7,C$9,C$8)/1000</f>
        <v>1344.4229879244999</v>
      </c>
      <c r="F122" s="59" cm="1">
        <f t="array" ref="F122">estimatedTripDuration(C122,$C$8,$C$7)/60</f>
        <v>5.3138193434326739</v>
      </c>
      <c r="G122">
        <f t="shared" si="20"/>
        <v>107</v>
      </c>
      <c r="H122" s="50">
        <f t="shared" si="12"/>
        <v>17.833333333333332</v>
      </c>
      <c r="I122" s="7" cm="1">
        <f t="array" ref="I122">CurrentCapacity(K$10,K$6,K$7,H122)</f>
        <v>35739.193500000001</v>
      </c>
      <c r="J122" s="48">
        <f t="shared" si="13"/>
        <v>3.7617608464625814E-2</v>
      </c>
      <c r="K122" s="5" cm="1">
        <f t="array" ref="K122">UseableCapacity(I122,$K$8,$K$9)</f>
        <v>26804.395125000003</v>
      </c>
      <c r="L122" s="59">
        <f t="shared" si="14"/>
        <v>34394.770512075498</v>
      </c>
      <c r="M122" s="7">
        <f t="shared" si="15"/>
        <v>25459.972137075503</v>
      </c>
      <c r="N122" s="7">
        <f t="shared" si="16"/>
        <v>2510.8064999999988</v>
      </c>
      <c r="O122" t="str">
        <f t="shared" si="21"/>
        <v>no</v>
      </c>
      <c r="P122" t="str">
        <f t="shared" si="22"/>
        <v>no</v>
      </c>
    </row>
    <row r="123" spans="2:16" x14ac:dyDescent="0.35">
      <c r="B123">
        <f t="shared" si="19"/>
        <v>108</v>
      </c>
      <c r="C123" s="7">
        <f t="shared" si="10"/>
        <v>108</v>
      </c>
      <c r="D123" s="1" cm="1">
        <f t="array" ref="D123">estimatedTripEnergy(C123,G$5,G$6,C$12,C$7,C$9,C$8,FALSE)/1000</f>
        <v>1197.3896670851</v>
      </c>
      <c r="E123" s="1" cm="1">
        <f t="array" ref="E123">estimatedTripEnergy(C123,G$5,G$6,C$12,C$7,C$9,C$8)/1000</f>
        <v>1345.3496670851</v>
      </c>
      <c r="F123" s="59" cm="1">
        <f t="array" ref="F123">estimatedTripDuration(C123,$C$8,$C$7)/60</f>
        <v>5.3471526767660071</v>
      </c>
      <c r="G123">
        <f t="shared" si="20"/>
        <v>108</v>
      </c>
      <c r="H123" s="50">
        <f t="shared" si="12"/>
        <v>18</v>
      </c>
      <c r="I123" s="7" cm="1">
        <f t="array" ref="I123">CurrentCapacity(K$10,K$6,K$7,H123)</f>
        <v>35738.964</v>
      </c>
      <c r="J123" s="48">
        <f t="shared" si="13"/>
        <v>3.7643779128155475E-2</v>
      </c>
      <c r="K123" s="5" cm="1">
        <f t="array" ref="K123">UseableCapacity(I123,$K$8,$K$9)</f>
        <v>26804.222999999998</v>
      </c>
      <c r="L123" s="59">
        <f t="shared" si="14"/>
        <v>34393.614332914898</v>
      </c>
      <c r="M123" s="7">
        <f t="shared" si="15"/>
        <v>25458.873332914896</v>
      </c>
      <c r="N123" s="7">
        <f t="shared" si="16"/>
        <v>2511.0360000000001</v>
      </c>
      <c r="O123" t="str">
        <f t="shared" si="21"/>
        <v>no</v>
      </c>
      <c r="P123" t="str">
        <f t="shared" si="22"/>
        <v>no</v>
      </c>
    </row>
    <row r="124" spans="2:16" x14ac:dyDescent="0.35">
      <c r="B124">
        <f t="shared" si="19"/>
        <v>109</v>
      </c>
      <c r="C124" s="7">
        <f t="shared" si="10"/>
        <v>109</v>
      </c>
      <c r="D124" s="1" cm="1">
        <f t="array" ref="D124">estimatedTripEnergy(C124,G$5,G$6,C$12,C$7,C$9,C$8,FALSE)/1000</f>
        <v>1198.3163462457001</v>
      </c>
      <c r="E124" s="1" cm="1">
        <f t="array" ref="E124">estimatedTripEnergy(C124,G$5,G$6,C$12,C$7,C$9,C$8)/1000</f>
        <v>1346.2763462457001</v>
      </c>
      <c r="F124" s="59" cm="1">
        <f t="array" ref="F124">estimatedTripDuration(C124,$C$8,$C$7)/60</f>
        <v>5.3804860100993412</v>
      </c>
      <c r="G124">
        <f t="shared" si="20"/>
        <v>109</v>
      </c>
      <c r="H124" s="50">
        <f t="shared" si="12"/>
        <v>18.166666666666668</v>
      </c>
      <c r="I124" s="7" cm="1">
        <f t="array" ref="I124">CurrentCapacity(K$10,K$6,K$7,H124)</f>
        <v>35738.734499999999</v>
      </c>
      <c r="J124" s="48">
        <f t="shared" si="13"/>
        <v>3.7669950127800417E-2</v>
      </c>
      <c r="K124" s="5" cm="1">
        <f t="array" ref="K124">UseableCapacity(I124,$K$8,$K$9)</f>
        <v>26804.050875000001</v>
      </c>
      <c r="L124" s="59">
        <f t="shared" si="14"/>
        <v>34392.458153754298</v>
      </c>
      <c r="M124" s="7">
        <f t="shared" si="15"/>
        <v>25457.7745287543</v>
      </c>
      <c r="N124" s="7">
        <f t="shared" si="16"/>
        <v>2511.2655000000013</v>
      </c>
      <c r="O124" t="str">
        <f t="shared" si="21"/>
        <v>no</v>
      </c>
      <c r="P124" t="str">
        <f t="shared" si="22"/>
        <v>no</v>
      </c>
    </row>
    <row r="125" spans="2:16" x14ac:dyDescent="0.35">
      <c r="B125">
        <f t="shared" si="19"/>
        <v>110</v>
      </c>
      <c r="C125" s="7">
        <f t="shared" si="10"/>
        <v>110</v>
      </c>
      <c r="D125" s="1" cm="1">
        <f t="array" ref="D125">estimatedTripEnergy(C125,G$5,G$6,C$12,C$7,C$9,C$8,FALSE)/1000</f>
        <v>1199.2430254063001</v>
      </c>
      <c r="E125" s="1" cm="1">
        <f t="array" ref="E125">estimatedTripEnergy(C125,G$5,G$6,C$12,C$7,C$9,C$8)/1000</f>
        <v>1347.2030254063002</v>
      </c>
      <c r="F125" s="59" cm="1">
        <f t="array" ref="F125">estimatedTripDuration(C125,$C$8,$C$7)/60</f>
        <v>5.4138193434326745</v>
      </c>
      <c r="G125">
        <f t="shared" si="20"/>
        <v>110</v>
      </c>
      <c r="H125" s="50">
        <f t="shared" si="12"/>
        <v>18.333333333333332</v>
      </c>
      <c r="I125" s="7" cm="1">
        <f t="array" ref="I125">CurrentCapacity(K$10,K$6,K$7,H125)</f>
        <v>35738.505000000005</v>
      </c>
      <c r="J125" s="48">
        <f t="shared" si="13"/>
        <v>3.7696121463567094E-2</v>
      </c>
      <c r="K125" s="5" cm="1">
        <f t="array" ref="K125">UseableCapacity(I125,$K$8,$K$9)</f>
        <v>26803.878750000003</v>
      </c>
      <c r="L125" s="59">
        <f t="shared" si="14"/>
        <v>34391.301974593705</v>
      </c>
      <c r="M125" s="7">
        <f t="shared" si="15"/>
        <v>25456.675724593704</v>
      </c>
      <c r="N125" s="7">
        <f t="shared" si="16"/>
        <v>2511.4949999999953</v>
      </c>
      <c r="O125" t="str">
        <f t="shared" si="21"/>
        <v>no</v>
      </c>
      <c r="P125" t="str">
        <f t="shared" si="22"/>
        <v>no</v>
      </c>
    </row>
    <row r="126" spans="2:16" x14ac:dyDescent="0.35">
      <c r="B126">
        <f t="shared" si="19"/>
        <v>111</v>
      </c>
      <c r="C126" s="7">
        <f t="shared" si="10"/>
        <v>111</v>
      </c>
      <c r="D126" s="1" cm="1">
        <f t="array" ref="D126">estimatedTripEnergy(C126,G$5,G$6,C$12,C$7,C$9,C$8,FALSE)/1000</f>
        <v>1200.1697045669002</v>
      </c>
      <c r="E126" s="1" cm="1">
        <f t="array" ref="E126">estimatedTripEnergy(C126,G$5,G$6,C$12,C$7,C$9,C$8)/1000</f>
        <v>1348.1297045669</v>
      </c>
      <c r="F126" s="59" cm="1">
        <f t="array" ref="F126">estimatedTripDuration(C126,$C$8,$C$7)/60</f>
        <v>5.4471526767660077</v>
      </c>
      <c r="G126">
        <f t="shared" si="20"/>
        <v>111</v>
      </c>
      <c r="H126" s="50">
        <f t="shared" si="12"/>
        <v>18.5</v>
      </c>
      <c r="I126" s="7" cm="1">
        <f t="array" ref="I126">CurrentCapacity(K$10,K$6,K$7,H126)</f>
        <v>35738.275500000003</v>
      </c>
      <c r="J126" s="48">
        <f t="shared" si="13"/>
        <v>3.7722293135462007E-2</v>
      </c>
      <c r="K126" s="5" cm="1">
        <f t="array" ref="K126">UseableCapacity(I126,$K$8,$K$9)</f>
        <v>26803.706625000003</v>
      </c>
      <c r="L126" s="59">
        <f t="shared" si="14"/>
        <v>34390.145795433105</v>
      </c>
      <c r="M126" s="7">
        <f t="shared" si="15"/>
        <v>25455.576920433101</v>
      </c>
      <c r="N126" s="7">
        <f t="shared" si="16"/>
        <v>2511.7244999999966</v>
      </c>
      <c r="O126" t="str">
        <f t="shared" si="21"/>
        <v>no</v>
      </c>
      <c r="P126" t="str">
        <f t="shared" si="22"/>
        <v>no</v>
      </c>
    </row>
    <row r="127" spans="2:16" x14ac:dyDescent="0.35">
      <c r="B127">
        <f t="shared" si="19"/>
        <v>112</v>
      </c>
      <c r="C127" s="7">
        <f t="shared" si="10"/>
        <v>112</v>
      </c>
      <c r="D127" s="1" cm="1">
        <f t="array" ref="D127">estimatedTripEnergy(C127,G$5,G$6,C$12,C$7,C$9,C$8,FALSE)/1000</f>
        <v>1201.0963837274999</v>
      </c>
      <c r="E127" s="1" cm="1">
        <f t="array" ref="E127">estimatedTripEnergy(C127,G$5,G$6,C$12,C$7,C$9,C$8)/1000</f>
        <v>1349.0563837274999</v>
      </c>
      <c r="F127" s="59" cm="1">
        <f t="array" ref="F127">estimatedTripDuration(C127,$C$8,$C$7)/60</f>
        <v>5.4804860100993409</v>
      </c>
      <c r="G127">
        <f t="shared" si="20"/>
        <v>112</v>
      </c>
      <c r="H127" s="50">
        <f t="shared" si="12"/>
        <v>18.666666666666668</v>
      </c>
      <c r="I127" s="7" cm="1">
        <f t="array" ref="I127">CurrentCapacity(K$10,K$6,K$7,H127)</f>
        <v>35738.046000000002</v>
      </c>
      <c r="J127" s="48">
        <f t="shared" si="13"/>
        <v>3.7748465143491609E-2</v>
      </c>
      <c r="K127" s="5" cm="1">
        <f t="array" ref="K127">UseableCapacity(I127,$K$8,$K$9)</f>
        <v>26803.534500000002</v>
      </c>
      <c r="L127" s="59">
        <f t="shared" si="14"/>
        <v>34388.989616272505</v>
      </c>
      <c r="M127" s="7">
        <f t="shared" si="15"/>
        <v>25454.478116272501</v>
      </c>
      <c r="N127" s="7">
        <f t="shared" si="16"/>
        <v>2511.9539999999979</v>
      </c>
      <c r="O127" t="str">
        <f t="shared" si="21"/>
        <v>no</v>
      </c>
      <c r="P127" t="str">
        <f t="shared" si="22"/>
        <v>no</v>
      </c>
    </row>
    <row r="128" spans="2:16" x14ac:dyDescent="0.35">
      <c r="B128">
        <f t="shared" si="19"/>
        <v>113</v>
      </c>
      <c r="C128" s="7">
        <f t="shared" si="10"/>
        <v>113</v>
      </c>
      <c r="D128" s="1" cm="1">
        <f t="array" ref="D128">estimatedTripEnergy(C128,G$5,G$6,C$12,C$7,C$9,C$8,FALSE)/1000</f>
        <v>1202.0230628881</v>
      </c>
      <c r="E128" s="1" cm="1">
        <f t="array" ref="E128">estimatedTripEnergy(C128,G$5,G$6,C$12,C$7,C$9,C$8)/1000</f>
        <v>1349.9830628881</v>
      </c>
      <c r="F128" s="59" cm="1">
        <f t="array" ref="F128">estimatedTripDuration(C128,$C$8,$C$7)/60</f>
        <v>5.5138193434326741</v>
      </c>
      <c r="G128">
        <f t="shared" si="20"/>
        <v>113</v>
      </c>
      <c r="H128" s="50">
        <f t="shared" si="12"/>
        <v>18.833333333333332</v>
      </c>
      <c r="I128" s="7" cm="1">
        <f t="array" ref="I128">CurrentCapacity(K$10,K$6,K$7,H128)</f>
        <v>35737.816500000001</v>
      </c>
      <c r="J128" s="48">
        <f t="shared" si="13"/>
        <v>3.7774637487662403E-2</v>
      </c>
      <c r="K128" s="5" cm="1">
        <f t="array" ref="K128">UseableCapacity(I128,$K$8,$K$9)</f>
        <v>26803.362375000001</v>
      </c>
      <c r="L128" s="59">
        <f t="shared" si="14"/>
        <v>34387.833437111898</v>
      </c>
      <c r="M128" s="7">
        <f t="shared" si="15"/>
        <v>25453.379312111902</v>
      </c>
      <c r="N128" s="7">
        <f t="shared" si="16"/>
        <v>2512.1834999999992</v>
      </c>
      <c r="O128" t="str">
        <f t="shared" si="21"/>
        <v>no</v>
      </c>
      <c r="P128" t="str">
        <f t="shared" si="22"/>
        <v>no</v>
      </c>
    </row>
    <row r="129" spans="2:16" x14ac:dyDescent="0.35">
      <c r="B129">
        <f t="shared" si="19"/>
        <v>114</v>
      </c>
      <c r="C129" s="7">
        <f t="shared" si="10"/>
        <v>114</v>
      </c>
      <c r="D129" s="1" cm="1">
        <f t="array" ref="D129">estimatedTripEnergy(C129,G$5,G$6,C$12,C$7,C$9,C$8,FALSE)/1000</f>
        <v>1202.9497420486998</v>
      </c>
      <c r="E129" s="1" cm="1">
        <f t="array" ref="E129">estimatedTripEnergy(C129,G$5,G$6,C$12,C$7,C$9,C$8)/1000</f>
        <v>1350.9097420486999</v>
      </c>
      <c r="F129" s="59" cm="1">
        <f t="array" ref="F129">estimatedTripDuration(C129,$C$8,$C$7)/60</f>
        <v>5.5471526767660073</v>
      </c>
      <c r="G129">
        <f t="shared" si="20"/>
        <v>114</v>
      </c>
      <c r="H129" s="50">
        <f t="shared" si="12"/>
        <v>19</v>
      </c>
      <c r="I129" s="7" cm="1">
        <f t="array" ref="I129">CurrentCapacity(K$10,K$6,K$7,H129)</f>
        <v>35737.587</v>
      </c>
      <c r="J129" s="48">
        <f t="shared" si="13"/>
        <v>3.7800810167980842E-2</v>
      </c>
      <c r="K129" s="5" cm="1">
        <f t="array" ref="K129">UseableCapacity(I129,$K$8,$K$9)</f>
        <v>26803.19025</v>
      </c>
      <c r="L129" s="59">
        <f t="shared" si="14"/>
        <v>34386.677257951298</v>
      </c>
      <c r="M129" s="7">
        <f t="shared" si="15"/>
        <v>25452.280507951298</v>
      </c>
      <c r="N129" s="7">
        <f t="shared" si="16"/>
        <v>2512.4130000000005</v>
      </c>
      <c r="O129" t="str">
        <f t="shared" si="21"/>
        <v>no</v>
      </c>
      <c r="P129" t="str">
        <f t="shared" si="22"/>
        <v>no</v>
      </c>
    </row>
    <row r="130" spans="2:16" x14ac:dyDescent="0.35">
      <c r="B130">
        <f t="shared" si="19"/>
        <v>115</v>
      </c>
      <c r="C130" s="7">
        <f t="shared" si="10"/>
        <v>115</v>
      </c>
      <c r="D130" s="1" cm="1">
        <f t="array" ref="D130">estimatedTripEnergy(C130,G$5,G$6,C$12,C$7,C$9,C$8,FALSE)/1000</f>
        <v>1203.8764212092999</v>
      </c>
      <c r="E130" s="1" cm="1">
        <f t="array" ref="E130">estimatedTripEnergy(C130,G$5,G$6,C$12,C$7,C$9,C$8)/1000</f>
        <v>1351.8364212092999</v>
      </c>
      <c r="F130" s="59" cm="1">
        <f t="array" ref="F130">estimatedTripDuration(C130,$C$8,$C$7)/60</f>
        <v>5.5804860100993405</v>
      </c>
      <c r="G130">
        <f t="shared" si="20"/>
        <v>115</v>
      </c>
      <c r="H130" s="50">
        <f t="shared" si="12"/>
        <v>19.166666666666668</v>
      </c>
      <c r="I130" s="7" cm="1">
        <f t="array" ref="I130">CurrentCapacity(K$10,K$6,K$7,H130)</f>
        <v>35737.357500000006</v>
      </c>
      <c r="J130" s="48">
        <f t="shared" si="13"/>
        <v>3.7826983184453405E-2</v>
      </c>
      <c r="K130" s="5" cm="1">
        <f t="array" ref="K130">UseableCapacity(I130,$K$8,$K$9)</f>
        <v>26803.018125000002</v>
      </c>
      <c r="L130" s="59">
        <f t="shared" si="14"/>
        <v>34385.521078790705</v>
      </c>
      <c r="M130" s="7">
        <f t="shared" si="15"/>
        <v>25451.181703790702</v>
      </c>
      <c r="N130" s="7">
        <f t="shared" si="16"/>
        <v>2512.6424999999945</v>
      </c>
      <c r="O130" t="str">
        <f t="shared" si="21"/>
        <v>no</v>
      </c>
      <c r="P130" t="str">
        <f t="shared" si="22"/>
        <v>no</v>
      </c>
    </row>
    <row r="131" spans="2:16" x14ac:dyDescent="0.35">
      <c r="B131">
        <f t="shared" si="19"/>
        <v>116</v>
      </c>
      <c r="C131" s="7">
        <f t="shared" si="10"/>
        <v>116</v>
      </c>
      <c r="D131" s="1" cm="1">
        <f t="array" ref="D131">estimatedTripEnergy(C131,G$5,G$6,C$12,C$7,C$9,C$8,FALSE)/1000</f>
        <v>1204.8031003699</v>
      </c>
      <c r="E131" s="1" cm="1">
        <f t="array" ref="E131">estimatedTripEnergy(C131,G$5,G$6,C$12,C$7,C$9,C$8)/1000</f>
        <v>1352.7631003699</v>
      </c>
      <c r="F131" s="59" cm="1">
        <f t="array" ref="F131">estimatedTripDuration(C131,$C$8,$C$7)/60</f>
        <v>5.6138193434326746</v>
      </c>
      <c r="G131">
        <f t="shared" si="20"/>
        <v>116</v>
      </c>
      <c r="H131" s="50">
        <f t="shared" si="12"/>
        <v>19.333333333333332</v>
      </c>
      <c r="I131" s="7" cm="1">
        <f t="array" ref="I131">CurrentCapacity(K$10,K$6,K$7,H131)</f>
        <v>35737.128000000004</v>
      </c>
      <c r="J131" s="48">
        <f t="shared" si="13"/>
        <v>3.7853156537086582E-2</v>
      </c>
      <c r="K131" s="5" cm="1">
        <f t="array" ref="K131">UseableCapacity(I131,$K$8,$K$9)</f>
        <v>26802.846000000005</v>
      </c>
      <c r="L131" s="59">
        <f t="shared" si="14"/>
        <v>34384.364899630105</v>
      </c>
      <c r="M131" s="7">
        <f t="shared" si="15"/>
        <v>25450.082899630106</v>
      </c>
      <c r="N131" s="7">
        <f t="shared" si="16"/>
        <v>2512.8719999999958</v>
      </c>
      <c r="O131" t="str">
        <f t="shared" si="21"/>
        <v>no</v>
      </c>
      <c r="P131" t="str">
        <f t="shared" si="22"/>
        <v>no</v>
      </c>
    </row>
    <row r="132" spans="2:16" x14ac:dyDescent="0.35">
      <c r="B132">
        <f t="shared" si="19"/>
        <v>117</v>
      </c>
      <c r="C132" s="7">
        <f t="shared" si="10"/>
        <v>117</v>
      </c>
      <c r="D132" s="1" cm="1">
        <f t="array" ref="D132">estimatedTripEnergy(C132,G$5,G$6,C$12,C$7,C$9,C$8,FALSE)/1000</f>
        <v>1205.7297795305001</v>
      </c>
      <c r="E132" s="1" cm="1">
        <f t="array" ref="E132">estimatedTripEnergy(C132,G$5,G$6,C$12,C$7,C$9,C$8)/1000</f>
        <v>1353.6897795305001</v>
      </c>
      <c r="F132" s="59" cm="1">
        <f t="array" ref="F132">estimatedTripDuration(C132,$C$8,$C$7)/60</f>
        <v>5.6471526767660079</v>
      </c>
      <c r="G132">
        <f t="shared" si="20"/>
        <v>117</v>
      </c>
      <c r="H132" s="50">
        <f t="shared" si="12"/>
        <v>19.5</v>
      </c>
      <c r="I132" s="7" cm="1">
        <f t="array" ref="I132">CurrentCapacity(K$10,K$6,K$7,H132)</f>
        <v>35736.898500000003</v>
      </c>
      <c r="J132" s="48">
        <f t="shared" si="13"/>
        <v>3.787933022588684E-2</v>
      </c>
      <c r="K132" s="5" cm="1">
        <f t="array" ref="K132">UseableCapacity(I132,$K$8,$K$9)</f>
        <v>26802.673875</v>
      </c>
      <c r="L132" s="59">
        <f t="shared" si="14"/>
        <v>34383.208720469505</v>
      </c>
      <c r="M132" s="7">
        <f t="shared" si="15"/>
        <v>25448.984095469499</v>
      </c>
      <c r="N132" s="7">
        <f t="shared" si="16"/>
        <v>2513.101499999997</v>
      </c>
      <c r="O132" t="str">
        <f t="shared" si="21"/>
        <v>no</v>
      </c>
      <c r="P132" t="str">
        <f t="shared" si="22"/>
        <v>no</v>
      </c>
    </row>
    <row r="133" spans="2:16" x14ac:dyDescent="0.35">
      <c r="B133">
        <f t="shared" si="19"/>
        <v>118</v>
      </c>
      <c r="C133" s="7">
        <f t="shared" si="10"/>
        <v>118</v>
      </c>
      <c r="D133" s="1" cm="1">
        <f t="array" ref="D133">estimatedTripEnergy(C133,G$5,G$6,C$12,C$7,C$9,C$8,FALSE)/1000</f>
        <v>1206.6564586911002</v>
      </c>
      <c r="E133" s="1" cm="1">
        <f t="array" ref="E133">estimatedTripEnergy(C133,G$5,G$6,C$12,C$7,C$9,C$8)/1000</f>
        <v>1354.6164586911002</v>
      </c>
      <c r="F133" s="59" cm="1">
        <f t="array" ref="F133">estimatedTripDuration(C133,$C$8,$C$7)/60</f>
        <v>5.6804860100993411</v>
      </c>
      <c r="G133">
        <f t="shared" si="20"/>
        <v>118</v>
      </c>
      <c r="H133" s="50">
        <f t="shared" si="12"/>
        <v>19.666666666666668</v>
      </c>
      <c r="I133" s="7" cm="1">
        <f t="array" ref="I133">CurrentCapacity(K$10,K$6,K$7,H133)</f>
        <v>35736.669000000002</v>
      </c>
      <c r="J133" s="48">
        <f t="shared" si="13"/>
        <v>3.7905504250860651E-2</v>
      </c>
      <c r="K133" s="5" cm="1">
        <f t="array" ref="K133">UseableCapacity(I133,$K$8,$K$9)</f>
        <v>26802.501750000003</v>
      </c>
      <c r="L133" s="59">
        <f t="shared" si="14"/>
        <v>34382.052541308898</v>
      </c>
      <c r="M133" s="7">
        <f t="shared" si="15"/>
        <v>25447.885291308903</v>
      </c>
      <c r="N133" s="7">
        <f t="shared" si="16"/>
        <v>2513.3309999999983</v>
      </c>
      <c r="O133" t="str">
        <f t="shared" si="21"/>
        <v>no</v>
      </c>
      <c r="P133" t="str">
        <f t="shared" si="22"/>
        <v>no</v>
      </c>
    </row>
    <row r="134" spans="2:16" x14ac:dyDescent="0.35">
      <c r="B134">
        <f t="shared" si="19"/>
        <v>119</v>
      </c>
      <c r="C134" s="7">
        <f t="shared" si="10"/>
        <v>119</v>
      </c>
      <c r="D134" s="1" cm="1">
        <f t="array" ref="D134">estimatedTripEnergy(C134,G$5,G$6,C$12,C$7,C$9,C$8,FALSE)/1000</f>
        <v>1207.5831378517</v>
      </c>
      <c r="E134" s="1" cm="1">
        <f t="array" ref="E134">estimatedTripEnergy(C134,G$5,G$6,C$12,C$7,C$9,C$8)/1000</f>
        <v>1355.5431378517001</v>
      </c>
      <c r="F134" s="59" cm="1">
        <f t="array" ref="F134">estimatedTripDuration(C134,$C$8,$C$7)/60</f>
        <v>5.7138193434326743</v>
      </c>
      <c r="G134">
        <f t="shared" si="20"/>
        <v>119</v>
      </c>
      <c r="H134" s="50">
        <f t="shared" si="12"/>
        <v>19.833333333333332</v>
      </c>
      <c r="I134" s="7" cm="1">
        <f t="array" ref="I134">CurrentCapacity(K$10,K$6,K$7,H134)</f>
        <v>35736.4395</v>
      </c>
      <c r="J134" s="48">
        <f t="shared" si="13"/>
        <v>3.7931678612014498E-2</v>
      </c>
      <c r="K134" s="5" cm="1">
        <f t="array" ref="K134">UseableCapacity(I134,$K$8,$K$9)</f>
        <v>26802.329624999998</v>
      </c>
      <c r="L134" s="59">
        <f t="shared" si="14"/>
        <v>34380.896362148298</v>
      </c>
      <c r="M134" s="7">
        <f t="shared" si="15"/>
        <v>25446.7864871483</v>
      </c>
      <c r="N134" s="7">
        <f t="shared" si="16"/>
        <v>2513.5604999999996</v>
      </c>
      <c r="O134" t="str">
        <f t="shared" si="21"/>
        <v>no</v>
      </c>
      <c r="P134" t="str">
        <f t="shared" si="22"/>
        <v>no</v>
      </c>
    </row>
    <row r="135" spans="2:16" x14ac:dyDescent="0.35">
      <c r="B135">
        <f t="shared" si="19"/>
        <v>120</v>
      </c>
      <c r="C135" s="7">
        <f t="shared" si="10"/>
        <v>120</v>
      </c>
      <c r="D135" s="1" cm="1">
        <f t="array" ref="D135">estimatedTripEnergy(C135,G$5,G$6,C$12,C$7,C$9,C$8,FALSE)/1000</f>
        <v>1208.5098170123001</v>
      </c>
      <c r="E135" s="1" cm="1">
        <f t="array" ref="E135">estimatedTripEnergy(C135,G$5,G$6,C$12,C$7,C$9,C$8)/1000</f>
        <v>1356.4698170122999</v>
      </c>
      <c r="F135" s="59" cm="1">
        <f t="array" ref="F135">estimatedTripDuration(C135,$C$8,$C$7)/60</f>
        <v>5.7471526767660075</v>
      </c>
      <c r="G135">
        <f t="shared" si="20"/>
        <v>120</v>
      </c>
      <c r="H135" s="50">
        <f t="shared" si="12"/>
        <v>20</v>
      </c>
      <c r="I135" s="7" cm="1">
        <f t="array" ref="I135">CurrentCapacity(K$10,K$6,K$7,H135)</f>
        <v>35736.21</v>
      </c>
      <c r="J135" s="48">
        <f t="shared" si="13"/>
        <v>3.7957853309354854E-2</v>
      </c>
      <c r="K135" s="5" cm="1">
        <f t="array" ref="K135">UseableCapacity(I135,$K$8,$K$9)</f>
        <v>26802.157500000001</v>
      </c>
      <c r="L135" s="59">
        <f t="shared" si="14"/>
        <v>34379.740182987698</v>
      </c>
      <c r="M135" s="7">
        <f t="shared" si="15"/>
        <v>25445.6876829877</v>
      </c>
      <c r="N135" s="7">
        <f t="shared" si="16"/>
        <v>2513.7900000000009</v>
      </c>
      <c r="O135" t="str">
        <f t="shared" si="21"/>
        <v>no</v>
      </c>
      <c r="P135" t="str">
        <f t="shared" si="22"/>
        <v>no</v>
      </c>
    </row>
    <row r="136" spans="2:16" x14ac:dyDescent="0.35">
      <c r="B136">
        <f t="shared" si="19"/>
        <v>121</v>
      </c>
      <c r="C136" s="7">
        <f t="shared" si="10"/>
        <v>121</v>
      </c>
      <c r="D136" s="1" cm="1">
        <f t="array" ref="D136">estimatedTripEnergy(C136,G$5,G$6,C$12,C$7,C$9,C$8,FALSE)/1000</f>
        <v>1209.4364961729</v>
      </c>
      <c r="E136" s="1" cm="1">
        <f t="array" ref="E136">estimatedTripEnergy(C136,G$5,G$6,C$12,C$7,C$9,C$8)/1000</f>
        <v>1357.3964961729</v>
      </c>
      <c r="F136" s="59" cm="1">
        <f t="array" ref="F136">estimatedTripDuration(C136,$C$8,$C$7)/60</f>
        <v>5.7804860100993407</v>
      </c>
      <c r="G136">
        <f t="shared" si="20"/>
        <v>121</v>
      </c>
      <c r="H136" s="50">
        <f t="shared" si="12"/>
        <v>20.166666666666668</v>
      </c>
      <c r="I136" s="7" cm="1">
        <f t="array" ref="I136">CurrentCapacity(K$10,K$6,K$7,H136)</f>
        <v>35735.980500000005</v>
      </c>
      <c r="J136" s="48">
        <f t="shared" si="13"/>
        <v>3.7984028342888193E-2</v>
      </c>
      <c r="K136" s="5" cm="1">
        <f t="array" ref="K136">UseableCapacity(I136,$K$8,$K$9)</f>
        <v>26801.985375000004</v>
      </c>
      <c r="L136" s="59">
        <f t="shared" si="14"/>
        <v>34378.584003827105</v>
      </c>
      <c r="M136" s="7">
        <f t="shared" si="15"/>
        <v>25444.588878827104</v>
      </c>
      <c r="N136" s="7">
        <f t="shared" si="16"/>
        <v>2514.0194999999949</v>
      </c>
      <c r="O136" t="str">
        <f t="shared" si="21"/>
        <v>no</v>
      </c>
      <c r="P136" t="str">
        <f t="shared" si="22"/>
        <v>no</v>
      </c>
    </row>
    <row r="137" spans="2:16" x14ac:dyDescent="0.35">
      <c r="B137">
        <f t="shared" si="19"/>
        <v>122</v>
      </c>
      <c r="C137" s="7">
        <f t="shared" si="10"/>
        <v>122</v>
      </c>
      <c r="D137" s="1" cm="1">
        <f t="array" ref="D137">estimatedTripEnergy(C137,G$5,G$6,C$12,C$7,C$9,C$8,FALSE)/1000</f>
        <v>1210.3631753334998</v>
      </c>
      <c r="E137" s="1" cm="1">
        <f t="array" ref="E137">estimatedTripEnergy(C137,G$5,G$6,C$12,C$7,C$9,C$8)/1000</f>
        <v>1358.3231753334999</v>
      </c>
      <c r="F137" s="59" cm="1">
        <f t="array" ref="F137">estimatedTripDuration(C137,$C$8,$C$7)/60</f>
        <v>5.8138193434326739</v>
      </c>
      <c r="G137">
        <f t="shared" si="20"/>
        <v>122</v>
      </c>
      <c r="H137" s="50">
        <f t="shared" si="12"/>
        <v>20.333333333333332</v>
      </c>
      <c r="I137" s="7" cm="1">
        <f t="array" ref="I137">CurrentCapacity(K$10,K$6,K$7,H137)</f>
        <v>35735.751000000004</v>
      </c>
      <c r="J137" s="48">
        <f t="shared" si="13"/>
        <v>3.8010203712621003E-2</v>
      </c>
      <c r="K137" s="5" cm="1">
        <f t="array" ref="K137">UseableCapacity(I137,$K$8,$K$9)</f>
        <v>26801.813250000003</v>
      </c>
      <c r="L137" s="59">
        <f t="shared" si="14"/>
        <v>34377.427824666505</v>
      </c>
      <c r="M137" s="7">
        <f t="shared" si="15"/>
        <v>25443.490074666504</v>
      </c>
      <c r="N137" s="7">
        <f t="shared" si="16"/>
        <v>2514.2489999999962</v>
      </c>
      <c r="O137" t="str">
        <f t="shared" si="21"/>
        <v>no</v>
      </c>
      <c r="P137" t="str">
        <f t="shared" si="22"/>
        <v>no</v>
      </c>
    </row>
    <row r="138" spans="2:16" x14ac:dyDescent="0.35">
      <c r="B138">
        <f t="shared" si="19"/>
        <v>123</v>
      </c>
      <c r="C138" s="7">
        <f t="shared" si="10"/>
        <v>123</v>
      </c>
      <c r="D138" s="1" cm="1">
        <f t="array" ref="D138">estimatedTripEnergy(C138,G$5,G$6,C$12,C$7,C$9,C$8,FALSE)/1000</f>
        <v>1211.2898544940999</v>
      </c>
      <c r="E138" s="1" cm="1">
        <f t="array" ref="E138">estimatedTripEnergy(C138,G$5,G$6,C$12,C$7,C$9,C$8)/1000</f>
        <v>1359.2498544941</v>
      </c>
      <c r="F138" s="59" cm="1">
        <f t="array" ref="F138">estimatedTripDuration(C138,$C$8,$C$7)/60</f>
        <v>5.8471526767660071</v>
      </c>
      <c r="G138">
        <f t="shared" si="20"/>
        <v>123</v>
      </c>
      <c r="H138" s="50">
        <f t="shared" si="12"/>
        <v>20.5</v>
      </c>
      <c r="I138" s="7" cm="1">
        <f t="array" ref="I138">CurrentCapacity(K$10,K$6,K$7,H138)</f>
        <v>35735.521500000003</v>
      </c>
      <c r="J138" s="48">
        <f t="shared" si="13"/>
        <v>3.8036379418559758E-2</v>
      </c>
      <c r="K138" s="5" cm="1">
        <f t="array" ref="K138">UseableCapacity(I138,$K$8,$K$9)</f>
        <v>26801.641125000002</v>
      </c>
      <c r="L138" s="59">
        <f t="shared" si="14"/>
        <v>34376.271645505905</v>
      </c>
      <c r="M138" s="7">
        <f t="shared" si="15"/>
        <v>25442.391270505901</v>
      </c>
      <c r="N138" s="7">
        <f t="shared" si="16"/>
        <v>2514.4784999999974</v>
      </c>
      <c r="O138" t="str">
        <f t="shared" si="21"/>
        <v>no</v>
      </c>
      <c r="P138" t="str">
        <f t="shared" si="22"/>
        <v>no</v>
      </c>
    </row>
    <row r="139" spans="2:16" x14ac:dyDescent="0.35">
      <c r="B139">
        <f t="shared" si="19"/>
        <v>124</v>
      </c>
      <c r="C139" s="7">
        <f t="shared" si="10"/>
        <v>124</v>
      </c>
      <c r="D139" s="1" cm="1">
        <f t="array" ref="D139">estimatedTripEnergy(C139,G$5,G$6,C$12,C$7,C$9,C$8,FALSE)/1000</f>
        <v>1212.2165336547</v>
      </c>
      <c r="E139" s="1" cm="1">
        <f t="array" ref="E139">estimatedTripEnergy(C139,G$5,G$6,C$12,C$7,C$9,C$8)/1000</f>
        <v>1360.1765336547001</v>
      </c>
      <c r="F139" s="59" cm="1">
        <f t="array" ref="F139">estimatedTripDuration(C139,$C$8,$C$7)/60</f>
        <v>5.8804860100993412</v>
      </c>
      <c r="G139">
        <f t="shared" si="20"/>
        <v>124</v>
      </c>
      <c r="H139" s="50">
        <f t="shared" si="12"/>
        <v>20.666666666666668</v>
      </c>
      <c r="I139" s="7" cm="1">
        <f t="array" ref="I139">CurrentCapacity(K$10,K$6,K$7,H139)</f>
        <v>35735.292000000001</v>
      </c>
      <c r="J139" s="48">
        <f t="shared" si="13"/>
        <v>3.806255546071094E-2</v>
      </c>
      <c r="K139" s="5" cm="1">
        <f t="array" ref="K139">UseableCapacity(I139,$K$8,$K$9)</f>
        <v>26801.469000000001</v>
      </c>
      <c r="L139" s="59">
        <f t="shared" si="14"/>
        <v>34375.115466345298</v>
      </c>
      <c r="M139" s="7">
        <f t="shared" si="15"/>
        <v>25441.292466345301</v>
      </c>
      <c r="N139" s="7">
        <f t="shared" si="16"/>
        <v>2514.7079999999987</v>
      </c>
      <c r="O139" t="str">
        <f t="shared" si="21"/>
        <v>no</v>
      </c>
      <c r="P139" t="str">
        <f t="shared" si="22"/>
        <v>no</v>
      </c>
    </row>
    <row r="140" spans="2:16" x14ac:dyDescent="0.35">
      <c r="B140">
        <f t="shared" si="19"/>
        <v>125</v>
      </c>
      <c r="C140" s="7">
        <f t="shared" si="10"/>
        <v>125</v>
      </c>
      <c r="D140" s="1" cm="1">
        <f t="array" ref="D140">estimatedTripEnergy(C140,G$5,G$6,C$12,C$7,C$9,C$8,FALSE)/1000</f>
        <v>1213.1432128153001</v>
      </c>
      <c r="E140" s="1" cm="1">
        <f t="array" ref="E140">estimatedTripEnergy(C140,G$5,G$6,C$12,C$7,C$9,C$8)/1000</f>
        <v>1361.1032128153001</v>
      </c>
      <c r="F140" s="59" cm="1">
        <f t="array" ref="F140">estimatedTripDuration(C140,$C$8,$C$7)/60</f>
        <v>5.9138193434326745</v>
      </c>
      <c r="G140">
        <f t="shared" si="20"/>
        <v>125</v>
      </c>
      <c r="H140" s="50">
        <f t="shared" si="12"/>
        <v>20.833333333333332</v>
      </c>
      <c r="I140" s="7" cm="1">
        <f t="array" ref="I140">CurrentCapacity(K$10,K$6,K$7,H140)</f>
        <v>35735.0625</v>
      </c>
      <c r="J140" s="48">
        <f t="shared" si="13"/>
        <v>3.8088731839081021E-2</v>
      </c>
      <c r="K140" s="5" cm="1">
        <f t="array" ref="K140">UseableCapacity(I140,$K$8,$K$9)</f>
        <v>26801.296875</v>
      </c>
      <c r="L140" s="59">
        <f t="shared" si="14"/>
        <v>34373.959287184698</v>
      </c>
      <c r="M140" s="7">
        <f t="shared" si="15"/>
        <v>25440.193662184698</v>
      </c>
      <c r="N140" s="7">
        <f t="shared" si="16"/>
        <v>2514.9375</v>
      </c>
      <c r="O140" t="str">
        <f t="shared" si="21"/>
        <v>no</v>
      </c>
      <c r="P140" t="str">
        <f t="shared" si="22"/>
        <v>no</v>
      </c>
    </row>
    <row r="141" spans="2:16" x14ac:dyDescent="0.35">
      <c r="B141">
        <f t="shared" si="19"/>
        <v>126</v>
      </c>
      <c r="C141" s="7">
        <f t="shared" si="10"/>
        <v>126</v>
      </c>
      <c r="D141" s="1" cm="1">
        <f t="array" ref="D141">estimatedTripEnergy(C141,G$5,G$6,C$12,C$7,C$9,C$8,FALSE)/1000</f>
        <v>1214.0698919759</v>
      </c>
      <c r="E141" s="1" cm="1">
        <f t="array" ref="E141">estimatedTripEnergy(C141,G$5,G$6,C$12,C$7,C$9,C$8)/1000</f>
        <v>1362.0298919759</v>
      </c>
      <c r="F141" s="59" cm="1">
        <f t="array" ref="F141">estimatedTripDuration(C141,$C$8,$C$7)/60</f>
        <v>5.9471526767660077</v>
      </c>
      <c r="G141">
        <f t="shared" si="20"/>
        <v>126</v>
      </c>
      <c r="H141" s="50">
        <f t="shared" si="12"/>
        <v>21</v>
      </c>
      <c r="I141" s="7" cm="1">
        <f t="array" ref="I141">CurrentCapacity(K$10,K$6,K$7,H141)</f>
        <v>35734.833000000006</v>
      </c>
      <c r="J141" s="48">
        <f t="shared" si="13"/>
        <v>3.8114908553676455E-2</v>
      </c>
      <c r="K141" s="5" cm="1">
        <f t="array" ref="K141">UseableCapacity(I141,$K$8,$K$9)</f>
        <v>26801.124750000003</v>
      </c>
      <c r="L141" s="59">
        <f t="shared" si="14"/>
        <v>34372.803108024105</v>
      </c>
      <c r="M141" s="7">
        <f t="shared" si="15"/>
        <v>25439.094858024102</v>
      </c>
      <c r="N141" s="7">
        <f t="shared" si="16"/>
        <v>2515.166999999994</v>
      </c>
      <c r="O141" t="str">
        <f t="shared" si="21"/>
        <v>no</v>
      </c>
      <c r="P141" t="str">
        <f t="shared" si="22"/>
        <v>no</v>
      </c>
    </row>
    <row r="142" spans="2:16" x14ac:dyDescent="0.35">
      <c r="B142">
        <f t="shared" si="19"/>
        <v>127</v>
      </c>
      <c r="C142" s="7">
        <f t="shared" si="10"/>
        <v>127</v>
      </c>
      <c r="D142" s="1" cm="1">
        <f t="array" ref="D142">estimatedTripEnergy(C142,G$5,G$6,C$12,C$7,C$9,C$8,FALSE)/1000</f>
        <v>1214.9965711365001</v>
      </c>
      <c r="E142" s="1" cm="1">
        <f t="array" ref="E142">estimatedTripEnergy(C142,G$5,G$6,C$12,C$7,C$9,C$8)/1000</f>
        <v>1362.9565711365001</v>
      </c>
      <c r="F142" s="59" cm="1">
        <f t="array" ref="F142">estimatedTripDuration(C142,$C$8,$C$7)/60</f>
        <v>5.9804860100993409</v>
      </c>
      <c r="G142">
        <f t="shared" si="20"/>
        <v>127</v>
      </c>
      <c r="H142" s="50">
        <f t="shared" si="12"/>
        <v>21.166666666666668</v>
      </c>
      <c r="I142" s="7" cm="1">
        <f t="array" ref="I142">CurrentCapacity(K$10,K$6,K$7,H142)</f>
        <v>35734.603499999997</v>
      </c>
      <c r="J142" s="48">
        <f t="shared" si="13"/>
        <v>3.8141085604503772E-2</v>
      </c>
      <c r="K142" s="5" cm="1">
        <f t="array" ref="K142">UseableCapacity(I142,$K$8,$K$9)</f>
        <v>26800.952624999998</v>
      </c>
      <c r="L142" s="59">
        <f t="shared" si="14"/>
        <v>34371.646928863498</v>
      </c>
      <c r="M142" s="7">
        <f t="shared" si="15"/>
        <v>25437.996053863499</v>
      </c>
      <c r="N142" s="7">
        <f t="shared" si="16"/>
        <v>2515.3965000000026</v>
      </c>
      <c r="O142" t="str">
        <f t="shared" si="21"/>
        <v>no</v>
      </c>
      <c r="P142" t="str">
        <f t="shared" si="22"/>
        <v>no</v>
      </c>
    </row>
    <row r="143" spans="2:16" x14ac:dyDescent="0.35">
      <c r="B143">
        <f t="shared" si="19"/>
        <v>128</v>
      </c>
      <c r="C143" s="7">
        <f t="shared" si="10"/>
        <v>128</v>
      </c>
      <c r="D143" s="1" cm="1">
        <f t="array" ref="D143">estimatedTripEnergy(C143,G$5,G$6,C$12,C$7,C$9,C$8,FALSE)/1000</f>
        <v>1215.9232502971001</v>
      </c>
      <c r="E143" s="1" cm="1">
        <f t="array" ref="E143">estimatedTripEnergy(C143,G$5,G$6,C$12,C$7,C$9,C$8)/1000</f>
        <v>1363.8832502970999</v>
      </c>
      <c r="F143" s="59" cm="1">
        <f t="array" ref="F143">estimatedTripDuration(C143,$C$8,$C$7)/60</f>
        <v>6.0138193434326741</v>
      </c>
      <c r="G143">
        <f t="shared" si="20"/>
        <v>128</v>
      </c>
      <c r="H143" s="50">
        <f t="shared" si="12"/>
        <v>21.333333333333332</v>
      </c>
      <c r="I143" s="7" cm="1">
        <f t="array" ref="I143">CurrentCapacity(K$10,K$6,K$7,H143)</f>
        <v>35734.374000000003</v>
      </c>
      <c r="J143" s="48">
        <f t="shared" si="13"/>
        <v>3.8167262991569403E-2</v>
      </c>
      <c r="K143" s="5" cm="1">
        <f t="array" ref="K143">UseableCapacity(I143,$K$8,$K$9)</f>
        <v>26800.780500000001</v>
      </c>
      <c r="L143" s="59">
        <f t="shared" si="14"/>
        <v>34370.490749702905</v>
      </c>
      <c r="M143" s="7">
        <f t="shared" si="15"/>
        <v>25436.897249702903</v>
      </c>
      <c r="N143" s="7">
        <f t="shared" si="16"/>
        <v>2515.6259999999966</v>
      </c>
      <c r="O143" t="str">
        <f t="shared" si="21"/>
        <v>no</v>
      </c>
      <c r="P143" t="str">
        <f t="shared" si="22"/>
        <v>no</v>
      </c>
    </row>
    <row r="144" spans="2:16" x14ac:dyDescent="0.35">
      <c r="B144">
        <f t="shared" si="19"/>
        <v>129</v>
      </c>
      <c r="C144" s="7">
        <f t="shared" ref="C144:C207" si="23">$C$8*B144</f>
        <v>129</v>
      </c>
      <c r="D144" s="1" cm="1">
        <f t="array" ref="D144">estimatedTripEnergy(C144,G$5,G$6,C$12,C$7,C$9,C$8,FALSE)/1000</f>
        <v>1216.8499294576998</v>
      </c>
      <c r="E144" s="1" cm="1">
        <f t="array" ref="E144">estimatedTripEnergy(C144,G$5,G$6,C$12,C$7,C$9,C$8)/1000</f>
        <v>1364.8099294576998</v>
      </c>
      <c r="F144" s="59" cm="1">
        <f t="array" ref="F144">estimatedTripDuration(C144,$C$8,$C$7)/60</f>
        <v>6.0471526767660073</v>
      </c>
      <c r="G144">
        <f t="shared" si="20"/>
        <v>129</v>
      </c>
      <c r="H144" s="50">
        <f t="shared" ref="H144:H207" si="24">G144/$G$4</f>
        <v>21.5</v>
      </c>
      <c r="I144" s="7" cm="1">
        <f t="array" ref="I144">CurrentCapacity(K$10,K$6,K$7,H144)</f>
        <v>35734.144500000002</v>
      </c>
      <c r="J144" s="48">
        <f t="shared" ref="J144:J207" si="25">E144/I144</f>
        <v>3.8193440714879845E-2</v>
      </c>
      <c r="K144" s="5" cm="1">
        <f t="array" ref="K144">UseableCapacity(I144,$K$8,$K$9)</f>
        <v>26800.608375000003</v>
      </c>
      <c r="L144" s="59">
        <f t="shared" ref="L144:L207" si="26">(K$8*I144)-E144</f>
        <v>34369.334570542305</v>
      </c>
      <c r="M144" s="7">
        <f t="shared" ref="M144:M207" si="27">K144-E144</f>
        <v>25435.798445542303</v>
      </c>
      <c r="N144" s="7">
        <f t="shared" ref="N144:N207" si="28">$K$10-I144</f>
        <v>2515.8554999999978</v>
      </c>
      <c r="O144" t="str">
        <f t="shared" si="21"/>
        <v>no</v>
      </c>
      <c r="P144" t="str">
        <f t="shared" si="22"/>
        <v>no</v>
      </c>
    </row>
    <row r="145" spans="2:16" x14ac:dyDescent="0.35">
      <c r="B145">
        <f t="shared" ref="B145:B208" si="29">B144+$G$12</f>
        <v>130</v>
      </c>
      <c r="C145" s="7">
        <f t="shared" si="23"/>
        <v>130</v>
      </c>
      <c r="D145" s="1" cm="1">
        <f t="array" ref="D145">estimatedTripEnergy(C145,G$5,G$6,C$12,C$7,C$9,C$8,FALSE)/1000</f>
        <v>1217.7766086182999</v>
      </c>
      <c r="E145" s="1" cm="1">
        <f t="array" ref="E145">estimatedTripEnergy(C145,G$5,G$6,C$12,C$7,C$9,C$8)/1000</f>
        <v>1365.7366086182999</v>
      </c>
      <c r="F145" s="59" cm="1">
        <f t="array" ref="F145">estimatedTripDuration(C145,$C$8,$C$7)/60</f>
        <v>6.0804860100993405</v>
      </c>
      <c r="G145">
        <f t="shared" si="20"/>
        <v>130</v>
      </c>
      <c r="H145" s="50">
        <f t="shared" si="24"/>
        <v>21.666666666666668</v>
      </c>
      <c r="I145" s="7" cm="1">
        <f t="array" ref="I145">CurrentCapacity(K$10,K$6,K$7,H145)</f>
        <v>35733.915000000001</v>
      </c>
      <c r="J145" s="48">
        <f t="shared" si="25"/>
        <v>3.8219618774441591E-2</v>
      </c>
      <c r="K145" s="5" cm="1">
        <f t="array" ref="K145">UseableCapacity(I145,$K$8,$K$9)</f>
        <v>26800.436249999999</v>
      </c>
      <c r="L145" s="59">
        <f t="shared" si="26"/>
        <v>34368.178391381698</v>
      </c>
      <c r="M145" s="7">
        <f t="shared" si="27"/>
        <v>25434.6996413817</v>
      </c>
      <c r="N145" s="7">
        <f t="shared" si="28"/>
        <v>2516.0849999999991</v>
      </c>
      <c r="O145" t="str">
        <f t="shared" si="21"/>
        <v>no</v>
      </c>
      <c r="P145" t="str">
        <f t="shared" si="22"/>
        <v>no</v>
      </c>
    </row>
    <row r="146" spans="2:16" x14ac:dyDescent="0.35">
      <c r="B146">
        <f t="shared" si="29"/>
        <v>131</v>
      </c>
      <c r="C146" s="7">
        <f t="shared" si="23"/>
        <v>131</v>
      </c>
      <c r="D146" s="1" cm="1">
        <f t="array" ref="D146">estimatedTripEnergy(C146,G$5,G$6,C$12,C$7,C$9,C$8,FALSE)/1000</f>
        <v>1218.7032877788999</v>
      </c>
      <c r="E146" s="1" cm="1">
        <f t="array" ref="E146">estimatedTripEnergy(C146,G$5,G$6,C$12,C$7,C$9,C$8)/1000</f>
        <v>1366.6632877789</v>
      </c>
      <c r="F146" s="59" cm="1">
        <f t="array" ref="F146">estimatedTripDuration(C146,$C$8,$C$7)/60</f>
        <v>6.1138193434326746</v>
      </c>
      <c r="G146">
        <f t="shared" si="20"/>
        <v>131</v>
      </c>
      <c r="H146" s="50">
        <f t="shared" si="24"/>
        <v>21.833333333333332</v>
      </c>
      <c r="I146" s="7" cm="1">
        <f t="array" ref="I146">CurrentCapacity(K$10,K$6,K$7,H146)</f>
        <v>35733.685500000007</v>
      </c>
      <c r="J146" s="48">
        <f t="shared" si="25"/>
        <v>3.8245797170261088E-2</v>
      </c>
      <c r="K146" s="5" cm="1">
        <f t="array" ref="K146">UseableCapacity(I146,$K$8,$K$9)</f>
        <v>26800.264125000005</v>
      </c>
      <c r="L146" s="59">
        <f t="shared" si="26"/>
        <v>34367.022212221105</v>
      </c>
      <c r="M146" s="7">
        <f t="shared" si="27"/>
        <v>25433.600837221104</v>
      </c>
      <c r="N146" s="7">
        <f t="shared" si="28"/>
        <v>2516.3144999999931</v>
      </c>
      <c r="O146" t="str">
        <f t="shared" si="21"/>
        <v>no</v>
      </c>
      <c r="P146" t="str">
        <f t="shared" si="22"/>
        <v>no</v>
      </c>
    </row>
    <row r="147" spans="2:16" x14ac:dyDescent="0.35">
      <c r="B147">
        <f t="shared" si="29"/>
        <v>132</v>
      </c>
      <c r="C147" s="7">
        <f t="shared" si="23"/>
        <v>132</v>
      </c>
      <c r="D147" s="1" cm="1">
        <f t="array" ref="D147">estimatedTripEnergy(C147,G$5,G$6,C$12,C$7,C$9,C$8,FALSE)/1000</f>
        <v>1219.6299669395</v>
      </c>
      <c r="E147" s="1" cm="1">
        <f t="array" ref="E147">estimatedTripEnergy(C147,G$5,G$6,C$12,C$7,C$9,C$8)/1000</f>
        <v>1367.5899669395001</v>
      </c>
      <c r="F147" s="59" cm="1">
        <f t="array" ref="F147">estimatedTripDuration(C147,$C$8,$C$7)/60</f>
        <v>6.1471526767660079</v>
      </c>
      <c r="G147">
        <f t="shared" si="20"/>
        <v>132</v>
      </c>
      <c r="H147" s="50">
        <f t="shared" si="24"/>
        <v>22</v>
      </c>
      <c r="I147" s="7" cm="1">
        <f t="array" ref="I147">CurrentCapacity(K$10,K$6,K$7,H147)</f>
        <v>35733.455999999998</v>
      </c>
      <c r="J147" s="48">
        <f t="shared" si="25"/>
        <v>3.8271975902344851E-2</v>
      </c>
      <c r="K147" s="5" cm="1">
        <f t="array" ref="K147">UseableCapacity(I147,$K$8,$K$9)</f>
        <v>26800.091999999997</v>
      </c>
      <c r="L147" s="59">
        <f t="shared" si="26"/>
        <v>34365.866033060498</v>
      </c>
      <c r="M147" s="7">
        <f t="shared" si="27"/>
        <v>25432.502033060497</v>
      </c>
      <c r="N147" s="7">
        <f t="shared" si="28"/>
        <v>2516.5440000000017</v>
      </c>
      <c r="O147" t="str">
        <f t="shared" si="21"/>
        <v>no</v>
      </c>
      <c r="P147" t="str">
        <f t="shared" si="22"/>
        <v>no</v>
      </c>
    </row>
    <row r="148" spans="2:16" x14ac:dyDescent="0.35">
      <c r="B148">
        <f t="shared" si="29"/>
        <v>133</v>
      </c>
      <c r="C148" s="7">
        <f t="shared" si="23"/>
        <v>133</v>
      </c>
      <c r="D148" s="1" cm="1">
        <f t="array" ref="D148">estimatedTripEnergy(C148,G$5,G$6,C$12,C$7,C$9,C$8,FALSE)/1000</f>
        <v>1220.5566461001001</v>
      </c>
      <c r="E148" s="1" cm="1">
        <f t="array" ref="E148">estimatedTripEnergy(C148,G$5,G$6,C$12,C$7,C$9,C$8)/1000</f>
        <v>1368.5166461001002</v>
      </c>
      <c r="F148" s="59" cm="1">
        <f t="array" ref="F148">estimatedTripDuration(C148,$C$8,$C$7)/60</f>
        <v>6.1804860100993411</v>
      </c>
      <c r="G148">
        <f t="shared" si="20"/>
        <v>133</v>
      </c>
      <c r="H148" s="50">
        <f t="shared" si="24"/>
        <v>22.166666666666668</v>
      </c>
      <c r="I148" s="7" cm="1">
        <f t="array" ref="I148">CurrentCapacity(K$10,K$6,K$7,H148)</f>
        <v>35733.226500000004</v>
      </c>
      <c r="J148" s="48">
        <f t="shared" si="25"/>
        <v>3.8298154970699327E-2</v>
      </c>
      <c r="K148" s="5" cm="1">
        <f t="array" ref="K148">UseableCapacity(I148,$K$8,$K$9)</f>
        <v>26799.919875000003</v>
      </c>
      <c r="L148" s="59">
        <f t="shared" si="26"/>
        <v>34364.709853899905</v>
      </c>
      <c r="M148" s="7">
        <f t="shared" si="27"/>
        <v>25431.403228899904</v>
      </c>
      <c r="N148" s="7">
        <f t="shared" si="28"/>
        <v>2516.7734999999957</v>
      </c>
      <c r="O148" t="str">
        <f t="shared" si="21"/>
        <v>no</v>
      </c>
      <c r="P148" t="str">
        <f t="shared" si="22"/>
        <v>no</v>
      </c>
    </row>
    <row r="149" spans="2:16" x14ac:dyDescent="0.35">
      <c r="B149">
        <f t="shared" si="29"/>
        <v>134</v>
      </c>
      <c r="C149" s="7">
        <f t="shared" si="23"/>
        <v>134</v>
      </c>
      <c r="D149" s="1" cm="1">
        <f t="array" ref="D149">estimatedTripEnergy(C149,G$5,G$6,C$12,C$7,C$9,C$8,FALSE)/1000</f>
        <v>1221.4833252607</v>
      </c>
      <c r="E149" s="1" cm="1">
        <f t="array" ref="E149">estimatedTripEnergy(C149,G$5,G$6,C$12,C$7,C$9,C$8)/1000</f>
        <v>1369.4433252607</v>
      </c>
      <c r="F149" s="59" cm="1">
        <f t="array" ref="F149">estimatedTripDuration(C149,$C$8,$C$7)/60</f>
        <v>6.2138193434326743</v>
      </c>
      <c r="G149">
        <f t="shared" si="20"/>
        <v>134</v>
      </c>
      <c r="H149" s="50">
        <f t="shared" si="24"/>
        <v>22.333333333333332</v>
      </c>
      <c r="I149" s="7" cm="1">
        <f t="array" ref="I149">CurrentCapacity(K$10,K$6,K$7,H149)</f>
        <v>35732.997000000003</v>
      </c>
      <c r="J149" s="48">
        <f t="shared" si="25"/>
        <v>3.8324334375331011E-2</v>
      </c>
      <c r="K149" s="5" cm="1">
        <f t="array" ref="K149">UseableCapacity(I149,$K$8,$K$9)</f>
        <v>26799.747750000002</v>
      </c>
      <c r="L149" s="59">
        <f t="shared" si="26"/>
        <v>34363.553674739305</v>
      </c>
      <c r="M149" s="7">
        <f t="shared" si="27"/>
        <v>25430.304424739301</v>
      </c>
      <c r="N149" s="7">
        <f t="shared" si="28"/>
        <v>2517.002999999997</v>
      </c>
      <c r="O149" t="str">
        <f t="shared" si="21"/>
        <v>no</v>
      </c>
      <c r="P149" t="str">
        <f t="shared" si="22"/>
        <v>no</v>
      </c>
    </row>
    <row r="150" spans="2:16" x14ac:dyDescent="0.35">
      <c r="B150">
        <f t="shared" si="29"/>
        <v>135</v>
      </c>
      <c r="C150" s="7">
        <f t="shared" si="23"/>
        <v>135</v>
      </c>
      <c r="D150" s="1" cm="1">
        <f t="array" ref="D150">estimatedTripEnergy(C150,G$5,G$6,C$12,C$7,C$9,C$8,FALSE)/1000</f>
        <v>1222.4100044213001</v>
      </c>
      <c r="E150" s="1" cm="1">
        <f t="array" ref="E150">estimatedTripEnergy(C150,G$5,G$6,C$12,C$7,C$9,C$8)/1000</f>
        <v>1370.3700044213001</v>
      </c>
      <c r="F150" s="59" cm="1">
        <f t="array" ref="F150">estimatedTripDuration(C150,$C$8,$C$7)/60</f>
        <v>6.2471526767660075</v>
      </c>
      <c r="G150">
        <f t="shared" si="20"/>
        <v>135</v>
      </c>
      <c r="H150" s="50">
        <f t="shared" si="24"/>
        <v>22.5</v>
      </c>
      <c r="I150" s="7" cm="1">
        <f t="array" ref="I150">CurrentCapacity(K$10,K$6,K$7,H150)</f>
        <v>35732.767500000002</v>
      </c>
      <c r="J150" s="48">
        <f t="shared" si="25"/>
        <v>3.8350514116246383E-2</v>
      </c>
      <c r="K150" s="5" cm="1">
        <f t="array" ref="K150">UseableCapacity(I150,$K$8,$K$9)</f>
        <v>26799.575625000001</v>
      </c>
      <c r="L150" s="59">
        <f t="shared" si="26"/>
        <v>34362.397495578698</v>
      </c>
      <c r="M150" s="7">
        <f t="shared" si="27"/>
        <v>25429.205620578701</v>
      </c>
      <c r="N150" s="7">
        <f t="shared" si="28"/>
        <v>2517.2324999999983</v>
      </c>
      <c r="O150" t="str">
        <f t="shared" si="21"/>
        <v>no</v>
      </c>
      <c r="P150" t="str">
        <f t="shared" si="22"/>
        <v>no</v>
      </c>
    </row>
    <row r="151" spans="2:16" x14ac:dyDescent="0.35">
      <c r="B151">
        <f t="shared" si="29"/>
        <v>136</v>
      </c>
      <c r="C151" s="7">
        <f t="shared" si="23"/>
        <v>136</v>
      </c>
      <c r="D151" s="1" cm="1">
        <f t="array" ref="D151">estimatedTripEnergy(C151,G$5,G$6,C$12,C$7,C$9,C$8,FALSE)/1000</f>
        <v>1223.3366835819002</v>
      </c>
      <c r="E151" s="1" cm="1">
        <f t="array" ref="E151">estimatedTripEnergy(C151,G$5,G$6,C$12,C$7,C$9,C$8)/1000</f>
        <v>1371.2966835819002</v>
      </c>
      <c r="F151" s="59" cm="1">
        <f t="array" ref="F151">estimatedTripDuration(C151,$C$8,$C$7)/60</f>
        <v>6.2804860100993407</v>
      </c>
      <c r="G151">
        <f t="shared" si="20"/>
        <v>136</v>
      </c>
      <c r="H151" s="50">
        <f t="shared" si="24"/>
        <v>22.666666666666668</v>
      </c>
      <c r="I151" s="7" cm="1">
        <f t="array" ref="I151">CurrentCapacity(K$10,K$6,K$7,H151)</f>
        <v>35732.538</v>
      </c>
      <c r="J151" s="48">
        <f t="shared" si="25"/>
        <v>3.8376694193451924E-2</v>
      </c>
      <c r="K151" s="5" cm="1">
        <f t="array" ref="K151">UseableCapacity(I151,$K$8,$K$9)</f>
        <v>26799.4035</v>
      </c>
      <c r="L151" s="59">
        <f t="shared" si="26"/>
        <v>34361.241316418098</v>
      </c>
      <c r="M151" s="7">
        <f t="shared" si="27"/>
        <v>25428.106816418102</v>
      </c>
      <c r="N151" s="7">
        <f t="shared" si="28"/>
        <v>2517.4619999999995</v>
      </c>
      <c r="O151" t="str">
        <f t="shared" si="21"/>
        <v>no</v>
      </c>
      <c r="P151" t="str">
        <f t="shared" si="22"/>
        <v>no</v>
      </c>
    </row>
    <row r="152" spans="2:16" x14ac:dyDescent="0.35">
      <c r="B152">
        <f t="shared" si="29"/>
        <v>137</v>
      </c>
      <c r="C152" s="7">
        <f t="shared" si="23"/>
        <v>137</v>
      </c>
      <c r="D152" s="1" cm="1">
        <f t="array" ref="D152">estimatedTripEnergy(C152,G$5,G$6,C$12,C$7,C$9,C$8,FALSE)/1000</f>
        <v>1224.2633627425</v>
      </c>
      <c r="E152" s="1" cm="1">
        <f t="array" ref="E152">estimatedTripEnergy(C152,G$5,G$6,C$12,C$7,C$9,C$8)/1000</f>
        <v>1372.2233627424998</v>
      </c>
      <c r="F152" s="59" cm="1">
        <f t="array" ref="F152">estimatedTripDuration(C152,$C$8,$C$7)/60</f>
        <v>6.3138193434326739</v>
      </c>
      <c r="G152">
        <f t="shared" si="20"/>
        <v>137</v>
      </c>
      <c r="H152" s="50">
        <f t="shared" si="24"/>
        <v>22.833333333333332</v>
      </c>
      <c r="I152" s="7" cm="1">
        <f t="array" ref="I152">CurrentCapacity(K$10,K$6,K$7,H152)</f>
        <v>35732.308499999999</v>
      </c>
      <c r="J152" s="48">
        <f t="shared" si="25"/>
        <v>3.8402874606954095E-2</v>
      </c>
      <c r="K152" s="5" cm="1">
        <f t="array" ref="K152">UseableCapacity(I152,$K$8,$K$9)</f>
        <v>26799.231374999999</v>
      </c>
      <c r="L152" s="59">
        <f t="shared" si="26"/>
        <v>34360.085137257498</v>
      </c>
      <c r="M152" s="7">
        <f t="shared" si="27"/>
        <v>25427.008012257498</v>
      </c>
      <c r="N152" s="7">
        <f t="shared" si="28"/>
        <v>2517.6915000000008</v>
      </c>
      <c r="O152" t="str">
        <f t="shared" si="21"/>
        <v>no</v>
      </c>
      <c r="P152" t="str">
        <f t="shared" si="22"/>
        <v>no</v>
      </c>
    </row>
    <row r="153" spans="2:16" x14ac:dyDescent="0.35">
      <c r="B153">
        <f t="shared" si="29"/>
        <v>138</v>
      </c>
      <c r="C153" s="7">
        <f t="shared" si="23"/>
        <v>138</v>
      </c>
      <c r="D153" s="1" cm="1">
        <f t="array" ref="D153">estimatedTripEnergy(C153,G$5,G$6,C$12,C$7,C$9,C$8,FALSE)/1000</f>
        <v>1225.1900419030999</v>
      </c>
      <c r="E153" s="1" cm="1">
        <f t="array" ref="E153">estimatedTripEnergy(C153,G$5,G$6,C$12,C$7,C$9,C$8)/1000</f>
        <v>1373.1500419030999</v>
      </c>
      <c r="F153" s="59" cm="1">
        <f t="array" ref="F153">estimatedTripDuration(C153,$C$8,$C$7)/60</f>
        <v>6.3471526767660071</v>
      </c>
      <c r="G153">
        <f t="shared" si="20"/>
        <v>138</v>
      </c>
      <c r="H153" s="50">
        <f t="shared" si="24"/>
        <v>23</v>
      </c>
      <c r="I153" s="7" cm="1">
        <f t="array" ref="I153">CurrentCapacity(K$10,K$6,K$7,H153)</f>
        <v>35732.078999999998</v>
      </c>
      <c r="J153" s="48">
        <f t="shared" si="25"/>
        <v>3.8429055356759396E-2</v>
      </c>
      <c r="K153" s="5" cm="1">
        <f t="array" ref="K153">UseableCapacity(I153,$K$8,$K$9)</f>
        <v>26799.059249999998</v>
      </c>
      <c r="L153" s="59">
        <f t="shared" si="26"/>
        <v>34358.928958096898</v>
      </c>
      <c r="M153" s="7">
        <f t="shared" si="27"/>
        <v>25425.909208096899</v>
      </c>
      <c r="N153" s="7">
        <f t="shared" si="28"/>
        <v>2517.9210000000021</v>
      </c>
      <c r="O153" t="str">
        <f t="shared" si="21"/>
        <v>no</v>
      </c>
      <c r="P153" t="str">
        <f t="shared" si="22"/>
        <v>no</v>
      </c>
    </row>
    <row r="154" spans="2:16" x14ac:dyDescent="0.35">
      <c r="B154">
        <f t="shared" si="29"/>
        <v>139</v>
      </c>
      <c r="C154" s="7">
        <f t="shared" si="23"/>
        <v>139</v>
      </c>
      <c r="D154" s="1" cm="1">
        <f t="array" ref="D154">estimatedTripEnergy(C154,G$5,G$6,C$12,C$7,C$9,C$8,FALSE)/1000</f>
        <v>1226.1167210637</v>
      </c>
      <c r="E154" s="1" cm="1">
        <f t="array" ref="E154">estimatedTripEnergy(C154,G$5,G$6,C$12,C$7,C$9,C$8)/1000</f>
        <v>1374.0767210637</v>
      </c>
      <c r="F154" s="59" cm="1">
        <f t="array" ref="F154">estimatedTripDuration(C154,$C$8,$C$7)/60</f>
        <v>6.3804860100993412</v>
      </c>
      <c r="G154">
        <f t="shared" si="20"/>
        <v>139</v>
      </c>
      <c r="H154" s="50">
        <f t="shared" si="24"/>
        <v>23.166666666666668</v>
      </c>
      <c r="I154" s="7" cm="1">
        <f t="array" ref="I154">CurrentCapacity(K$10,K$6,K$7,H154)</f>
        <v>35731.849500000004</v>
      </c>
      <c r="J154" s="48">
        <f t="shared" si="25"/>
        <v>3.8455236442874303E-2</v>
      </c>
      <c r="K154" s="5" cm="1">
        <f t="array" ref="K154">UseableCapacity(I154,$K$8,$K$9)</f>
        <v>26798.887125000001</v>
      </c>
      <c r="L154" s="59">
        <f t="shared" si="26"/>
        <v>34357.772778936305</v>
      </c>
      <c r="M154" s="7">
        <f t="shared" si="27"/>
        <v>25424.810403936302</v>
      </c>
      <c r="N154" s="7">
        <f t="shared" si="28"/>
        <v>2518.1504999999961</v>
      </c>
      <c r="O154" t="str">
        <f t="shared" si="21"/>
        <v>no</v>
      </c>
      <c r="P154" t="str">
        <f t="shared" si="22"/>
        <v>no</v>
      </c>
    </row>
    <row r="155" spans="2:16" x14ac:dyDescent="0.35">
      <c r="B155">
        <f t="shared" si="29"/>
        <v>140</v>
      </c>
      <c r="C155" s="7">
        <f t="shared" si="23"/>
        <v>140</v>
      </c>
      <c r="D155" s="1" cm="1">
        <f t="array" ref="D155">estimatedTripEnergy(C155,G$5,G$6,C$12,C$7,C$9,C$8,FALSE)/1000</f>
        <v>1227.0434002243001</v>
      </c>
      <c r="E155" s="1" cm="1">
        <f t="array" ref="E155">estimatedTripEnergy(C155,G$5,G$6,C$12,C$7,C$9,C$8)/1000</f>
        <v>1375.0034002243001</v>
      </c>
      <c r="F155" s="59" cm="1">
        <f t="array" ref="F155">estimatedTripDuration(C155,$C$8,$C$7)/60</f>
        <v>6.4138193434326745</v>
      </c>
      <c r="G155">
        <f t="shared" si="20"/>
        <v>140</v>
      </c>
      <c r="H155" s="50">
        <f t="shared" si="24"/>
        <v>23.333333333333332</v>
      </c>
      <c r="I155" s="7" cm="1">
        <f t="array" ref="I155">CurrentCapacity(K$10,K$6,K$7,H155)</f>
        <v>35731.620000000003</v>
      </c>
      <c r="J155" s="48">
        <f t="shared" si="25"/>
        <v>3.8481417865305297E-2</v>
      </c>
      <c r="K155" s="5" cm="1">
        <f t="array" ref="K155">UseableCapacity(I155,$K$8,$K$9)</f>
        <v>26798.715000000004</v>
      </c>
      <c r="L155" s="59">
        <f t="shared" si="26"/>
        <v>34356.616599775705</v>
      </c>
      <c r="M155" s="7">
        <f t="shared" si="27"/>
        <v>25423.711599775703</v>
      </c>
      <c r="N155" s="7">
        <f t="shared" si="28"/>
        <v>2518.3799999999974</v>
      </c>
      <c r="O155" t="str">
        <f t="shared" si="21"/>
        <v>no</v>
      </c>
      <c r="P155" t="str">
        <f t="shared" si="22"/>
        <v>no</v>
      </c>
    </row>
    <row r="156" spans="2:16" x14ac:dyDescent="0.35">
      <c r="B156">
        <f t="shared" si="29"/>
        <v>141</v>
      </c>
      <c r="C156" s="7">
        <f t="shared" si="23"/>
        <v>141</v>
      </c>
      <c r="D156" s="1" cm="1">
        <f t="array" ref="D156">estimatedTripEnergy(C156,G$5,G$6,C$12,C$7,C$9,C$8,FALSE)/1000</f>
        <v>1227.9700793848999</v>
      </c>
      <c r="E156" s="1" cm="1">
        <f t="array" ref="E156">estimatedTripEnergy(C156,G$5,G$6,C$12,C$7,C$9,C$8)/1000</f>
        <v>1375.9300793849</v>
      </c>
      <c r="F156" s="59" cm="1">
        <f t="array" ref="F156">estimatedTripDuration(C156,$C$8,$C$7)/60</f>
        <v>6.4471526767660077</v>
      </c>
      <c r="G156">
        <f t="shared" si="20"/>
        <v>141</v>
      </c>
      <c r="H156" s="50">
        <f t="shared" si="24"/>
        <v>23.5</v>
      </c>
      <c r="I156" s="7" cm="1">
        <f t="array" ref="I156">CurrentCapacity(K$10,K$6,K$7,H156)</f>
        <v>35731.390500000001</v>
      </c>
      <c r="J156" s="48">
        <f t="shared" si="25"/>
        <v>3.850759962405885E-2</v>
      </c>
      <c r="K156" s="5" cm="1">
        <f t="array" ref="K156">UseableCapacity(I156,$K$8,$K$9)</f>
        <v>26798.542874999999</v>
      </c>
      <c r="L156" s="59">
        <f t="shared" si="26"/>
        <v>34355.460420615098</v>
      </c>
      <c r="M156" s="7">
        <f t="shared" si="27"/>
        <v>25422.612795615099</v>
      </c>
      <c r="N156" s="7">
        <f t="shared" si="28"/>
        <v>2518.6094999999987</v>
      </c>
      <c r="O156" t="str">
        <f t="shared" si="21"/>
        <v>no</v>
      </c>
      <c r="P156" t="str">
        <f t="shared" si="22"/>
        <v>no</v>
      </c>
    </row>
    <row r="157" spans="2:16" x14ac:dyDescent="0.35">
      <c r="B157">
        <f t="shared" si="29"/>
        <v>142</v>
      </c>
      <c r="C157" s="7">
        <f t="shared" si="23"/>
        <v>142</v>
      </c>
      <c r="D157" s="1" cm="1">
        <f t="array" ref="D157">estimatedTripEnergy(C157,G$5,G$6,C$12,C$7,C$9,C$8,FALSE)/1000</f>
        <v>1228.8967585455</v>
      </c>
      <c r="E157" s="1" cm="1">
        <f t="array" ref="E157">estimatedTripEnergy(C157,G$5,G$6,C$12,C$7,C$9,C$8)/1000</f>
        <v>1376.8567585455</v>
      </c>
      <c r="F157" s="59" cm="1">
        <f t="array" ref="F157">estimatedTripDuration(C157,$C$8,$C$7)/60</f>
        <v>6.4804860100993409</v>
      </c>
      <c r="G157">
        <f t="shared" si="20"/>
        <v>142</v>
      </c>
      <c r="H157" s="50">
        <f t="shared" si="24"/>
        <v>23.666666666666668</v>
      </c>
      <c r="I157" s="7" cm="1">
        <f t="array" ref="I157">CurrentCapacity(K$10,K$6,K$7,H157)</f>
        <v>35731.161</v>
      </c>
      <c r="J157" s="48">
        <f t="shared" si="25"/>
        <v>3.8533781719141451E-2</v>
      </c>
      <c r="K157" s="5" cm="1">
        <f t="array" ref="K157">UseableCapacity(I157,$K$8,$K$9)</f>
        <v>26798.370750000002</v>
      </c>
      <c r="L157" s="59">
        <f t="shared" si="26"/>
        <v>34354.304241454498</v>
      </c>
      <c r="M157" s="7">
        <f t="shared" si="27"/>
        <v>25421.513991454503</v>
      </c>
      <c r="N157" s="7">
        <f t="shared" si="28"/>
        <v>2518.8389999999999</v>
      </c>
      <c r="O157" t="str">
        <f t="shared" si="21"/>
        <v>no</v>
      </c>
      <c r="P157" t="str">
        <f t="shared" si="22"/>
        <v>no</v>
      </c>
    </row>
    <row r="158" spans="2:16" x14ac:dyDescent="0.35">
      <c r="B158">
        <f t="shared" si="29"/>
        <v>143</v>
      </c>
      <c r="C158" s="7">
        <f t="shared" si="23"/>
        <v>143</v>
      </c>
      <c r="D158" s="1" cm="1">
        <f t="array" ref="D158">estimatedTripEnergy(C158,G$5,G$6,C$12,C$7,C$9,C$8,FALSE)/1000</f>
        <v>1229.8234377061001</v>
      </c>
      <c r="E158" s="1" cm="1">
        <f t="array" ref="E158">estimatedTripEnergy(C158,G$5,G$6,C$12,C$7,C$9,C$8)/1000</f>
        <v>1377.7834377061001</v>
      </c>
      <c r="F158" s="59" cm="1">
        <f t="array" ref="F158">estimatedTripDuration(C158,$C$8,$C$7)/60</f>
        <v>6.5138193434326741</v>
      </c>
      <c r="G158">
        <f t="shared" si="20"/>
        <v>143</v>
      </c>
      <c r="H158" s="50">
        <f t="shared" si="24"/>
        <v>23.833333333333332</v>
      </c>
      <c r="I158" s="7" cm="1">
        <f t="array" ref="I158">CurrentCapacity(K$10,K$6,K$7,H158)</f>
        <v>35730.931499999999</v>
      </c>
      <c r="J158" s="48">
        <f t="shared" si="25"/>
        <v>3.8559964150559581E-2</v>
      </c>
      <c r="K158" s="5" cm="1">
        <f t="array" ref="K158">UseableCapacity(I158,$K$8,$K$9)</f>
        <v>26798.198624999997</v>
      </c>
      <c r="L158" s="59">
        <f t="shared" si="26"/>
        <v>34353.148062293898</v>
      </c>
      <c r="M158" s="7">
        <f t="shared" si="27"/>
        <v>25420.415187293896</v>
      </c>
      <c r="N158" s="7">
        <f t="shared" si="28"/>
        <v>2519.0685000000012</v>
      </c>
      <c r="O158" t="str">
        <f t="shared" si="21"/>
        <v>no</v>
      </c>
      <c r="P158" t="str">
        <f t="shared" si="22"/>
        <v>no</v>
      </c>
    </row>
    <row r="159" spans="2:16" x14ac:dyDescent="0.35">
      <c r="B159">
        <f t="shared" si="29"/>
        <v>144</v>
      </c>
      <c r="C159" s="7">
        <f t="shared" si="23"/>
        <v>144</v>
      </c>
      <c r="D159" s="1" cm="1">
        <f t="array" ref="D159">estimatedTripEnergy(C159,G$5,G$6,C$12,C$7,C$9,C$8,FALSE)/1000</f>
        <v>1230.7501168667</v>
      </c>
      <c r="E159" s="1" cm="1">
        <f t="array" ref="E159">estimatedTripEnergy(C159,G$5,G$6,C$12,C$7,C$9,C$8)/1000</f>
        <v>1378.7101168667</v>
      </c>
      <c r="F159" s="59" cm="1">
        <f t="array" ref="F159">estimatedTripDuration(C159,$C$8,$C$7)/60</f>
        <v>6.5471526767660073</v>
      </c>
      <c r="G159">
        <f t="shared" si="20"/>
        <v>144</v>
      </c>
      <c r="H159" s="50">
        <f t="shared" si="24"/>
        <v>24</v>
      </c>
      <c r="I159" s="7" cm="1">
        <f t="array" ref="I159">CurrentCapacity(K$10,K$6,K$7,H159)</f>
        <v>35730.702000000005</v>
      </c>
      <c r="J159" s="48">
        <f t="shared" si="25"/>
        <v>3.8586146918319707E-2</v>
      </c>
      <c r="K159" s="5" cm="1">
        <f t="array" ref="K159">UseableCapacity(I159,$K$8,$K$9)</f>
        <v>26798.026500000004</v>
      </c>
      <c r="L159" s="59">
        <f t="shared" si="26"/>
        <v>34351.991883133305</v>
      </c>
      <c r="M159" s="7">
        <f t="shared" si="27"/>
        <v>25419.316383133304</v>
      </c>
      <c r="N159" s="7">
        <f t="shared" si="28"/>
        <v>2519.2979999999952</v>
      </c>
      <c r="O159" t="str">
        <f t="shared" si="21"/>
        <v>no</v>
      </c>
      <c r="P159" t="str">
        <f t="shared" si="22"/>
        <v>no</v>
      </c>
    </row>
    <row r="160" spans="2:16" x14ac:dyDescent="0.35">
      <c r="B160">
        <f t="shared" si="29"/>
        <v>145</v>
      </c>
      <c r="C160" s="7">
        <f t="shared" si="23"/>
        <v>145</v>
      </c>
      <c r="D160" s="1" cm="1">
        <f t="array" ref="D160">estimatedTripEnergy(C160,G$5,G$6,C$12,C$7,C$9,C$8,FALSE)/1000</f>
        <v>1231.6767960273</v>
      </c>
      <c r="E160" s="1" cm="1">
        <f t="array" ref="E160">estimatedTripEnergy(C160,G$5,G$6,C$12,C$7,C$9,C$8)/1000</f>
        <v>1379.6367960272999</v>
      </c>
      <c r="F160" s="59" cm="1">
        <f t="array" ref="F160">estimatedTripDuration(C160,$C$8,$C$7)/60</f>
        <v>6.5804860100993405</v>
      </c>
      <c r="G160">
        <f t="shared" si="20"/>
        <v>145</v>
      </c>
      <c r="H160" s="50">
        <f t="shared" si="24"/>
        <v>24.166666666666668</v>
      </c>
      <c r="I160" s="7" cm="1">
        <f t="array" ref="I160">CurrentCapacity(K$10,K$6,K$7,H160)</f>
        <v>35730.472500000003</v>
      </c>
      <c r="J160" s="48">
        <f t="shared" si="25"/>
        <v>3.861233002242833E-2</v>
      </c>
      <c r="K160" s="5" cm="1">
        <f t="array" ref="K160">UseableCapacity(I160,$K$8,$K$9)</f>
        <v>26797.854375000003</v>
      </c>
      <c r="L160" s="59">
        <f t="shared" si="26"/>
        <v>34350.835703972705</v>
      </c>
      <c r="M160" s="7">
        <f t="shared" si="27"/>
        <v>25418.217578972704</v>
      </c>
      <c r="N160" s="7">
        <f t="shared" si="28"/>
        <v>2519.5274999999965</v>
      </c>
      <c r="O160" t="str">
        <f t="shared" si="21"/>
        <v>no</v>
      </c>
      <c r="P160" t="str">
        <f t="shared" si="22"/>
        <v>no</v>
      </c>
    </row>
    <row r="161" spans="2:16" x14ac:dyDescent="0.35">
      <c r="B161">
        <f t="shared" si="29"/>
        <v>146</v>
      </c>
      <c r="C161" s="7">
        <f t="shared" si="23"/>
        <v>146</v>
      </c>
      <c r="D161" s="1" cm="1">
        <f t="array" ref="D161">estimatedTripEnergy(C161,G$5,G$6,C$12,C$7,C$9,C$8,FALSE)/1000</f>
        <v>1232.6034751878999</v>
      </c>
      <c r="E161" s="1" cm="1">
        <f t="array" ref="E161">estimatedTripEnergy(C161,G$5,G$6,C$12,C$7,C$9,C$8)/1000</f>
        <v>1380.5634751878999</v>
      </c>
      <c r="F161" s="59" cm="1">
        <f t="array" ref="F161">estimatedTripDuration(C161,$C$8,$C$7)/60</f>
        <v>6.6138193434326746</v>
      </c>
      <c r="G161">
        <f t="shared" si="20"/>
        <v>146</v>
      </c>
      <c r="H161" s="50">
        <f t="shared" si="24"/>
        <v>24.333333333333332</v>
      </c>
      <c r="I161" s="7" cm="1">
        <f t="array" ref="I161">CurrentCapacity(K$10,K$6,K$7,H161)</f>
        <v>35730.243000000002</v>
      </c>
      <c r="J161" s="48">
        <f t="shared" si="25"/>
        <v>3.8638513462891919E-2</v>
      </c>
      <c r="K161" s="5" cm="1">
        <f t="array" ref="K161">UseableCapacity(I161,$K$8,$K$9)</f>
        <v>26797.682250000002</v>
      </c>
      <c r="L161" s="59">
        <f t="shared" si="26"/>
        <v>34349.679524812105</v>
      </c>
      <c r="M161" s="7">
        <f t="shared" si="27"/>
        <v>25417.118774812101</v>
      </c>
      <c r="N161" s="7">
        <f t="shared" si="28"/>
        <v>2519.7569999999978</v>
      </c>
      <c r="O161" t="str">
        <f t="shared" si="21"/>
        <v>no</v>
      </c>
      <c r="P161" t="str">
        <f t="shared" si="22"/>
        <v>no</v>
      </c>
    </row>
    <row r="162" spans="2:16" x14ac:dyDescent="0.35">
      <c r="B162">
        <f t="shared" si="29"/>
        <v>147</v>
      </c>
      <c r="C162" s="7">
        <f t="shared" si="23"/>
        <v>147</v>
      </c>
      <c r="D162" s="1" cm="1">
        <f t="array" ref="D162">estimatedTripEnergy(C162,G$5,G$6,C$12,C$7,C$9,C$8,FALSE)/1000</f>
        <v>1233.5301543485</v>
      </c>
      <c r="E162" s="1" cm="1">
        <f t="array" ref="E162">estimatedTripEnergy(C162,G$5,G$6,C$12,C$7,C$9,C$8)/1000</f>
        <v>1381.4901543485</v>
      </c>
      <c r="F162" s="59" cm="1">
        <f t="array" ref="F162">estimatedTripDuration(C162,$C$8,$C$7)/60</f>
        <v>6.6471526767660079</v>
      </c>
      <c r="G162">
        <f t="shared" si="20"/>
        <v>147</v>
      </c>
      <c r="H162" s="50">
        <f t="shared" si="24"/>
        <v>24.5</v>
      </c>
      <c r="I162" s="7" cm="1">
        <f t="array" ref="I162">CurrentCapacity(K$10,K$6,K$7,H162)</f>
        <v>35730.013500000001</v>
      </c>
      <c r="J162" s="48">
        <f t="shared" si="25"/>
        <v>3.8664697239716966E-2</v>
      </c>
      <c r="K162" s="5" cm="1">
        <f t="array" ref="K162">UseableCapacity(I162,$K$8,$K$9)</f>
        <v>26797.510125000001</v>
      </c>
      <c r="L162" s="59">
        <f t="shared" si="26"/>
        <v>34348.523345651498</v>
      </c>
      <c r="M162" s="7">
        <f t="shared" si="27"/>
        <v>25416.019970651501</v>
      </c>
      <c r="N162" s="7">
        <f t="shared" si="28"/>
        <v>2519.9864999999991</v>
      </c>
      <c r="O162" t="str">
        <f t="shared" si="21"/>
        <v>no</v>
      </c>
      <c r="P162" t="str">
        <f t="shared" si="22"/>
        <v>no</v>
      </c>
    </row>
    <row r="163" spans="2:16" x14ac:dyDescent="0.35">
      <c r="B163">
        <f t="shared" si="29"/>
        <v>148</v>
      </c>
      <c r="C163" s="7">
        <f t="shared" si="23"/>
        <v>148</v>
      </c>
      <c r="D163" s="1" cm="1">
        <f t="array" ref="D163">estimatedTripEnergy(C163,G$5,G$6,C$12,C$7,C$9,C$8,FALSE)/1000</f>
        <v>1234.4568335091001</v>
      </c>
      <c r="E163" s="1" cm="1">
        <f t="array" ref="E163">estimatedTripEnergy(C163,G$5,G$6,C$12,C$7,C$9,C$8)/1000</f>
        <v>1382.4168335091001</v>
      </c>
      <c r="F163" s="59" cm="1">
        <f t="array" ref="F163">estimatedTripDuration(C163,$C$8,$C$7)/60</f>
        <v>6.6804860100993411</v>
      </c>
      <c r="G163">
        <f t="shared" si="20"/>
        <v>148</v>
      </c>
      <c r="H163" s="50">
        <f t="shared" si="24"/>
        <v>24.666666666666668</v>
      </c>
      <c r="I163" s="7" cm="1">
        <f t="array" ref="I163">CurrentCapacity(K$10,K$6,K$7,H163)</f>
        <v>35729.784</v>
      </c>
      <c r="J163" s="48">
        <f t="shared" si="25"/>
        <v>3.8690881352909948E-2</v>
      </c>
      <c r="K163" s="5" cm="1">
        <f t="array" ref="K163">UseableCapacity(I163,$K$8,$K$9)</f>
        <v>26797.338</v>
      </c>
      <c r="L163" s="59">
        <f t="shared" si="26"/>
        <v>34347.367166490898</v>
      </c>
      <c r="M163" s="7">
        <f t="shared" si="27"/>
        <v>25414.921166490898</v>
      </c>
      <c r="N163" s="7">
        <f t="shared" si="28"/>
        <v>2520.2160000000003</v>
      </c>
      <c r="O163" t="str">
        <f t="shared" si="21"/>
        <v>no</v>
      </c>
      <c r="P163" t="str">
        <f t="shared" si="22"/>
        <v>no</v>
      </c>
    </row>
    <row r="164" spans="2:16" x14ac:dyDescent="0.35">
      <c r="B164">
        <f t="shared" si="29"/>
        <v>149</v>
      </c>
      <c r="C164" s="7">
        <f t="shared" si="23"/>
        <v>149</v>
      </c>
      <c r="D164" s="1" cm="1">
        <f t="array" ref="D164">estimatedTripEnergy(C164,G$5,G$6,C$12,C$7,C$9,C$8,FALSE)/1000</f>
        <v>1235.3835126696999</v>
      </c>
      <c r="E164" s="1" cm="1">
        <f t="array" ref="E164">estimatedTripEnergy(C164,G$5,G$6,C$12,C$7,C$9,C$8)/1000</f>
        <v>1383.3435126697</v>
      </c>
      <c r="F164" s="59" cm="1">
        <f t="array" ref="F164">estimatedTripDuration(C164,$C$8,$C$7)/60</f>
        <v>6.7138193434326743</v>
      </c>
      <c r="G164">
        <f t="shared" si="20"/>
        <v>149</v>
      </c>
      <c r="H164" s="50">
        <f t="shared" si="24"/>
        <v>24.833333333333332</v>
      </c>
      <c r="I164" s="7" cm="1">
        <f t="array" ref="I164">CurrentCapacity(K$10,K$6,K$7,H164)</f>
        <v>35729.554500000006</v>
      </c>
      <c r="J164" s="48">
        <f t="shared" si="25"/>
        <v>3.8717065802477323E-2</v>
      </c>
      <c r="K164" s="5" cm="1">
        <f t="array" ref="K164">UseableCapacity(I164,$K$8,$K$9)</f>
        <v>26797.165875000006</v>
      </c>
      <c r="L164" s="59">
        <f t="shared" si="26"/>
        <v>34346.210987330305</v>
      </c>
      <c r="M164" s="7">
        <f t="shared" si="27"/>
        <v>25413.822362330306</v>
      </c>
      <c r="N164" s="7">
        <f t="shared" si="28"/>
        <v>2520.4454999999944</v>
      </c>
      <c r="O164" t="str">
        <f t="shared" si="21"/>
        <v>no</v>
      </c>
      <c r="P164" t="str">
        <f t="shared" si="22"/>
        <v>no</v>
      </c>
    </row>
    <row r="165" spans="2:16" x14ac:dyDescent="0.35">
      <c r="B165">
        <f t="shared" si="29"/>
        <v>150</v>
      </c>
      <c r="C165" s="7">
        <f t="shared" si="23"/>
        <v>150</v>
      </c>
      <c r="D165" s="1" cm="1">
        <f t="array" ref="D165">estimatedTripEnergy(C165,G$5,G$6,C$12,C$7,C$9,C$8,FALSE)/1000</f>
        <v>1236.3101918303</v>
      </c>
      <c r="E165" s="1" cm="1">
        <f t="array" ref="E165">estimatedTripEnergy(C165,G$5,G$6,C$12,C$7,C$9,C$8)/1000</f>
        <v>1384.2701918303001</v>
      </c>
      <c r="F165" s="59" cm="1">
        <f t="array" ref="F165">estimatedTripDuration(C165,$C$8,$C$7)/60</f>
        <v>6.7471526767660075</v>
      </c>
      <c r="G165">
        <f t="shared" si="20"/>
        <v>150</v>
      </c>
      <c r="H165" s="50">
        <f t="shared" si="24"/>
        <v>25</v>
      </c>
      <c r="I165" s="7" cm="1">
        <f t="array" ref="I165">CurrentCapacity(K$10,K$6,K$7,H165)</f>
        <v>35729.325000000004</v>
      </c>
      <c r="J165" s="48">
        <f t="shared" si="25"/>
        <v>3.8743250588425614E-2</v>
      </c>
      <c r="K165" s="5" cm="1">
        <f t="array" ref="K165">UseableCapacity(I165,$K$8,$K$9)</f>
        <v>26796.993750000001</v>
      </c>
      <c r="L165" s="59">
        <f t="shared" si="26"/>
        <v>34345.054808169705</v>
      </c>
      <c r="M165" s="7">
        <f t="shared" si="27"/>
        <v>25412.723558169702</v>
      </c>
      <c r="N165" s="7">
        <f t="shared" si="28"/>
        <v>2520.6749999999956</v>
      </c>
      <c r="O165" t="str">
        <f t="shared" si="21"/>
        <v>no</v>
      </c>
      <c r="P165" t="str">
        <f t="shared" si="22"/>
        <v>no</v>
      </c>
    </row>
    <row r="166" spans="2:16" x14ac:dyDescent="0.35">
      <c r="B166">
        <f t="shared" si="29"/>
        <v>151</v>
      </c>
      <c r="C166" s="7">
        <f t="shared" si="23"/>
        <v>151</v>
      </c>
      <c r="D166" s="1" cm="1">
        <f t="array" ref="D166">estimatedTripEnergy(C166,G$5,G$6,C$12,C$7,C$9,C$8,FALSE)/1000</f>
        <v>1237.2368709909001</v>
      </c>
      <c r="E166" s="1" cm="1">
        <f t="array" ref="E166">estimatedTripEnergy(C166,G$5,G$6,C$12,C$7,C$9,C$8)/1000</f>
        <v>1385.1968709909002</v>
      </c>
      <c r="F166" s="59" cm="1">
        <f t="array" ref="F166">estimatedTripDuration(C166,$C$8,$C$7)/60</f>
        <v>6.7804860100993407</v>
      </c>
      <c r="G166">
        <f t="shared" si="20"/>
        <v>151</v>
      </c>
      <c r="H166" s="50">
        <f t="shared" si="24"/>
        <v>25.166666666666668</v>
      </c>
      <c r="I166" s="7" cm="1">
        <f t="array" ref="I166">CurrentCapacity(K$10,K$6,K$7,H166)</f>
        <v>35729.095500000003</v>
      </c>
      <c r="J166" s="48">
        <f t="shared" si="25"/>
        <v>3.8769435710761274E-2</v>
      </c>
      <c r="K166" s="5" cm="1">
        <f t="array" ref="K166">UseableCapacity(I166,$K$8,$K$9)</f>
        <v>26796.821625000004</v>
      </c>
      <c r="L166" s="59">
        <f t="shared" si="26"/>
        <v>34343.898629009105</v>
      </c>
      <c r="M166" s="7">
        <f t="shared" si="27"/>
        <v>25411.624754009103</v>
      </c>
      <c r="N166" s="7">
        <f t="shared" si="28"/>
        <v>2520.9044999999969</v>
      </c>
      <c r="O166" t="str">
        <f t="shared" si="21"/>
        <v>no</v>
      </c>
      <c r="P166" t="str">
        <f t="shared" si="22"/>
        <v>no</v>
      </c>
    </row>
    <row r="167" spans="2:16" x14ac:dyDescent="0.35">
      <c r="B167">
        <f t="shared" si="29"/>
        <v>152</v>
      </c>
      <c r="C167" s="7">
        <f t="shared" si="23"/>
        <v>152</v>
      </c>
      <c r="D167" s="1" cm="1">
        <f t="array" ref="D167">estimatedTripEnergy(C167,G$5,G$6,C$12,C$7,C$9,C$8,FALSE)/1000</f>
        <v>1238.1635501515</v>
      </c>
      <c r="E167" s="1" cm="1">
        <f t="array" ref="E167">estimatedTripEnergy(C167,G$5,G$6,C$12,C$7,C$9,C$8)/1000</f>
        <v>1386.1235501515</v>
      </c>
      <c r="F167" s="59" cm="1">
        <f t="array" ref="F167">estimatedTripDuration(C167,$C$8,$C$7)/60</f>
        <v>6.8138193434326739</v>
      </c>
      <c r="G167">
        <f t="shared" si="20"/>
        <v>152</v>
      </c>
      <c r="H167" s="50">
        <f t="shared" si="24"/>
        <v>25.333333333333332</v>
      </c>
      <c r="I167" s="7" cm="1">
        <f t="array" ref="I167">CurrentCapacity(K$10,K$6,K$7,H167)</f>
        <v>35728.866000000002</v>
      </c>
      <c r="J167" s="48">
        <f t="shared" si="25"/>
        <v>3.8795621169490799E-2</v>
      </c>
      <c r="K167" s="5" cm="1">
        <f t="array" ref="K167">UseableCapacity(I167,$K$8,$K$9)</f>
        <v>26796.6495</v>
      </c>
      <c r="L167" s="59">
        <f t="shared" si="26"/>
        <v>34342.742449848505</v>
      </c>
      <c r="M167" s="7">
        <f t="shared" si="27"/>
        <v>25410.525949848499</v>
      </c>
      <c r="N167" s="7">
        <f t="shared" si="28"/>
        <v>2521.1339999999982</v>
      </c>
      <c r="O167" t="str">
        <f t="shared" si="21"/>
        <v>no</v>
      </c>
      <c r="P167" t="str">
        <f t="shared" si="22"/>
        <v>no</v>
      </c>
    </row>
    <row r="168" spans="2:16" x14ac:dyDescent="0.35">
      <c r="B168">
        <f t="shared" si="29"/>
        <v>153</v>
      </c>
      <c r="C168" s="7">
        <f t="shared" si="23"/>
        <v>153</v>
      </c>
      <c r="D168" s="1" cm="1">
        <f t="array" ref="D168">estimatedTripEnergy(C168,G$5,G$6,C$12,C$7,C$9,C$8,FALSE)/1000</f>
        <v>1239.0902293121001</v>
      </c>
      <c r="E168" s="1" cm="1">
        <f t="array" ref="E168">estimatedTripEnergy(C168,G$5,G$6,C$12,C$7,C$9,C$8)/1000</f>
        <v>1387.0502293120999</v>
      </c>
      <c r="F168" s="59" cm="1">
        <f t="array" ref="F168">estimatedTripDuration(C168,$C$8,$C$7)/60</f>
        <v>6.8471526767660071</v>
      </c>
      <c r="G168">
        <f t="shared" ref="G168:G188" si="30">B168</f>
        <v>153</v>
      </c>
      <c r="H168" s="50">
        <f t="shared" si="24"/>
        <v>25.5</v>
      </c>
      <c r="I168" s="7" cm="1">
        <f t="array" ref="I168">CurrentCapacity(K$10,K$6,K$7,H168)</f>
        <v>35728.636500000001</v>
      </c>
      <c r="J168" s="48">
        <f t="shared" si="25"/>
        <v>3.8821806964620661E-2</v>
      </c>
      <c r="K168" s="5" cm="1">
        <f t="array" ref="K168">UseableCapacity(I168,$K$8,$K$9)</f>
        <v>26796.477375000002</v>
      </c>
      <c r="L168" s="59">
        <f t="shared" si="26"/>
        <v>34341.586270687898</v>
      </c>
      <c r="M168" s="7">
        <f t="shared" si="27"/>
        <v>25409.427145687903</v>
      </c>
      <c r="N168" s="7">
        <f t="shared" si="28"/>
        <v>2521.3634999999995</v>
      </c>
      <c r="O168" t="str">
        <f t="shared" ref="O168:O188" si="31">IF(M168&lt;0,"yes","no")</f>
        <v>no</v>
      </c>
      <c r="P168" t="str">
        <f t="shared" ref="P168:P188" si="32">IF(L168&lt;0,"yes","no")</f>
        <v>no</v>
      </c>
    </row>
    <row r="169" spans="2:16" x14ac:dyDescent="0.35">
      <c r="B169">
        <f t="shared" si="29"/>
        <v>154</v>
      </c>
      <c r="C169" s="7">
        <f t="shared" si="23"/>
        <v>154</v>
      </c>
      <c r="D169" s="1" cm="1">
        <f t="array" ref="D169">estimatedTripEnergy(C169,G$5,G$6,C$12,C$7,C$9,C$8,FALSE)/1000</f>
        <v>1240.0169084727002</v>
      </c>
      <c r="E169" s="1" cm="1">
        <f t="array" ref="E169">estimatedTripEnergy(C169,G$5,G$6,C$12,C$7,C$9,C$8)/1000</f>
        <v>1387.9769084727</v>
      </c>
      <c r="F169" s="59" cm="1">
        <f t="array" ref="F169">estimatedTripDuration(C169,$C$8,$C$7)/60</f>
        <v>6.8804860100993412</v>
      </c>
      <c r="G169">
        <f t="shared" si="30"/>
        <v>154</v>
      </c>
      <c r="H169" s="50">
        <f t="shared" si="24"/>
        <v>25.666666666666668</v>
      </c>
      <c r="I169" s="7" cm="1">
        <f t="array" ref="I169">CurrentCapacity(K$10,K$6,K$7,H169)</f>
        <v>35728.406999999999</v>
      </c>
      <c r="J169" s="48">
        <f t="shared" si="25"/>
        <v>3.884799309615735E-2</v>
      </c>
      <c r="K169" s="5" cm="1">
        <f t="array" ref="K169">UseableCapacity(I169,$K$8,$K$9)</f>
        <v>26796.305249999998</v>
      </c>
      <c r="L169" s="59">
        <f t="shared" si="26"/>
        <v>34340.430091527298</v>
      </c>
      <c r="M169" s="7">
        <f t="shared" si="27"/>
        <v>25408.328341527296</v>
      </c>
      <c r="N169" s="7">
        <f t="shared" si="28"/>
        <v>2521.5930000000008</v>
      </c>
      <c r="O169" t="str">
        <f t="shared" si="31"/>
        <v>no</v>
      </c>
      <c r="P169" t="str">
        <f t="shared" si="32"/>
        <v>no</v>
      </c>
    </row>
    <row r="170" spans="2:16" x14ac:dyDescent="0.35">
      <c r="B170">
        <f t="shared" si="29"/>
        <v>155</v>
      </c>
      <c r="C170" s="7">
        <f t="shared" si="23"/>
        <v>155</v>
      </c>
      <c r="D170" s="1" cm="1">
        <f t="array" ref="D170">estimatedTripEnergy(C170,G$5,G$6,C$12,C$7,C$9,C$8,FALSE)/1000</f>
        <v>1240.9435876333</v>
      </c>
      <c r="E170" s="1" cm="1">
        <f t="array" ref="E170">estimatedTripEnergy(C170,G$5,G$6,C$12,C$7,C$9,C$8)/1000</f>
        <v>1388.9035876333</v>
      </c>
      <c r="F170" s="59" cm="1">
        <f t="array" ref="F170">estimatedTripDuration(C170,$C$8,$C$7)/60</f>
        <v>6.9138193434326745</v>
      </c>
      <c r="G170">
        <f t="shared" si="30"/>
        <v>155</v>
      </c>
      <c r="H170" s="50">
        <f t="shared" si="24"/>
        <v>25.833333333333332</v>
      </c>
      <c r="I170" s="7" cm="1">
        <f t="array" ref="I170">CurrentCapacity(K$10,K$6,K$7,H170)</f>
        <v>35728.177500000005</v>
      </c>
      <c r="J170" s="48">
        <f t="shared" si="25"/>
        <v>3.8874179564107346E-2</v>
      </c>
      <c r="K170" s="5" cm="1">
        <f t="array" ref="K170">UseableCapacity(I170,$K$8,$K$9)</f>
        <v>26796.133125000004</v>
      </c>
      <c r="L170" s="59">
        <f t="shared" si="26"/>
        <v>34339.273912366705</v>
      </c>
      <c r="M170" s="7">
        <f t="shared" si="27"/>
        <v>25407.229537366704</v>
      </c>
      <c r="N170" s="7">
        <f t="shared" si="28"/>
        <v>2521.8224999999948</v>
      </c>
      <c r="O170" t="str">
        <f t="shared" si="31"/>
        <v>no</v>
      </c>
      <c r="P170" t="str">
        <f t="shared" si="32"/>
        <v>no</v>
      </c>
    </row>
    <row r="171" spans="2:16" x14ac:dyDescent="0.35">
      <c r="B171">
        <f t="shared" si="29"/>
        <v>156</v>
      </c>
      <c r="C171" s="7">
        <f t="shared" si="23"/>
        <v>156</v>
      </c>
      <c r="D171" s="1" cm="1">
        <f t="array" ref="D171">estimatedTripEnergy(C171,G$5,G$6,C$12,C$7,C$9,C$8,FALSE)/1000</f>
        <v>1241.8702667938999</v>
      </c>
      <c r="E171" s="1" cm="1">
        <f t="array" ref="E171">estimatedTripEnergy(C171,G$5,G$6,C$12,C$7,C$9,C$8)/1000</f>
        <v>1389.8302667938999</v>
      </c>
      <c r="F171" s="59" cm="1">
        <f t="array" ref="F171">estimatedTripDuration(C171,$C$8,$C$7)/60</f>
        <v>6.9471526767660077</v>
      </c>
      <c r="G171">
        <f t="shared" si="30"/>
        <v>156</v>
      </c>
      <c r="H171" s="50">
        <f t="shared" si="24"/>
        <v>26</v>
      </c>
      <c r="I171" s="7" cm="1">
        <f t="array" ref="I171">CurrentCapacity(K$10,K$6,K$7,H171)</f>
        <v>35727.947999999997</v>
      </c>
      <c r="J171" s="48">
        <f t="shared" si="25"/>
        <v>3.8900366368477136E-2</v>
      </c>
      <c r="K171" s="5" cm="1">
        <f t="array" ref="K171">UseableCapacity(I171,$K$8,$K$9)</f>
        <v>26795.960999999996</v>
      </c>
      <c r="L171" s="59">
        <f t="shared" si="26"/>
        <v>34338.117733206098</v>
      </c>
      <c r="M171" s="7">
        <f t="shared" si="27"/>
        <v>25406.130733206097</v>
      </c>
      <c r="N171" s="7">
        <f t="shared" si="28"/>
        <v>2522.0520000000033</v>
      </c>
      <c r="O171" t="str">
        <f t="shared" si="31"/>
        <v>no</v>
      </c>
      <c r="P171" t="str">
        <f t="shared" si="32"/>
        <v>no</v>
      </c>
    </row>
    <row r="172" spans="2:16" x14ac:dyDescent="0.35">
      <c r="B172">
        <f t="shared" si="29"/>
        <v>157</v>
      </c>
      <c r="C172" s="7">
        <f t="shared" si="23"/>
        <v>157</v>
      </c>
      <c r="D172" s="1" cm="1">
        <f t="array" ref="D172">estimatedTripEnergy(C172,G$5,G$6,C$12,C$7,C$9,C$8,FALSE)/1000</f>
        <v>1242.7969459545</v>
      </c>
      <c r="E172" s="1" cm="1">
        <f t="array" ref="E172">estimatedTripEnergy(C172,G$5,G$6,C$12,C$7,C$9,C$8)/1000</f>
        <v>1390.7569459545</v>
      </c>
      <c r="F172" s="59" cm="1">
        <f t="array" ref="F172">estimatedTripDuration(C172,$C$8,$C$7)/60</f>
        <v>6.9804860100993409</v>
      </c>
      <c r="G172">
        <f t="shared" si="30"/>
        <v>157</v>
      </c>
      <c r="H172" s="50">
        <f t="shared" si="24"/>
        <v>26.166666666666668</v>
      </c>
      <c r="I172" s="7" cm="1">
        <f t="array" ref="I172">CurrentCapacity(K$10,K$6,K$7,H172)</f>
        <v>35727.718500000003</v>
      </c>
      <c r="J172" s="48">
        <f t="shared" si="25"/>
        <v>3.8926553509273196E-2</v>
      </c>
      <c r="K172" s="5" cm="1">
        <f t="array" ref="K172">UseableCapacity(I172,$K$8,$K$9)</f>
        <v>26795.788875000002</v>
      </c>
      <c r="L172" s="59">
        <f t="shared" si="26"/>
        <v>34336.961554045505</v>
      </c>
      <c r="M172" s="7">
        <f t="shared" si="27"/>
        <v>25405.031929045501</v>
      </c>
      <c r="N172" s="7">
        <f t="shared" si="28"/>
        <v>2522.2814999999973</v>
      </c>
      <c r="O172" t="str">
        <f t="shared" si="31"/>
        <v>no</v>
      </c>
      <c r="P172" t="str">
        <f t="shared" si="32"/>
        <v>no</v>
      </c>
    </row>
    <row r="173" spans="2:16" x14ac:dyDescent="0.35">
      <c r="B173">
        <f t="shared" si="29"/>
        <v>158</v>
      </c>
      <c r="C173" s="7">
        <f t="shared" si="23"/>
        <v>158</v>
      </c>
      <c r="D173" s="1" cm="1">
        <f t="array" ref="D173">estimatedTripEnergy(C173,G$5,G$6,C$12,C$7,C$9,C$8,FALSE)/1000</f>
        <v>1243.7236251151</v>
      </c>
      <c r="E173" s="1" cm="1">
        <f t="array" ref="E173">estimatedTripEnergy(C173,G$5,G$6,C$12,C$7,C$9,C$8)/1000</f>
        <v>1391.6836251151001</v>
      </c>
      <c r="F173" s="59" cm="1">
        <f t="array" ref="F173">estimatedTripDuration(C173,$C$8,$C$7)/60</f>
        <v>7.0138193434326741</v>
      </c>
      <c r="G173">
        <f t="shared" si="30"/>
        <v>158</v>
      </c>
      <c r="H173" s="50">
        <f t="shared" si="24"/>
        <v>26.333333333333332</v>
      </c>
      <c r="I173" s="7" cm="1">
        <f t="array" ref="I173">CurrentCapacity(K$10,K$6,K$7,H173)</f>
        <v>35727.489000000001</v>
      </c>
      <c r="J173" s="48">
        <f t="shared" si="25"/>
        <v>3.8952740986502019E-2</v>
      </c>
      <c r="K173" s="5" cm="1">
        <f t="array" ref="K173">UseableCapacity(I173,$K$8,$K$9)</f>
        <v>26795.616750000001</v>
      </c>
      <c r="L173" s="59">
        <f t="shared" si="26"/>
        <v>34335.805374884898</v>
      </c>
      <c r="M173" s="7">
        <f t="shared" si="27"/>
        <v>25403.933124884901</v>
      </c>
      <c r="N173" s="7">
        <f t="shared" si="28"/>
        <v>2522.5109999999986</v>
      </c>
      <c r="O173" t="str">
        <f t="shared" si="31"/>
        <v>no</v>
      </c>
      <c r="P173" t="str">
        <f t="shared" si="32"/>
        <v>no</v>
      </c>
    </row>
    <row r="174" spans="2:16" x14ac:dyDescent="0.35">
      <c r="B174">
        <f t="shared" si="29"/>
        <v>159</v>
      </c>
      <c r="C174" s="7">
        <f t="shared" si="23"/>
        <v>159</v>
      </c>
      <c r="D174" s="1" cm="1">
        <f t="array" ref="D174">estimatedTripEnergy(C174,G$5,G$6,C$12,C$7,C$9,C$8,FALSE)/1000</f>
        <v>1244.6503042756999</v>
      </c>
      <c r="E174" s="1" cm="1">
        <f t="array" ref="E174">estimatedTripEnergy(C174,G$5,G$6,C$12,C$7,C$9,C$8)/1000</f>
        <v>1392.6103042756999</v>
      </c>
      <c r="F174" s="59" cm="1">
        <f t="array" ref="F174">estimatedTripDuration(C174,$C$8,$C$7)/60</f>
        <v>7.0471526767660073</v>
      </c>
      <c r="G174">
        <f t="shared" si="30"/>
        <v>159</v>
      </c>
      <c r="H174" s="50">
        <f t="shared" si="24"/>
        <v>26.5</v>
      </c>
      <c r="I174" s="7" cm="1">
        <f t="array" ref="I174">CurrentCapacity(K$10,K$6,K$7,H174)</f>
        <v>35727.2595</v>
      </c>
      <c r="J174" s="48">
        <f t="shared" si="25"/>
        <v>3.8978928800170079E-2</v>
      </c>
      <c r="K174" s="5" cm="1">
        <f t="array" ref="K174">UseableCapacity(I174,$K$8,$K$9)</f>
        <v>26795.444625</v>
      </c>
      <c r="L174" s="59">
        <f t="shared" si="26"/>
        <v>34334.649195724298</v>
      </c>
      <c r="M174" s="7">
        <f t="shared" si="27"/>
        <v>25402.834320724302</v>
      </c>
      <c r="N174" s="7">
        <f t="shared" si="28"/>
        <v>2522.7404999999999</v>
      </c>
      <c r="O174" t="str">
        <f t="shared" si="31"/>
        <v>no</v>
      </c>
      <c r="P174" t="str">
        <f t="shared" si="32"/>
        <v>no</v>
      </c>
    </row>
    <row r="175" spans="2:16" x14ac:dyDescent="0.35">
      <c r="B175">
        <f t="shared" si="29"/>
        <v>160</v>
      </c>
      <c r="C175" s="7">
        <f t="shared" si="23"/>
        <v>160</v>
      </c>
      <c r="D175" s="1" cm="1">
        <f t="array" ref="D175">estimatedTripEnergy(C175,G$5,G$6,C$12,C$7,C$9,C$8,FALSE)/1000</f>
        <v>1245.5769834363</v>
      </c>
      <c r="E175" s="1" cm="1">
        <f t="array" ref="E175">estimatedTripEnergy(C175,G$5,G$6,C$12,C$7,C$9,C$8)/1000</f>
        <v>1393.5369834363</v>
      </c>
      <c r="F175" s="59" cm="1">
        <f t="array" ref="F175">estimatedTripDuration(C175,$C$8,$C$7)/60</f>
        <v>7.0804860100993405</v>
      </c>
      <c r="G175">
        <f t="shared" si="30"/>
        <v>160</v>
      </c>
      <c r="H175" s="50">
        <f t="shared" si="24"/>
        <v>26.666666666666668</v>
      </c>
      <c r="I175" s="7" cm="1">
        <f t="array" ref="I175">CurrentCapacity(K$10,K$6,K$7,H175)</f>
        <v>35727.030000000006</v>
      </c>
      <c r="J175" s="48">
        <f t="shared" si="25"/>
        <v>3.9005116950283858E-2</v>
      </c>
      <c r="K175" s="5" cm="1">
        <f t="array" ref="K175">UseableCapacity(I175,$K$8,$K$9)</f>
        <v>26795.272500000006</v>
      </c>
      <c r="L175" s="59">
        <f t="shared" si="26"/>
        <v>34333.493016563705</v>
      </c>
      <c r="M175" s="7">
        <f t="shared" si="27"/>
        <v>25401.735516563705</v>
      </c>
      <c r="N175" s="7">
        <f t="shared" si="28"/>
        <v>2522.9699999999939</v>
      </c>
      <c r="O175" t="str">
        <f t="shared" si="31"/>
        <v>no</v>
      </c>
      <c r="P175" t="str">
        <f t="shared" si="32"/>
        <v>no</v>
      </c>
    </row>
    <row r="176" spans="2:16" x14ac:dyDescent="0.35">
      <c r="B176">
        <f t="shared" si="29"/>
        <v>161</v>
      </c>
      <c r="C176" s="7">
        <f t="shared" si="23"/>
        <v>161</v>
      </c>
      <c r="D176" s="1" cm="1">
        <f t="array" ref="D176">estimatedTripEnergy(C176,G$5,G$6,C$12,C$7,C$9,C$8,FALSE)/1000</f>
        <v>1246.5036625969001</v>
      </c>
      <c r="E176" s="1" cm="1">
        <f t="array" ref="E176">estimatedTripEnergy(C176,G$5,G$6,C$12,C$7,C$9,C$8)/1000</f>
        <v>1394.4636625969001</v>
      </c>
      <c r="F176" s="59" cm="1">
        <f t="array" ref="F176">estimatedTripDuration(C176,$C$8,$C$7)/60</f>
        <v>7.1138193434326746</v>
      </c>
      <c r="G176">
        <f t="shared" si="30"/>
        <v>161</v>
      </c>
      <c r="H176" s="50">
        <f t="shared" si="24"/>
        <v>26.833333333333332</v>
      </c>
      <c r="I176" s="7" cm="1">
        <f t="array" ref="I176">CurrentCapacity(K$10,K$6,K$7,H176)</f>
        <v>35726.800499999998</v>
      </c>
      <c r="J176" s="48">
        <f t="shared" si="25"/>
        <v>3.9031305436849857E-2</v>
      </c>
      <c r="K176" s="5" cm="1">
        <f t="array" ref="K176">UseableCapacity(I176,$K$8,$K$9)</f>
        <v>26795.100374999998</v>
      </c>
      <c r="L176" s="59">
        <f t="shared" si="26"/>
        <v>34332.336837403098</v>
      </c>
      <c r="M176" s="7">
        <f t="shared" si="27"/>
        <v>25400.636712403098</v>
      </c>
      <c r="N176" s="7">
        <f t="shared" si="28"/>
        <v>2523.1995000000024</v>
      </c>
      <c r="O176" t="str">
        <f t="shared" si="31"/>
        <v>no</v>
      </c>
      <c r="P176" t="str">
        <f t="shared" si="32"/>
        <v>no</v>
      </c>
    </row>
    <row r="177" spans="2:16" x14ac:dyDescent="0.35">
      <c r="B177">
        <f t="shared" si="29"/>
        <v>162</v>
      </c>
      <c r="C177" s="7">
        <f t="shared" si="23"/>
        <v>162</v>
      </c>
      <c r="D177" s="1" cm="1">
        <f t="array" ref="D177">estimatedTripEnergy(C177,G$5,G$6,C$12,C$7,C$9,C$8,FALSE)/1000</f>
        <v>1247.4303417575002</v>
      </c>
      <c r="E177" s="1" cm="1">
        <f t="array" ref="E177">estimatedTripEnergy(C177,G$5,G$6,C$12,C$7,C$9,C$8)/1000</f>
        <v>1395.3903417575</v>
      </c>
      <c r="F177" s="59" cm="1">
        <f t="array" ref="F177">estimatedTripDuration(C177,$C$8,$C$7)/60</f>
        <v>7.1471526767660079</v>
      </c>
      <c r="G177">
        <f t="shared" si="30"/>
        <v>162</v>
      </c>
      <c r="H177" s="50">
        <f t="shared" si="24"/>
        <v>27</v>
      </c>
      <c r="I177" s="7" cm="1">
        <f t="array" ref="I177">CurrentCapacity(K$10,K$6,K$7,H177)</f>
        <v>35726.571000000004</v>
      </c>
      <c r="J177" s="48">
        <f t="shared" si="25"/>
        <v>3.905749425987453E-2</v>
      </c>
      <c r="K177" s="5" cm="1">
        <f t="array" ref="K177">UseableCapacity(I177,$K$8,$K$9)</f>
        <v>26794.928250000004</v>
      </c>
      <c r="L177" s="59">
        <f t="shared" si="26"/>
        <v>34331.180658242505</v>
      </c>
      <c r="M177" s="7">
        <f t="shared" si="27"/>
        <v>25399.537908242506</v>
      </c>
      <c r="N177" s="7">
        <f t="shared" si="28"/>
        <v>2523.4289999999964</v>
      </c>
      <c r="O177" t="str">
        <f t="shared" si="31"/>
        <v>no</v>
      </c>
      <c r="P177" t="str">
        <f t="shared" si="32"/>
        <v>no</v>
      </c>
    </row>
    <row r="178" spans="2:16" x14ac:dyDescent="0.35">
      <c r="B178">
        <f t="shared" si="29"/>
        <v>163</v>
      </c>
      <c r="C178" s="7">
        <f t="shared" si="23"/>
        <v>163</v>
      </c>
      <c r="D178" s="1" cm="1">
        <f t="array" ref="D178">estimatedTripEnergy(C178,G$5,G$6,C$12,C$7,C$9,C$8,FALSE)/1000</f>
        <v>1248.3570209181</v>
      </c>
      <c r="E178" s="1" cm="1">
        <f t="array" ref="E178">estimatedTripEnergy(C178,G$5,G$6,C$12,C$7,C$9,C$8)/1000</f>
        <v>1396.3170209181001</v>
      </c>
      <c r="F178" s="59" cm="1">
        <f t="array" ref="F178">estimatedTripDuration(C178,$C$8,$C$7)/60</f>
        <v>7.1804860100993411</v>
      </c>
      <c r="G178">
        <f t="shared" si="30"/>
        <v>163</v>
      </c>
      <c r="H178" s="50">
        <f t="shared" si="24"/>
        <v>27.166666666666668</v>
      </c>
      <c r="I178" s="7" cm="1">
        <f t="array" ref="I178">CurrentCapacity(K$10,K$6,K$7,H178)</f>
        <v>35726.341500000002</v>
      </c>
      <c r="J178" s="48">
        <f t="shared" si="25"/>
        <v>3.9083683419364391E-2</v>
      </c>
      <c r="K178" s="5" cm="1">
        <f t="array" ref="K178">UseableCapacity(I178,$K$8,$K$9)</f>
        <v>26794.756125</v>
      </c>
      <c r="L178" s="59">
        <f t="shared" si="26"/>
        <v>34330.024479081905</v>
      </c>
      <c r="M178" s="7">
        <f t="shared" si="27"/>
        <v>25398.439104081899</v>
      </c>
      <c r="N178" s="7">
        <f t="shared" si="28"/>
        <v>2523.6584999999977</v>
      </c>
      <c r="O178" t="str">
        <f t="shared" si="31"/>
        <v>no</v>
      </c>
      <c r="P178" t="str">
        <f t="shared" si="32"/>
        <v>no</v>
      </c>
    </row>
    <row r="179" spans="2:16" x14ac:dyDescent="0.35">
      <c r="B179">
        <f t="shared" si="29"/>
        <v>164</v>
      </c>
      <c r="C179" s="7">
        <f t="shared" si="23"/>
        <v>164</v>
      </c>
      <c r="D179" s="1" cm="1">
        <f t="array" ref="D179">estimatedTripEnergy(C179,G$5,G$6,C$12,C$7,C$9,C$8,FALSE)/1000</f>
        <v>1249.2837000786999</v>
      </c>
      <c r="E179" s="1" cm="1">
        <f t="array" ref="E179">estimatedTripEnergy(C179,G$5,G$6,C$12,C$7,C$9,C$8)/1000</f>
        <v>1397.2437000786999</v>
      </c>
      <c r="F179" s="59" cm="1">
        <f t="array" ref="F179">estimatedTripDuration(C179,$C$8,$C$7)/60</f>
        <v>7.2138193434326743</v>
      </c>
      <c r="G179">
        <f t="shared" si="30"/>
        <v>164</v>
      </c>
      <c r="H179" s="50">
        <f t="shared" si="24"/>
        <v>27.333333333333332</v>
      </c>
      <c r="I179" s="7" cm="1">
        <f t="array" ref="I179">CurrentCapacity(K$10,K$6,K$7,H179)</f>
        <v>35726.112000000001</v>
      </c>
      <c r="J179" s="48">
        <f t="shared" si="25"/>
        <v>3.9109872915325909E-2</v>
      </c>
      <c r="K179" s="5" cm="1">
        <f t="array" ref="K179">UseableCapacity(I179,$K$8,$K$9)</f>
        <v>26794.584000000003</v>
      </c>
      <c r="L179" s="59">
        <f t="shared" si="26"/>
        <v>34328.868299921298</v>
      </c>
      <c r="M179" s="7">
        <f t="shared" si="27"/>
        <v>25397.340299921303</v>
      </c>
      <c r="N179" s="7">
        <f t="shared" si="28"/>
        <v>2523.887999999999</v>
      </c>
      <c r="O179" t="str">
        <f t="shared" si="31"/>
        <v>no</v>
      </c>
      <c r="P179" t="str">
        <f t="shared" si="32"/>
        <v>no</v>
      </c>
    </row>
    <row r="180" spans="2:16" x14ac:dyDescent="0.35">
      <c r="B180">
        <f t="shared" si="29"/>
        <v>165</v>
      </c>
      <c r="C180" s="7">
        <f t="shared" si="23"/>
        <v>165</v>
      </c>
      <c r="D180" s="1" cm="1">
        <f t="array" ref="D180">estimatedTripEnergy(C180,G$5,G$6,C$12,C$7,C$9,C$8,FALSE)/1000</f>
        <v>1250.2103792393</v>
      </c>
      <c r="E180" s="1" cm="1">
        <f t="array" ref="E180">estimatedTripEnergy(C180,G$5,G$6,C$12,C$7,C$9,C$8)/1000</f>
        <v>1398.1703792393</v>
      </c>
      <c r="F180" s="59" cm="1">
        <f t="array" ref="F180">estimatedTripDuration(C180,$C$8,$C$7)/60</f>
        <v>7.2471526767660075</v>
      </c>
      <c r="G180">
        <f t="shared" si="30"/>
        <v>165</v>
      </c>
      <c r="H180" s="50">
        <f t="shared" si="24"/>
        <v>27.5</v>
      </c>
      <c r="I180" s="7" cm="1">
        <f t="array" ref="I180">CurrentCapacity(K$10,K$6,K$7,H180)</f>
        <v>35725.8825</v>
      </c>
      <c r="J180" s="48">
        <f t="shared" si="25"/>
        <v>3.9136062747765571E-2</v>
      </c>
      <c r="K180" s="5" cm="1">
        <f t="array" ref="K180">UseableCapacity(I180,$K$8,$K$9)</f>
        <v>26794.411874999998</v>
      </c>
      <c r="L180" s="59">
        <f t="shared" si="26"/>
        <v>34327.712120760698</v>
      </c>
      <c r="M180" s="7">
        <f t="shared" si="27"/>
        <v>25396.241495760696</v>
      </c>
      <c r="N180" s="7">
        <f t="shared" si="28"/>
        <v>2524.1175000000003</v>
      </c>
      <c r="O180" t="str">
        <f t="shared" si="31"/>
        <v>no</v>
      </c>
      <c r="P180" t="str">
        <f t="shared" si="32"/>
        <v>no</v>
      </c>
    </row>
    <row r="181" spans="2:16" x14ac:dyDescent="0.35">
      <c r="B181">
        <f t="shared" si="29"/>
        <v>166</v>
      </c>
      <c r="C181" s="7">
        <f t="shared" si="23"/>
        <v>166</v>
      </c>
      <c r="D181" s="1" cm="1">
        <f t="array" ref="D181">estimatedTripEnergy(C181,G$5,G$6,C$12,C$7,C$9,C$8,FALSE)/1000</f>
        <v>1251.1370583999001</v>
      </c>
      <c r="E181" s="1" cm="1">
        <f t="array" ref="E181">estimatedTripEnergy(C181,G$5,G$6,C$12,C$7,C$9,C$8)/1000</f>
        <v>1399.0970583999001</v>
      </c>
      <c r="F181" s="59" cm="1">
        <f t="array" ref="F181">estimatedTripDuration(C181,$C$8,$C$7)/60</f>
        <v>7.2804860100993407</v>
      </c>
      <c r="G181">
        <f t="shared" si="30"/>
        <v>166</v>
      </c>
      <c r="H181" s="50">
        <f t="shared" si="24"/>
        <v>27.666666666666668</v>
      </c>
      <c r="I181" s="7" cm="1">
        <f t="array" ref="I181">CurrentCapacity(K$10,K$6,K$7,H181)</f>
        <v>35725.653000000006</v>
      </c>
      <c r="J181" s="48">
        <f t="shared" si="25"/>
        <v>3.9162252916689864E-2</v>
      </c>
      <c r="K181" s="5" cm="1">
        <f t="array" ref="K181">UseableCapacity(I181,$K$8,$K$9)</f>
        <v>26794.239750000004</v>
      </c>
      <c r="L181" s="59">
        <f t="shared" si="26"/>
        <v>34326.555941600105</v>
      </c>
      <c r="M181" s="7">
        <f t="shared" si="27"/>
        <v>25395.142691600104</v>
      </c>
      <c r="N181" s="7">
        <f t="shared" si="28"/>
        <v>2524.3469999999943</v>
      </c>
      <c r="O181" t="str">
        <f t="shared" si="31"/>
        <v>no</v>
      </c>
      <c r="P181" t="str">
        <f t="shared" si="32"/>
        <v>no</v>
      </c>
    </row>
    <row r="182" spans="2:16" x14ac:dyDescent="0.35">
      <c r="B182">
        <f t="shared" si="29"/>
        <v>167</v>
      </c>
      <c r="C182" s="7">
        <f t="shared" si="23"/>
        <v>167</v>
      </c>
      <c r="D182" s="1" cm="1">
        <f t="array" ref="D182">estimatedTripEnergy(C182,G$5,G$6,C$12,C$7,C$9,C$8,FALSE)/1000</f>
        <v>1252.0637375604999</v>
      </c>
      <c r="E182" s="1" cm="1">
        <f t="array" ref="E182">estimatedTripEnergy(C182,G$5,G$6,C$12,C$7,C$9,C$8)/1000</f>
        <v>1400.0237375605</v>
      </c>
      <c r="F182" s="59" cm="1">
        <f t="array" ref="F182">estimatedTripDuration(C182,$C$8,$C$7)/60</f>
        <v>7.3138193434326739</v>
      </c>
      <c r="G182">
        <f t="shared" si="30"/>
        <v>167</v>
      </c>
      <c r="H182" s="50">
        <f t="shared" si="24"/>
        <v>27.833333333333332</v>
      </c>
      <c r="I182" s="7" cm="1">
        <f t="array" ref="I182">CurrentCapacity(K$10,K$6,K$7,H182)</f>
        <v>35725.423500000004</v>
      </c>
      <c r="J182" s="48">
        <f t="shared" si="25"/>
        <v>3.9188443422105264E-2</v>
      </c>
      <c r="K182" s="5" cm="1">
        <f t="array" ref="K182">UseableCapacity(I182,$K$8,$K$9)</f>
        <v>26794.067625000003</v>
      </c>
      <c r="L182" s="59">
        <f t="shared" si="26"/>
        <v>34325.399762439505</v>
      </c>
      <c r="M182" s="7">
        <f t="shared" si="27"/>
        <v>25394.043887439504</v>
      </c>
      <c r="N182" s="7">
        <f t="shared" si="28"/>
        <v>2524.5764999999956</v>
      </c>
      <c r="O182" t="str">
        <f t="shared" si="31"/>
        <v>no</v>
      </c>
      <c r="P182" t="str">
        <f t="shared" si="32"/>
        <v>no</v>
      </c>
    </row>
    <row r="183" spans="2:16" x14ac:dyDescent="0.35">
      <c r="B183">
        <f t="shared" si="29"/>
        <v>168</v>
      </c>
      <c r="C183" s="7">
        <f t="shared" si="23"/>
        <v>168</v>
      </c>
      <c r="D183" s="1" cm="1">
        <f t="array" ref="D183">estimatedTripEnergy(C183,G$5,G$6,C$12,C$7,C$9,C$8,FALSE)/1000</f>
        <v>1252.9904167211</v>
      </c>
      <c r="E183" s="1" cm="1">
        <f t="array" ref="E183">estimatedTripEnergy(C183,G$5,G$6,C$12,C$7,C$9,C$8)/1000</f>
        <v>1400.9504167211001</v>
      </c>
      <c r="F183" s="59" cm="1">
        <f t="array" ref="F183">estimatedTripDuration(C183,$C$8,$C$7)/60</f>
        <v>7.3471526767660071</v>
      </c>
      <c r="G183">
        <f t="shared" si="30"/>
        <v>168</v>
      </c>
      <c r="H183" s="50">
        <f t="shared" si="24"/>
        <v>28</v>
      </c>
      <c r="I183" s="7" cm="1">
        <f t="array" ref="I183">CurrentCapacity(K$10,K$6,K$7,H183)</f>
        <v>35725.194000000003</v>
      </c>
      <c r="J183" s="48">
        <f t="shared" si="25"/>
        <v>3.9214634264018271E-2</v>
      </c>
      <c r="K183" s="5" cm="1">
        <f t="array" ref="K183">UseableCapacity(I183,$K$8,$K$9)</f>
        <v>26793.895500000002</v>
      </c>
      <c r="L183" s="59">
        <f t="shared" si="26"/>
        <v>34324.243583278905</v>
      </c>
      <c r="M183" s="7">
        <f t="shared" si="27"/>
        <v>25392.945083278901</v>
      </c>
      <c r="N183" s="7">
        <f t="shared" si="28"/>
        <v>2524.8059999999969</v>
      </c>
      <c r="O183" t="str">
        <f t="shared" si="31"/>
        <v>no</v>
      </c>
      <c r="P183" t="str">
        <f t="shared" si="32"/>
        <v>no</v>
      </c>
    </row>
    <row r="184" spans="2:16" x14ac:dyDescent="0.35">
      <c r="B184">
        <f t="shared" si="29"/>
        <v>169</v>
      </c>
      <c r="C184" s="7">
        <f t="shared" si="23"/>
        <v>169</v>
      </c>
      <c r="D184" s="1" cm="1">
        <f t="array" ref="D184">estimatedTripEnergy(C184,G$5,G$6,C$12,C$7,C$9,C$8,FALSE)/1000</f>
        <v>1253.9170958817001</v>
      </c>
      <c r="E184" s="1" cm="1">
        <f t="array" ref="E184">estimatedTripEnergy(C184,G$5,G$6,C$12,C$7,C$9,C$8)/1000</f>
        <v>1401.8770958817001</v>
      </c>
      <c r="F184" s="59" cm="1">
        <f t="array" ref="F184">estimatedTripDuration(C184,$C$8,$C$7)/60</f>
        <v>7.3804860100993412</v>
      </c>
      <c r="G184">
        <f t="shared" si="30"/>
        <v>169</v>
      </c>
      <c r="H184" s="50">
        <f t="shared" si="24"/>
        <v>28.166666666666668</v>
      </c>
      <c r="I184" s="7" cm="1">
        <f t="array" ref="I184">CurrentCapacity(K$10,K$6,K$7,H184)</f>
        <v>35724.964500000002</v>
      </c>
      <c r="J184" s="48">
        <f t="shared" si="25"/>
        <v>3.9240825442435359E-2</v>
      </c>
      <c r="K184" s="5" cm="1">
        <f t="array" ref="K184">UseableCapacity(I184,$K$8,$K$9)</f>
        <v>26793.723375000001</v>
      </c>
      <c r="L184" s="59">
        <f t="shared" si="26"/>
        <v>34323.087404118305</v>
      </c>
      <c r="M184" s="7">
        <f t="shared" si="27"/>
        <v>25391.846279118301</v>
      </c>
      <c r="N184" s="7">
        <f t="shared" si="28"/>
        <v>2525.0354999999981</v>
      </c>
      <c r="O184" t="str">
        <f t="shared" si="31"/>
        <v>no</v>
      </c>
      <c r="P184" t="str">
        <f t="shared" si="32"/>
        <v>no</v>
      </c>
    </row>
    <row r="185" spans="2:16" x14ac:dyDescent="0.35">
      <c r="B185">
        <f t="shared" si="29"/>
        <v>170</v>
      </c>
      <c r="C185" s="7">
        <f t="shared" si="23"/>
        <v>170</v>
      </c>
      <c r="D185" s="1" cm="1">
        <f t="array" ref="D185">estimatedTripEnergy(C185,G$5,G$6,C$12,C$7,C$9,C$8,FALSE)/1000</f>
        <v>1254.8437750423002</v>
      </c>
      <c r="E185" s="1" cm="1">
        <f t="array" ref="E185">estimatedTripEnergy(C185,G$5,G$6,C$12,C$7,C$9,C$8)/1000</f>
        <v>1402.8037750423</v>
      </c>
      <c r="F185" s="59" cm="1">
        <f t="array" ref="F185">estimatedTripDuration(C185,$C$8,$C$7)/60</f>
        <v>7.4138193434326745</v>
      </c>
      <c r="G185">
        <f t="shared" si="30"/>
        <v>170</v>
      </c>
      <c r="H185" s="50">
        <f t="shared" si="24"/>
        <v>28.333333333333332</v>
      </c>
      <c r="I185" s="7" cm="1">
        <f t="array" ref="I185">CurrentCapacity(K$10,K$6,K$7,H185)</f>
        <v>35724.735000000001</v>
      </c>
      <c r="J185" s="48">
        <f t="shared" si="25"/>
        <v>3.9267016957363017E-2</v>
      </c>
      <c r="K185" s="5" cm="1">
        <f t="array" ref="K185">UseableCapacity(I185,$K$8,$K$9)</f>
        <v>26793.55125</v>
      </c>
      <c r="L185" s="59">
        <f t="shared" si="26"/>
        <v>34321.931224957698</v>
      </c>
      <c r="M185" s="7">
        <f t="shared" si="27"/>
        <v>25390.747474957701</v>
      </c>
      <c r="N185" s="7">
        <f t="shared" si="28"/>
        <v>2525.2649999999994</v>
      </c>
      <c r="O185" t="str">
        <f t="shared" si="31"/>
        <v>no</v>
      </c>
      <c r="P185" t="str">
        <f t="shared" si="32"/>
        <v>no</v>
      </c>
    </row>
    <row r="186" spans="2:16" x14ac:dyDescent="0.35">
      <c r="B186">
        <f t="shared" si="29"/>
        <v>171</v>
      </c>
      <c r="C186" s="7">
        <f t="shared" si="23"/>
        <v>171</v>
      </c>
      <c r="D186" s="1" cm="1">
        <f t="array" ref="D186">estimatedTripEnergy(C186,G$5,G$6,C$12,C$7,C$9,C$8,FALSE)/1000</f>
        <v>1255.7704542029001</v>
      </c>
      <c r="E186" s="1" cm="1">
        <f t="array" ref="E186">estimatedTripEnergy(C186,G$5,G$6,C$12,C$7,C$9,C$8)/1000</f>
        <v>1403.7304542028999</v>
      </c>
      <c r="F186" s="59" cm="1">
        <f t="array" ref="F186">estimatedTripDuration(C186,$C$8,$C$7)/60</f>
        <v>7.4471526767660077</v>
      </c>
      <c r="G186">
        <f t="shared" si="30"/>
        <v>171</v>
      </c>
      <c r="H186" s="50">
        <f t="shared" si="24"/>
        <v>28.5</v>
      </c>
      <c r="I186" s="7" cm="1">
        <f t="array" ref="I186">CurrentCapacity(K$10,K$6,K$7,H186)</f>
        <v>35724.505500000007</v>
      </c>
      <c r="J186" s="48">
        <f t="shared" si="25"/>
        <v>3.9293208808807711E-2</v>
      </c>
      <c r="K186" s="5" cm="1">
        <f t="array" ref="K186">UseableCapacity(I186,$K$8,$K$9)</f>
        <v>26793.379125000007</v>
      </c>
      <c r="L186" s="59">
        <f t="shared" si="26"/>
        <v>34320.775045797105</v>
      </c>
      <c r="M186" s="7">
        <f t="shared" si="27"/>
        <v>25389.648670797105</v>
      </c>
      <c r="N186" s="7">
        <f t="shared" si="28"/>
        <v>2525.4944999999934</v>
      </c>
      <c r="O186" t="str">
        <f t="shared" si="31"/>
        <v>no</v>
      </c>
      <c r="P186" t="str">
        <f t="shared" si="32"/>
        <v>no</v>
      </c>
    </row>
    <row r="187" spans="2:16" x14ac:dyDescent="0.35">
      <c r="B187">
        <f t="shared" si="29"/>
        <v>172</v>
      </c>
      <c r="C187" s="7">
        <f t="shared" si="23"/>
        <v>172</v>
      </c>
      <c r="D187" s="1" cm="1">
        <f t="array" ref="D187">estimatedTripEnergy(C187,G$5,G$6,C$12,C$7,C$9,C$8,FALSE)/1000</f>
        <v>1256.6971333634999</v>
      </c>
      <c r="E187" s="1" cm="1">
        <f t="array" ref="E187">estimatedTripEnergy(C187,G$5,G$6,C$12,C$7,C$9,C$8)/1000</f>
        <v>1404.6571333635</v>
      </c>
      <c r="F187" s="59" cm="1">
        <f t="array" ref="F187">estimatedTripDuration(C187,$C$8,$C$7)/60</f>
        <v>7.4804860100993409</v>
      </c>
      <c r="G187">
        <f t="shared" si="30"/>
        <v>172</v>
      </c>
      <c r="H187" s="50">
        <f t="shared" si="24"/>
        <v>28.666666666666668</v>
      </c>
      <c r="I187" s="7" cm="1">
        <f t="array" ref="I187">CurrentCapacity(K$10,K$6,K$7,H187)</f>
        <v>35724.275999999998</v>
      </c>
      <c r="J187" s="48">
        <f t="shared" si="25"/>
        <v>3.9319400996775972E-2</v>
      </c>
      <c r="K187" s="5" cm="1">
        <f t="array" ref="K187">UseableCapacity(I187,$K$8,$K$9)</f>
        <v>26793.206999999999</v>
      </c>
      <c r="L187" s="59">
        <f t="shared" si="26"/>
        <v>34319.618866636498</v>
      </c>
      <c r="M187" s="7">
        <f t="shared" si="27"/>
        <v>25388.549866636498</v>
      </c>
      <c r="N187" s="7">
        <f t="shared" si="28"/>
        <v>2525.724000000002</v>
      </c>
      <c r="O187" t="str">
        <f t="shared" si="31"/>
        <v>no</v>
      </c>
      <c r="P187" t="str">
        <f t="shared" si="32"/>
        <v>no</v>
      </c>
    </row>
    <row r="188" spans="2:16" x14ac:dyDescent="0.35">
      <c r="B188">
        <f t="shared" si="29"/>
        <v>173</v>
      </c>
      <c r="C188" s="7">
        <f t="shared" si="23"/>
        <v>173</v>
      </c>
      <c r="D188" s="1" cm="1">
        <f t="array" ref="D188">estimatedTripEnergy(C188,G$5,G$6,C$12,C$7,C$9,C$8,FALSE)/1000</f>
        <v>1257.6238125241</v>
      </c>
      <c r="E188" s="1" cm="1">
        <f t="array" ref="E188">estimatedTripEnergy(C188,G$5,G$6,C$12,C$7,C$9,C$8)/1000</f>
        <v>1405.5838125241</v>
      </c>
      <c r="F188" s="59" cm="1">
        <f t="array" ref="F188">estimatedTripDuration(C188,$C$8,$C$7)/60</f>
        <v>7.5138193434326741</v>
      </c>
      <c r="G188">
        <f t="shared" si="30"/>
        <v>173</v>
      </c>
      <c r="H188" s="50">
        <f t="shared" si="24"/>
        <v>28.833333333333332</v>
      </c>
      <c r="I188" s="7" cm="1">
        <f t="array" ref="I188">CurrentCapacity(K$10,K$6,K$7,H188)</f>
        <v>35724.046500000004</v>
      </c>
      <c r="J188" s="48">
        <f t="shared" si="25"/>
        <v>3.9345593521274244E-2</v>
      </c>
      <c r="K188" s="5" cm="1">
        <f t="array" ref="K188">UseableCapacity(I188,$K$8,$K$9)</f>
        <v>26793.034875000005</v>
      </c>
      <c r="L188" s="59">
        <f t="shared" si="26"/>
        <v>34318.462687475905</v>
      </c>
      <c r="M188" s="7">
        <f t="shared" si="27"/>
        <v>25387.451062475906</v>
      </c>
      <c r="N188" s="7">
        <f t="shared" si="28"/>
        <v>2525.953499999996</v>
      </c>
      <c r="O188" t="str">
        <f t="shared" si="31"/>
        <v>no</v>
      </c>
      <c r="P188" t="str">
        <f t="shared" si="32"/>
        <v>no</v>
      </c>
    </row>
    <row r="189" spans="2:16" x14ac:dyDescent="0.35">
      <c r="B189">
        <f t="shared" si="29"/>
        <v>174</v>
      </c>
      <c r="C189" s="7">
        <f t="shared" si="23"/>
        <v>174</v>
      </c>
      <c r="D189" s="1" cm="1">
        <f t="array" ref="D189">estimatedTripEnergy(C189,G$5,G$6,C$12,C$7,C$9,C$8,FALSE)/1000</f>
        <v>1258.5504916846999</v>
      </c>
      <c r="E189" s="1" cm="1">
        <f t="array" ref="E189">estimatedTripEnergy(C189,G$5,G$6,C$12,C$7,C$9,C$8)/1000</f>
        <v>1406.5104916846999</v>
      </c>
      <c r="F189" s="59" cm="1">
        <f t="array" ref="F189">estimatedTripDuration(C189,$C$8,$C$7)/60</f>
        <v>7.5471526767660073</v>
      </c>
      <c r="G189">
        <f t="shared" ref="G189:G201" si="33">B189</f>
        <v>174</v>
      </c>
      <c r="H189" s="50">
        <f t="shared" si="24"/>
        <v>29</v>
      </c>
      <c r="I189" s="7" cm="1">
        <f t="array" ref="I189">CurrentCapacity(K$10,K$6,K$7,H189)</f>
        <v>35723.817000000003</v>
      </c>
      <c r="J189" s="48">
        <f t="shared" si="25"/>
        <v>3.9371786382309031E-2</v>
      </c>
      <c r="K189" s="5" cm="1">
        <f t="array" ref="K189">UseableCapacity(I189,$K$8,$K$9)</f>
        <v>26792.86275</v>
      </c>
      <c r="L189" s="59">
        <f t="shared" si="26"/>
        <v>34317.306508315305</v>
      </c>
      <c r="M189" s="7">
        <f t="shared" si="27"/>
        <v>25386.352258315299</v>
      </c>
      <c r="N189" s="7">
        <f t="shared" si="28"/>
        <v>2526.1829999999973</v>
      </c>
      <c r="O189" t="str">
        <f t="shared" ref="O189:O201" si="34">IF(M189&lt;0,"yes","no")</f>
        <v>no</v>
      </c>
      <c r="P189" t="str">
        <f t="shared" ref="P189:P201" si="35">IF(L189&lt;0,"yes","no")</f>
        <v>no</v>
      </c>
    </row>
    <row r="190" spans="2:16" x14ac:dyDescent="0.35">
      <c r="B190">
        <f t="shared" si="29"/>
        <v>175</v>
      </c>
      <c r="C190" s="7">
        <f t="shared" si="23"/>
        <v>175</v>
      </c>
      <c r="D190" s="1" cm="1">
        <f t="array" ref="D190">estimatedTripEnergy(C190,G$5,G$6,C$12,C$7,C$9,C$8,FALSE)/1000</f>
        <v>1259.4771708453</v>
      </c>
      <c r="E190" s="1" cm="1">
        <f t="array" ref="E190">estimatedTripEnergy(C190,G$5,G$6,C$12,C$7,C$9,C$8)/1000</f>
        <v>1407.4371708453</v>
      </c>
      <c r="F190" s="59" cm="1">
        <f t="array" ref="F190">estimatedTripDuration(C190,$C$8,$C$7)/60</f>
        <v>7.5804860100993405</v>
      </c>
      <c r="G190">
        <f t="shared" si="33"/>
        <v>175</v>
      </c>
      <c r="H190" s="50">
        <f t="shared" si="24"/>
        <v>29.166666666666668</v>
      </c>
      <c r="I190" s="7" cm="1">
        <f t="array" ref="I190">CurrentCapacity(K$10,K$6,K$7,H190)</f>
        <v>35723.587500000001</v>
      </c>
      <c r="J190" s="48">
        <f t="shared" si="25"/>
        <v>3.9397979579886819E-2</v>
      </c>
      <c r="K190" s="5" cm="1">
        <f t="array" ref="K190">UseableCapacity(I190,$K$8,$K$9)</f>
        <v>26792.690625000003</v>
      </c>
      <c r="L190" s="59">
        <f t="shared" si="26"/>
        <v>34316.150329154698</v>
      </c>
      <c r="M190" s="7">
        <f t="shared" si="27"/>
        <v>25385.253454154703</v>
      </c>
      <c r="N190" s="7">
        <f t="shared" si="28"/>
        <v>2526.4124999999985</v>
      </c>
      <c r="O190" t="str">
        <f t="shared" si="34"/>
        <v>no</v>
      </c>
      <c r="P190" t="str">
        <f t="shared" si="35"/>
        <v>no</v>
      </c>
    </row>
    <row r="191" spans="2:16" x14ac:dyDescent="0.35">
      <c r="B191">
        <f t="shared" si="29"/>
        <v>176</v>
      </c>
      <c r="C191" s="7">
        <f t="shared" si="23"/>
        <v>176</v>
      </c>
      <c r="D191" s="1" cm="1">
        <f t="array" ref="D191">estimatedTripEnergy(C191,G$5,G$6,C$12,C$7,C$9,C$8,FALSE)/1000</f>
        <v>1260.4038500059</v>
      </c>
      <c r="E191" s="1" cm="1">
        <f t="array" ref="E191">estimatedTripEnergy(C191,G$5,G$6,C$12,C$7,C$9,C$8)/1000</f>
        <v>1408.3638500059001</v>
      </c>
      <c r="F191" s="59" cm="1">
        <f t="array" ref="F191">estimatedTripDuration(C191,$C$8,$C$7)/60</f>
        <v>7.6138193434326746</v>
      </c>
      <c r="G191">
        <f t="shared" si="33"/>
        <v>176</v>
      </c>
      <c r="H191" s="50">
        <f t="shared" si="24"/>
        <v>29.333333333333332</v>
      </c>
      <c r="I191" s="7" cm="1">
        <f t="array" ref="I191">CurrentCapacity(K$10,K$6,K$7,H191)</f>
        <v>35723.358000000007</v>
      </c>
      <c r="J191" s="48">
        <f t="shared" si="25"/>
        <v>3.9424173114014083E-2</v>
      </c>
      <c r="K191" s="5" cm="1">
        <f t="array" ref="K191">UseableCapacity(I191,$K$8,$K$9)</f>
        <v>26792.518500000006</v>
      </c>
      <c r="L191" s="59">
        <f t="shared" si="26"/>
        <v>34314.994149994105</v>
      </c>
      <c r="M191" s="7">
        <f t="shared" si="27"/>
        <v>25384.154649994107</v>
      </c>
      <c r="N191" s="7">
        <f t="shared" si="28"/>
        <v>2526.6419999999925</v>
      </c>
      <c r="O191" t="str">
        <f t="shared" si="34"/>
        <v>no</v>
      </c>
      <c r="P191" t="str">
        <f t="shared" si="35"/>
        <v>no</v>
      </c>
    </row>
    <row r="192" spans="2:16" x14ac:dyDescent="0.35">
      <c r="B192">
        <f t="shared" si="29"/>
        <v>177</v>
      </c>
      <c r="C192" s="7">
        <f t="shared" si="23"/>
        <v>177</v>
      </c>
      <c r="D192" s="1" cm="1">
        <f t="array" ref="D192">estimatedTripEnergy(C192,G$5,G$6,C$12,C$7,C$9,C$8,FALSE)/1000</f>
        <v>1261.3305291665001</v>
      </c>
      <c r="E192" s="1" cm="1">
        <f t="array" ref="E192">estimatedTripEnergy(C192,G$5,G$6,C$12,C$7,C$9,C$8)/1000</f>
        <v>1409.2905291665002</v>
      </c>
      <c r="F192" s="59" cm="1">
        <f t="array" ref="F192">estimatedTripDuration(C192,$C$8,$C$7)/60</f>
        <v>7.6471526767660079</v>
      </c>
      <c r="G192">
        <f t="shared" si="33"/>
        <v>177</v>
      </c>
      <c r="H192" s="50">
        <f t="shared" si="24"/>
        <v>29.5</v>
      </c>
      <c r="I192" s="7" cm="1">
        <f t="array" ref="I192">CurrentCapacity(K$10,K$6,K$7,H192)</f>
        <v>35723.128499999999</v>
      </c>
      <c r="J192" s="48">
        <f t="shared" si="25"/>
        <v>3.9450366984697331E-2</v>
      </c>
      <c r="K192" s="5" cm="1">
        <f t="array" ref="K192">UseableCapacity(I192,$K$8,$K$9)</f>
        <v>26792.346375000001</v>
      </c>
      <c r="L192" s="59">
        <f t="shared" si="26"/>
        <v>34313.837970833498</v>
      </c>
      <c r="M192" s="7">
        <f t="shared" si="27"/>
        <v>25383.0558458335</v>
      </c>
      <c r="N192" s="7">
        <f t="shared" si="28"/>
        <v>2526.8715000000011</v>
      </c>
      <c r="O192" t="str">
        <f t="shared" si="34"/>
        <v>no</v>
      </c>
      <c r="P192" t="str">
        <f t="shared" si="35"/>
        <v>no</v>
      </c>
    </row>
    <row r="193" spans="2:16" x14ac:dyDescent="0.35">
      <c r="B193">
        <f t="shared" si="29"/>
        <v>178</v>
      </c>
      <c r="C193" s="7">
        <f t="shared" si="23"/>
        <v>178</v>
      </c>
      <c r="D193" s="1" cm="1">
        <f t="array" ref="D193">estimatedTripEnergy(C193,G$5,G$6,C$12,C$7,C$9,C$8,FALSE)/1000</f>
        <v>1262.2572083271002</v>
      </c>
      <c r="E193" s="1" cm="1">
        <f t="array" ref="E193">estimatedTripEnergy(C193,G$5,G$6,C$12,C$7,C$9,C$8)/1000</f>
        <v>1410.2172083271003</v>
      </c>
      <c r="F193" s="59" cm="1">
        <f t="array" ref="F193">estimatedTripDuration(C193,$C$8,$C$7)/60</f>
        <v>7.6804860100993411</v>
      </c>
      <c r="G193">
        <f t="shared" si="33"/>
        <v>178</v>
      </c>
      <c r="H193" s="50">
        <f t="shared" si="24"/>
        <v>29.666666666666668</v>
      </c>
      <c r="I193" s="7" cm="1">
        <f t="array" ref="I193">CurrentCapacity(K$10,K$6,K$7,H193)</f>
        <v>35722.899000000005</v>
      </c>
      <c r="J193" s="48">
        <f t="shared" si="25"/>
        <v>3.9476561191943017E-2</v>
      </c>
      <c r="K193" s="5" cm="1">
        <f t="array" ref="K193">UseableCapacity(I193,$K$8,$K$9)</f>
        <v>26792.174250000004</v>
      </c>
      <c r="L193" s="59">
        <f t="shared" si="26"/>
        <v>34312.681791672905</v>
      </c>
      <c r="M193" s="7">
        <f t="shared" si="27"/>
        <v>25381.957041672904</v>
      </c>
      <c r="N193" s="7">
        <f t="shared" si="28"/>
        <v>2527.1009999999951</v>
      </c>
      <c r="O193" t="str">
        <f t="shared" si="34"/>
        <v>no</v>
      </c>
      <c r="P193" t="str">
        <f t="shared" si="35"/>
        <v>no</v>
      </c>
    </row>
    <row r="194" spans="2:16" x14ac:dyDescent="0.35">
      <c r="B194">
        <f t="shared" si="29"/>
        <v>179</v>
      </c>
      <c r="C194" s="7">
        <f t="shared" si="23"/>
        <v>179</v>
      </c>
      <c r="D194" s="1" cm="1">
        <f t="array" ref="D194">estimatedTripEnergy(C194,G$5,G$6,C$12,C$7,C$9,C$8,FALSE)/1000</f>
        <v>1263.1838874877001</v>
      </c>
      <c r="E194" s="1" cm="1">
        <f t="array" ref="E194">estimatedTripEnergy(C194,G$5,G$6,C$12,C$7,C$9,C$8)/1000</f>
        <v>1411.1438874876999</v>
      </c>
      <c r="F194" s="59" cm="1">
        <f t="array" ref="F194">estimatedTripDuration(C194,$C$8,$C$7)/60</f>
        <v>7.7138193434326743</v>
      </c>
      <c r="G194">
        <f t="shared" si="33"/>
        <v>179</v>
      </c>
      <c r="H194" s="50">
        <f t="shared" si="24"/>
        <v>29.833333333333332</v>
      </c>
      <c r="I194" s="7" cm="1">
        <f t="array" ref="I194">CurrentCapacity(K$10,K$6,K$7,H194)</f>
        <v>35722.669500000004</v>
      </c>
      <c r="J194" s="48">
        <f t="shared" si="25"/>
        <v>3.950275573575765E-2</v>
      </c>
      <c r="K194" s="5" cm="1">
        <f t="array" ref="K194">UseableCapacity(I194,$K$8,$K$9)</f>
        <v>26792.002125000003</v>
      </c>
      <c r="L194" s="59">
        <f t="shared" si="26"/>
        <v>34311.525612512305</v>
      </c>
      <c r="M194" s="7">
        <f t="shared" si="27"/>
        <v>25380.858237512304</v>
      </c>
      <c r="N194" s="7">
        <f t="shared" si="28"/>
        <v>2527.3304999999964</v>
      </c>
      <c r="O194" t="str">
        <f t="shared" si="34"/>
        <v>no</v>
      </c>
      <c r="P194" t="str">
        <f t="shared" si="35"/>
        <v>no</v>
      </c>
    </row>
    <row r="195" spans="2:16" x14ac:dyDescent="0.35">
      <c r="B195">
        <f t="shared" si="29"/>
        <v>180</v>
      </c>
      <c r="C195" s="7">
        <f t="shared" si="23"/>
        <v>180</v>
      </c>
      <c r="D195" s="1" cm="1">
        <f t="array" ref="D195">estimatedTripEnergy(C195,G$5,G$6,C$12,C$7,C$9,C$8,FALSE)/1000</f>
        <v>1264.1105666482999</v>
      </c>
      <c r="E195" s="1" cm="1">
        <f t="array" ref="E195">estimatedTripEnergy(C195,G$5,G$6,C$12,C$7,C$9,C$8)/1000</f>
        <v>1412.0705666483</v>
      </c>
      <c r="F195" s="59" cm="1">
        <f t="array" ref="F195">estimatedTripDuration(C195,$C$8,$C$7)/60</f>
        <v>7.7471526767660075</v>
      </c>
      <c r="G195">
        <f t="shared" si="33"/>
        <v>180</v>
      </c>
      <c r="H195" s="50">
        <f t="shared" si="24"/>
        <v>30</v>
      </c>
      <c r="I195" s="7" cm="1">
        <f t="array" ref="I195">CurrentCapacity(K$10,K$6,K$7,H195)</f>
        <v>35722.44</v>
      </c>
      <c r="J195" s="48">
        <f t="shared" si="25"/>
        <v>3.9528950616147716E-2</v>
      </c>
      <c r="K195" s="5" cm="1">
        <f t="array" ref="K195">UseableCapacity(I195,$K$8,$K$9)</f>
        <v>26791.83</v>
      </c>
      <c r="L195" s="59">
        <f t="shared" si="26"/>
        <v>34310.369433351705</v>
      </c>
      <c r="M195" s="7">
        <f t="shared" si="27"/>
        <v>25379.759433351701</v>
      </c>
      <c r="N195" s="7">
        <f t="shared" si="28"/>
        <v>2527.5599999999977</v>
      </c>
      <c r="O195" t="str">
        <f t="shared" si="34"/>
        <v>no</v>
      </c>
      <c r="P195" t="str">
        <f t="shared" si="35"/>
        <v>no</v>
      </c>
    </row>
    <row r="196" spans="2:16" x14ac:dyDescent="0.35">
      <c r="B196">
        <f t="shared" si="29"/>
        <v>181</v>
      </c>
      <c r="C196" s="7">
        <f t="shared" si="23"/>
        <v>181</v>
      </c>
      <c r="D196" s="1" cm="1">
        <f t="array" ref="D196">estimatedTripEnergy(C196,G$5,G$6,C$12,C$7,C$9,C$8,FALSE)/1000</f>
        <v>1265.0372458088998</v>
      </c>
      <c r="E196" s="1" cm="1">
        <f t="array" ref="E196">estimatedTripEnergy(C196,G$5,G$6,C$12,C$7,C$9,C$8)/1000</f>
        <v>1412.9972458088998</v>
      </c>
      <c r="F196" s="59" cm="1">
        <f t="array" ref="F196">estimatedTripDuration(C196,$C$8,$C$7)/60</f>
        <v>7.7804860100993407</v>
      </c>
      <c r="G196">
        <f t="shared" si="33"/>
        <v>181</v>
      </c>
      <c r="H196" s="50">
        <f t="shared" si="24"/>
        <v>30.166666666666668</v>
      </c>
      <c r="I196" s="7" cm="1">
        <f t="array" ref="I196">CurrentCapacity(K$10,K$6,K$7,H196)</f>
        <v>35722.210500000001</v>
      </c>
      <c r="J196" s="48">
        <f t="shared" si="25"/>
        <v>3.9555145833119698E-2</v>
      </c>
      <c r="K196" s="5" cm="1">
        <f t="array" ref="K196">UseableCapacity(I196,$K$8,$K$9)</f>
        <v>26791.657875000001</v>
      </c>
      <c r="L196" s="59">
        <f t="shared" si="26"/>
        <v>34309.213254191098</v>
      </c>
      <c r="M196" s="7">
        <f t="shared" si="27"/>
        <v>25378.660629191101</v>
      </c>
      <c r="N196" s="7">
        <f t="shared" si="28"/>
        <v>2527.789499999999</v>
      </c>
      <c r="O196" t="str">
        <f t="shared" si="34"/>
        <v>no</v>
      </c>
      <c r="P196" t="str">
        <f t="shared" si="35"/>
        <v>no</v>
      </c>
    </row>
    <row r="197" spans="2:16" x14ac:dyDescent="0.35">
      <c r="B197">
        <f t="shared" si="29"/>
        <v>182</v>
      </c>
      <c r="C197" s="7">
        <f t="shared" si="23"/>
        <v>182</v>
      </c>
      <c r="D197" s="1" cm="1">
        <f t="array" ref="D197">estimatedTripEnergy(C197,G$5,G$6,C$12,C$7,C$9,C$8,FALSE)/1000</f>
        <v>1265.9639249694999</v>
      </c>
      <c r="E197" s="1" cm="1">
        <f t="array" ref="E197">estimatedTripEnergy(C197,G$5,G$6,C$12,C$7,C$9,C$8)/1000</f>
        <v>1413.9239249694999</v>
      </c>
      <c r="F197" s="59" cm="1">
        <f t="array" ref="F197">estimatedTripDuration(C197,$C$8,$C$7)/60</f>
        <v>7.8138193434326739</v>
      </c>
      <c r="G197">
        <f t="shared" si="33"/>
        <v>182</v>
      </c>
      <c r="H197" s="50">
        <f t="shared" si="24"/>
        <v>30.333333333333332</v>
      </c>
      <c r="I197" s="7" cm="1">
        <f t="array" ref="I197">CurrentCapacity(K$10,K$6,K$7,H197)</f>
        <v>35721.981</v>
      </c>
      <c r="J197" s="48">
        <f t="shared" si="25"/>
        <v>3.958134138668009E-2</v>
      </c>
      <c r="K197" s="5" cm="1">
        <f t="array" ref="K197">UseableCapacity(I197,$K$8,$K$9)</f>
        <v>26791.48575</v>
      </c>
      <c r="L197" s="59">
        <f t="shared" si="26"/>
        <v>34308.057075030498</v>
      </c>
      <c r="M197" s="7">
        <f t="shared" si="27"/>
        <v>25377.561825030501</v>
      </c>
      <c r="N197" s="7">
        <f t="shared" si="28"/>
        <v>2528.0190000000002</v>
      </c>
      <c r="O197" t="str">
        <f t="shared" si="34"/>
        <v>no</v>
      </c>
      <c r="P197" t="str">
        <f t="shared" si="35"/>
        <v>no</v>
      </c>
    </row>
    <row r="198" spans="2:16" x14ac:dyDescent="0.35">
      <c r="B198">
        <f t="shared" si="29"/>
        <v>183</v>
      </c>
      <c r="C198" s="7">
        <f t="shared" si="23"/>
        <v>183</v>
      </c>
      <c r="D198" s="1" cm="1">
        <f t="array" ref="D198">estimatedTripEnergy(C198,G$5,G$6,C$12,C$7,C$9,C$8,FALSE)/1000</f>
        <v>1266.8906041301</v>
      </c>
      <c r="E198" s="1" cm="1">
        <f t="array" ref="E198">estimatedTripEnergy(C198,G$5,G$6,C$12,C$7,C$9,C$8)/1000</f>
        <v>1414.8506041301</v>
      </c>
      <c r="F198" s="59" cm="1">
        <f t="array" ref="F198">estimatedTripDuration(C198,$C$8,$C$7)/60</f>
        <v>7.8471526767660071</v>
      </c>
      <c r="G198">
        <f t="shared" si="33"/>
        <v>183</v>
      </c>
      <c r="H198" s="50">
        <f t="shared" si="24"/>
        <v>30.5</v>
      </c>
      <c r="I198" s="7" cm="1">
        <f t="array" ref="I198">CurrentCapacity(K$10,K$6,K$7,H198)</f>
        <v>35721.751499999998</v>
      </c>
      <c r="J198" s="48">
        <f t="shared" si="25"/>
        <v>3.9607537276835379E-2</v>
      </c>
      <c r="K198" s="5" cm="1">
        <f t="array" ref="K198">UseableCapacity(I198,$K$8,$K$9)</f>
        <v>26791.313624999999</v>
      </c>
      <c r="L198" s="59">
        <f t="shared" si="26"/>
        <v>34306.900895869898</v>
      </c>
      <c r="M198" s="7">
        <f t="shared" si="27"/>
        <v>25376.463020869898</v>
      </c>
      <c r="N198" s="7">
        <f t="shared" si="28"/>
        <v>2528.2485000000015</v>
      </c>
      <c r="O198" t="str">
        <f t="shared" si="34"/>
        <v>no</v>
      </c>
      <c r="P198" t="str">
        <f t="shared" si="35"/>
        <v>no</v>
      </c>
    </row>
    <row r="199" spans="2:16" x14ac:dyDescent="0.35">
      <c r="B199">
        <f t="shared" si="29"/>
        <v>184</v>
      </c>
      <c r="C199" s="7">
        <f t="shared" si="23"/>
        <v>184</v>
      </c>
      <c r="D199" s="1" cm="1">
        <f t="array" ref="D199">estimatedTripEnergy(C199,G$5,G$6,C$12,C$7,C$9,C$8,FALSE)/1000</f>
        <v>1267.8172832907001</v>
      </c>
      <c r="E199" s="1" cm="1">
        <f t="array" ref="E199">estimatedTripEnergy(C199,G$5,G$6,C$12,C$7,C$9,C$8)/1000</f>
        <v>1415.7772832907001</v>
      </c>
      <c r="F199" s="59" cm="1">
        <f t="array" ref="F199">estimatedTripDuration(C199,$C$8,$C$7)/60</f>
        <v>7.8804860100993412</v>
      </c>
      <c r="G199">
        <f t="shared" si="33"/>
        <v>184</v>
      </c>
      <c r="H199" s="50">
        <f t="shared" si="24"/>
        <v>30.666666666666668</v>
      </c>
      <c r="I199" s="7" cm="1">
        <f t="array" ref="I199">CurrentCapacity(K$10,K$6,K$7,H199)</f>
        <v>35721.522000000004</v>
      </c>
      <c r="J199" s="48">
        <f t="shared" si="25"/>
        <v>3.9633733503592034E-2</v>
      </c>
      <c r="K199" s="5" cm="1">
        <f t="array" ref="K199">UseableCapacity(I199,$K$8,$K$9)</f>
        <v>26791.141500000005</v>
      </c>
      <c r="L199" s="59">
        <f t="shared" si="26"/>
        <v>34305.744716709305</v>
      </c>
      <c r="M199" s="7">
        <f t="shared" si="27"/>
        <v>25375.364216709306</v>
      </c>
      <c r="N199" s="7">
        <f t="shared" si="28"/>
        <v>2528.4779999999955</v>
      </c>
      <c r="O199" t="str">
        <f t="shared" si="34"/>
        <v>no</v>
      </c>
      <c r="P199" t="str">
        <f t="shared" si="35"/>
        <v>no</v>
      </c>
    </row>
    <row r="200" spans="2:16" x14ac:dyDescent="0.35">
      <c r="B200">
        <f t="shared" si="29"/>
        <v>185</v>
      </c>
      <c r="C200" s="7">
        <f t="shared" si="23"/>
        <v>185</v>
      </c>
      <c r="D200" s="1" cm="1">
        <f t="array" ref="D200">estimatedTripEnergy(C200,G$5,G$6,C$12,C$7,C$9,C$8,FALSE)/1000</f>
        <v>1268.7439624513001</v>
      </c>
      <c r="E200" s="1" cm="1">
        <f t="array" ref="E200">estimatedTripEnergy(C200,G$5,G$6,C$12,C$7,C$9,C$8)/1000</f>
        <v>1416.7039624513002</v>
      </c>
      <c r="F200" s="59" cm="1">
        <f t="array" ref="F200">estimatedTripDuration(C200,$C$8,$C$7)/60</f>
        <v>7.9138193434326745</v>
      </c>
      <c r="G200">
        <f t="shared" si="33"/>
        <v>185</v>
      </c>
      <c r="H200" s="50">
        <f t="shared" si="24"/>
        <v>30.833333333333332</v>
      </c>
      <c r="I200" s="7" cm="1">
        <f t="array" ref="I200">CurrentCapacity(K$10,K$6,K$7,H200)</f>
        <v>35721.292500000003</v>
      </c>
      <c r="J200" s="48">
        <f t="shared" si="25"/>
        <v>3.9659930066956568E-2</v>
      </c>
      <c r="K200" s="5" cm="1">
        <f t="array" ref="K200">UseableCapacity(I200,$K$8,$K$9)</f>
        <v>26790.969375000001</v>
      </c>
      <c r="L200" s="59">
        <f t="shared" si="26"/>
        <v>34304.588537548705</v>
      </c>
      <c r="M200" s="7">
        <f t="shared" si="27"/>
        <v>25374.265412548699</v>
      </c>
      <c r="N200" s="7">
        <f t="shared" si="28"/>
        <v>2528.7074999999968</v>
      </c>
      <c r="O200" t="str">
        <f t="shared" si="34"/>
        <v>no</v>
      </c>
      <c r="P200" t="str">
        <f t="shared" si="35"/>
        <v>no</v>
      </c>
    </row>
    <row r="201" spans="2:16" x14ac:dyDescent="0.35">
      <c r="B201">
        <f t="shared" si="29"/>
        <v>186</v>
      </c>
      <c r="C201" s="7">
        <f t="shared" si="23"/>
        <v>186</v>
      </c>
      <c r="D201" s="1" cm="1">
        <f t="array" ref="D201">estimatedTripEnergy(C201,G$5,G$6,C$12,C$7,C$9,C$8,FALSE)/1000</f>
        <v>1269.6706416119</v>
      </c>
      <c r="E201" s="1" cm="1">
        <f t="array" ref="E201">estimatedTripEnergy(C201,G$5,G$6,C$12,C$7,C$9,C$8)/1000</f>
        <v>1417.6306416119</v>
      </c>
      <c r="F201" s="59" cm="1">
        <f t="array" ref="F201">estimatedTripDuration(C201,$C$8,$C$7)/60</f>
        <v>7.9471526767660077</v>
      </c>
      <c r="G201">
        <f t="shared" si="33"/>
        <v>186</v>
      </c>
      <c r="H201" s="50">
        <f t="shared" si="24"/>
        <v>31</v>
      </c>
      <c r="I201" s="7" cm="1">
        <f t="array" ref="I201">CurrentCapacity(K$10,K$6,K$7,H201)</f>
        <v>35721.063000000002</v>
      </c>
      <c r="J201" s="48">
        <f t="shared" si="25"/>
        <v>3.9686126966935444E-2</v>
      </c>
      <c r="K201" s="5" cm="1">
        <f t="array" ref="K201">UseableCapacity(I201,$K$8,$K$9)</f>
        <v>26790.797250000003</v>
      </c>
      <c r="L201" s="59">
        <f t="shared" si="26"/>
        <v>34303.432358388105</v>
      </c>
      <c r="M201" s="7">
        <f t="shared" si="27"/>
        <v>25373.166608388103</v>
      </c>
      <c r="N201" s="7">
        <f t="shared" si="28"/>
        <v>2528.9369999999981</v>
      </c>
      <c r="O201" t="str">
        <f t="shared" si="34"/>
        <v>no</v>
      </c>
      <c r="P201" t="str">
        <f t="shared" si="35"/>
        <v>no</v>
      </c>
    </row>
    <row r="202" spans="2:16" x14ac:dyDescent="0.35">
      <c r="B202">
        <f t="shared" si="29"/>
        <v>187</v>
      </c>
      <c r="C202" s="7">
        <f t="shared" si="23"/>
        <v>187</v>
      </c>
      <c r="D202" s="1" cm="1">
        <f t="array" ref="D202">estimatedTripEnergy(C202,G$5,G$6,C$12,C$7,C$9,C$8,FALSE)/1000</f>
        <v>1270.5973207725001</v>
      </c>
      <c r="E202" s="1" cm="1">
        <f t="array" ref="E202">estimatedTripEnergy(C202,G$5,G$6,C$12,C$7,C$9,C$8)/1000</f>
        <v>1418.5573207724999</v>
      </c>
      <c r="F202" s="59" cm="1">
        <f t="array" ref="F202">estimatedTripDuration(C202,$C$8,$C$7)/60</f>
        <v>7.9804860100993409</v>
      </c>
      <c r="G202">
        <f t="shared" ref="G202:G265" si="36">B202</f>
        <v>187</v>
      </c>
      <c r="H202" s="50">
        <f t="shared" si="24"/>
        <v>31.166666666666668</v>
      </c>
      <c r="I202" s="7" cm="1">
        <f t="array" ref="I202">CurrentCapacity(K$10,K$6,K$7,H202)</f>
        <v>35720.833500000001</v>
      </c>
      <c r="J202" s="48">
        <f t="shared" si="25"/>
        <v>3.9712324203535168E-2</v>
      </c>
      <c r="K202" s="5" cm="1">
        <f t="array" ref="K202">UseableCapacity(I202,$K$8,$K$9)</f>
        <v>26790.625124999999</v>
      </c>
      <c r="L202" s="59">
        <f t="shared" si="26"/>
        <v>34302.276179227498</v>
      </c>
      <c r="M202" s="7">
        <f t="shared" si="27"/>
        <v>25372.067804227499</v>
      </c>
      <c r="N202" s="7">
        <f t="shared" si="28"/>
        <v>2529.1664999999994</v>
      </c>
      <c r="O202" t="str">
        <f t="shared" ref="O202:O265" si="37">IF(M202&lt;0,"yes","no")</f>
        <v>no</v>
      </c>
      <c r="P202" t="str">
        <f t="shared" ref="P202:P265" si="38">IF(L202&lt;0,"yes","no")</f>
        <v>no</v>
      </c>
    </row>
    <row r="203" spans="2:16" x14ac:dyDescent="0.35">
      <c r="B203">
        <f t="shared" si="29"/>
        <v>188</v>
      </c>
      <c r="C203" s="7">
        <f t="shared" si="23"/>
        <v>188</v>
      </c>
      <c r="D203" s="1" cm="1">
        <f t="array" ref="D203">estimatedTripEnergy(C203,G$5,G$6,C$12,C$7,C$9,C$8,FALSE)/1000</f>
        <v>1271.5239999331002</v>
      </c>
      <c r="E203" s="1" cm="1">
        <f t="array" ref="E203">estimatedTripEnergy(C203,G$5,G$6,C$12,C$7,C$9,C$8)/1000</f>
        <v>1419.4839999331</v>
      </c>
      <c r="F203" s="59" cm="1">
        <f t="array" ref="F203">estimatedTripDuration(C203,$C$8,$C$7)/60</f>
        <v>8.0138193434326741</v>
      </c>
      <c r="G203">
        <f t="shared" si="36"/>
        <v>188</v>
      </c>
      <c r="H203" s="50">
        <f t="shared" si="24"/>
        <v>31.333333333333332</v>
      </c>
      <c r="I203" s="7" cm="1">
        <f t="array" ref="I203">CurrentCapacity(K$10,K$6,K$7,H203)</f>
        <v>35720.603999999999</v>
      </c>
      <c r="J203" s="48">
        <f t="shared" si="25"/>
        <v>3.973852177676223E-2</v>
      </c>
      <c r="K203" s="5" cm="1">
        <f t="array" ref="K203">UseableCapacity(I203,$K$8,$K$9)</f>
        <v>26790.453000000001</v>
      </c>
      <c r="L203" s="59">
        <f t="shared" si="26"/>
        <v>34301.120000066898</v>
      </c>
      <c r="M203" s="7">
        <f t="shared" si="27"/>
        <v>25370.9690000669</v>
      </c>
      <c r="N203" s="7">
        <f t="shared" si="28"/>
        <v>2529.3960000000006</v>
      </c>
      <c r="O203" t="str">
        <f t="shared" si="37"/>
        <v>no</v>
      </c>
      <c r="P203" t="str">
        <f t="shared" si="38"/>
        <v>no</v>
      </c>
    </row>
    <row r="204" spans="2:16" x14ac:dyDescent="0.35">
      <c r="B204">
        <f t="shared" si="29"/>
        <v>189</v>
      </c>
      <c r="C204" s="7">
        <f t="shared" si="23"/>
        <v>189</v>
      </c>
      <c r="D204" s="1" cm="1">
        <f t="array" ref="D204">estimatedTripEnergy(C204,G$5,G$6,C$12,C$7,C$9,C$8,FALSE)/1000</f>
        <v>1272.4506790936998</v>
      </c>
      <c r="E204" s="1" cm="1">
        <f t="array" ref="E204">estimatedTripEnergy(C204,G$5,G$6,C$12,C$7,C$9,C$8)/1000</f>
        <v>1420.4106790936999</v>
      </c>
      <c r="F204" s="59" cm="1">
        <f t="array" ref="F204">estimatedTripDuration(C204,$C$8,$C$7)/60</f>
        <v>8.0471526767660073</v>
      </c>
      <c r="G204">
        <f t="shared" si="36"/>
        <v>189</v>
      </c>
      <c r="H204" s="50">
        <f t="shared" si="24"/>
        <v>31.5</v>
      </c>
      <c r="I204" s="7" cm="1">
        <f t="array" ref="I204">CurrentCapacity(K$10,K$6,K$7,H204)</f>
        <v>35720.374500000005</v>
      </c>
      <c r="J204" s="48">
        <f t="shared" si="25"/>
        <v>3.9764719686623096E-2</v>
      </c>
      <c r="K204" s="5" cm="1">
        <f t="array" ref="K204">UseableCapacity(I204,$K$8,$K$9)</f>
        <v>26790.280875000004</v>
      </c>
      <c r="L204" s="59">
        <f t="shared" si="26"/>
        <v>34299.963820906305</v>
      </c>
      <c r="M204" s="7">
        <f t="shared" si="27"/>
        <v>25369.870195906304</v>
      </c>
      <c r="N204" s="7">
        <f t="shared" si="28"/>
        <v>2529.6254999999946</v>
      </c>
      <c r="O204" t="str">
        <f t="shared" si="37"/>
        <v>no</v>
      </c>
      <c r="P204" t="str">
        <f t="shared" si="38"/>
        <v>no</v>
      </c>
    </row>
    <row r="205" spans="2:16" x14ac:dyDescent="0.35">
      <c r="B205">
        <f t="shared" si="29"/>
        <v>190</v>
      </c>
      <c r="C205" s="7">
        <f t="shared" si="23"/>
        <v>190</v>
      </c>
      <c r="D205" s="1" cm="1">
        <f t="array" ref="D205">estimatedTripEnergy(C205,G$5,G$6,C$12,C$7,C$9,C$8,FALSE)/1000</f>
        <v>1273.3773582542999</v>
      </c>
      <c r="E205" s="1" cm="1">
        <f t="array" ref="E205">estimatedTripEnergy(C205,G$5,G$6,C$12,C$7,C$9,C$8)/1000</f>
        <v>1421.3373582542999</v>
      </c>
      <c r="F205" s="59" cm="1">
        <f t="array" ref="F205">estimatedTripDuration(C205,$C$8,$C$7)/60</f>
        <v>8.0804860100993405</v>
      </c>
      <c r="G205">
        <f t="shared" si="36"/>
        <v>190</v>
      </c>
      <c r="H205" s="50">
        <f t="shared" si="24"/>
        <v>31.666666666666668</v>
      </c>
      <c r="I205" s="7" cm="1">
        <f t="array" ref="I205">CurrentCapacity(K$10,K$6,K$7,H205)</f>
        <v>35720.145000000004</v>
      </c>
      <c r="J205" s="48">
        <f t="shared" si="25"/>
        <v>3.9790917933124288E-2</v>
      </c>
      <c r="K205" s="5" cm="1">
        <f t="array" ref="K205">UseableCapacity(I205,$K$8,$K$9)</f>
        <v>26790.108750000003</v>
      </c>
      <c r="L205" s="59">
        <f t="shared" si="26"/>
        <v>34298.807641745705</v>
      </c>
      <c r="M205" s="7">
        <f t="shared" si="27"/>
        <v>25368.771391745704</v>
      </c>
      <c r="N205" s="7">
        <f t="shared" si="28"/>
        <v>2529.8549999999959</v>
      </c>
      <c r="O205" t="str">
        <f t="shared" si="37"/>
        <v>no</v>
      </c>
      <c r="P205" t="str">
        <f t="shared" si="38"/>
        <v>no</v>
      </c>
    </row>
    <row r="206" spans="2:16" x14ac:dyDescent="0.35">
      <c r="B206">
        <f t="shared" si="29"/>
        <v>191</v>
      </c>
      <c r="C206" s="7">
        <f t="shared" si="23"/>
        <v>191</v>
      </c>
      <c r="D206" s="1" cm="1">
        <f t="array" ref="D206">estimatedTripEnergy(C206,G$5,G$6,C$12,C$7,C$9,C$8,FALSE)/1000</f>
        <v>1274.3040374149</v>
      </c>
      <c r="E206" s="1" cm="1">
        <f t="array" ref="E206">estimatedTripEnergy(C206,G$5,G$6,C$12,C$7,C$9,C$8)/1000</f>
        <v>1422.2640374149</v>
      </c>
      <c r="F206" s="59" cm="1">
        <f t="array" ref="F206">estimatedTripDuration(C206,$C$8,$C$7)/60</f>
        <v>8.1138193434326737</v>
      </c>
      <c r="G206">
        <f t="shared" si="36"/>
        <v>191</v>
      </c>
      <c r="H206" s="50">
        <f t="shared" si="24"/>
        <v>31.833333333333332</v>
      </c>
      <c r="I206" s="7" cm="1">
        <f t="array" ref="I206">CurrentCapacity(K$10,K$6,K$7,H206)</f>
        <v>35719.915500000003</v>
      </c>
      <c r="J206" s="48">
        <f t="shared" si="25"/>
        <v>3.9817116516272275E-2</v>
      </c>
      <c r="K206" s="5" cm="1">
        <f t="array" ref="K206">UseableCapacity(I206,$K$8,$K$9)</f>
        <v>26789.936625000002</v>
      </c>
      <c r="L206" s="59">
        <f t="shared" si="26"/>
        <v>34297.651462585105</v>
      </c>
      <c r="M206" s="7">
        <f t="shared" si="27"/>
        <v>25367.672587585101</v>
      </c>
      <c r="N206" s="7">
        <f t="shared" si="28"/>
        <v>2530.0844999999972</v>
      </c>
      <c r="O206" t="str">
        <f t="shared" si="37"/>
        <v>no</v>
      </c>
      <c r="P206" t="str">
        <f t="shared" si="38"/>
        <v>no</v>
      </c>
    </row>
    <row r="207" spans="2:16" x14ac:dyDescent="0.35">
      <c r="B207">
        <f t="shared" si="29"/>
        <v>192</v>
      </c>
      <c r="C207" s="7">
        <f t="shared" si="23"/>
        <v>192</v>
      </c>
      <c r="D207" s="1" cm="1">
        <f t="array" ref="D207">estimatedTripEnergy(C207,G$5,G$6,C$12,C$7,C$9,C$8,FALSE)/1000</f>
        <v>1275.2307165755001</v>
      </c>
      <c r="E207" s="1" cm="1">
        <f t="array" ref="E207">estimatedTripEnergy(C207,G$5,G$6,C$12,C$7,C$9,C$8)/1000</f>
        <v>1423.1907165755001</v>
      </c>
      <c r="F207" s="59" cm="1">
        <f t="array" ref="F207">estimatedTripDuration(C207,$C$8,$C$7)/60</f>
        <v>8.147152676766007</v>
      </c>
      <c r="G207">
        <f t="shared" si="36"/>
        <v>192</v>
      </c>
      <c r="H207" s="50">
        <f t="shared" si="24"/>
        <v>32</v>
      </c>
      <c r="I207" s="7" cm="1">
        <f t="array" ref="I207">CurrentCapacity(K$10,K$6,K$7,H207)</f>
        <v>35719.686000000002</v>
      </c>
      <c r="J207" s="48">
        <f t="shared" si="25"/>
        <v>3.9843315436073543E-2</v>
      </c>
      <c r="K207" s="5" cm="1">
        <f t="array" ref="K207">UseableCapacity(I207,$K$8,$K$9)</f>
        <v>26789.764500000001</v>
      </c>
      <c r="L207" s="59">
        <f t="shared" si="26"/>
        <v>34296.495283424505</v>
      </c>
      <c r="M207" s="7">
        <f t="shared" si="27"/>
        <v>25366.573783424501</v>
      </c>
      <c r="N207" s="7">
        <f t="shared" si="28"/>
        <v>2530.3139999999985</v>
      </c>
      <c r="O207" t="str">
        <f t="shared" si="37"/>
        <v>no</v>
      </c>
      <c r="P207" t="str">
        <f t="shared" si="38"/>
        <v>no</v>
      </c>
    </row>
    <row r="208" spans="2:16" x14ac:dyDescent="0.35">
      <c r="B208">
        <f t="shared" si="29"/>
        <v>193</v>
      </c>
      <c r="C208" s="7">
        <f t="shared" ref="C208:C271" si="39">$C$8*B208</f>
        <v>193</v>
      </c>
      <c r="D208" s="1" cm="1">
        <f t="array" ref="D208">estimatedTripEnergy(C208,G$5,G$6,C$12,C$7,C$9,C$8,FALSE)/1000</f>
        <v>1276.1573957361002</v>
      </c>
      <c r="E208" s="1" cm="1">
        <f t="array" ref="E208">estimatedTripEnergy(C208,G$5,G$6,C$12,C$7,C$9,C$8)/1000</f>
        <v>1424.1173957361002</v>
      </c>
      <c r="F208" s="59" cm="1">
        <f t="array" ref="F208">estimatedTripDuration(C208,$C$8,$C$7)/60</f>
        <v>8.1804860100993402</v>
      </c>
      <c r="G208">
        <f t="shared" si="36"/>
        <v>193</v>
      </c>
      <c r="H208" s="50">
        <f t="shared" ref="H208:H271" si="40">G208/$G$4</f>
        <v>32.166666666666664</v>
      </c>
      <c r="I208" s="7" cm="1">
        <f t="array" ref="I208">CurrentCapacity(K$10,K$6,K$7,H208)</f>
        <v>35719.4565</v>
      </c>
      <c r="J208" s="48">
        <f t="shared" ref="J208:J271" si="41">E208/I208</f>
        <v>3.9869514692534594E-2</v>
      </c>
      <c r="K208" s="5" cm="1">
        <f t="array" ref="K208">UseableCapacity(I208,$K$8,$K$9)</f>
        <v>26789.592375</v>
      </c>
      <c r="L208" s="59">
        <f t="shared" ref="L208:L271" si="42">(K$8*I208)-E208</f>
        <v>34295.339104263898</v>
      </c>
      <c r="M208" s="7">
        <f t="shared" ref="M208:M271" si="43">K208-E208</f>
        <v>25365.474979263901</v>
      </c>
      <c r="N208" s="7">
        <f t="shared" ref="N208:N271" si="44">$K$10-I208</f>
        <v>2530.5434999999998</v>
      </c>
      <c r="O208" t="str">
        <f t="shared" si="37"/>
        <v>no</v>
      </c>
      <c r="P208" t="str">
        <f t="shared" si="38"/>
        <v>no</v>
      </c>
    </row>
    <row r="209" spans="2:16" x14ac:dyDescent="0.35">
      <c r="B209">
        <f t="shared" ref="B209:B272" si="45">B208+$G$12</f>
        <v>194</v>
      </c>
      <c r="C209" s="7">
        <f t="shared" si="39"/>
        <v>194</v>
      </c>
      <c r="D209" s="1" cm="1">
        <f t="array" ref="D209">estimatedTripEnergy(C209,G$5,G$6,C$12,C$7,C$9,C$8,FALSE)/1000</f>
        <v>1277.0840748967</v>
      </c>
      <c r="E209" s="1" cm="1">
        <f t="array" ref="E209">estimatedTripEnergy(C209,G$5,G$6,C$12,C$7,C$9,C$8)/1000</f>
        <v>1425.0440748967001</v>
      </c>
      <c r="F209" s="59" cm="1">
        <f t="array" ref="F209">estimatedTripDuration(C209,$C$8,$C$7)/60</f>
        <v>8.2138193434326734</v>
      </c>
      <c r="G209">
        <f t="shared" si="36"/>
        <v>194</v>
      </c>
      <c r="H209" s="50">
        <f t="shared" si="40"/>
        <v>32.333333333333336</v>
      </c>
      <c r="I209" s="7" cm="1">
        <f t="array" ref="I209">CurrentCapacity(K$10,K$6,K$7,H209)</f>
        <v>35719.226999999999</v>
      </c>
      <c r="J209" s="48">
        <f t="shared" si="41"/>
        <v>3.9895714285661896E-2</v>
      </c>
      <c r="K209" s="5" cm="1">
        <f t="array" ref="K209">UseableCapacity(I209,$K$8,$K$9)</f>
        <v>26789.420249999999</v>
      </c>
      <c r="L209" s="59">
        <f t="shared" si="42"/>
        <v>34294.182925103298</v>
      </c>
      <c r="M209" s="7">
        <f t="shared" si="43"/>
        <v>25364.376175103298</v>
      </c>
      <c r="N209" s="7">
        <f t="shared" si="44"/>
        <v>2530.773000000001</v>
      </c>
      <c r="O209" t="str">
        <f t="shared" si="37"/>
        <v>no</v>
      </c>
      <c r="P209" t="str">
        <f t="shared" si="38"/>
        <v>no</v>
      </c>
    </row>
    <row r="210" spans="2:16" x14ac:dyDescent="0.35">
      <c r="B210">
        <f t="shared" si="45"/>
        <v>195</v>
      </c>
      <c r="C210" s="7">
        <f t="shared" si="39"/>
        <v>195</v>
      </c>
      <c r="D210" s="1" cm="1">
        <f t="array" ref="D210">estimatedTripEnergy(C210,G$5,G$6,C$12,C$7,C$9,C$8,FALSE)/1000</f>
        <v>1278.0107540573001</v>
      </c>
      <c r="E210" s="1" cm="1">
        <f t="array" ref="E210">estimatedTripEnergy(C210,G$5,G$6,C$12,C$7,C$9,C$8)/1000</f>
        <v>1425.9707540573002</v>
      </c>
      <c r="F210" s="59" cm="1">
        <f t="array" ref="F210">estimatedTripDuration(C210,$C$8,$C$7)/60</f>
        <v>8.2471526767660084</v>
      </c>
      <c r="G210">
        <f t="shared" si="36"/>
        <v>195</v>
      </c>
      <c r="H210" s="50">
        <f t="shared" si="40"/>
        <v>32.5</v>
      </c>
      <c r="I210" s="7" cm="1">
        <f t="array" ref="I210">CurrentCapacity(K$10,K$6,K$7,H210)</f>
        <v>35718.997500000005</v>
      </c>
      <c r="J210" s="48">
        <f t="shared" si="41"/>
        <v>3.992191421546195E-2</v>
      </c>
      <c r="K210" s="5" cm="1">
        <f t="array" ref="K210">UseableCapacity(I210,$K$8,$K$9)</f>
        <v>26789.248125000006</v>
      </c>
      <c r="L210" s="59">
        <f t="shared" si="42"/>
        <v>34293.026745942705</v>
      </c>
      <c r="M210" s="7">
        <f t="shared" si="43"/>
        <v>25363.277370942706</v>
      </c>
      <c r="N210" s="7">
        <f t="shared" si="44"/>
        <v>2531.0024999999951</v>
      </c>
      <c r="O210" t="str">
        <f t="shared" si="37"/>
        <v>no</v>
      </c>
      <c r="P210" t="str">
        <f t="shared" si="38"/>
        <v>no</v>
      </c>
    </row>
    <row r="211" spans="2:16" x14ac:dyDescent="0.35">
      <c r="B211">
        <f t="shared" si="45"/>
        <v>196</v>
      </c>
      <c r="C211" s="7">
        <f t="shared" si="39"/>
        <v>196</v>
      </c>
      <c r="D211" s="1" cm="1">
        <f t="array" ref="D211">estimatedTripEnergy(C211,G$5,G$6,C$12,C$7,C$9,C$8,FALSE)/1000</f>
        <v>1278.9374332179</v>
      </c>
      <c r="E211" s="1" cm="1">
        <f t="array" ref="E211">estimatedTripEnergy(C211,G$5,G$6,C$12,C$7,C$9,C$8)/1000</f>
        <v>1426.8974332178998</v>
      </c>
      <c r="F211" s="59" cm="1">
        <f t="array" ref="F211">estimatedTripDuration(C211,$C$8,$C$7)/60</f>
        <v>8.2804860100993416</v>
      </c>
      <c r="G211">
        <f t="shared" si="36"/>
        <v>196</v>
      </c>
      <c r="H211" s="50">
        <f t="shared" si="40"/>
        <v>32.666666666666664</v>
      </c>
      <c r="I211" s="7" cm="1">
        <f t="array" ref="I211">CurrentCapacity(K$10,K$6,K$7,H211)</f>
        <v>35718.768000000004</v>
      </c>
      <c r="J211" s="48">
        <f t="shared" si="41"/>
        <v>3.9948114481941251E-2</v>
      </c>
      <c r="K211" s="5" cm="1">
        <f t="array" ref="K211">UseableCapacity(I211,$K$8,$K$9)</f>
        <v>26789.076000000001</v>
      </c>
      <c r="L211" s="59">
        <f t="shared" si="42"/>
        <v>34291.870566782105</v>
      </c>
      <c r="M211" s="7">
        <f t="shared" si="43"/>
        <v>25362.178566782102</v>
      </c>
      <c r="N211" s="7">
        <f t="shared" si="44"/>
        <v>2531.2319999999963</v>
      </c>
      <c r="O211" t="str">
        <f t="shared" si="37"/>
        <v>no</v>
      </c>
      <c r="P211" t="str">
        <f t="shared" si="38"/>
        <v>no</v>
      </c>
    </row>
    <row r="212" spans="2:16" x14ac:dyDescent="0.35">
      <c r="B212">
        <f t="shared" si="45"/>
        <v>197</v>
      </c>
      <c r="C212" s="7">
        <f t="shared" si="39"/>
        <v>197</v>
      </c>
      <c r="D212" s="1" cm="1">
        <f t="array" ref="D212">estimatedTripEnergy(C212,G$5,G$6,C$12,C$7,C$9,C$8,FALSE)/1000</f>
        <v>1279.8641123784998</v>
      </c>
      <c r="E212" s="1" cm="1">
        <f t="array" ref="E212">estimatedTripEnergy(C212,G$5,G$6,C$12,C$7,C$9,C$8)/1000</f>
        <v>1427.8241123784999</v>
      </c>
      <c r="F212" s="59" cm="1">
        <f t="array" ref="F212">estimatedTripDuration(C212,$C$8,$C$7)/60</f>
        <v>8.3138193434326748</v>
      </c>
      <c r="G212">
        <f t="shared" si="36"/>
        <v>197</v>
      </c>
      <c r="H212" s="50">
        <f t="shared" si="40"/>
        <v>32.833333333333336</v>
      </c>
      <c r="I212" s="7" cm="1">
        <f t="array" ref="I212">CurrentCapacity(K$10,K$6,K$7,H212)</f>
        <v>35718.538500000002</v>
      </c>
      <c r="J212" s="48">
        <f t="shared" si="41"/>
        <v>3.9974315085106286E-2</v>
      </c>
      <c r="K212" s="5" cm="1">
        <f t="array" ref="K212">UseableCapacity(I212,$K$8,$K$9)</f>
        <v>26788.903875000004</v>
      </c>
      <c r="L212" s="59">
        <f t="shared" si="42"/>
        <v>34290.714387621505</v>
      </c>
      <c r="M212" s="7">
        <f t="shared" si="43"/>
        <v>25361.079762621503</v>
      </c>
      <c r="N212" s="7">
        <f t="shared" si="44"/>
        <v>2531.4614999999976</v>
      </c>
      <c r="O212" t="str">
        <f t="shared" si="37"/>
        <v>no</v>
      </c>
      <c r="P212" t="str">
        <f t="shared" si="38"/>
        <v>no</v>
      </c>
    </row>
    <row r="213" spans="2:16" x14ac:dyDescent="0.35">
      <c r="B213">
        <f t="shared" si="45"/>
        <v>198</v>
      </c>
      <c r="C213" s="7">
        <f t="shared" si="39"/>
        <v>198</v>
      </c>
      <c r="D213" s="1" cm="1">
        <f t="array" ref="D213">estimatedTripEnergy(C213,G$5,G$6,C$12,C$7,C$9,C$8,FALSE)/1000</f>
        <v>1280.7907915390999</v>
      </c>
      <c r="E213" s="1" cm="1">
        <f t="array" ref="E213">estimatedTripEnergy(C213,G$5,G$6,C$12,C$7,C$9,C$8)/1000</f>
        <v>1428.7507915391</v>
      </c>
      <c r="F213" s="59" cm="1">
        <f t="array" ref="F213">estimatedTripDuration(C213,$C$8,$C$7)/60</f>
        <v>8.347152676766008</v>
      </c>
      <c r="G213">
        <f t="shared" si="36"/>
        <v>198</v>
      </c>
      <c r="H213" s="50">
        <f t="shared" si="40"/>
        <v>33</v>
      </c>
      <c r="I213" s="7" cm="1">
        <f t="array" ref="I213">CurrentCapacity(K$10,K$6,K$7,H213)</f>
        <v>35718.309000000001</v>
      </c>
      <c r="J213" s="48">
        <f t="shared" si="41"/>
        <v>4.0000516024963552E-2</v>
      </c>
      <c r="K213" s="5" cm="1">
        <f t="array" ref="K213">UseableCapacity(I213,$K$8,$K$9)</f>
        <v>26788.731749999999</v>
      </c>
      <c r="L213" s="59">
        <f t="shared" si="42"/>
        <v>34289.558208460898</v>
      </c>
      <c r="M213" s="7">
        <f t="shared" si="43"/>
        <v>25359.980958460899</v>
      </c>
      <c r="N213" s="7">
        <f t="shared" si="44"/>
        <v>2531.6909999999989</v>
      </c>
      <c r="O213" t="str">
        <f t="shared" si="37"/>
        <v>no</v>
      </c>
      <c r="P213" t="str">
        <f t="shared" si="38"/>
        <v>no</v>
      </c>
    </row>
    <row r="214" spans="2:16" x14ac:dyDescent="0.35">
      <c r="B214">
        <f t="shared" si="45"/>
        <v>199</v>
      </c>
      <c r="C214" s="7">
        <f t="shared" si="39"/>
        <v>199</v>
      </c>
      <c r="D214" s="1" cm="1">
        <f t="array" ref="D214">estimatedTripEnergy(C214,G$5,G$6,C$12,C$7,C$9,C$8,FALSE)/1000</f>
        <v>1281.7174706997</v>
      </c>
      <c r="E214" s="1" cm="1">
        <f t="array" ref="E214">estimatedTripEnergy(C214,G$5,G$6,C$12,C$7,C$9,C$8)/1000</f>
        <v>1429.6774706997001</v>
      </c>
      <c r="F214" s="59" cm="1">
        <f t="array" ref="F214">estimatedTripDuration(C214,$C$8,$C$7)/60</f>
        <v>8.3804860100993412</v>
      </c>
      <c r="G214">
        <f t="shared" si="36"/>
        <v>199</v>
      </c>
      <c r="H214" s="50">
        <f t="shared" si="40"/>
        <v>33.166666666666664</v>
      </c>
      <c r="I214" s="7" cm="1">
        <f t="array" ref="I214">CurrentCapacity(K$10,K$6,K$7,H214)</f>
        <v>35718.0795</v>
      </c>
      <c r="J214" s="48">
        <f t="shared" si="41"/>
        <v>4.0026717301519528E-2</v>
      </c>
      <c r="K214" s="5" cm="1">
        <f t="array" ref="K214">UseableCapacity(I214,$K$8,$K$9)</f>
        <v>26788.559625000002</v>
      </c>
      <c r="L214" s="59">
        <f t="shared" si="42"/>
        <v>34288.402029300298</v>
      </c>
      <c r="M214" s="7">
        <f t="shared" si="43"/>
        <v>25358.882154300303</v>
      </c>
      <c r="N214" s="7">
        <f t="shared" si="44"/>
        <v>2531.9205000000002</v>
      </c>
      <c r="O214" t="str">
        <f t="shared" si="37"/>
        <v>no</v>
      </c>
      <c r="P214" t="str">
        <f t="shared" si="38"/>
        <v>no</v>
      </c>
    </row>
    <row r="215" spans="2:16" x14ac:dyDescent="0.35">
      <c r="B215">
        <f t="shared" si="45"/>
        <v>200</v>
      </c>
      <c r="C215" s="7">
        <f t="shared" si="39"/>
        <v>200</v>
      </c>
      <c r="D215" s="1" cm="1">
        <f t="array" ref="D215">estimatedTripEnergy(C215,G$5,G$6,C$12,C$7,C$9,C$8,FALSE)/1000</f>
        <v>1282.6441498603001</v>
      </c>
      <c r="E215" s="1" cm="1">
        <f t="array" ref="E215">estimatedTripEnergy(C215,G$5,G$6,C$12,C$7,C$9,C$8)/1000</f>
        <v>1430.6041498603001</v>
      </c>
      <c r="F215" s="59" cm="1">
        <f t="array" ref="F215">estimatedTripDuration(C215,$C$8,$C$7)/60</f>
        <v>8.4138193434326745</v>
      </c>
      <c r="G215">
        <f t="shared" si="36"/>
        <v>200</v>
      </c>
      <c r="H215" s="50">
        <f t="shared" si="40"/>
        <v>33.333333333333336</v>
      </c>
      <c r="I215" s="7" cm="1">
        <f t="array" ref="I215">CurrentCapacity(K$10,K$6,K$7,H215)</f>
        <v>35717.850000000006</v>
      </c>
      <c r="J215" s="48">
        <f t="shared" si="41"/>
        <v>4.0052918914780702E-2</v>
      </c>
      <c r="K215" s="5" cm="1">
        <f t="array" ref="K215">UseableCapacity(I215,$K$8,$K$9)</f>
        <v>26788.387500000004</v>
      </c>
      <c r="L215" s="59">
        <f t="shared" si="42"/>
        <v>34287.245850139705</v>
      </c>
      <c r="M215" s="7">
        <f t="shared" si="43"/>
        <v>25357.783350139704</v>
      </c>
      <c r="N215" s="7">
        <f t="shared" si="44"/>
        <v>2532.1499999999942</v>
      </c>
      <c r="O215" t="str">
        <f t="shared" si="37"/>
        <v>no</v>
      </c>
      <c r="P215" t="str">
        <f t="shared" si="38"/>
        <v>no</v>
      </c>
    </row>
    <row r="216" spans="2:16" x14ac:dyDescent="0.35">
      <c r="B216">
        <f t="shared" si="45"/>
        <v>201</v>
      </c>
      <c r="C216" s="7">
        <f t="shared" si="39"/>
        <v>201</v>
      </c>
      <c r="D216" s="1" cm="1">
        <f t="array" ref="D216">estimatedTripEnergy(C216,G$5,G$6,C$12,C$7,C$9,C$8,FALSE)/1000</f>
        <v>1283.5708290209</v>
      </c>
      <c r="E216" s="1" cm="1">
        <f t="array" ref="E216">estimatedTripEnergy(C216,G$5,G$6,C$12,C$7,C$9,C$8)/1000</f>
        <v>1431.5308290209</v>
      </c>
      <c r="F216" s="59" cm="1">
        <f t="array" ref="F216">estimatedTripDuration(C216,$C$8,$C$7)/60</f>
        <v>8.4471526767660077</v>
      </c>
      <c r="G216">
        <f t="shared" si="36"/>
        <v>201</v>
      </c>
      <c r="H216" s="50">
        <f t="shared" si="40"/>
        <v>33.5</v>
      </c>
      <c r="I216" s="7" cm="1">
        <f t="array" ref="I216">CurrentCapacity(K$10,K$6,K$7,H216)</f>
        <v>35717.620499999997</v>
      </c>
      <c r="J216" s="48">
        <f t="shared" si="41"/>
        <v>4.0079120864753577E-2</v>
      </c>
      <c r="K216" s="5" cm="1">
        <f t="array" ref="K216">UseableCapacity(I216,$K$8,$K$9)</f>
        <v>26788.215375</v>
      </c>
      <c r="L216" s="59">
        <f t="shared" si="42"/>
        <v>34286.089670979098</v>
      </c>
      <c r="M216" s="7">
        <f t="shared" si="43"/>
        <v>25356.6845459791</v>
      </c>
      <c r="N216" s="7">
        <f t="shared" si="44"/>
        <v>2532.3795000000027</v>
      </c>
      <c r="O216" t="str">
        <f t="shared" si="37"/>
        <v>no</v>
      </c>
      <c r="P216" t="str">
        <f t="shared" si="38"/>
        <v>no</v>
      </c>
    </row>
    <row r="217" spans="2:16" x14ac:dyDescent="0.35">
      <c r="B217">
        <f t="shared" si="45"/>
        <v>202</v>
      </c>
      <c r="C217" s="7">
        <f t="shared" si="39"/>
        <v>202</v>
      </c>
      <c r="D217" s="1" cm="1">
        <f t="array" ref="D217">estimatedTripEnergy(C217,G$5,G$6,C$12,C$7,C$9,C$8,FALSE)/1000</f>
        <v>1284.4975081815001</v>
      </c>
      <c r="E217" s="1" cm="1">
        <f t="array" ref="E217">estimatedTripEnergy(C217,G$5,G$6,C$12,C$7,C$9,C$8)/1000</f>
        <v>1432.4575081815001</v>
      </c>
      <c r="F217" s="59" cm="1">
        <f t="array" ref="F217">estimatedTripDuration(C217,$C$8,$C$7)/60</f>
        <v>8.4804860100993409</v>
      </c>
      <c r="G217">
        <f t="shared" si="36"/>
        <v>202</v>
      </c>
      <c r="H217" s="50">
        <f t="shared" si="40"/>
        <v>33.666666666666664</v>
      </c>
      <c r="I217" s="7" cm="1">
        <f t="array" ref="I217">CurrentCapacity(K$10,K$6,K$7,H217)</f>
        <v>35717.391000000003</v>
      </c>
      <c r="J217" s="48">
        <f t="shared" si="41"/>
        <v>4.0105323151444626E-2</v>
      </c>
      <c r="K217" s="5" cm="1">
        <f t="array" ref="K217">UseableCapacity(I217,$K$8,$K$9)</f>
        <v>26788.043250000002</v>
      </c>
      <c r="L217" s="59">
        <f t="shared" si="42"/>
        <v>34284.933491818505</v>
      </c>
      <c r="M217" s="7">
        <f t="shared" si="43"/>
        <v>25355.585741818504</v>
      </c>
      <c r="N217" s="7">
        <f t="shared" si="44"/>
        <v>2532.6089999999967</v>
      </c>
      <c r="O217" t="str">
        <f t="shared" si="37"/>
        <v>no</v>
      </c>
      <c r="P217" t="str">
        <f t="shared" si="38"/>
        <v>no</v>
      </c>
    </row>
    <row r="218" spans="2:16" x14ac:dyDescent="0.35">
      <c r="B218">
        <f t="shared" si="45"/>
        <v>203</v>
      </c>
      <c r="C218" s="7">
        <f t="shared" si="39"/>
        <v>203</v>
      </c>
      <c r="D218" s="1" cm="1">
        <f t="array" ref="D218">estimatedTripEnergy(C218,G$5,G$6,C$12,C$7,C$9,C$8,FALSE)/1000</f>
        <v>1285.4241873421001</v>
      </c>
      <c r="E218" s="1" cm="1">
        <f t="array" ref="E218">estimatedTripEnergy(C218,G$5,G$6,C$12,C$7,C$9,C$8)/1000</f>
        <v>1433.3841873421002</v>
      </c>
      <c r="F218" s="59" cm="1">
        <f t="array" ref="F218">estimatedTripDuration(C218,$C$8,$C$7)/60</f>
        <v>8.5138193434326741</v>
      </c>
      <c r="G218">
        <f t="shared" si="36"/>
        <v>203</v>
      </c>
      <c r="H218" s="50">
        <f t="shared" si="40"/>
        <v>33.833333333333336</v>
      </c>
      <c r="I218" s="7" cm="1">
        <f t="array" ref="I218">CurrentCapacity(K$10,K$6,K$7,H218)</f>
        <v>35717.161500000002</v>
      </c>
      <c r="J218" s="48">
        <f t="shared" si="41"/>
        <v>4.0131525774860358E-2</v>
      </c>
      <c r="K218" s="5" cm="1">
        <f t="array" ref="K218">UseableCapacity(I218,$K$8,$K$9)</f>
        <v>26787.871125000001</v>
      </c>
      <c r="L218" s="59">
        <f t="shared" si="42"/>
        <v>34283.777312657905</v>
      </c>
      <c r="M218" s="7">
        <f t="shared" si="43"/>
        <v>25354.486937657901</v>
      </c>
      <c r="N218" s="7">
        <f t="shared" si="44"/>
        <v>2532.838499999998</v>
      </c>
      <c r="O218" t="str">
        <f t="shared" si="37"/>
        <v>no</v>
      </c>
      <c r="P218" t="str">
        <f t="shared" si="38"/>
        <v>no</v>
      </c>
    </row>
    <row r="219" spans="2:16" x14ac:dyDescent="0.35">
      <c r="B219">
        <f t="shared" si="45"/>
        <v>204</v>
      </c>
      <c r="C219" s="7">
        <f t="shared" si="39"/>
        <v>204</v>
      </c>
      <c r="D219" s="1" cm="1">
        <f t="array" ref="D219">estimatedTripEnergy(C219,G$5,G$6,C$12,C$7,C$9,C$8,FALSE)/1000</f>
        <v>1286.3508665027</v>
      </c>
      <c r="E219" s="1" cm="1">
        <f t="array" ref="E219">estimatedTripEnergy(C219,G$5,G$6,C$12,C$7,C$9,C$8)/1000</f>
        <v>1434.3108665026998</v>
      </c>
      <c r="F219" s="59" cm="1">
        <f t="array" ref="F219">estimatedTripDuration(C219,$C$8,$C$7)/60</f>
        <v>8.5471526767660091</v>
      </c>
      <c r="G219">
        <f t="shared" si="36"/>
        <v>204</v>
      </c>
      <c r="H219" s="50">
        <f t="shared" si="40"/>
        <v>34</v>
      </c>
      <c r="I219" s="7" cm="1">
        <f t="array" ref="I219">CurrentCapacity(K$10,K$6,K$7,H219)</f>
        <v>35716.932000000001</v>
      </c>
      <c r="J219" s="48">
        <f t="shared" si="41"/>
        <v>4.0157728735007246E-2</v>
      </c>
      <c r="K219" s="5" cm="1">
        <f t="array" ref="K219">UseableCapacity(I219,$K$8,$K$9)</f>
        <v>26787.699000000001</v>
      </c>
      <c r="L219" s="59">
        <f t="shared" si="42"/>
        <v>34282.621133497298</v>
      </c>
      <c r="M219" s="7">
        <f t="shared" si="43"/>
        <v>25353.388133497301</v>
      </c>
      <c r="N219" s="7">
        <f t="shared" si="44"/>
        <v>2533.0679999999993</v>
      </c>
      <c r="O219" t="str">
        <f t="shared" si="37"/>
        <v>no</v>
      </c>
      <c r="P219" t="str">
        <f t="shared" si="38"/>
        <v>no</v>
      </c>
    </row>
    <row r="220" spans="2:16" x14ac:dyDescent="0.35">
      <c r="B220">
        <f t="shared" si="45"/>
        <v>205</v>
      </c>
      <c r="C220" s="7">
        <f t="shared" si="39"/>
        <v>205</v>
      </c>
      <c r="D220" s="1" cm="1">
        <f t="array" ref="D220">estimatedTripEnergy(C220,G$5,G$6,C$12,C$7,C$9,C$8,FALSE)/1000</f>
        <v>1287.2775456632999</v>
      </c>
      <c r="E220" s="1" cm="1">
        <f t="array" ref="E220">estimatedTripEnergy(C220,G$5,G$6,C$12,C$7,C$9,C$8)/1000</f>
        <v>1435.2375456632999</v>
      </c>
      <c r="F220" s="59" cm="1">
        <f t="array" ref="F220">estimatedTripDuration(C220,$C$8,$C$7)/60</f>
        <v>8.5804860100993423</v>
      </c>
      <c r="G220">
        <f t="shared" si="36"/>
        <v>205</v>
      </c>
      <c r="H220" s="50">
        <f t="shared" si="40"/>
        <v>34.166666666666664</v>
      </c>
      <c r="I220" s="7" cm="1">
        <f t="array" ref="I220">CurrentCapacity(K$10,K$6,K$7,H220)</f>
        <v>35716.702500000007</v>
      </c>
      <c r="J220" s="48">
        <f t="shared" si="41"/>
        <v>4.0183932031891793E-2</v>
      </c>
      <c r="K220" s="5" cm="1">
        <f t="array" ref="K220">UseableCapacity(I220,$K$8,$K$9)</f>
        <v>26787.526875000003</v>
      </c>
      <c r="L220" s="59">
        <f t="shared" si="42"/>
        <v>34281.464954336705</v>
      </c>
      <c r="M220" s="7">
        <f t="shared" si="43"/>
        <v>25352.289329336701</v>
      </c>
      <c r="N220" s="7">
        <f t="shared" si="44"/>
        <v>2533.2974999999933</v>
      </c>
      <c r="O220" t="str">
        <f t="shared" si="37"/>
        <v>no</v>
      </c>
      <c r="P220" t="str">
        <f t="shared" si="38"/>
        <v>no</v>
      </c>
    </row>
    <row r="221" spans="2:16" x14ac:dyDescent="0.35">
      <c r="B221">
        <f t="shared" si="45"/>
        <v>206</v>
      </c>
      <c r="C221" s="7">
        <f t="shared" si="39"/>
        <v>206</v>
      </c>
      <c r="D221" s="1" cm="1">
        <f t="array" ref="D221">estimatedTripEnergy(C221,G$5,G$6,C$12,C$7,C$9,C$8,FALSE)/1000</f>
        <v>1288.2042248238999</v>
      </c>
      <c r="E221" s="1" cm="1">
        <f t="array" ref="E221">estimatedTripEnergy(C221,G$5,G$6,C$12,C$7,C$9,C$8)/1000</f>
        <v>1436.1642248239</v>
      </c>
      <c r="F221" s="59" cm="1">
        <f t="array" ref="F221">estimatedTripDuration(C221,$C$8,$C$7)/60</f>
        <v>8.6138193434326755</v>
      </c>
      <c r="G221">
        <f t="shared" si="36"/>
        <v>206</v>
      </c>
      <c r="H221" s="50">
        <f t="shared" si="40"/>
        <v>34.333333333333336</v>
      </c>
      <c r="I221" s="7" cm="1">
        <f t="array" ref="I221">CurrentCapacity(K$10,K$6,K$7,H221)</f>
        <v>35716.472999999998</v>
      </c>
      <c r="J221" s="48">
        <f t="shared" si="41"/>
        <v>4.0210135665520501E-2</v>
      </c>
      <c r="K221" s="5" cm="1">
        <f t="array" ref="K221">UseableCapacity(I221,$K$8,$K$9)</f>
        <v>26787.354749999999</v>
      </c>
      <c r="L221" s="59">
        <f t="shared" si="42"/>
        <v>34280.308775176098</v>
      </c>
      <c r="M221" s="7">
        <f t="shared" si="43"/>
        <v>25351.190525176098</v>
      </c>
      <c r="N221" s="7">
        <f t="shared" si="44"/>
        <v>2533.5270000000019</v>
      </c>
      <c r="O221" t="str">
        <f t="shared" si="37"/>
        <v>no</v>
      </c>
      <c r="P221" t="str">
        <f t="shared" si="38"/>
        <v>no</v>
      </c>
    </row>
    <row r="222" spans="2:16" x14ac:dyDescent="0.35">
      <c r="B222">
        <f t="shared" si="45"/>
        <v>207</v>
      </c>
      <c r="C222" s="7">
        <f t="shared" si="39"/>
        <v>207</v>
      </c>
      <c r="D222" s="1" cm="1">
        <f t="array" ref="D222">estimatedTripEnergy(C222,G$5,G$6,C$12,C$7,C$9,C$8,FALSE)/1000</f>
        <v>1289.1309039845</v>
      </c>
      <c r="E222" s="1" cm="1">
        <f t="array" ref="E222">estimatedTripEnergy(C222,G$5,G$6,C$12,C$7,C$9,C$8)/1000</f>
        <v>1437.0909039845001</v>
      </c>
      <c r="F222" s="59" cm="1">
        <f t="array" ref="F222">estimatedTripDuration(C222,$C$8,$C$7)/60</f>
        <v>8.6471526767660087</v>
      </c>
      <c r="G222">
        <f t="shared" si="36"/>
        <v>207</v>
      </c>
      <c r="H222" s="50">
        <f t="shared" si="40"/>
        <v>34.5</v>
      </c>
      <c r="I222" s="7" cm="1">
        <f t="array" ref="I222">CurrentCapacity(K$10,K$6,K$7,H222)</f>
        <v>35716.243500000004</v>
      </c>
      <c r="J222" s="48">
        <f t="shared" si="41"/>
        <v>4.0236339635899836E-2</v>
      </c>
      <c r="K222" s="5" cm="1">
        <f t="array" ref="K222">UseableCapacity(I222,$K$8,$K$9)</f>
        <v>26787.182625000001</v>
      </c>
      <c r="L222" s="59">
        <f t="shared" si="42"/>
        <v>34279.152596015505</v>
      </c>
      <c r="M222" s="7">
        <f t="shared" si="43"/>
        <v>25350.091721015502</v>
      </c>
      <c r="N222" s="7">
        <f t="shared" si="44"/>
        <v>2533.7564999999959</v>
      </c>
      <c r="O222" t="str">
        <f t="shared" si="37"/>
        <v>no</v>
      </c>
      <c r="P222" t="str">
        <f t="shared" si="38"/>
        <v>no</v>
      </c>
    </row>
    <row r="223" spans="2:16" x14ac:dyDescent="0.35">
      <c r="B223">
        <f t="shared" si="45"/>
        <v>208</v>
      </c>
      <c r="C223" s="7">
        <f t="shared" si="39"/>
        <v>208</v>
      </c>
      <c r="D223" s="1" cm="1">
        <f t="array" ref="D223">estimatedTripEnergy(C223,G$5,G$6,C$12,C$7,C$9,C$8,FALSE)/1000</f>
        <v>1290.0575831450999</v>
      </c>
      <c r="E223" s="1" cm="1">
        <f t="array" ref="E223">estimatedTripEnergy(C223,G$5,G$6,C$12,C$7,C$9,C$8)/1000</f>
        <v>1438.0175831450999</v>
      </c>
      <c r="F223" s="59" cm="1">
        <f t="array" ref="F223">estimatedTripDuration(C223,$C$8,$C$7)/60</f>
        <v>8.680486010099342</v>
      </c>
      <c r="G223">
        <f t="shared" si="36"/>
        <v>208</v>
      </c>
      <c r="H223" s="50">
        <f t="shared" si="40"/>
        <v>34.666666666666664</v>
      </c>
      <c r="I223" s="7" cm="1">
        <f t="array" ref="I223">CurrentCapacity(K$10,K$6,K$7,H223)</f>
        <v>35716.014000000003</v>
      </c>
      <c r="J223" s="48">
        <f t="shared" si="41"/>
        <v>4.0262543943036307E-2</v>
      </c>
      <c r="K223" s="5" cm="1">
        <f t="array" ref="K223">UseableCapacity(I223,$K$8,$K$9)</f>
        <v>26787.010500000004</v>
      </c>
      <c r="L223" s="59">
        <f t="shared" si="42"/>
        <v>34277.996416854905</v>
      </c>
      <c r="M223" s="7">
        <f t="shared" si="43"/>
        <v>25348.992916854902</v>
      </c>
      <c r="N223" s="7">
        <f t="shared" si="44"/>
        <v>2533.9859999999971</v>
      </c>
      <c r="O223" t="str">
        <f t="shared" si="37"/>
        <v>no</v>
      </c>
      <c r="P223" t="str">
        <f t="shared" si="38"/>
        <v>no</v>
      </c>
    </row>
    <row r="224" spans="2:16" x14ac:dyDescent="0.35">
      <c r="B224">
        <f t="shared" si="45"/>
        <v>209</v>
      </c>
      <c r="C224" s="7">
        <f t="shared" si="39"/>
        <v>209</v>
      </c>
      <c r="D224" s="1" cm="1">
        <f t="array" ref="D224">estimatedTripEnergy(C224,G$5,G$6,C$12,C$7,C$9,C$8,FALSE)/1000</f>
        <v>1290.9842623057</v>
      </c>
      <c r="E224" s="1" cm="1">
        <f t="array" ref="E224">estimatedTripEnergy(C224,G$5,G$6,C$12,C$7,C$9,C$8)/1000</f>
        <v>1438.9442623057</v>
      </c>
      <c r="F224" s="59" cm="1">
        <f t="array" ref="F224">estimatedTripDuration(C224,$C$8,$C$7)/60</f>
        <v>8.7138193434326752</v>
      </c>
      <c r="G224">
        <f t="shared" si="36"/>
        <v>209</v>
      </c>
      <c r="H224" s="50">
        <f t="shared" si="40"/>
        <v>34.833333333333336</v>
      </c>
      <c r="I224" s="7" cm="1">
        <f t="array" ref="I224">CurrentCapacity(K$10,K$6,K$7,H224)</f>
        <v>35715.784500000002</v>
      </c>
      <c r="J224" s="48">
        <f t="shared" si="41"/>
        <v>4.0288748586936401E-2</v>
      </c>
      <c r="K224" s="5" cm="1">
        <f t="array" ref="K224">UseableCapacity(I224,$K$8,$K$9)</f>
        <v>26786.838374999999</v>
      </c>
      <c r="L224" s="59">
        <f t="shared" si="42"/>
        <v>34276.840237694305</v>
      </c>
      <c r="M224" s="7">
        <f t="shared" si="43"/>
        <v>25347.894112694299</v>
      </c>
      <c r="N224" s="7">
        <f t="shared" si="44"/>
        <v>2534.2154999999984</v>
      </c>
      <c r="O224" t="str">
        <f t="shared" si="37"/>
        <v>no</v>
      </c>
      <c r="P224" t="str">
        <f t="shared" si="38"/>
        <v>no</v>
      </c>
    </row>
    <row r="225" spans="2:16" x14ac:dyDescent="0.35">
      <c r="B225">
        <f t="shared" si="45"/>
        <v>210</v>
      </c>
      <c r="C225" s="7">
        <f t="shared" si="39"/>
        <v>210</v>
      </c>
      <c r="D225" s="1" cm="1">
        <f t="array" ref="D225">estimatedTripEnergy(C225,G$5,G$6,C$12,C$7,C$9,C$8,FALSE)/1000</f>
        <v>1291.9109414663001</v>
      </c>
      <c r="E225" s="1" cm="1">
        <f t="array" ref="E225">estimatedTripEnergy(C225,G$5,G$6,C$12,C$7,C$9,C$8)/1000</f>
        <v>1439.8709414663001</v>
      </c>
      <c r="F225" s="59" cm="1">
        <f t="array" ref="F225">estimatedTripDuration(C225,$C$8,$C$7)/60</f>
        <v>8.7471526767660084</v>
      </c>
      <c r="G225">
        <f t="shared" si="36"/>
        <v>210</v>
      </c>
      <c r="H225" s="50">
        <f t="shared" si="40"/>
        <v>35</v>
      </c>
      <c r="I225" s="7" cm="1">
        <f t="array" ref="I225">CurrentCapacity(K$10,K$6,K$7,H225)</f>
        <v>35715.555</v>
      </c>
      <c r="J225" s="48">
        <f t="shared" si="41"/>
        <v>4.0314953567606608E-2</v>
      </c>
      <c r="K225" s="5" cm="1">
        <f t="array" ref="K225">UseableCapacity(I225,$K$8,$K$9)</f>
        <v>26786.666250000002</v>
      </c>
      <c r="L225" s="59">
        <f t="shared" si="42"/>
        <v>34275.684058533698</v>
      </c>
      <c r="M225" s="7">
        <f t="shared" si="43"/>
        <v>25346.795308533703</v>
      </c>
      <c r="N225" s="7">
        <f t="shared" si="44"/>
        <v>2534.4449999999997</v>
      </c>
      <c r="O225" t="str">
        <f t="shared" si="37"/>
        <v>no</v>
      </c>
      <c r="P225" t="str">
        <f t="shared" si="38"/>
        <v>no</v>
      </c>
    </row>
    <row r="226" spans="2:16" x14ac:dyDescent="0.35">
      <c r="B226">
        <f t="shared" si="45"/>
        <v>211</v>
      </c>
      <c r="C226" s="7">
        <f t="shared" si="39"/>
        <v>211</v>
      </c>
      <c r="D226" s="1" cm="1">
        <f t="array" ref="D226">estimatedTripEnergy(C226,G$5,G$6,C$12,C$7,C$9,C$8,FALSE)/1000</f>
        <v>1292.8376206268999</v>
      </c>
      <c r="E226" s="1" cm="1">
        <f t="array" ref="E226">estimatedTripEnergy(C226,G$5,G$6,C$12,C$7,C$9,C$8)/1000</f>
        <v>1440.7976206269</v>
      </c>
      <c r="F226" s="59" cm="1">
        <f t="array" ref="F226">estimatedTripDuration(C226,$C$8,$C$7)/60</f>
        <v>8.7804860100993416</v>
      </c>
      <c r="G226">
        <f t="shared" si="36"/>
        <v>211</v>
      </c>
      <c r="H226" s="50">
        <f t="shared" si="40"/>
        <v>35.166666666666664</v>
      </c>
      <c r="I226" s="7" cm="1">
        <f t="array" ref="I226">CurrentCapacity(K$10,K$6,K$7,H226)</f>
        <v>35715.325499999999</v>
      </c>
      <c r="J226" s="48">
        <f t="shared" si="41"/>
        <v>4.0341158885053421E-2</v>
      </c>
      <c r="K226" s="5" cm="1">
        <f t="array" ref="K226">UseableCapacity(I226,$K$8,$K$9)</f>
        <v>26786.494124999997</v>
      </c>
      <c r="L226" s="59">
        <f t="shared" si="42"/>
        <v>34274.527879373098</v>
      </c>
      <c r="M226" s="7">
        <f t="shared" si="43"/>
        <v>25345.696504373096</v>
      </c>
      <c r="N226" s="7">
        <f t="shared" si="44"/>
        <v>2534.674500000001</v>
      </c>
      <c r="O226" t="str">
        <f t="shared" si="37"/>
        <v>no</v>
      </c>
      <c r="P226" t="str">
        <f t="shared" si="38"/>
        <v>no</v>
      </c>
    </row>
    <row r="227" spans="2:16" x14ac:dyDescent="0.35">
      <c r="B227">
        <f t="shared" si="45"/>
        <v>212</v>
      </c>
      <c r="C227" s="7">
        <f t="shared" si="39"/>
        <v>212</v>
      </c>
      <c r="D227" s="1" cm="1">
        <f t="array" ref="D227">estimatedTripEnergy(C227,G$5,G$6,C$12,C$7,C$9,C$8,FALSE)/1000</f>
        <v>1293.7642997875</v>
      </c>
      <c r="E227" s="1" cm="1">
        <f t="array" ref="E227">estimatedTripEnergy(C227,G$5,G$6,C$12,C$7,C$9,C$8)/1000</f>
        <v>1441.7242997874998</v>
      </c>
      <c r="F227" s="59" cm="1">
        <f t="array" ref="F227">estimatedTripDuration(C227,$C$8,$C$7)/60</f>
        <v>8.8138193434326748</v>
      </c>
      <c r="G227">
        <f t="shared" si="36"/>
        <v>212</v>
      </c>
      <c r="H227" s="50">
        <f t="shared" si="40"/>
        <v>35.333333333333336</v>
      </c>
      <c r="I227" s="7" cm="1">
        <f t="array" ref="I227">CurrentCapacity(K$10,K$6,K$7,H227)</f>
        <v>35715.095999999998</v>
      </c>
      <c r="J227" s="48">
        <f t="shared" si="41"/>
        <v>4.0367364539283329E-2</v>
      </c>
      <c r="K227" s="5" cm="1">
        <f t="array" ref="K227">UseableCapacity(I227,$K$8,$K$9)</f>
        <v>26786.322</v>
      </c>
      <c r="L227" s="59">
        <f t="shared" si="42"/>
        <v>34273.371700212498</v>
      </c>
      <c r="M227" s="7">
        <f t="shared" si="43"/>
        <v>25344.5977002125</v>
      </c>
      <c r="N227" s="7">
        <f t="shared" si="44"/>
        <v>2534.9040000000023</v>
      </c>
      <c r="O227" t="str">
        <f t="shared" si="37"/>
        <v>no</v>
      </c>
      <c r="P227" t="str">
        <f t="shared" si="38"/>
        <v>no</v>
      </c>
    </row>
    <row r="228" spans="2:16" x14ac:dyDescent="0.35">
      <c r="B228">
        <f t="shared" si="45"/>
        <v>213</v>
      </c>
      <c r="C228" s="7">
        <f t="shared" si="39"/>
        <v>213</v>
      </c>
      <c r="D228" s="1" cm="1">
        <f t="array" ref="D228">estimatedTripEnergy(C228,G$5,G$6,C$12,C$7,C$9,C$8,FALSE)/1000</f>
        <v>1294.6909789481001</v>
      </c>
      <c r="E228" s="1" cm="1">
        <f t="array" ref="E228">estimatedTripEnergy(C228,G$5,G$6,C$12,C$7,C$9,C$8)/1000</f>
        <v>1442.6509789480999</v>
      </c>
      <c r="F228" s="59" cm="1">
        <f t="array" ref="F228">estimatedTripDuration(C228,$C$8,$C$7)/60</f>
        <v>8.847152676766008</v>
      </c>
      <c r="G228">
        <f t="shared" si="36"/>
        <v>213</v>
      </c>
      <c r="H228" s="50">
        <f t="shared" si="40"/>
        <v>35.5</v>
      </c>
      <c r="I228" s="7" cm="1">
        <f t="array" ref="I228">CurrentCapacity(K$10,K$6,K$7,H228)</f>
        <v>35714.866500000004</v>
      </c>
      <c r="J228" s="48">
        <f t="shared" si="41"/>
        <v>4.0393570530302833E-2</v>
      </c>
      <c r="K228" s="5" cm="1">
        <f t="array" ref="K228">UseableCapacity(I228,$K$8,$K$9)</f>
        <v>26786.149875000003</v>
      </c>
      <c r="L228" s="59">
        <f t="shared" si="42"/>
        <v>34272.215521051905</v>
      </c>
      <c r="M228" s="7">
        <f t="shared" si="43"/>
        <v>25343.498896051904</v>
      </c>
      <c r="N228" s="7">
        <f t="shared" si="44"/>
        <v>2535.1334999999963</v>
      </c>
      <c r="O228" t="str">
        <f t="shared" si="37"/>
        <v>no</v>
      </c>
      <c r="P228" t="str">
        <f t="shared" si="38"/>
        <v>no</v>
      </c>
    </row>
    <row r="229" spans="2:16" x14ac:dyDescent="0.35">
      <c r="B229">
        <f t="shared" si="45"/>
        <v>214</v>
      </c>
      <c r="C229" s="7">
        <f t="shared" si="39"/>
        <v>214</v>
      </c>
      <c r="D229" s="1" cm="1">
        <f t="array" ref="D229">estimatedTripEnergy(C229,G$5,G$6,C$12,C$7,C$9,C$8,FALSE)/1000</f>
        <v>1295.6176581087</v>
      </c>
      <c r="E229" s="1" cm="1">
        <f t="array" ref="E229">estimatedTripEnergy(C229,G$5,G$6,C$12,C$7,C$9,C$8)/1000</f>
        <v>1443.5776581087</v>
      </c>
      <c r="F229" s="59" cm="1">
        <f t="array" ref="F229">estimatedTripDuration(C229,$C$8,$C$7)/60</f>
        <v>8.8804860100993412</v>
      </c>
      <c r="G229">
        <f t="shared" si="36"/>
        <v>214</v>
      </c>
      <c r="H229" s="50">
        <f t="shared" si="40"/>
        <v>35.666666666666664</v>
      </c>
      <c r="I229" s="7" cm="1">
        <f t="array" ref="I229">CurrentCapacity(K$10,K$6,K$7,H229)</f>
        <v>35714.637000000002</v>
      </c>
      <c r="J229" s="48">
        <f t="shared" si="41"/>
        <v>4.0419776858118421E-2</v>
      </c>
      <c r="K229" s="5" cm="1">
        <f t="array" ref="K229">UseableCapacity(I229,$K$8,$K$9)</f>
        <v>26785.977750000002</v>
      </c>
      <c r="L229" s="59">
        <f t="shared" si="42"/>
        <v>34271.059341891305</v>
      </c>
      <c r="M229" s="7">
        <f t="shared" si="43"/>
        <v>25342.400091891301</v>
      </c>
      <c r="N229" s="7">
        <f t="shared" si="44"/>
        <v>2535.3629999999976</v>
      </c>
      <c r="O229" t="str">
        <f t="shared" si="37"/>
        <v>no</v>
      </c>
      <c r="P229" t="str">
        <f t="shared" si="38"/>
        <v>no</v>
      </c>
    </row>
    <row r="230" spans="2:16" x14ac:dyDescent="0.35">
      <c r="B230">
        <f t="shared" si="45"/>
        <v>215</v>
      </c>
      <c r="C230" s="7">
        <f t="shared" si="39"/>
        <v>215</v>
      </c>
      <c r="D230" s="1" cm="1">
        <f t="array" ref="D230">estimatedTripEnergy(C230,G$5,G$6,C$12,C$7,C$9,C$8,FALSE)/1000</f>
        <v>1296.5443372693001</v>
      </c>
      <c r="E230" s="1" cm="1">
        <f t="array" ref="E230">estimatedTripEnergy(C230,G$5,G$6,C$12,C$7,C$9,C$8)/1000</f>
        <v>1444.5043372693001</v>
      </c>
      <c r="F230" s="59" cm="1">
        <f t="array" ref="F230">estimatedTripDuration(C230,$C$8,$C$7)/60</f>
        <v>8.9138193434326745</v>
      </c>
      <c r="G230">
        <f t="shared" si="36"/>
        <v>215</v>
      </c>
      <c r="H230" s="50">
        <f t="shared" si="40"/>
        <v>35.833333333333336</v>
      </c>
      <c r="I230" s="7" cm="1">
        <f t="array" ref="I230">CurrentCapacity(K$10,K$6,K$7,H230)</f>
        <v>35714.407500000001</v>
      </c>
      <c r="J230" s="48">
        <f t="shared" si="41"/>
        <v>4.0445983522736588E-2</v>
      </c>
      <c r="K230" s="5" cm="1">
        <f t="array" ref="K230">UseableCapacity(I230,$K$8,$K$9)</f>
        <v>26785.805625000001</v>
      </c>
      <c r="L230" s="59">
        <f t="shared" si="42"/>
        <v>34269.903162730698</v>
      </c>
      <c r="M230" s="7">
        <f t="shared" si="43"/>
        <v>25341.301287730701</v>
      </c>
      <c r="N230" s="7">
        <f t="shared" si="44"/>
        <v>2535.5924999999988</v>
      </c>
      <c r="O230" t="str">
        <f t="shared" si="37"/>
        <v>no</v>
      </c>
      <c r="P230" t="str">
        <f t="shared" si="38"/>
        <v>no</v>
      </c>
    </row>
    <row r="231" spans="2:16" x14ac:dyDescent="0.35">
      <c r="B231">
        <f t="shared" si="45"/>
        <v>216</v>
      </c>
      <c r="C231" s="7">
        <f t="shared" si="39"/>
        <v>216</v>
      </c>
      <c r="D231" s="1" cm="1">
        <f t="array" ref="D231">estimatedTripEnergy(C231,G$5,G$6,C$12,C$7,C$9,C$8,FALSE)/1000</f>
        <v>1297.4710164298999</v>
      </c>
      <c r="E231" s="1" cm="1">
        <f t="array" ref="E231">estimatedTripEnergy(C231,G$5,G$6,C$12,C$7,C$9,C$8)/1000</f>
        <v>1445.4310164299</v>
      </c>
      <c r="F231" s="59" cm="1">
        <f t="array" ref="F231">estimatedTripDuration(C231,$C$8,$C$7)/60</f>
        <v>8.9471526767660077</v>
      </c>
      <c r="G231">
        <f t="shared" si="36"/>
        <v>216</v>
      </c>
      <c r="H231" s="50">
        <f t="shared" si="40"/>
        <v>36</v>
      </c>
      <c r="I231" s="7" cm="1">
        <f t="array" ref="I231">CurrentCapacity(K$10,K$6,K$7,H231)</f>
        <v>35714.178</v>
      </c>
      <c r="J231" s="48">
        <f t="shared" si="41"/>
        <v>4.0472190524163822E-2</v>
      </c>
      <c r="K231" s="5" cm="1">
        <f t="array" ref="K231">UseableCapacity(I231,$K$8,$K$9)</f>
        <v>26785.6335</v>
      </c>
      <c r="L231" s="59">
        <f t="shared" si="42"/>
        <v>34268.746983570098</v>
      </c>
      <c r="M231" s="7">
        <f t="shared" si="43"/>
        <v>25340.202483570101</v>
      </c>
      <c r="N231" s="7">
        <f t="shared" si="44"/>
        <v>2535.8220000000001</v>
      </c>
      <c r="O231" t="str">
        <f t="shared" si="37"/>
        <v>no</v>
      </c>
      <c r="P231" t="str">
        <f t="shared" si="38"/>
        <v>no</v>
      </c>
    </row>
    <row r="232" spans="2:16" x14ac:dyDescent="0.35">
      <c r="B232">
        <f t="shared" si="45"/>
        <v>217</v>
      </c>
      <c r="C232" s="7">
        <f t="shared" si="39"/>
        <v>217</v>
      </c>
      <c r="D232" s="1" cm="1">
        <f t="array" ref="D232">estimatedTripEnergy(C232,G$5,G$6,C$12,C$7,C$9,C$8,FALSE)/1000</f>
        <v>1298.3976955905</v>
      </c>
      <c r="E232" s="1" cm="1">
        <f t="array" ref="E232">estimatedTripEnergy(C232,G$5,G$6,C$12,C$7,C$9,C$8)/1000</f>
        <v>1446.3576955905</v>
      </c>
      <c r="F232" s="59" cm="1">
        <f t="array" ref="F232">estimatedTripDuration(C232,$C$8,$C$7)/60</f>
        <v>8.9804860100993427</v>
      </c>
      <c r="G232">
        <f t="shared" si="36"/>
        <v>217</v>
      </c>
      <c r="H232" s="50">
        <f t="shared" si="40"/>
        <v>36.166666666666664</v>
      </c>
      <c r="I232" s="7" cm="1">
        <f t="array" ref="I232">CurrentCapacity(K$10,K$6,K$7,H232)</f>
        <v>35713.948499999999</v>
      </c>
      <c r="J232" s="48">
        <f t="shared" si="41"/>
        <v>4.0498397862406617E-2</v>
      </c>
      <c r="K232" s="5" cm="1">
        <f t="array" ref="K232">UseableCapacity(I232,$K$8,$K$9)</f>
        <v>26785.461374999999</v>
      </c>
      <c r="L232" s="59">
        <f t="shared" si="42"/>
        <v>34267.590804409498</v>
      </c>
      <c r="M232" s="7">
        <f t="shared" si="43"/>
        <v>25339.103679409498</v>
      </c>
      <c r="N232" s="7">
        <f t="shared" si="44"/>
        <v>2536.0515000000014</v>
      </c>
      <c r="O232" t="str">
        <f t="shared" si="37"/>
        <v>no</v>
      </c>
      <c r="P232" t="str">
        <f t="shared" si="38"/>
        <v>no</v>
      </c>
    </row>
    <row r="233" spans="2:16" x14ac:dyDescent="0.35">
      <c r="B233">
        <f t="shared" si="45"/>
        <v>218</v>
      </c>
      <c r="C233" s="7">
        <f t="shared" si="39"/>
        <v>218</v>
      </c>
      <c r="D233" s="1" cm="1">
        <f t="array" ref="D233">estimatedTripEnergy(C233,G$5,G$6,C$12,C$7,C$9,C$8,FALSE)/1000</f>
        <v>1299.3243747511001</v>
      </c>
      <c r="E233" s="1" cm="1">
        <f t="array" ref="E233">estimatedTripEnergy(C233,G$5,G$6,C$12,C$7,C$9,C$8)/1000</f>
        <v>1447.2843747511001</v>
      </c>
      <c r="F233" s="59" cm="1">
        <f t="array" ref="F233">estimatedTripDuration(C233,$C$8,$C$7)/60</f>
        <v>9.0138193434326759</v>
      </c>
      <c r="G233">
        <f t="shared" si="36"/>
        <v>218</v>
      </c>
      <c r="H233" s="50">
        <f t="shared" si="40"/>
        <v>36.333333333333336</v>
      </c>
      <c r="I233" s="7" cm="1">
        <f t="array" ref="I233">CurrentCapacity(K$10,K$6,K$7,H233)</f>
        <v>35713.719000000005</v>
      </c>
      <c r="J233" s="48">
        <f t="shared" si="41"/>
        <v>4.0524605537471468E-2</v>
      </c>
      <c r="K233" s="5" cm="1">
        <f t="array" ref="K233">UseableCapacity(I233,$K$8,$K$9)</f>
        <v>26785.289250000002</v>
      </c>
      <c r="L233" s="59">
        <f t="shared" si="42"/>
        <v>34266.434625248905</v>
      </c>
      <c r="M233" s="7">
        <f t="shared" si="43"/>
        <v>25338.004875248902</v>
      </c>
      <c r="N233" s="7">
        <f t="shared" si="44"/>
        <v>2536.2809999999954</v>
      </c>
      <c r="O233" t="str">
        <f t="shared" si="37"/>
        <v>no</v>
      </c>
      <c r="P233" t="str">
        <f t="shared" si="38"/>
        <v>no</v>
      </c>
    </row>
    <row r="234" spans="2:16" x14ac:dyDescent="0.35">
      <c r="B234">
        <f t="shared" si="45"/>
        <v>219</v>
      </c>
      <c r="C234" s="7">
        <f t="shared" si="39"/>
        <v>219</v>
      </c>
      <c r="D234" s="1" cm="1">
        <f t="array" ref="D234">estimatedTripEnergy(C234,G$5,G$6,C$12,C$7,C$9,C$8,FALSE)/1000</f>
        <v>1300.2510539117</v>
      </c>
      <c r="E234" s="1" cm="1">
        <f t="array" ref="E234">estimatedTripEnergy(C234,G$5,G$6,C$12,C$7,C$9,C$8)/1000</f>
        <v>1448.2110539117</v>
      </c>
      <c r="F234" s="59" cm="1">
        <f t="array" ref="F234">estimatedTripDuration(C234,$C$8,$C$7)/60</f>
        <v>9.0471526767660091</v>
      </c>
      <c r="G234">
        <f t="shared" si="36"/>
        <v>219</v>
      </c>
      <c r="H234" s="50">
        <f t="shared" si="40"/>
        <v>36.5</v>
      </c>
      <c r="I234" s="7" cm="1">
        <f t="array" ref="I234">CurrentCapacity(K$10,K$6,K$7,H234)</f>
        <v>35713.489500000003</v>
      </c>
      <c r="J234" s="48">
        <f t="shared" si="41"/>
        <v>4.0550813549364864E-2</v>
      </c>
      <c r="K234" s="5" cm="1">
        <f t="array" ref="K234">UseableCapacity(I234,$K$8,$K$9)</f>
        <v>26785.117125000004</v>
      </c>
      <c r="L234" s="59">
        <f t="shared" si="42"/>
        <v>34265.278446088305</v>
      </c>
      <c r="M234" s="7">
        <f t="shared" si="43"/>
        <v>25336.906071088306</v>
      </c>
      <c r="N234" s="7">
        <f t="shared" si="44"/>
        <v>2536.5104999999967</v>
      </c>
      <c r="O234" t="str">
        <f t="shared" si="37"/>
        <v>no</v>
      </c>
      <c r="P234" t="str">
        <f t="shared" si="38"/>
        <v>no</v>
      </c>
    </row>
    <row r="235" spans="2:16" x14ac:dyDescent="0.35">
      <c r="B235">
        <f t="shared" si="45"/>
        <v>220</v>
      </c>
      <c r="C235" s="7">
        <f t="shared" si="39"/>
        <v>220</v>
      </c>
      <c r="D235" s="1" cm="1">
        <f t="array" ref="D235">estimatedTripEnergy(C235,G$5,G$6,C$12,C$7,C$9,C$8,FALSE)/1000</f>
        <v>1301.1777330723</v>
      </c>
      <c r="E235" s="1" cm="1">
        <f t="array" ref="E235">estimatedTripEnergy(C235,G$5,G$6,C$12,C$7,C$9,C$8)/1000</f>
        <v>1449.1377330723001</v>
      </c>
      <c r="F235" s="59" cm="1">
        <f t="array" ref="F235">estimatedTripDuration(C235,$C$8,$C$7)/60</f>
        <v>9.0804860100993423</v>
      </c>
      <c r="G235">
        <f t="shared" si="36"/>
        <v>220</v>
      </c>
      <c r="H235" s="50">
        <f t="shared" si="40"/>
        <v>36.666666666666664</v>
      </c>
      <c r="I235" s="7" cm="1">
        <f t="array" ref="I235">CurrentCapacity(K$10,K$6,K$7,H235)</f>
        <v>35713.26</v>
      </c>
      <c r="J235" s="48">
        <f t="shared" si="41"/>
        <v>4.0577021898093313E-2</v>
      </c>
      <c r="K235" s="5" cm="1">
        <f t="array" ref="K235">UseableCapacity(I235,$K$8,$K$9)</f>
        <v>26784.945</v>
      </c>
      <c r="L235" s="59">
        <f t="shared" si="42"/>
        <v>34264.122266927705</v>
      </c>
      <c r="M235" s="7">
        <f t="shared" si="43"/>
        <v>25335.807266927699</v>
      </c>
      <c r="N235" s="7">
        <f t="shared" si="44"/>
        <v>2536.739999999998</v>
      </c>
      <c r="O235" t="str">
        <f t="shared" si="37"/>
        <v>no</v>
      </c>
      <c r="P235" t="str">
        <f t="shared" si="38"/>
        <v>no</v>
      </c>
    </row>
    <row r="236" spans="2:16" x14ac:dyDescent="0.35">
      <c r="B236">
        <f t="shared" si="45"/>
        <v>221</v>
      </c>
      <c r="C236" s="7">
        <f t="shared" si="39"/>
        <v>221</v>
      </c>
      <c r="D236" s="1" cm="1">
        <f t="array" ref="D236">estimatedTripEnergy(C236,G$5,G$6,C$12,C$7,C$9,C$8,FALSE)/1000</f>
        <v>1302.1044122329001</v>
      </c>
      <c r="E236" s="1" cm="1">
        <f t="array" ref="E236">estimatedTripEnergy(C236,G$5,G$6,C$12,C$7,C$9,C$8)/1000</f>
        <v>1450.0644122328999</v>
      </c>
      <c r="F236" s="59" cm="1">
        <f t="array" ref="F236">estimatedTripDuration(C236,$C$8,$C$7)/60</f>
        <v>9.1138193434326755</v>
      </c>
      <c r="G236">
        <f t="shared" si="36"/>
        <v>221</v>
      </c>
      <c r="H236" s="50">
        <f t="shared" si="40"/>
        <v>36.833333333333336</v>
      </c>
      <c r="I236" s="7" cm="1">
        <f t="array" ref="I236">CurrentCapacity(K$10,K$6,K$7,H236)</f>
        <v>35713.030500000001</v>
      </c>
      <c r="J236" s="48">
        <f t="shared" si="41"/>
        <v>4.0603230583663288E-2</v>
      </c>
      <c r="K236" s="5" cm="1">
        <f t="array" ref="K236">UseableCapacity(I236,$K$8,$K$9)</f>
        <v>26784.772875000002</v>
      </c>
      <c r="L236" s="59">
        <f t="shared" si="42"/>
        <v>34262.966087767098</v>
      </c>
      <c r="M236" s="7">
        <f t="shared" si="43"/>
        <v>25334.708462767103</v>
      </c>
      <c r="N236" s="7">
        <f t="shared" si="44"/>
        <v>2536.9694999999992</v>
      </c>
      <c r="O236" t="str">
        <f t="shared" si="37"/>
        <v>no</v>
      </c>
      <c r="P236" t="str">
        <f t="shared" si="38"/>
        <v>no</v>
      </c>
    </row>
    <row r="237" spans="2:16" x14ac:dyDescent="0.35">
      <c r="B237">
        <f t="shared" si="45"/>
        <v>222</v>
      </c>
      <c r="C237" s="7">
        <f t="shared" si="39"/>
        <v>222</v>
      </c>
      <c r="D237" s="1" cm="1">
        <f t="array" ref="D237">estimatedTripEnergy(C237,G$5,G$6,C$12,C$7,C$9,C$8,FALSE)/1000</f>
        <v>1303.0310913935</v>
      </c>
      <c r="E237" s="1" cm="1">
        <f t="array" ref="E237">estimatedTripEnergy(C237,G$5,G$6,C$12,C$7,C$9,C$8)/1000</f>
        <v>1450.9910913935</v>
      </c>
      <c r="F237" s="59" cm="1">
        <f t="array" ref="F237">estimatedTripDuration(C237,$C$8,$C$7)/60</f>
        <v>9.1471526767660087</v>
      </c>
      <c r="G237">
        <f t="shared" si="36"/>
        <v>222</v>
      </c>
      <c r="H237" s="50">
        <f t="shared" si="40"/>
        <v>37</v>
      </c>
      <c r="I237" s="7" cm="1">
        <f t="array" ref="I237">CurrentCapacity(K$10,K$6,K$7,H237)</f>
        <v>35712.800999999999</v>
      </c>
      <c r="J237" s="48">
        <f t="shared" si="41"/>
        <v>4.0629439606081307E-2</v>
      </c>
      <c r="K237" s="5" cm="1">
        <f t="array" ref="K237">UseableCapacity(I237,$K$8,$K$9)</f>
        <v>26784.600749999998</v>
      </c>
      <c r="L237" s="59">
        <f t="shared" si="42"/>
        <v>34261.809908606498</v>
      </c>
      <c r="M237" s="7">
        <f t="shared" si="43"/>
        <v>25333.609658606496</v>
      </c>
      <c r="N237" s="7">
        <f t="shared" si="44"/>
        <v>2537.1990000000005</v>
      </c>
      <c r="O237" t="str">
        <f t="shared" si="37"/>
        <v>no</v>
      </c>
      <c r="P237" t="str">
        <f t="shared" si="38"/>
        <v>no</v>
      </c>
    </row>
    <row r="238" spans="2:16" x14ac:dyDescent="0.35">
      <c r="B238">
        <f t="shared" si="45"/>
        <v>223</v>
      </c>
      <c r="C238" s="7">
        <f t="shared" si="39"/>
        <v>223</v>
      </c>
      <c r="D238" s="1" cm="1">
        <f t="array" ref="D238">estimatedTripEnergy(C238,G$5,G$6,C$12,C$7,C$9,C$8,FALSE)/1000</f>
        <v>1303.9577705540999</v>
      </c>
      <c r="E238" s="1" cm="1">
        <f t="array" ref="E238">estimatedTripEnergy(C238,G$5,G$6,C$12,C$7,C$9,C$8)/1000</f>
        <v>1451.9177705540999</v>
      </c>
      <c r="F238" s="59" cm="1">
        <f t="array" ref="F238">estimatedTripDuration(C238,$C$8,$C$7)/60</f>
        <v>9.180486010099342</v>
      </c>
      <c r="G238">
        <f t="shared" si="36"/>
        <v>223</v>
      </c>
      <c r="H238" s="50">
        <f t="shared" si="40"/>
        <v>37.166666666666664</v>
      </c>
      <c r="I238" s="7" cm="1">
        <f t="array" ref="I238">CurrentCapacity(K$10,K$6,K$7,H238)</f>
        <v>35712.571500000005</v>
      </c>
      <c r="J238" s="48">
        <f t="shared" si="41"/>
        <v>4.0655648965353827E-2</v>
      </c>
      <c r="K238" s="5" cm="1">
        <f t="array" ref="K238">UseableCapacity(I238,$K$8,$K$9)</f>
        <v>26784.428625000004</v>
      </c>
      <c r="L238" s="59">
        <f t="shared" si="42"/>
        <v>34260.653729445905</v>
      </c>
      <c r="M238" s="7">
        <f t="shared" si="43"/>
        <v>25332.510854445904</v>
      </c>
      <c r="N238" s="7">
        <f t="shared" si="44"/>
        <v>2537.4284999999945</v>
      </c>
      <c r="O238" t="str">
        <f t="shared" si="37"/>
        <v>no</v>
      </c>
      <c r="P238" t="str">
        <f t="shared" si="38"/>
        <v>no</v>
      </c>
    </row>
    <row r="239" spans="2:16" x14ac:dyDescent="0.35">
      <c r="B239">
        <f t="shared" si="45"/>
        <v>224</v>
      </c>
      <c r="C239" s="7">
        <f t="shared" si="39"/>
        <v>224</v>
      </c>
      <c r="D239" s="1" cm="1">
        <f t="array" ref="D239">estimatedTripEnergy(C239,G$5,G$6,C$12,C$7,C$9,C$8,FALSE)/1000</f>
        <v>1304.8844497146999</v>
      </c>
      <c r="E239" s="1" cm="1">
        <f t="array" ref="E239">estimatedTripEnergy(C239,G$5,G$6,C$12,C$7,C$9,C$8)/1000</f>
        <v>1452.8444497147</v>
      </c>
      <c r="F239" s="59" cm="1">
        <f t="array" ref="F239">estimatedTripDuration(C239,$C$8,$C$7)/60</f>
        <v>9.2138193434326752</v>
      </c>
      <c r="G239">
        <f t="shared" si="36"/>
        <v>224</v>
      </c>
      <c r="H239" s="50">
        <f t="shared" si="40"/>
        <v>37.333333333333336</v>
      </c>
      <c r="I239" s="7" cm="1">
        <f t="array" ref="I239">CurrentCapacity(K$10,K$6,K$7,H239)</f>
        <v>35712.342000000004</v>
      </c>
      <c r="J239" s="48">
        <f t="shared" si="41"/>
        <v>4.0681858661487387E-2</v>
      </c>
      <c r="K239" s="5" cm="1">
        <f t="array" ref="K239">UseableCapacity(I239,$K$8,$K$9)</f>
        <v>26784.256500000003</v>
      </c>
      <c r="L239" s="59">
        <f t="shared" si="42"/>
        <v>34259.497550285305</v>
      </c>
      <c r="M239" s="7">
        <f t="shared" si="43"/>
        <v>25331.412050285304</v>
      </c>
      <c r="N239" s="7">
        <f t="shared" si="44"/>
        <v>2537.6579999999958</v>
      </c>
      <c r="O239" t="str">
        <f t="shared" si="37"/>
        <v>no</v>
      </c>
      <c r="P239" t="str">
        <f t="shared" si="38"/>
        <v>no</v>
      </c>
    </row>
    <row r="240" spans="2:16" x14ac:dyDescent="0.35">
      <c r="B240">
        <f t="shared" si="45"/>
        <v>225</v>
      </c>
      <c r="C240" s="7">
        <f t="shared" si="39"/>
        <v>225</v>
      </c>
      <c r="D240" s="1" cm="1">
        <f t="array" ref="D240">estimatedTripEnergy(C240,G$5,G$6,C$12,C$7,C$9,C$8,FALSE)/1000</f>
        <v>1305.8111288753</v>
      </c>
      <c r="E240" s="1" cm="1">
        <f t="array" ref="E240">estimatedTripEnergy(C240,G$5,G$6,C$12,C$7,C$9,C$8)/1000</f>
        <v>1453.7711288753001</v>
      </c>
      <c r="F240" s="59" cm="1">
        <f t="array" ref="F240">estimatedTripDuration(C240,$C$8,$C$7)/60</f>
        <v>9.2471526767660084</v>
      </c>
      <c r="G240">
        <f t="shared" si="36"/>
        <v>225</v>
      </c>
      <c r="H240" s="50">
        <f t="shared" si="40"/>
        <v>37.5</v>
      </c>
      <c r="I240" s="7" cm="1">
        <f t="array" ref="I240">CurrentCapacity(K$10,K$6,K$7,H240)</f>
        <v>35712.112500000003</v>
      </c>
      <c r="J240" s="48">
        <f t="shared" si="41"/>
        <v>4.070806869448846E-2</v>
      </c>
      <c r="K240" s="5" cm="1">
        <f t="array" ref="K240">UseableCapacity(I240,$K$8,$K$9)</f>
        <v>26784.084375000002</v>
      </c>
      <c r="L240" s="59">
        <f t="shared" si="42"/>
        <v>34258.341371124705</v>
      </c>
      <c r="M240" s="7">
        <f t="shared" si="43"/>
        <v>25330.313246124701</v>
      </c>
      <c r="N240" s="7">
        <f t="shared" si="44"/>
        <v>2537.8874999999971</v>
      </c>
      <c r="O240" t="str">
        <f t="shared" si="37"/>
        <v>no</v>
      </c>
      <c r="P240" t="str">
        <f t="shared" si="38"/>
        <v>no</v>
      </c>
    </row>
    <row r="241" spans="2:16" x14ac:dyDescent="0.35">
      <c r="B241">
        <f t="shared" si="45"/>
        <v>226</v>
      </c>
      <c r="C241" s="7">
        <f t="shared" si="39"/>
        <v>226</v>
      </c>
      <c r="D241" s="1" cm="1">
        <f t="array" ref="D241">estimatedTripEnergy(C241,G$5,G$6,C$12,C$7,C$9,C$8,FALSE)/1000</f>
        <v>1306.7378080358999</v>
      </c>
      <c r="E241" s="1" cm="1">
        <f t="array" ref="E241">estimatedTripEnergy(C241,G$5,G$6,C$12,C$7,C$9,C$8)/1000</f>
        <v>1454.6978080358999</v>
      </c>
      <c r="F241" s="59" cm="1">
        <f t="array" ref="F241">estimatedTripDuration(C241,$C$8,$C$7)/60</f>
        <v>9.2804860100993416</v>
      </c>
      <c r="G241">
        <f t="shared" si="36"/>
        <v>226</v>
      </c>
      <c r="H241" s="50">
        <f t="shared" si="40"/>
        <v>37.666666666666664</v>
      </c>
      <c r="I241" s="7" cm="1">
        <f t="array" ref="I241">CurrentCapacity(K$10,K$6,K$7,H241)</f>
        <v>35711.883000000002</v>
      </c>
      <c r="J241" s="48">
        <f t="shared" si="41"/>
        <v>4.0734279064363534E-2</v>
      </c>
      <c r="K241" s="5" cm="1">
        <f t="array" ref="K241">UseableCapacity(I241,$K$8,$K$9)</f>
        <v>26783.912250000001</v>
      </c>
      <c r="L241" s="59">
        <f t="shared" si="42"/>
        <v>34257.185191964105</v>
      </c>
      <c r="M241" s="7">
        <f t="shared" si="43"/>
        <v>25329.214441964101</v>
      </c>
      <c r="N241" s="7">
        <f t="shared" si="44"/>
        <v>2538.1169999999984</v>
      </c>
      <c r="O241" t="str">
        <f t="shared" si="37"/>
        <v>no</v>
      </c>
      <c r="P241" t="str">
        <f t="shared" si="38"/>
        <v>no</v>
      </c>
    </row>
    <row r="242" spans="2:16" x14ac:dyDescent="0.35">
      <c r="B242">
        <f t="shared" si="45"/>
        <v>227</v>
      </c>
      <c r="C242" s="7">
        <f t="shared" si="39"/>
        <v>227</v>
      </c>
      <c r="D242" s="1" cm="1">
        <f t="array" ref="D242">estimatedTripEnergy(C242,G$5,G$6,C$12,C$7,C$9,C$8,FALSE)/1000</f>
        <v>1307.6644871965</v>
      </c>
      <c r="E242" s="1" cm="1">
        <f t="array" ref="E242">estimatedTripEnergy(C242,G$5,G$6,C$12,C$7,C$9,C$8)/1000</f>
        <v>1455.6244871965</v>
      </c>
      <c r="F242" s="59" cm="1">
        <f t="array" ref="F242">estimatedTripDuration(C242,$C$8,$C$7)/60</f>
        <v>9.3138193434326748</v>
      </c>
      <c r="G242">
        <f t="shared" si="36"/>
        <v>227</v>
      </c>
      <c r="H242" s="50">
        <f t="shared" si="40"/>
        <v>37.833333333333336</v>
      </c>
      <c r="I242" s="7" cm="1">
        <f t="array" ref="I242">CurrentCapacity(K$10,K$6,K$7,H242)</f>
        <v>35711.6535</v>
      </c>
      <c r="J242" s="48">
        <f t="shared" si="41"/>
        <v>4.076048977111911E-2</v>
      </c>
      <c r="K242" s="5" cm="1">
        <f t="array" ref="K242">UseableCapacity(I242,$K$8,$K$9)</f>
        <v>26783.740125</v>
      </c>
      <c r="L242" s="59">
        <f t="shared" si="42"/>
        <v>34256.029012803498</v>
      </c>
      <c r="M242" s="7">
        <f t="shared" si="43"/>
        <v>25328.115637803501</v>
      </c>
      <c r="N242" s="7">
        <f t="shared" si="44"/>
        <v>2538.3464999999997</v>
      </c>
      <c r="O242" t="str">
        <f t="shared" si="37"/>
        <v>no</v>
      </c>
      <c r="P242" t="str">
        <f t="shared" si="38"/>
        <v>no</v>
      </c>
    </row>
    <row r="243" spans="2:16" x14ac:dyDescent="0.35">
      <c r="B243">
        <f t="shared" si="45"/>
        <v>228</v>
      </c>
      <c r="C243" s="7">
        <f t="shared" si="39"/>
        <v>228</v>
      </c>
      <c r="D243" s="1" cm="1">
        <f t="array" ref="D243">estimatedTripEnergy(C243,G$5,G$6,C$12,C$7,C$9,C$8,FALSE)/1000</f>
        <v>1308.5911663571001</v>
      </c>
      <c r="E243" s="1" cm="1">
        <f t="array" ref="E243">estimatedTripEnergy(C243,G$5,G$6,C$12,C$7,C$9,C$8)/1000</f>
        <v>1456.5511663571001</v>
      </c>
      <c r="F243" s="59" cm="1">
        <f t="array" ref="F243">estimatedTripDuration(C243,$C$8,$C$7)/60</f>
        <v>9.347152676766008</v>
      </c>
      <c r="G243">
        <f t="shared" si="36"/>
        <v>228</v>
      </c>
      <c r="H243" s="50">
        <f t="shared" si="40"/>
        <v>38</v>
      </c>
      <c r="I243" s="7" cm="1">
        <f t="array" ref="I243">CurrentCapacity(K$10,K$6,K$7,H243)</f>
        <v>35711.423999999999</v>
      </c>
      <c r="J243" s="48">
        <f t="shared" si="41"/>
        <v>4.0786700814761691E-2</v>
      </c>
      <c r="K243" s="5" cm="1">
        <f t="array" ref="K243">UseableCapacity(I243,$K$8,$K$9)</f>
        <v>26783.567999999999</v>
      </c>
      <c r="L243" s="59">
        <f t="shared" si="42"/>
        <v>34254.872833642898</v>
      </c>
      <c r="M243" s="7">
        <f t="shared" si="43"/>
        <v>25327.016833642898</v>
      </c>
      <c r="N243" s="7">
        <f t="shared" si="44"/>
        <v>2538.5760000000009</v>
      </c>
      <c r="O243" t="str">
        <f t="shared" si="37"/>
        <v>no</v>
      </c>
      <c r="P243" t="str">
        <f t="shared" si="38"/>
        <v>no</v>
      </c>
    </row>
    <row r="244" spans="2:16" x14ac:dyDescent="0.35">
      <c r="B244">
        <f t="shared" si="45"/>
        <v>229</v>
      </c>
      <c r="C244" s="7">
        <f t="shared" si="39"/>
        <v>229</v>
      </c>
      <c r="D244" s="1" cm="1">
        <f t="array" ref="D244">estimatedTripEnergy(C244,G$5,G$6,C$12,C$7,C$9,C$8,FALSE)/1000</f>
        <v>1309.5178455177002</v>
      </c>
      <c r="E244" s="1" cm="1">
        <f t="array" ref="E244">estimatedTripEnergy(C244,G$5,G$6,C$12,C$7,C$9,C$8)/1000</f>
        <v>1457.4778455177</v>
      </c>
      <c r="F244" s="59" cm="1">
        <f t="array" ref="F244">estimatedTripDuration(C244,$C$8,$C$7)/60</f>
        <v>9.3804860100993412</v>
      </c>
      <c r="G244">
        <f t="shared" si="36"/>
        <v>229</v>
      </c>
      <c r="H244" s="50">
        <f t="shared" si="40"/>
        <v>38.166666666666664</v>
      </c>
      <c r="I244" s="7" cm="1">
        <f t="array" ref="I244">CurrentCapacity(K$10,K$6,K$7,H244)</f>
        <v>35711.194500000005</v>
      </c>
      <c r="J244" s="48">
        <f t="shared" si="41"/>
        <v>4.0812912195297743E-2</v>
      </c>
      <c r="K244" s="5" cm="1">
        <f t="array" ref="K244">UseableCapacity(I244,$K$8,$K$9)</f>
        <v>26783.395875000002</v>
      </c>
      <c r="L244" s="59">
        <f t="shared" si="42"/>
        <v>34253.716654482305</v>
      </c>
      <c r="M244" s="7">
        <f t="shared" si="43"/>
        <v>25325.918029482302</v>
      </c>
      <c r="N244" s="7">
        <f t="shared" si="44"/>
        <v>2538.8054999999949</v>
      </c>
      <c r="O244" t="str">
        <f t="shared" si="37"/>
        <v>no</v>
      </c>
      <c r="P244" t="str">
        <f t="shared" si="38"/>
        <v>no</v>
      </c>
    </row>
    <row r="245" spans="2:16" x14ac:dyDescent="0.35">
      <c r="B245">
        <f t="shared" si="45"/>
        <v>230</v>
      </c>
      <c r="C245" s="7">
        <f t="shared" si="39"/>
        <v>230</v>
      </c>
      <c r="D245" s="1" cm="1">
        <f t="array" ref="D245">estimatedTripEnergy(C245,G$5,G$6,C$12,C$7,C$9,C$8,FALSE)/1000</f>
        <v>1310.4445246783002</v>
      </c>
      <c r="E245" s="1" cm="1">
        <f t="array" ref="E245">estimatedTripEnergy(C245,G$5,G$6,C$12,C$7,C$9,C$8)/1000</f>
        <v>1458.4045246783</v>
      </c>
      <c r="F245" s="59" cm="1">
        <f t="array" ref="F245">estimatedTripDuration(C245,$C$8,$C$7)/60</f>
        <v>9.4138193434326745</v>
      </c>
      <c r="G245">
        <f t="shared" si="36"/>
        <v>230</v>
      </c>
      <c r="H245" s="50">
        <f t="shared" si="40"/>
        <v>38.333333333333336</v>
      </c>
      <c r="I245" s="7" cm="1">
        <f t="array" ref="I245">CurrentCapacity(K$10,K$6,K$7,H245)</f>
        <v>35710.965000000004</v>
      </c>
      <c r="J245" s="48">
        <f t="shared" si="41"/>
        <v>4.0839123912733803E-2</v>
      </c>
      <c r="K245" s="5" cm="1">
        <f t="array" ref="K245">UseableCapacity(I245,$K$8,$K$9)</f>
        <v>26783.223750000005</v>
      </c>
      <c r="L245" s="59">
        <f t="shared" si="42"/>
        <v>34252.560475321705</v>
      </c>
      <c r="M245" s="7">
        <f t="shared" si="43"/>
        <v>25324.819225321706</v>
      </c>
      <c r="N245" s="7">
        <f t="shared" si="44"/>
        <v>2539.0349999999962</v>
      </c>
      <c r="O245" t="str">
        <f t="shared" si="37"/>
        <v>no</v>
      </c>
      <c r="P245" t="str">
        <f t="shared" si="38"/>
        <v>no</v>
      </c>
    </row>
    <row r="246" spans="2:16" x14ac:dyDescent="0.35">
      <c r="B246">
        <f t="shared" si="45"/>
        <v>231</v>
      </c>
      <c r="C246" s="7">
        <f t="shared" si="39"/>
        <v>231</v>
      </c>
      <c r="D246" s="1" cm="1">
        <f t="array" ref="D246">estimatedTripEnergy(C246,G$5,G$6,C$12,C$7,C$9,C$8,FALSE)/1000</f>
        <v>1311.3712038388999</v>
      </c>
      <c r="E246" s="1" cm="1">
        <f t="array" ref="E246">estimatedTripEnergy(C246,G$5,G$6,C$12,C$7,C$9,C$8)/1000</f>
        <v>1459.3312038388999</v>
      </c>
      <c r="F246" s="59" cm="1">
        <f t="array" ref="F246">estimatedTripDuration(C246,$C$8,$C$7)/60</f>
        <v>9.4471526767660077</v>
      </c>
      <c r="G246">
        <f t="shared" si="36"/>
        <v>231</v>
      </c>
      <c r="H246" s="50">
        <f t="shared" si="40"/>
        <v>38.5</v>
      </c>
      <c r="I246" s="7" cm="1">
        <f t="array" ref="I246">CurrentCapacity(K$10,K$6,K$7,H246)</f>
        <v>35710.735500000003</v>
      </c>
      <c r="J246" s="48">
        <f t="shared" si="41"/>
        <v>4.0865335967076338E-2</v>
      </c>
      <c r="K246" s="5" cm="1">
        <f t="array" ref="K246">UseableCapacity(I246,$K$8,$K$9)</f>
        <v>26783.051625</v>
      </c>
      <c r="L246" s="59">
        <f t="shared" si="42"/>
        <v>34251.404296161105</v>
      </c>
      <c r="M246" s="7">
        <f t="shared" si="43"/>
        <v>25323.720421161099</v>
      </c>
      <c r="N246" s="7">
        <f t="shared" si="44"/>
        <v>2539.2644999999975</v>
      </c>
      <c r="O246" t="str">
        <f t="shared" si="37"/>
        <v>no</v>
      </c>
      <c r="P246" t="str">
        <f t="shared" si="38"/>
        <v>no</v>
      </c>
    </row>
    <row r="247" spans="2:16" x14ac:dyDescent="0.35">
      <c r="B247">
        <f t="shared" si="45"/>
        <v>232</v>
      </c>
      <c r="C247" s="7">
        <f t="shared" si="39"/>
        <v>232</v>
      </c>
      <c r="D247" s="1" cm="1">
        <f t="array" ref="D247">estimatedTripEnergy(C247,G$5,G$6,C$12,C$7,C$9,C$8,FALSE)/1000</f>
        <v>1312.2978829995</v>
      </c>
      <c r="E247" s="1" cm="1">
        <f t="array" ref="E247">estimatedTripEnergy(C247,G$5,G$6,C$12,C$7,C$9,C$8)/1000</f>
        <v>1460.2578829995</v>
      </c>
      <c r="F247" s="59" cm="1">
        <f t="array" ref="F247">estimatedTripDuration(C247,$C$8,$C$7)/60</f>
        <v>9.4804860100993427</v>
      </c>
      <c r="G247">
        <f t="shared" si="36"/>
        <v>232</v>
      </c>
      <c r="H247" s="50">
        <f t="shared" si="40"/>
        <v>38.666666666666664</v>
      </c>
      <c r="I247" s="7" cm="1">
        <f t="array" ref="I247">CurrentCapacity(K$10,K$6,K$7,H247)</f>
        <v>35710.506000000001</v>
      </c>
      <c r="J247" s="48">
        <f t="shared" si="41"/>
        <v>4.0891548358331857E-2</v>
      </c>
      <c r="K247" s="5" cm="1">
        <f t="array" ref="K247">UseableCapacity(I247,$K$8,$K$9)</f>
        <v>26782.879500000003</v>
      </c>
      <c r="L247" s="59">
        <f t="shared" si="42"/>
        <v>34250.248117000505</v>
      </c>
      <c r="M247" s="7">
        <f t="shared" si="43"/>
        <v>25322.621617000503</v>
      </c>
      <c r="N247" s="7">
        <f t="shared" si="44"/>
        <v>2539.4939999999988</v>
      </c>
      <c r="O247" t="str">
        <f t="shared" si="37"/>
        <v>no</v>
      </c>
      <c r="P247" t="str">
        <f t="shared" si="38"/>
        <v>no</v>
      </c>
    </row>
    <row r="248" spans="2:16" x14ac:dyDescent="0.35">
      <c r="B248">
        <f t="shared" si="45"/>
        <v>233</v>
      </c>
      <c r="C248" s="7">
        <f t="shared" si="39"/>
        <v>233</v>
      </c>
      <c r="D248" s="1" cm="1">
        <f t="array" ref="D248">estimatedTripEnergy(C248,G$5,G$6,C$12,C$7,C$9,C$8,FALSE)/1000</f>
        <v>1313.2245621601</v>
      </c>
      <c r="E248" s="1" cm="1">
        <f t="array" ref="E248">estimatedTripEnergy(C248,G$5,G$6,C$12,C$7,C$9,C$8)/1000</f>
        <v>1461.1845621601001</v>
      </c>
      <c r="F248" s="59" cm="1">
        <f t="array" ref="F248">estimatedTripDuration(C248,$C$8,$C$7)/60</f>
        <v>9.5138193434326759</v>
      </c>
      <c r="G248">
        <f t="shared" si="36"/>
        <v>233</v>
      </c>
      <c r="H248" s="50">
        <f t="shared" si="40"/>
        <v>38.833333333333336</v>
      </c>
      <c r="I248" s="7" cm="1">
        <f t="array" ref="I248">CurrentCapacity(K$10,K$6,K$7,H248)</f>
        <v>35710.2765</v>
      </c>
      <c r="J248" s="48">
        <f t="shared" si="41"/>
        <v>4.0917761086506854E-2</v>
      </c>
      <c r="K248" s="5" cm="1">
        <f t="array" ref="K248">UseableCapacity(I248,$K$8,$K$9)</f>
        <v>26782.707374999998</v>
      </c>
      <c r="L248" s="59">
        <f t="shared" si="42"/>
        <v>34249.091937839898</v>
      </c>
      <c r="M248" s="7">
        <f t="shared" si="43"/>
        <v>25321.522812839899</v>
      </c>
      <c r="N248" s="7">
        <f t="shared" si="44"/>
        <v>2539.7235000000001</v>
      </c>
      <c r="O248" t="str">
        <f t="shared" si="37"/>
        <v>no</v>
      </c>
      <c r="P248" t="str">
        <f t="shared" si="38"/>
        <v>no</v>
      </c>
    </row>
    <row r="249" spans="2:16" x14ac:dyDescent="0.35">
      <c r="B249">
        <f t="shared" si="45"/>
        <v>234</v>
      </c>
      <c r="C249" s="7">
        <f t="shared" si="39"/>
        <v>234</v>
      </c>
      <c r="D249" s="1" cm="1">
        <f t="array" ref="D249">estimatedTripEnergy(C249,G$5,G$6,C$12,C$7,C$9,C$8,FALSE)/1000</f>
        <v>1314.1512413206999</v>
      </c>
      <c r="E249" s="1" cm="1">
        <f t="array" ref="E249">estimatedTripEnergy(C249,G$5,G$6,C$12,C$7,C$9,C$8)/1000</f>
        <v>1462.1112413206999</v>
      </c>
      <c r="F249" s="59" cm="1">
        <f t="array" ref="F249">estimatedTripDuration(C249,$C$8,$C$7)/60</f>
        <v>9.5471526767660091</v>
      </c>
      <c r="G249">
        <f t="shared" si="36"/>
        <v>234</v>
      </c>
      <c r="H249" s="50">
        <f t="shared" si="40"/>
        <v>39</v>
      </c>
      <c r="I249" s="7" cm="1">
        <f t="array" ref="I249">CurrentCapacity(K$10,K$6,K$7,H249)</f>
        <v>35710.047000000006</v>
      </c>
      <c r="J249" s="48">
        <f t="shared" si="41"/>
        <v>4.0943974151607804E-2</v>
      </c>
      <c r="K249" s="5" cm="1">
        <f t="array" ref="K249">UseableCapacity(I249,$K$8,$K$9)</f>
        <v>26782.535250000004</v>
      </c>
      <c r="L249" s="59">
        <f t="shared" si="42"/>
        <v>34247.935758679305</v>
      </c>
      <c r="M249" s="7">
        <f t="shared" si="43"/>
        <v>25320.424008679303</v>
      </c>
      <c r="N249" s="7">
        <f t="shared" si="44"/>
        <v>2539.9529999999941</v>
      </c>
      <c r="O249" t="str">
        <f t="shared" si="37"/>
        <v>no</v>
      </c>
      <c r="P249" t="str">
        <f t="shared" si="38"/>
        <v>no</v>
      </c>
    </row>
    <row r="250" spans="2:16" x14ac:dyDescent="0.35">
      <c r="B250">
        <f t="shared" si="45"/>
        <v>235</v>
      </c>
      <c r="C250" s="7">
        <f t="shared" si="39"/>
        <v>235</v>
      </c>
      <c r="D250" s="1" cm="1">
        <f t="array" ref="D250">estimatedTripEnergy(C250,G$5,G$6,C$12,C$7,C$9,C$8,FALSE)/1000</f>
        <v>1315.0779204813</v>
      </c>
      <c r="E250" s="1" cm="1">
        <f t="array" ref="E250">estimatedTripEnergy(C250,G$5,G$6,C$12,C$7,C$9,C$8)/1000</f>
        <v>1463.0379204813</v>
      </c>
      <c r="F250" s="59" cm="1">
        <f t="array" ref="F250">estimatedTripDuration(C250,$C$8,$C$7)/60</f>
        <v>9.5804860100993423</v>
      </c>
      <c r="G250">
        <f t="shared" si="36"/>
        <v>235</v>
      </c>
      <c r="H250" s="50">
        <f t="shared" si="40"/>
        <v>39.166666666666664</v>
      </c>
      <c r="I250" s="7" cm="1">
        <f t="array" ref="I250">CurrentCapacity(K$10,K$6,K$7,H250)</f>
        <v>35709.817500000005</v>
      </c>
      <c r="J250" s="48">
        <f t="shared" si="41"/>
        <v>4.0970187553641228E-2</v>
      </c>
      <c r="K250" s="5" cm="1">
        <f t="array" ref="K250">UseableCapacity(I250,$K$8,$K$9)</f>
        <v>26782.363125000003</v>
      </c>
      <c r="L250" s="59">
        <f t="shared" si="42"/>
        <v>34246.779579518705</v>
      </c>
      <c r="M250" s="7">
        <f t="shared" si="43"/>
        <v>25319.325204518704</v>
      </c>
      <c r="N250" s="7">
        <f t="shared" si="44"/>
        <v>2540.1824999999953</v>
      </c>
      <c r="O250" t="str">
        <f t="shared" si="37"/>
        <v>no</v>
      </c>
      <c r="P250" t="str">
        <f t="shared" si="38"/>
        <v>no</v>
      </c>
    </row>
    <row r="251" spans="2:16" x14ac:dyDescent="0.35">
      <c r="B251">
        <f t="shared" si="45"/>
        <v>236</v>
      </c>
      <c r="C251" s="7">
        <f t="shared" si="39"/>
        <v>236</v>
      </c>
      <c r="D251" s="1" cm="1">
        <f t="array" ref="D251">estimatedTripEnergy(C251,G$5,G$6,C$12,C$7,C$9,C$8,FALSE)/1000</f>
        <v>1316.0045996419001</v>
      </c>
      <c r="E251" s="1" cm="1">
        <f t="array" ref="E251">estimatedTripEnergy(C251,G$5,G$6,C$12,C$7,C$9,C$8)/1000</f>
        <v>1463.9645996419001</v>
      </c>
      <c r="F251" s="59" cm="1">
        <f t="array" ref="F251">estimatedTripDuration(C251,$C$8,$C$7)/60</f>
        <v>9.6138193434326755</v>
      </c>
      <c r="G251">
        <f t="shared" si="36"/>
        <v>236</v>
      </c>
      <c r="H251" s="50">
        <f t="shared" si="40"/>
        <v>39.333333333333336</v>
      </c>
      <c r="I251" s="7" cm="1">
        <f t="array" ref="I251">CurrentCapacity(K$10,K$6,K$7,H251)</f>
        <v>35709.588000000003</v>
      </c>
      <c r="J251" s="48">
        <f t="shared" si="41"/>
        <v>4.0996401292613623E-2</v>
      </c>
      <c r="K251" s="5" cm="1">
        <f t="array" ref="K251">UseableCapacity(I251,$K$8,$K$9)</f>
        <v>26782.191000000003</v>
      </c>
      <c r="L251" s="59">
        <f t="shared" si="42"/>
        <v>34245.623400358105</v>
      </c>
      <c r="M251" s="7">
        <f t="shared" si="43"/>
        <v>25318.226400358104</v>
      </c>
      <c r="N251" s="7">
        <f t="shared" si="44"/>
        <v>2540.4119999999966</v>
      </c>
      <c r="O251" t="str">
        <f t="shared" si="37"/>
        <v>no</v>
      </c>
      <c r="P251" t="str">
        <f t="shared" si="38"/>
        <v>no</v>
      </c>
    </row>
    <row r="252" spans="2:16" x14ac:dyDescent="0.35">
      <c r="B252">
        <f t="shared" si="45"/>
        <v>237</v>
      </c>
      <c r="C252" s="7">
        <f t="shared" si="39"/>
        <v>237</v>
      </c>
      <c r="D252" s="1" cm="1">
        <f t="array" ref="D252">estimatedTripEnergy(C252,G$5,G$6,C$12,C$7,C$9,C$8,FALSE)/1000</f>
        <v>1316.9312788025002</v>
      </c>
      <c r="E252" s="1" cm="1">
        <f t="array" ref="E252">estimatedTripEnergy(C252,G$5,G$6,C$12,C$7,C$9,C$8)/1000</f>
        <v>1464.8912788025002</v>
      </c>
      <c r="F252" s="59" cm="1">
        <f t="array" ref="F252">estimatedTripDuration(C252,$C$8,$C$7)/60</f>
        <v>9.6471526767660087</v>
      </c>
      <c r="G252">
        <f t="shared" si="36"/>
        <v>237</v>
      </c>
      <c r="H252" s="50">
        <f t="shared" si="40"/>
        <v>39.5</v>
      </c>
      <c r="I252" s="7" cm="1">
        <f t="array" ref="I252">CurrentCapacity(K$10,K$6,K$7,H252)</f>
        <v>35709.358500000002</v>
      </c>
      <c r="J252" s="48">
        <f t="shared" si="41"/>
        <v>4.1022615368531475E-2</v>
      </c>
      <c r="K252" s="5" cm="1">
        <f t="array" ref="K252">UseableCapacity(I252,$K$8,$K$9)</f>
        <v>26782.018875000002</v>
      </c>
      <c r="L252" s="59">
        <f t="shared" si="42"/>
        <v>34244.467221197505</v>
      </c>
      <c r="M252" s="7">
        <f t="shared" si="43"/>
        <v>25317.127596197501</v>
      </c>
      <c r="N252" s="7">
        <f t="shared" si="44"/>
        <v>2540.6414999999979</v>
      </c>
      <c r="O252" t="str">
        <f t="shared" si="37"/>
        <v>no</v>
      </c>
      <c r="P252" t="str">
        <f t="shared" si="38"/>
        <v>no</v>
      </c>
    </row>
    <row r="253" spans="2:16" x14ac:dyDescent="0.35">
      <c r="B253">
        <f t="shared" si="45"/>
        <v>238</v>
      </c>
      <c r="C253" s="7">
        <f t="shared" si="39"/>
        <v>238</v>
      </c>
      <c r="D253" s="1" cm="1">
        <f t="array" ref="D253">estimatedTripEnergy(C253,G$5,G$6,C$12,C$7,C$9,C$8,FALSE)/1000</f>
        <v>1317.8579579631</v>
      </c>
      <c r="E253" s="1" cm="1">
        <f t="array" ref="E253">estimatedTripEnergy(C253,G$5,G$6,C$12,C$7,C$9,C$8)/1000</f>
        <v>1465.8179579630998</v>
      </c>
      <c r="F253" s="59" cm="1">
        <f t="array" ref="F253">estimatedTripDuration(C253,$C$8,$C$7)/60</f>
        <v>9.680486010099342</v>
      </c>
      <c r="G253">
        <f t="shared" si="36"/>
        <v>238</v>
      </c>
      <c r="H253" s="50">
        <f t="shared" si="40"/>
        <v>39.666666666666664</v>
      </c>
      <c r="I253" s="7" cm="1">
        <f t="array" ref="I253">CurrentCapacity(K$10,K$6,K$7,H253)</f>
        <v>35709.129000000001</v>
      </c>
      <c r="J253" s="48">
        <f t="shared" si="41"/>
        <v>4.1048829781401272E-2</v>
      </c>
      <c r="K253" s="5" cm="1">
        <f t="array" ref="K253">UseableCapacity(I253,$K$8,$K$9)</f>
        <v>26781.846750000001</v>
      </c>
      <c r="L253" s="59">
        <f t="shared" si="42"/>
        <v>34243.311042036898</v>
      </c>
      <c r="M253" s="7">
        <f t="shared" si="43"/>
        <v>25316.028792036901</v>
      </c>
      <c r="N253" s="7">
        <f t="shared" si="44"/>
        <v>2540.8709999999992</v>
      </c>
      <c r="O253" t="str">
        <f t="shared" si="37"/>
        <v>no</v>
      </c>
      <c r="P253" t="str">
        <f t="shared" si="38"/>
        <v>no</v>
      </c>
    </row>
    <row r="254" spans="2:16" x14ac:dyDescent="0.35">
      <c r="B254">
        <f t="shared" si="45"/>
        <v>239</v>
      </c>
      <c r="C254" s="7">
        <f t="shared" si="39"/>
        <v>239</v>
      </c>
      <c r="D254" s="1" cm="1">
        <f t="array" ref="D254">estimatedTripEnergy(C254,G$5,G$6,C$12,C$7,C$9,C$8,FALSE)/1000</f>
        <v>1318.7846371236999</v>
      </c>
      <c r="E254" s="1" cm="1">
        <f t="array" ref="E254">estimatedTripEnergy(C254,G$5,G$6,C$12,C$7,C$9,C$8)/1000</f>
        <v>1466.7446371236999</v>
      </c>
      <c r="F254" s="59" cm="1">
        <f t="array" ref="F254">estimatedTripDuration(C254,$C$8,$C$7)/60</f>
        <v>9.7138193434326752</v>
      </c>
      <c r="G254">
        <f t="shared" si="36"/>
        <v>239</v>
      </c>
      <c r="H254" s="50">
        <f t="shared" si="40"/>
        <v>39.833333333333336</v>
      </c>
      <c r="I254" s="7" cm="1">
        <f t="array" ref="I254">CurrentCapacity(K$10,K$6,K$7,H254)</f>
        <v>35708.8995</v>
      </c>
      <c r="J254" s="48">
        <f t="shared" si="41"/>
        <v>4.1075044531229531E-2</v>
      </c>
      <c r="K254" s="5" cm="1">
        <f t="array" ref="K254">UseableCapacity(I254,$K$8,$K$9)</f>
        <v>26781.674625</v>
      </c>
      <c r="L254" s="59">
        <f t="shared" si="42"/>
        <v>34242.154862876298</v>
      </c>
      <c r="M254" s="7">
        <f t="shared" si="43"/>
        <v>25314.929987876301</v>
      </c>
      <c r="N254" s="7">
        <f t="shared" si="44"/>
        <v>2541.1005000000005</v>
      </c>
      <c r="O254" t="str">
        <f t="shared" si="37"/>
        <v>no</v>
      </c>
      <c r="P254" t="str">
        <f t="shared" si="38"/>
        <v>no</v>
      </c>
    </row>
    <row r="255" spans="2:16" x14ac:dyDescent="0.35">
      <c r="B255">
        <f t="shared" si="45"/>
        <v>240</v>
      </c>
      <c r="C255" s="7">
        <f t="shared" si="39"/>
        <v>240</v>
      </c>
      <c r="D255" s="1" cm="1">
        <f t="array" ref="D255">estimatedTripEnergy(C255,G$5,G$6,C$12,C$7,C$9,C$8,FALSE)/1000</f>
        <v>1319.7113162843</v>
      </c>
      <c r="E255" s="1" cm="1">
        <f t="array" ref="E255">estimatedTripEnergy(C255,G$5,G$6,C$12,C$7,C$9,C$8)/1000</f>
        <v>1467.6713162843</v>
      </c>
      <c r="F255" s="59" cm="1">
        <f t="array" ref="F255">estimatedTripDuration(C255,$C$8,$C$7)/60</f>
        <v>9.7471526767660084</v>
      </c>
      <c r="G255">
        <f t="shared" si="36"/>
        <v>240</v>
      </c>
      <c r="H255" s="50">
        <f t="shared" si="40"/>
        <v>40</v>
      </c>
      <c r="I255" s="7" cm="1">
        <f t="array" ref="I255">CurrentCapacity(K$10,K$6,K$7,H255)</f>
        <v>35708.670000000006</v>
      </c>
      <c r="J255" s="48">
        <f t="shared" si="41"/>
        <v>4.1101259618022731E-2</v>
      </c>
      <c r="K255" s="5" cm="1">
        <f t="array" ref="K255">UseableCapacity(I255,$K$8,$K$9)</f>
        <v>26781.502500000002</v>
      </c>
      <c r="L255" s="59">
        <f t="shared" si="42"/>
        <v>34240.998683715705</v>
      </c>
      <c r="M255" s="7">
        <f t="shared" si="43"/>
        <v>25313.831183715702</v>
      </c>
      <c r="N255" s="7">
        <f t="shared" si="44"/>
        <v>2541.3299999999945</v>
      </c>
      <c r="O255" t="str">
        <f t="shared" si="37"/>
        <v>no</v>
      </c>
      <c r="P255" t="str">
        <f t="shared" si="38"/>
        <v>no</v>
      </c>
    </row>
    <row r="256" spans="2:16" x14ac:dyDescent="0.35">
      <c r="B256">
        <f t="shared" si="45"/>
        <v>241</v>
      </c>
      <c r="C256" s="7">
        <f t="shared" si="39"/>
        <v>241</v>
      </c>
      <c r="D256" s="1" cm="1">
        <f t="array" ref="D256">estimatedTripEnergy(C256,G$5,G$6,C$12,C$7,C$9,C$8,FALSE)/1000</f>
        <v>1320.6379954448998</v>
      </c>
      <c r="E256" s="1" cm="1">
        <f t="array" ref="E256">estimatedTripEnergy(C256,G$5,G$6,C$12,C$7,C$9,C$8)/1000</f>
        <v>1468.5979954448999</v>
      </c>
      <c r="F256" s="59" cm="1">
        <f t="array" ref="F256">estimatedTripDuration(C256,$C$8,$C$7)/60</f>
        <v>9.7804860100993416</v>
      </c>
      <c r="G256">
        <f t="shared" si="36"/>
        <v>241</v>
      </c>
      <c r="H256" s="50">
        <f t="shared" si="40"/>
        <v>40.166666666666664</v>
      </c>
      <c r="I256" s="7" cm="1">
        <f t="array" ref="I256">CurrentCapacity(K$10,K$6,K$7,H256)</f>
        <v>35708.440500000004</v>
      </c>
      <c r="J256" s="48">
        <f t="shared" si="41"/>
        <v>4.1127475041787383E-2</v>
      </c>
      <c r="K256" s="5" cm="1">
        <f t="array" ref="K256">UseableCapacity(I256,$K$8,$K$9)</f>
        <v>26781.330375000005</v>
      </c>
      <c r="L256" s="59">
        <f t="shared" si="42"/>
        <v>34239.842504555105</v>
      </c>
      <c r="M256" s="7">
        <f t="shared" si="43"/>
        <v>25312.732379555106</v>
      </c>
      <c r="N256" s="7">
        <f t="shared" si="44"/>
        <v>2541.5594999999958</v>
      </c>
      <c r="O256" t="str">
        <f t="shared" si="37"/>
        <v>no</v>
      </c>
      <c r="P256" t="str">
        <f t="shared" si="38"/>
        <v>no</v>
      </c>
    </row>
    <row r="257" spans="2:16" x14ac:dyDescent="0.35">
      <c r="B257">
        <f t="shared" si="45"/>
        <v>242</v>
      </c>
      <c r="C257" s="7">
        <f t="shared" si="39"/>
        <v>242</v>
      </c>
      <c r="D257" s="1" cm="1">
        <f t="array" ref="D257">estimatedTripEnergy(C257,G$5,G$6,C$12,C$7,C$9,C$8,FALSE)/1000</f>
        <v>1321.5646746054999</v>
      </c>
      <c r="E257" s="1" cm="1">
        <f t="array" ref="E257">estimatedTripEnergy(C257,G$5,G$6,C$12,C$7,C$9,C$8)/1000</f>
        <v>1469.5246746055</v>
      </c>
      <c r="F257" s="59" cm="1">
        <f t="array" ref="F257">estimatedTripDuration(C257,$C$8,$C$7)/60</f>
        <v>9.8138193434326748</v>
      </c>
      <c r="G257">
        <f t="shared" si="36"/>
        <v>242</v>
      </c>
      <c r="H257" s="50">
        <f t="shared" si="40"/>
        <v>40.333333333333336</v>
      </c>
      <c r="I257" s="7" cm="1">
        <f t="array" ref="I257">CurrentCapacity(K$10,K$6,K$7,H257)</f>
        <v>35708.211000000003</v>
      </c>
      <c r="J257" s="48">
        <f t="shared" si="41"/>
        <v>4.115369080252998E-2</v>
      </c>
      <c r="K257" s="5" cm="1">
        <f t="array" ref="K257">UseableCapacity(I257,$K$8,$K$9)</f>
        <v>26781.15825</v>
      </c>
      <c r="L257" s="59">
        <f t="shared" si="42"/>
        <v>34238.686325394505</v>
      </c>
      <c r="M257" s="7">
        <f t="shared" si="43"/>
        <v>25311.633575394502</v>
      </c>
      <c r="N257" s="7">
        <f t="shared" si="44"/>
        <v>2541.788999999997</v>
      </c>
      <c r="O257" t="str">
        <f t="shared" si="37"/>
        <v>no</v>
      </c>
      <c r="P257" t="str">
        <f t="shared" si="38"/>
        <v>no</v>
      </c>
    </row>
    <row r="258" spans="2:16" x14ac:dyDescent="0.35">
      <c r="B258">
        <f t="shared" si="45"/>
        <v>243</v>
      </c>
      <c r="C258" s="7">
        <f t="shared" si="39"/>
        <v>243</v>
      </c>
      <c r="D258" s="1" cm="1">
        <f t="array" ref="D258">estimatedTripEnergy(C258,G$5,G$6,C$12,C$7,C$9,C$8,FALSE)/1000</f>
        <v>1322.4913537661</v>
      </c>
      <c r="E258" s="1" cm="1">
        <f t="array" ref="E258">estimatedTripEnergy(C258,G$5,G$6,C$12,C$7,C$9,C$8)/1000</f>
        <v>1470.4513537661001</v>
      </c>
      <c r="F258" s="59" cm="1">
        <f t="array" ref="F258">estimatedTripDuration(C258,$C$8,$C$7)/60</f>
        <v>9.847152676766008</v>
      </c>
      <c r="G258">
        <f t="shared" si="36"/>
        <v>243</v>
      </c>
      <c r="H258" s="50">
        <f t="shared" si="40"/>
        <v>40.5</v>
      </c>
      <c r="I258" s="7" cm="1">
        <f t="array" ref="I258">CurrentCapacity(K$10,K$6,K$7,H258)</f>
        <v>35707.981500000002</v>
      </c>
      <c r="J258" s="48">
        <f t="shared" si="41"/>
        <v>4.1179906900257017E-2</v>
      </c>
      <c r="K258" s="5" cm="1">
        <f t="array" ref="K258">UseableCapacity(I258,$K$8,$K$9)</f>
        <v>26780.986125000003</v>
      </c>
      <c r="L258" s="59">
        <f t="shared" si="42"/>
        <v>34237.530146233905</v>
      </c>
      <c r="M258" s="7">
        <f t="shared" si="43"/>
        <v>25310.534771233903</v>
      </c>
      <c r="N258" s="7">
        <f t="shared" si="44"/>
        <v>2542.0184999999983</v>
      </c>
      <c r="O258" t="str">
        <f t="shared" si="37"/>
        <v>no</v>
      </c>
      <c r="P258" t="str">
        <f t="shared" si="38"/>
        <v>no</v>
      </c>
    </row>
    <row r="259" spans="2:16" x14ac:dyDescent="0.35">
      <c r="B259">
        <f t="shared" si="45"/>
        <v>244</v>
      </c>
      <c r="C259" s="7">
        <f t="shared" si="39"/>
        <v>244</v>
      </c>
      <c r="D259" s="1" cm="1">
        <f t="array" ref="D259">estimatedTripEnergy(C259,G$5,G$6,C$12,C$7,C$9,C$8,FALSE)/1000</f>
        <v>1323.4180329267001</v>
      </c>
      <c r="E259" s="1" cm="1">
        <f t="array" ref="E259">estimatedTripEnergy(C259,G$5,G$6,C$12,C$7,C$9,C$8)/1000</f>
        <v>1471.3780329267001</v>
      </c>
      <c r="F259" s="59" cm="1">
        <f t="array" ref="F259">estimatedTripDuration(C259,$C$8,$C$7)/60</f>
        <v>9.8804860100993412</v>
      </c>
      <c r="G259">
        <f t="shared" si="36"/>
        <v>244</v>
      </c>
      <c r="H259" s="50">
        <f t="shared" si="40"/>
        <v>40.666666666666664</v>
      </c>
      <c r="I259" s="7" cm="1">
        <f t="array" ref="I259">CurrentCapacity(K$10,K$6,K$7,H259)</f>
        <v>35707.752</v>
      </c>
      <c r="J259" s="48">
        <f t="shared" si="41"/>
        <v>4.1206123334974996E-2</v>
      </c>
      <c r="K259" s="5" cm="1">
        <f t="array" ref="K259">UseableCapacity(I259,$K$8,$K$9)</f>
        <v>26780.813999999998</v>
      </c>
      <c r="L259" s="59">
        <f t="shared" si="42"/>
        <v>34236.373967073298</v>
      </c>
      <c r="M259" s="7">
        <f t="shared" si="43"/>
        <v>25309.435967073299</v>
      </c>
      <c r="N259" s="7">
        <f t="shared" si="44"/>
        <v>2542.2479999999996</v>
      </c>
      <c r="O259" t="str">
        <f t="shared" si="37"/>
        <v>no</v>
      </c>
      <c r="P259" t="str">
        <f t="shared" si="38"/>
        <v>no</v>
      </c>
    </row>
    <row r="260" spans="2:16" x14ac:dyDescent="0.35">
      <c r="B260">
        <f t="shared" si="45"/>
        <v>245</v>
      </c>
      <c r="C260" s="7">
        <f t="shared" si="39"/>
        <v>245</v>
      </c>
      <c r="D260" s="1" cm="1">
        <f t="array" ref="D260">estimatedTripEnergy(C260,G$5,G$6,C$12,C$7,C$9,C$8,FALSE)/1000</f>
        <v>1324.3447120873002</v>
      </c>
      <c r="E260" s="1" cm="1">
        <f t="array" ref="E260">estimatedTripEnergy(C260,G$5,G$6,C$12,C$7,C$9,C$8)/1000</f>
        <v>1472.3047120873002</v>
      </c>
      <c r="F260" s="59" cm="1">
        <f t="array" ref="F260">estimatedTripDuration(C260,$C$8,$C$7)/60</f>
        <v>9.9138193434326745</v>
      </c>
      <c r="G260">
        <f t="shared" si="36"/>
        <v>245</v>
      </c>
      <c r="H260" s="50">
        <f t="shared" si="40"/>
        <v>40.833333333333336</v>
      </c>
      <c r="I260" s="7" cm="1">
        <f t="array" ref="I260">CurrentCapacity(K$10,K$6,K$7,H260)</f>
        <v>35707.522500000006</v>
      </c>
      <c r="J260" s="48">
        <f t="shared" si="41"/>
        <v>4.1232340106690406E-2</v>
      </c>
      <c r="K260" s="5" cm="1">
        <f t="array" ref="K260">UseableCapacity(I260,$K$8,$K$9)</f>
        <v>26780.641875000005</v>
      </c>
      <c r="L260" s="59">
        <f t="shared" si="42"/>
        <v>34235.217787912705</v>
      </c>
      <c r="M260" s="7">
        <f t="shared" si="43"/>
        <v>25308.337162912703</v>
      </c>
      <c r="N260" s="7">
        <f t="shared" si="44"/>
        <v>2542.4774999999936</v>
      </c>
      <c r="O260" t="str">
        <f t="shared" si="37"/>
        <v>no</v>
      </c>
      <c r="P260" t="str">
        <f t="shared" si="38"/>
        <v>no</v>
      </c>
    </row>
    <row r="261" spans="2:16" x14ac:dyDescent="0.35">
      <c r="B261">
        <f t="shared" si="45"/>
        <v>246</v>
      </c>
      <c r="C261" s="7">
        <f t="shared" si="39"/>
        <v>246</v>
      </c>
      <c r="D261" s="1" cm="1">
        <f t="array" ref="D261">estimatedTripEnergy(C261,G$5,G$6,C$12,C$7,C$9,C$8,FALSE)/1000</f>
        <v>1325.2713912479001</v>
      </c>
      <c r="E261" s="1" cm="1">
        <f t="array" ref="E261">estimatedTripEnergy(C261,G$5,G$6,C$12,C$7,C$9,C$8)/1000</f>
        <v>1473.2313912478999</v>
      </c>
      <c r="F261" s="59" cm="1">
        <f t="array" ref="F261">estimatedTripDuration(C261,$C$8,$C$7)/60</f>
        <v>9.9471526767660077</v>
      </c>
      <c r="G261">
        <f t="shared" si="36"/>
        <v>246</v>
      </c>
      <c r="H261" s="50">
        <f t="shared" si="40"/>
        <v>41</v>
      </c>
      <c r="I261" s="7" cm="1">
        <f t="array" ref="I261">CurrentCapacity(K$10,K$6,K$7,H261)</f>
        <v>35707.292999999998</v>
      </c>
      <c r="J261" s="48">
        <f t="shared" si="41"/>
        <v>4.1258557215409747E-2</v>
      </c>
      <c r="K261" s="5" cm="1">
        <f t="array" ref="K261">UseableCapacity(I261,$K$8,$K$9)</f>
        <v>26780.469749999997</v>
      </c>
      <c r="L261" s="59">
        <f t="shared" si="42"/>
        <v>34234.061608752098</v>
      </c>
      <c r="M261" s="7">
        <f t="shared" si="43"/>
        <v>25307.238358752096</v>
      </c>
      <c r="N261" s="7">
        <f t="shared" si="44"/>
        <v>2542.7070000000022</v>
      </c>
      <c r="O261" t="str">
        <f t="shared" si="37"/>
        <v>no</v>
      </c>
      <c r="P261" t="str">
        <f t="shared" si="38"/>
        <v>no</v>
      </c>
    </row>
    <row r="262" spans="2:16" x14ac:dyDescent="0.35">
      <c r="B262">
        <f t="shared" si="45"/>
        <v>247</v>
      </c>
      <c r="C262" s="7">
        <f t="shared" si="39"/>
        <v>247</v>
      </c>
      <c r="D262" s="1" cm="1">
        <f t="array" ref="D262">estimatedTripEnergy(C262,G$5,G$6,C$12,C$7,C$9,C$8,FALSE)/1000</f>
        <v>1326.1980704085001</v>
      </c>
      <c r="E262" s="1" cm="1">
        <f t="array" ref="E262">estimatedTripEnergy(C262,G$5,G$6,C$12,C$7,C$9,C$8)/1000</f>
        <v>1474.1580704085</v>
      </c>
      <c r="F262" s="59" cm="1">
        <f t="array" ref="F262">estimatedTripDuration(C262,$C$8,$C$7)/60</f>
        <v>9.9804860100993427</v>
      </c>
      <c r="G262">
        <f t="shared" si="36"/>
        <v>247</v>
      </c>
      <c r="H262" s="50">
        <f t="shared" si="40"/>
        <v>41.166666666666664</v>
      </c>
      <c r="I262" s="7" cm="1">
        <f t="array" ref="I262">CurrentCapacity(K$10,K$6,K$7,H262)</f>
        <v>35707.063500000004</v>
      </c>
      <c r="J262" s="48">
        <f t="shared" si="41"/>
        <v>4.1284774661139521E-2</v>
      </c>
      <c r="K262" s="5" cm="1">
        <f t="array" ref="K262">UseableCapacity(I262,$K$8,$K$9)</f>
        <v>26780.297625000003</v>
      </c>
      <c r="L262" s="59">
        <f t="shared" si="42"/>
        <v>34232.905429591505</v>
      </c>
      <c r="M262" s="7">
        <f t="shared" si="43"/>
        <v>25306.139554591504</v>
      </c>
      <c r="N262" s="7">
        <f t="shared" si="44"/>
        <v>2542.9364999999962</v>
      </c>
      <c r="O262" t="str">
        <f t="shared" si="37"/>
        <v>no</v>
      </c>
      <c r="P262" t="str">
        <f t="shared" si="38"/>
        <v>no</v>
      </c>
    </row>
    <row r="263" spans="2:16" x14ac:dyDescent="0.35">
      <c r="B263">
        <f t="shared" si="45"/>
        <v>248</v>
      </c>
      <c r="C263" s="7">
        <f t="shared" si="39"/>
        <v>248</v>
      </c>
      <c r="D263" s="1" cm="1">
        <f t="array" ref="D263">estimatedTripEnergy(C263,G$5,G$6,C$12,C$7,C$9,C$8,FALSE)/1000</f>
        <v>1327.1247495691</v>
      </c>
      <c r="E263" s="1" cm="1">
        <f t="array" ref="E263">estimatedTripEnergy(C263,G$5,G$6,C$12,C$7,C$9,C$8)/1000</f>
        <v>1475.0847495691</v>
      </c>
      <c r="F263" s="59" cm="1">
        <f t="array" ref="F263">estimatedTripDuration(C263,$C$8,$C$7)/60</f>
        <v>10.013819343432676</v>
      </c>
      <c r="G263">
        <f t="shared" si="36"/>
        <v>248</v>
      </c>
      <c r="H263" s="50">
        <f t="shared" si="40"/>
        <v>41.333333333333336</v>
      </c>
      <c r="I263" s="7" cm="1">
        <f t="array" ref="I263">CurrentCapacity(K$10,K$6,K$7,H263)</f>
        <v>35706.834000000003</v>
      </c>
      <c r="J263" s="48">
        <f t="shared" si="41"/>
        <v>4.1310992443886231E-2</v>
      </c>
      <c r="K263" s="5" cm="1">
        <f t="array" ref="K263">UseableCapacity(I263,$K$8,$K$9)</f>
        <v>26780.125500000002</v>
      </c>
      <c r="L263" s="59">
        <f t="shared" si="42"/>
        <v>34231.749250430905</v>
      </c>
      <c r="M263" s="7">
        <f t="shared" si="43"/>
        <v>25305.040750430901</v>
      </c>
      <c r="N263" s="7">
        <f t="shared" si="44"/>
        <v>2543.1659999999974</v>
      </c>
      <c r="O263" t="str">
        <f t="shared" si="37"/>
        <v>no</v>
      </c>
      <c r="P263" t="str">
        <f t="shared" si="38"/>
        <v>no</v>
      </c>
    </row>
    <row r="264" spans="2:16" x14ac:dyDescent="0.35">
      <c r="B264">
        <f t="shared" si="45"/>
        <v>249</v>
      </c>
      <c r="C264" s="7">
        <f t="shared" si="39"/>
        <v>249</v>
      </c>
      <c r="D264" s="1" cm="1">
        <f t="array" ref="D264">estimatedTripEnergy(C264,G$5,G$6,C$12,C$7,C$9,C$8,FALSE)/1000</f>
        <v>1328.0514287296999</v>
      </c>
      <c r="E264" s="1" cm="1">
        <f t="array" ref="E264">estimatedTripEnergy(C264,G$5,G$6,C$12,C$7,C$9,C$8)/1000</f>
        <v>1476.0114287296999</v>
      </c>
      <c r="F264" s="59" cm="1">
        <f t="array" ref="F264">estimatedTripDuration(C264,$C$8,$C$7)/60</f>
        <v>10.047152676766009</v>
      </c>
      <c r="G264">
        <f t="shared" si="36"/>
        <v>249</v>
      </c>
      <c r="H264" s="50">
        <f t="shared" si="40"/>
        <v>41.5</v>
      </c>
      <c r="I264" s="7" cm="1">
        <f t="array" ref="I264">CurrentCapacity(K$10,K$6,K$7,H264)</f>
        <v>35706.604500000001</v>
      </c>
      <c r="J264" s="48">
        <f t="shared" si="41"/>
        <v>4.1337210563656364E-2</v>
      </c>
      <c r="K264" s="5" cm="1">
        <f t="array" ref="K264">UseableCapacity(I264,$K$8,$K$9)</f>
        <v>26779.953375000001</v>
      </c>
      <c r="L264" s="59">
        <f t="shared" si="42"/>
        <v>34230.593071270305</v>
      </c>
      <c r="M264" s="7">
        <f t="shared" si="43"/>
        <v>25303.941946270301</v>
      </c>
      <c r="N264" s="7">
        <f t="shared" si="44"/>
        <v>2543.3954999999987</v>
      </c>
      <c r="O264" t="str">
        <f t="shared" si="37"/>
        <v>no</v>
      </c>
      <c r="P264" t="str">
        <f t="shared" si="38"/>
        <v>no</v>
      </c>
    </row>
    <row r="265" spans="2:16" x14ac:dyDescent="0.35">
      <c r="B265">
        <f t="shared" si="45"/>
        <v>250</v>
      </c>
      <c r="C265" s="7">
        <f t="shared" si="39"/>
        <v>250</v>
      </c>
      <c r="D265" s="1" cm="1">
        <f t="array" ref="D265">estimatedTripEnergy(C265,G$5,G$6,C$12,C$7,C$9,C$8,FALSE)/1000</f>
        <v>1328.9781078903</v>
      </c>
      <c r="E265" s="1" cm="1">
        <f t="array" ref="E265">estimatedTripEnergy(C265,G$5,G$6,C$12,C$7,C$9,C$8)/1000</f>
        <v>1476.9381078903</v>
      </c>
      <c r="F265" s="59" cm="1">
        <f t="array" ref="F265">estimatedTripDuration(C265,$C$8,$C$7)/60</f>
        <v>10.080486010099342</v>
      </c>
      <c r="G265">
        <f t="shared" si="36"/>
        <v>250</v>
      </c>
      <c r="H265" s="50">
        <f t="shared" si="40"/>
        <v>41.666666666666664</v>
      </c>
      <c r="I265" s="7" cm="1">
        <f t="array" ref="I265">CurrentCapacity(K$10,K$6,K$7,H265)</f>
        <v>35706.375000000007</v>
      </c>
      <c r="J265" s="48">
        <f t="shared" si="41"/>
        <v>4.1363429020456421E-2</v>
      </c>
      <c r="K265" s="5" cm="1">
        <f t="array" ref="K265">UseableCapacity(I265,$K$8,$K$9)</f>
        <v>26779.781250000007</v>
      </c>
      <c r="L265" s="59">
        <f t="shared" si="42"/>
        <v>34229.436892109705</v>
      </c>
      <c r="M265" s="7">
        <f t="shared" si="43"/>
        <v>25302.843142109708</v>
      </c>
      <c r="N265" s="7">
        <f t="shared" si="44"/>
        <v>2543.6249999999927</v>
      </c>
      <c r="O265" t="str">
        <f t="shared" si="37"/>
        <v>no</v>
      </c>
      <c r="P265" t="str">
        <f t="shared" si="38"/>
        <v>no</v>
      </c>
    </row>
    <row r="266" spans="2:16" x14ac:dyDescent="0.35">
      <c r="B266">
        <f t="shared" si="45"/>
        <v>251</v>
      </c>
      <c r="C266" s="7">
        <f t="shared" si="39"/>
        <v>251</v>
      </c>
      <c r="D266" s="1" cm="1">
        <f t="array" ref="D266">estimatedTripEnergy(C266,G$5,G$6,C$12,C$7,C$9,C$8,FALSE)/1000</f>
        <v>1329.9047870509</v>
      </c>
      <c r="E266" s="1" cm="1">
        <f t="array" ref="E266">estimatedTripEnergy(C266,G$5,G$6,C$12,C$7,C$9,C$8)/1000</f>
        <v>1477.8647870509001</v>
      </c>
      <c r="F266" s="59" cm="1">
        <f t="array" ref="F266">estimatedTripDuration(C266,$C$8,$C$7)/60</f>
        <v>10.113819343432676</v>
      </c>
      <c r="G266">
        <f t="shared" ref="G266:G329" si="46">B266</f>
        <v>251</v>
      </c>
      <c r="H266" s="50">
        <f t="shared" si="40"/>
        <v>41.833333333333336</v>
      </c>
      <c r="I266" s="7" cm="1">
        <f t="array" ref="I266">CurrentCapacity(K$10,K$6,K$7,H266)</f>
        <v>35706.145499999999</v>
      </c>
      <c r="J266" s="48">
        <f t="shared" si="41"/>
        <v>4.1389647814292926E-2</v>
      </c>
      <c r="K266" s="5" cm="1">
        <f t="array" ref="K266">UseableCapacity(I266,$K$8,$K$9)</f>
        <v>26779.609124999999</v>
      </c>
      <c r="L266" s="59">
        <f t="shared" si="42"/>
        <v>34228.280712949098</v>
      </c>
      <c r="M266" s="7">
        <f t="shared" si="43"/>
        <v>25301.744337949098</v>
      </c>
      <c r="N266" s="7">
        <f t="shared" si="44"/>
        <v>2543.8545000000013</v>
      </c>
      <c r="O266" t="str">
        <f t="shared" ref="O266:O329" si="47">IF(M266&lt;0,"yes","no")</f>
        <v>no</v>
      </c>
      <c r="P266" t="str">
        <f t="shared" ref="P266:P329" si="48">IF(L266&lt;0,"yes","no")</f>
        <v>no</v>
      </c>
    </row>
    <row r="267" spans="2:16" x14ac:dyDescent="0.35">
      <c r="B267">
        <f t="shared" si="45"/>
        <v>252</v>
      </c>
      <c r="C267" s="7">
        <f t="shared" si="39"/>
        <v>252</v>
      </c>
      <c r="D267" s="1" cm="1">
        <f t="array" ref="D267">estimatedTripEnergy(C267,G$5,G$6,C$12,C$7,C$9,C$8,FALSE)/1000</f>
        <v>1330.8314662115001</v>
      </c>
      <c r="E267" s="1" cm="1">
        <f t="array" ref="E267">estimatedTripEnergy(C267,G$5,G$6,C$12,C$7,C$9,C$8)/1000</f>
        <v>1478.7914662115002</v>
      </c>
      <c r="F267" s="59" cm="1">
        <f t="array" ref="F267">estimatedTripDuration(C267,$C$8,$C$7)/60</f>
        <v>10.147152676766009</v>
      </c>
      <c r="G267">
        <f t="shared" si="46"/>
        <v>252</v>
      </c>
      <c r="H267" s="50">
        <f t="shared" si="40"/>
        <v>42</v>
      </c>
      <c r="I267" s="7" cm="1">
        <f t="array" ref="I267">CurrentCapacity(K$10,K$6,K$7,H267)</f>
        <v>35705.916000000005</v>
      </c>
      <c r="J267" s="48">
        <f t="shared" si="41"/>
        <v>4.1415866945172332E-2</v>
      </c>
      <c r="K267" s="5" cm="1">
        <f t="array" ref="K267">UseableCapacity(I267,$K$8,$K$9)</f>
        <v>26779.437000000005</v>
      </c>
      <c r="L267" s="59">
        <f t="shared" si="42"/>
        <v>34227.124533788505</v>
      </c>
      <c r="M267" s="7">
        <f t="shared" si="43"/>
        <v>25300.645533788505</v>
      </c>
      <c r="N267" s="7">
        <f t="shared" si="44"/>
        <v>2544.0839999999953</v>
      </c>
      <c r="O267" t="str">
        <f t="shared" si="47"/>
        <v>no</v>
      </c>
      <c r="P267" t="str">
        <f t="shared" si="48"/>
        <v>no</v>
      </c>
    </row>
    <row r="268" spans="2:16" x14ac:dyDescent="0.35">
      <c r="B268">
        <f t="shared" si="45"/>
        <v>253</v>
      </c>
      <c r="C268" s="7">
        <f t="shared" si="39"/>
        <v>253</v>
      </c>
      <c r="D268" s="1" cm="1">
        <f t="array" ref="D268">estimatedTripEnergy(C268,G$5,G$6,C$12,C$7,C$9,C$8,FALSE)/1000</f>
        <v>1331.7581453721</v>
      </c>
      <c r="E268" s="1" cm="1">
        <f t="array" ref="E268">estimatedTripEnergy(C268,G$5,G$6,C$12,C$7,C$9,C$8)/1000</f>
        <v>1479.7181453721</v>
      </c>
      <c r="F268" s="59" cm="1">
        <f t="array" ref="F268">estimatedTripDuration(C268,$C$8,$C$7)/60</f>
        <v>10.180486010099342</v>
      </c>
      <c r="G268">
        <f t="shared" si="46"/>
        <v>253</v>
      </c>
      <c r="H268" s="50">
        <f t="shared" si="40"/>
        <v>42.166666666666664</v>
      </c>
      <c r="I268" s="7" cm="1">
        <f t="array" ref="I268">CurrentCapacity(K$10,K$6,K$7,H268)</f>
        <v>35705.686500000003</v>
      </c>
      <c r="J268" s="48">
        <f t="shared" si="41"/>
        <v>4.1442086413101167E-2</v>
      </c>
      <c r="K268" s="5" cm="1">
        <f t="array" ref="K268">UseableCapacity(I268,$K$8,$K$9)</f>
        <v>26779.264875000001</v>
      </c>
      <c r="L268" s="59">
        <f t="shared" si="42"/>
        <v>34225.968354627905</v>
      </c>
      <c r="M268" s="7">
        <f t="shared" si="43"/>
        <v>25299.546729627902</v>
      </c>
      <c r="N268" s="7">
        <f t="shared" si="44"/>
        <v>2544.3134999999966</v>
      </c>
      <c r="O268" t="str">
        <f t="shared" si="47"/>
        <v>no</v>
      </c>
      <c r="P268" t="str">
        <f t="shared" si="48"/>
        <v>no</v>
      </c>
    </row>
    <row r="269" spans="2:16" x14ac:dyDescent="0.35">
      <c r="B269">
        <f t="shared" si="45"/>
        <v>254</v>
      </c>
      <c r="C269" s="7">
        <f t="shared" si="39"/>
        <v>254</v>
      </c>
      <c r="D269" s="1" cm="1">
        <f t="array" ref="D269">estimatedTripEnergy(C269,G$5,G$6,C$12,C$7,C$9,C$8,FALSE)/1000</f>
        <v>1332.6848245327001</v>
      </c>
      <c r="E269" s="1" cm="1">
        <f t="array" ref="E269">estimatedTripEnergy(C269,G$5,G$6,C$12,C$7,C$9,C$8)/1000</f>
        <v>1480.6448245327001</v>
      </c>
      <c r="F269" s="59" cm="1">
        <f t="array" ref="F269">estimatedTripDuration(C269,$C$8,$C$7)/60</f>
        <v>10.213819343432675</v>
      </c>
      <c r="G269">
        <f t="shared" si="46"/>
        <v>254</v>
      </c>
      <c r="H269" s="50">
        <f t="shared" si="40"/>
        <v>42.333333333333336</v>
      </c>
      <c r="I269" s="7" cm="1">
        <f t="array" ref="I269">CurrentCapacity(K$10,K$6,K$7,H269)</f>
        <v>35705.457000000002</v>
      </c>
      <c r="J269" s="48">
        <f t="shared" si="41"/>
        <v>4.1468306218085935E-2</v>
      </c>
      <c r="K269" s="5" cm="1">
        <f t="array" ref="K269">UseableCapacity(I269,$K$8,$K$9)</f>
        <v>26779.092750000003</v>
      </c>
      <c r="L269" s="59">
        <f t="shared" si="42"/>
        <v>34224.812175467305</v>
      </c>
      <c r="M269" s="7">
        <f t="shared" si="43"/>
        <v>25298.447925467302</v>
      </c>
      <c r="N269" s="7">
        <f t="shared" si="44"/>
        <v>2544.5429999999978</v>
      </c>
      <c r="O269" t="str">
        <f t="shared" si="47"/>
        <v>no</v>
      </c>
      <c r="P269" t="str">
        <f t="shared" si="48"/>
        <v>no</v>
      </c>
    </row>
    <row r="270" spans="2:16" x14ac:dyDescent="0.35">
      <c r="B270">
        <f t="shared" si="45"/>
        <v>255</v>
      </c>
      <c r="C270" s="7">
        <f t="shared" si="39"/>
        <v>255</v>
      </c>
      <c r="D270" s="1" cm="1">
        <f t="array" ref="D270">estimatedTripEnergy(C270,G$5,G$6,C$12,C$7,C$9,C$8,FALSE)/1000</f>
        <v>1333.6115036933002</v>
      </c>
      <c r="E270" s="1" cm="1">
        <f t="array" ref="E270">estimatedTripEnergy(C270,G$5,G$6,C$12,C$7,C$9,C$8)/1000</f>
        <v>1481.5715036933</v>
      </c>
      <c r="F270" s="59" cm="1">
        <f t="array" ref="F270">estimatedTripDuration(C270,$C$8,$C$7)/60</f>
        <v>10.247152676766008</v>
      </c>
      <c r="G270">
        <f t="shared" si="46"/>
        <v>255</v>
      </c>
      <c r="H270" s="50">
        <f t="shared" si="40"/>
        <v>42.5</v>
      </c>
      <c r="I270" s="7" cm="1">
        <f t="array" ref="I270">CurrentCapacity(K$10,K$6,K$7,H270)</f>
        <v>35705.227500000001</v>
      </c>
      <c r="J270" s="48">
        <f t="shared" si="41"/>
        <v>4.1494526360133122E-2</v>
      </c>
      <c r="K270" s="5" cm="1">
        <f t="array" ref="K270">UseableCapacity(I270,$K$8,$K$9)</f>
        <v>26778.920624999999</v>
      </c>
      <c r="L270" s="59">
        <f t="shared" si="42"/>
        <v>34223.655996306697</v>
      </c>
      <c r="M270" s="7">
        <f t="shared" si="43"/>
        <v>25297.349121306699</v>
      </c>
      <c r="N270" s="7">
        <f t="shared" si="44"/>
        <v>2544.7724999999991</v>
      </c>
      <c r="O270" t="str">
        <f t="shared" si="47"/>
        <v>no</v>
      </c>
      <c r="P270" t="str">
        <f t="shared" si="48"/>
        <v>no</v>
      </c>
    </row>
    <row r="271" spans="2:16" x14ac:dyDescent="0.35">
      <c r="B271">
        <f t="shared" si="45"/>
        <v>256</v>
      </c>
      <c r="C271" s="7">
        <f t="shared" si="39"/>
        <v>256</v>
      </c>
      <c r="D271" s="1" cm="1">
        <f t="array" ref="D271">estimatedTripEnergy(C271,G$5,G$6,C$12,C$7,C$9,C$8,FALSE)/1000</f>
        <v>1334.5381828538998</v>
      </c>
      <c r="E271" s="1" cm="1">
        <f t="array" ref="E271">estimatedTripEnergy(C271,G$5,G$6,C$12,C$7,C$9,C$8)/1000</f>
        <v>1482.4981828538998</v>
      </c>
      <c r="F271" s="59" cm="1">
        <f t="array" ref="F271">estimatedTripDuration(C271,$C$8,$C$7)/60</f>
        <v>10.280486010099342</v>
      </c>
      <c r="G271">
        <f t="shared" si="46"/>
        <v>256</v>
      </c>
      <c r="H271" s="50">
        <f t="shared" si="40"/>
        <v>42.666666666666664</v>
      </c>
      <c r="I271" s="7" cm="1">
        <f t="array" ref="I271">CurrentCapacity(K$10,K$6,K$7,H271)</f>
        <v>35704.998</v>
      </c>
      <c r="J271" s="48">
        <f t="shared" si="41"/>
        <v>4.1520746839249223E-2</v>
      </c>
      <c r="K271" s="5" cm="1">
        <f t="array" ref="K271">UseableCapacity(I271,$K$8,$K$9)</f>
        <v>26778.748500000002</v>
      </c>
      <c r="L271" s="59">
        <f t="shared" si="42"/>
        <v>34222.499817146097</v>
      </c>
      <c r="M271" s="7">
        <f t="shared" si="43"/>
        <v>25296.250317146103</v>
      </c>
      <c r="N271" s="7">
        <f t="shared" si="44"/>
        <v>2545.0020000000004</v>
      </c>
      <c r="O271" t="str">
        <f t="shared" si="47"/>
        <v>no</v>
      </c>
      <c r="P271" t="str">
        <f t="shared" si="48"/>
        <v>no</v>
      </c>
    </row>
    <row r="272" spans="2:16" x14ac:dyDescent="0.35">
      <c r="B272">
        <f t="shared" si="45"/>
        <v>257</v>
      </c>
      <c r="C272" s="7">
        <f t="shared" ref="C272:C335" si="49">$C$8*B272</f>
        <v>257</v>
      </c>
      <c r="D272" s="1" cm="1">
        <f t="array" ref="D272">estimatedTripEnergy(C272,G$5,G$6,C$12,C$7,C$9,C$8,FALSE)/1000</f>
        <v>1335.4648620144999</v>
      </c>
      <c r="E272" s="1" cm="1">
        <f t="array" ref="E272">estimatedTripEnergy(C272,G$5,G$6,C$12,C$7,C$9,C$8)/1000</f>
        <v>1483.4248620144999</v>
      </c>
      <c r="F272" s="59" cm="1">
        <f t="array" ref="F272">estimatedTripDuration(C272,$C$8,$C$7)/60</f>
        <v>10.313819343432675</v>
      </c>
      <c r="G272">
        <f t="shared" si="46"/>
        <v>257</v>
      </c>
      <c r="H272" s="50">
        <f t="shared" ref="H272:H335" si="50">G272/$G$4</f>
        <v>42.833333333333336</v>
      </c>
      <c r="I272" s="7" cm="1">
        <f t="array" ref="I272">CurrentCapacity(K$10,K$6,K$7,H272)</f>
        <v>35704.768499999998</v>
      </c>
      <c r="J272" s="48">
        <f t="shared" ref="J272:J335" si="51">E272/I272</f>
        <v>4.1546967655440754E-2</v>
      </c>
      <c r="K272" s="5" cm="1">
        <f t="array" ref="K272">UseableCapacity(I272,$K$8,$K$9)</f>
        <v>26778.576374999997</v>
      </c>
      <c r="L272" s="59">
        <f t="shared" ref="L272:L335" si="52">(K$8*I272)-E272</f>
        <v>34221.343637985497</v>
      </c>
      <c r="M272" s="7">
        <f t="shared" ref="M272:M335" si="53">K272-E272</f>
        <v>25295.151512985496</v>
      </c>
      <c r="N272" s="7">
        <f t="shared" ref="N272:N335" si="54">$K$10-I272</f>
        <v>2545.2315000000017</v>
      </c>
      <c r="O272" t="str">
        <f t="shared" si="47"/>
        <v>no</v>
      </c>
      <c r="P272" t="str">
        <f t="shared" si="48"/>
        <v>no</v>
      </c>
    </row>
    <row r="273" spans="2:16" x14ac:dyDescent="0.35">
      <c r="B273">
        <f t="shared" ref="B273:B336" si="55">B272+$G$12</f>
        <v>258</v>
      </c>
      <c r="C273" s="7">
        <f t="shared" si="49"/>
        <v>258</v>
      </c>
      <c r="D273" s="1" cm="1">
        <f t="array" ref="D273">estimatedTripEnergy(C273,G$5,G$6,C$12,C$7,C$9,C$8,FALSE)/1000</f>
        <v>1336.3915411751</v>
      </c>
      <c r="E273" s="1" cm="1">
        <f t="array" ref="E273">estimatedTripEnergy(C273,G$5,G$6,C$12,C$7,C$9,C$8)/1000</f>
        <v>1484.3515411751</v>
      </c>
      <c r="F273" s="59" cm="1">
        <f t="array" ref="F273">estimatedTripDuration(C273,$C$8,$C$7)/60</f>
        <v>10.347152676766008</v>
      </c>
      <c r="G273">
        <f t="shared" si="46"/>
        <v>258</v>
      </c>
      <c r="H273" s="50">
        <f t="shared" si="50"/>
        <v>43</v>
      </c>
      <c r="I273" s="7" cm="1">
        <f t="array" ref="I273">CurrentCapacity(K$10,K$6,K$7,H273)</f>
        <v>35704.539000000004</v>
      </c>
      <c r="J273" s="48">
        <f t="shared" si="51"/>
        <v>4.1573188808714204E-2</v>
      </c>
      <c r="K273" s="5" cm="1">
        <f t="array" ref="K273">UseableCapacity(I273,$K$8,$K$9)</f>
        <v>26778.404250000003</v>
      </c>
      <c r="L273" s="59">
        <f t="shared" si="52"/>
        <v>34220.187458824905</v>
      </c>
      <c r="M273" s="7">
        <f t="shared" si="53"/>
        <v>25294.052708824904</v>
      </c>
      <c r="N273" s="7">
        <f t="shared" si="54"/>
        <v>2545.4609999999957</v>
      </c>
      <c r="O273" t="str">
        <f t="shared" si="47"/>
        <v>no</v>
      </c>
      <c r="P273" t="str">
        <f t="shared" si="48"/>
        <v>no</v>
      </c>
    </row>
    <row r="274" spans="2:16" x14ac:dyDescent="0.35">
      <c r="B274">
        <f t="shared" si="55"/>
        <v>259</v>
      </c>
      <c r="C274" s="7">
        <f t="shared" si="49"/>
        <v>259</v>
      </c>
      <c r="D274" s="1" cm="1">
        <f t="array" ref="D274">estimatedTripEnergy(C274,G$5,G$6,C$12,C$7,C$9,C$8,FALSE)/1000</f>
        <v>1337.3182203357001</v>
      </c>
      <c r="E274" s="1" cm="1">
        <f t="array" ref="E274">estimatedTripEnergy(C274,G$5,G$6,C$12,C$7,C$9,C$8)/1000</f>
        <v>1485.2782203357001</v>
      </c>
      <c r="F274" s="59" cm="1">
        <f t="array" ref="F274">estimatedTripDuration(C274,$C$8,$C$7)/60</f>
        <v>10.380486010099341</v>
      </c>
      <c r="G274">
        <f t="shared" si="46"/>
        <v>259</v>
      </c>
      <c r="H274" s="50">
        <f t="shared" si="50"/>
        <v>43.166666666666664</v>
      </c>
      <c r="I274" s="7" cm="1">
        <f t="array" ref="I274">CurrentCapacity(K$10,K$6,K$7,H274)</f>
        <v>35704.309500000003</v>
      </c>
      <c r="J274" s="48">
        <f t="shared" si="51"/>
        <v>4.159941029907608E-2</v>
      </c>
      <c r="K274" s="5" cm="1">
        <f t="array" ref="K274">UseableCapacity(I274,$K$8,$K$9)</f>
        <v>26778.232125000002</v>
      </c>
      <c r="L274" s="59">
        <f t="shared" si="52"/>
        <v>34219.031279664305</v>
      </c>
      <c r="M274" s="7">
        <f t="shared" si="53"/>
        <v>25292.953904664304</v>
      </c>
      <c r="N274" s="7">
        <f t="shared" si="54"/>
        <v>2545.690499999997</v>
      </c>
      <c r="O274" t="str">
        <f t="shared" si="47"/>
        <v>no</v>
      </c>
      <c r="P274" t="str">
        <f t="shared" si="48"/>
        <v>no</v>
      </c>
    </row>
    <row r="275" spans="2:16" x14ac:dyDescent="0.35">
      <c r="B275">
        <f t="shared" si="55"/>
        <v>260</v>
      </c>
      <c r="C275" s="7">
        <f t="shared" si="49"/>
        <v>260</v>
      </c>
      <c r="D275" s="1" cm="1">
        <f t="array" ref="D275">estimatedTripEnergy(C275,G$5,G$6,C$12,C$7,C$9,C$8,FALSE)/1000</f>
        <v>1338.2448994963001</v>
      </c>
      <c r="E275" s="1" cm="1">
        <f t="array" ref="E275">estimatedTripEnergy(C275,G$5,G$6,C$12,C$7,C$9,C$8)/1000</f>
        <v>1486.2048994963002</v>
      </c>
      <c r="F275" s="59" cm="1">
        <f t="array" ref="F275">estimatedTripDuration(C275,$C$8,$C$7)/60</f>
        <v>10.413819343432674</v>
      </c>
      <c r="G275">
        <f t="shared" si="46"/>
        <v>260</v>
      </c>
      <c r="H275" s="50">
        <f t="shared" si="50"/>
        <v>43.333333333333336</v>
      </c>
      <c r="I275" s="7" cm="1">
        <f t="array" ref="I275">CurrentCapacity(K$10,K$6,K$7,H275)</f>
        <v>35704.080000000002</v>
      </c>
      <c r="J275" s="48">
        <f t="shared" si="51"/>
        <v>4.1625632126532884E-2</v>
      </c>
      <c r="K275" s="5" cm="1">
        <f t="array" ref="K275">UseableCapacity(I275,$K$8,$K$9)</f>
        <v>26778.06</v>
      </c>
      <c r="L275" s="59">
        <f t="shared" si="52"/>
        <v>34217.875100503705</v>
      </c>
      <c r="M275" s="7">
        <f t="shared" si="53"/>
        <v>25291.855100503701</v>
      </c>
      <c r="N275" s="7">
        <f t="shared" si="54"/>
        <v>2545.9199999999983</v>
      </c>
      <c r="O275" t="str">
        <f t="shared" si="47"/>
        <v>no</v>
      </c>
      <c r="P275" t="str">
        <f t="shared" si="48"/>
        <v>no</v>
      </c>
    </row>
    <row r="276" spans="2:16" x14ac:dyDescent="0.35">
      <c r="B276">
        <f t="shared" si="55"/>
        <v>261</v>
      </c>
      <c r="C276" s="7">
        <f t="shared" si="49"/>
        <v>261</v>
      </c>
      <c r="D276" s="1" cm="1">
        <f t="array" ref="D276">estimatedTripEnergy(C276,G$5,G$6,C$12,C$7,C$9,C$8,FALSE)/1000</f>
        <v>1339.1715786569</v>
      </c>
      <c r="E276" s="1" cm="1">
        <f t="array" ref="E276">estimatedTripEnergy(C276,G$5,G$6,C$12,C$7,C$9,C$8)/1000</f>
        <v>1487.1315786569</v>
      </c>
      <c r="F276" s="59" cm="1">
        <f t="array" ref="F276">estimatedTripDuration(C276,$C$8,$C$7)/60</f>
        <v>10.447152676766008</v>
      </c>
      <c r="G276">
        <f t="shared" si="46"/>
        <v>261</v>
      </c>
      <c r="H276" s="50">
        <f t="shared" si="50"/>
        <v>43.5</v>
      </c>
      <c r="I276" s="7" cm="1">
        <f t="array" ref="I276">CurrentCapacity(K$10,K$6,K$7,H276)</f>
        <v>35703.8505</v>
      </c>
      <c r="J276" s="48">
        <f t="shared" si="51"/>
        <v>4.1651854291091098E-2</v>
      </c>
      <c r="K276" s="5" cm="1">
        <f t="array" ref="K276">UseableCapacity(I276,$K$8,$K$9)</f>
        <v>26777.887875</v>
      </c>
      <c r="L276" s="59">
        <f t="shared" si="52"/>
        <v>34216.718921343097</v>
      </c>
      <c r="M276" s="7">
        <f t="shared" si="53"/>
        <v>25290.756296343101</v>
      </c>
      <c r="N276" s="7">
        <f t="shared" si="54"/>
        <v>2546.1494999999995</v>
      </c>
      <c r="O276" t="str">
        <f t="shared" si="47"/>
        <v>no</v>
      </c>
      <c r="P276" t="str">
        <f t="shared" si="48"/>
        <v>no</v>
      </c>
    </row>
    <row r="277" spans="2:16" x14ac:dyDescent="0.35">
      <c r="B277">
        <f t="shared" si="55"/>
        <v>262</v>
      </c>
      <c r="C277" s="7">
        <f t="shared" si="49"/>
        <v>262</v>
      </c>
      <c r="D277" s="1" cm="1">
        <f t="array" ref="D277">estimatedTripEnergy(C277,G$5,G$6,C$12,C$7,C$9,C$8,FALSE)/1000</f>
        <v>1340.0982578175001</v>
      </c>
      <c r="E277" s="1" cm="1">
        <f t="array" ref="E277">estimatedTripEnergy(C277,G$5,G$6,C$12,C$7,C$9,C$8)/1000</f>
        <v>1488.0582578175001</v>
      </c>
      <c r="F277" s="59" cm="1">
        <f t="array" ref="F277">estimatedTripDuration(C277,$C$8,$C$7)/60</f>
        <v>10.480486010099343</v>
      </c>
      <c r="G277">
        <f t="shared" si="46"/>
        <v>262</v>
      </c>
      <c r="H277" s="50">
        <f t="shared" si="50"/>
        <v>43.666666666666664</v>
      </c>
      <c r="I277" s="7" cm="1">
        <f t="array" ref="I277">CurrentCapacity(K$10,K$6,K$7,H277)</f>
        <v>35703.620999999999</v>
      </c>
      <c r="J277" s="48">
        <f t="shared" si="51"/>
        <v>4.1678076792757243E-2</v>
      </c>
      <c r="K277" s="5" cm="1">
        <f t="array" ref="K277">UseableCapacity(I277,$K$8,$K$9)</f>
        <v>26777.715749999999</v>
      </c>
      <c r="L277" s="59">
        <f t="shared" si="52"/>
        <v>34215.562742182497</v>
      </c>
      <c r="M277" s="7">
        <f t="shared" si="53"/>
        <v>25289.657492182498</v>
      </c>
      <c r="N277" s="7">
        <f t="shared" si="54"/>
        <v>2546.3790000000008</v>
      </c>
      <c r="O277" t="str">
        <f t="shared" si="47"/>
        <v>no</v>
      </c>
      <c r="P277" t="str">
        <f t="shared" si="48"/>
        <v>no</v>
      </c>
    </row>
    <row r="278" spans="2:16" x14ac:dyDescent="0.35">
      <c r="B278">
        <f t="shared" si="55"/>
        <v>263</v>
      </c>
      <c r="C278" s="7">
        <f t="shared" si="49"/>
        <v>263</v>
      </c>
      <c r="D278" s="1" cm="1">
        <f t="array" ref="D278">estimatedTripEnergy(C278,G$5,G$6,C$12,C$7,C$9,C$8,FALSE)/1000</f>
        <v>1341.0249369781</v>
      </c>
      <c r="E278" s="1" cm="1">
        <f t="array" ref="E278">estimatedTripEnergy(C278,G$5,G$6,C$12,C$7,C$9,C$8)/1000</f>
        <v>1488.9849369780998</v>
      </c>
      <c r="F278" s="59" cm="1">
        <f t="array" ref="F278">estimatedTripDuration(C278,$C$8,$C$7)/60</f>
        <v>10.513819343432676</v>
      </c>
      <c r="G278">
        <f t="shared" si="46"/>
        <v>263</v>
      </c>
      <c r="H278" s="50">
        <f t="shared" si="50"/>
        <v>43.833333333333336</v>
      </c>
      <c r="I278" s="7" cm="1">
        <f t="array" ref="I278">CurrentCapacity(K$10,K$6,K$7,H278)</f>
        <v>35703.391500000005</v>
      </c>
      <c r="J278" s="48">
        <f t="shared" si="51"/>
        <v>4.1704299631537795E-2</v>
      </c>
      <c r="K278" s="5" cm="1">
        <f t="array" ref="K278">UseableCapacity(I278,$K$8,$K$9)</f>
        <v>26777.543625000006</v>
      </c>
      <c r="L278" s="59">
        <f t="shared" si="52"/>
        <v>34214.406563021905</v>
      </c>
      <c r="M278" s="7">
        <f t="shared" si="53"/>
        <v>25288.558688021905</v>
      </c>
      <c r="N278" s="7">
        <f t="shared" si="54"/>
        <v>2546.6084999999948</v>
      </c>
      <c r="O278" t="str">
        <f t="shared" si="47"/>
        <v>no</v>
      </c>
      <c r="P278" t="str">
        <f t="shared" si="48"/>
        <v>no</v>
      </c>
    </row>
    <row r="279" spans="2:16" x14ac:dyDescent="0.35">
      <c r="B279">
        <f t="shared" si="55"/>
        <v>264</v>
      </c>
      <c r="C279" s="7">
        <f t="shared" si="49"/>
        <v>264</v>
      </c>
      <c r="D279" s="1" cm="1">
        <f t="array" ref="D279">estimatedTripEnergy(C279,G$5,G$6,C$12,C$7,C$9,C$8,FALSE)/1000</f>
        <v>1341.9516161386998</v>
      </c>
      <c r="E279" s="1" cm="1">
        <f t="array" ref="E279">estimatedTripEnergy(C279,G$5,G$6,C$12,C$7,C$9,C$8)/1000</f>
        <v>1489.9116161386999</v>
      </c>
      <c r="F279" s="59" cm="1">
        <f t="array" ref="F279">estimatedTripDuration(C279,$C$8,$C$7)/60</f>
        <v>10.547152676766009</v>
      </c>
      <c r="G279">
        <f t="shared" si="46"/>
        <v>264</v>
      </c>
      <c r="H279" s="50">
        <f t="shared" si="50"/>
        <v>44</v>
      </c>
      <c r="I279" s="7" cm="1">
        <f t="array" ref="I279">CurrentCapacity(K$10,K$6,K$7,H279)</f>
        <v>35703.162000000004</v>
      </c>
      <c r="J279" s="48">
        <f t="shared" si="51"/>
        <v>4.1730522807439288E-2</v>
      </c>
      <c r="K279" s="5" cm="1">
        <f t="array" ref="K279">UseableCapacity(I279,$K$8,$K$9)</f>
        <v>26777.371500000001</v>
      </c>
      <c r="L279" s="59">
        <f t="shared" si="52"/>
        <v>34213.250383861305</v>
      </c>
      <c r="M279" s="7">
        <f t="shared" si="53"/>
        <v>25287.459883861302</v>
      </c>
      <c r="N279" s="7">
        <f t="shared" si="54"/>
        <v>2546.8379999999961</v>
      </c>
      <c r="O279" t="str">
        <f t="shared" si="47"/>
        <v>no</v>
      </c>
      <c r="P279" t="str">
        <f t="shared" si="48"/>
        <v>no</v>
      </c>
    </row>
    <row r="280" spans="2:16" x14ac:dyDescent="0.35">
      <c r="B280">
        <f t="shared" si="55"/>
        <v>265</v>
      </c>
      <c r="C280" s="7">
        <f t="shared" si="49"/>
        <v>265</v>
      </c>
      <c r="D280" s="1" cm="1">
        <f t="array" ref="D280">estimatedTripEnergy(C280,G$5,G$6,C$12,C$7,C$9,C$8,FALSE)/1000</f>
        <v>1342.8782952992999</v>
      </c>
      <c r="E280" s="1" cm="1">
        <f t="array" ref="E280">estimatedTripEnergy(C280,G$5,G$6,C$12,C$7,C$9,C$8)/1000</f>
        <v>1490.8382952992999</v>
      </c>
      <c r="F280" s="59" cm="1">
        <f t="array" ref="F280">estimatedTripDuration(C280,$C$8,$C$7)/60</f>
        <v>10.580486010099342</v>
      </c>
      <c r="G280">
        <f t="shared" si="46"/>
        <v>265</v>
      </c>
      <c r="H280" s="50">
        <f t="shared" si="50"/>
        <v>44.166666666666664</v>
      </c>
      <c r="I280" s="7" cm="1">
        <f t="array" ref="I280">CurrentCapacity(K$10,K$6,K$7,H280)</f>
        <v>35702.932500000003</v>
      </c>
      <c r="J280" s="48">
        <f t="shared" si="51"/>
        <v>4.1756746320468212E-2</v>
      </c>
      <c r="K280" s="5" cm="1">
        <f t="array" ref="K280">UseableCapacity(I280,$K$8,$K$9)</f>
        <v>26777.199375000004</v>
      </c>
      <c r="L280" s="59">
        <f t="shared" si="52"/>
        <v>34212.094204700705</v>
      </c>
      <c r="M280" s="7">
        <f t="shared" si="53"/>
        <v>25286.361079700702</v>
      </c>
      <c r="N280" s="7">
        <f t="shared" si="54"/>
        <v>2547.0674999999974</v>
      </c>
      <c r="O280" t="str">
        <f t="shared" si="47"/>
        <v>no</v>
      </c>
      <c r="P280" t="str">
        <f t="shared" si="48"/>
        <v>no</v>
      </c>
    </row>
    <row r="281" spans="2:16" x14ac:dyDescent="0.35">
      <c r="B281">
        <f t="shared" si="55"/>
        <v>266</v>
      </c>
      <c r="C281" s="7">
        <f t="shared" si="49"/>
        <v>266</v>
      </c>
      <c r="D281" s="1" cm="1">
        <f t="array" ref="D281">estimatedTripEnergy(C281,G$5,G$6,C$12,C$7,C$9,C$8,FALSE)/1000</f>
        <v>1343.8049744599</v>
      </c>
      <c r="E281" s="1" cm="1">
        <f t="array" ref="E281">estimatedTripEnergy(C281,G$5,G$6,C$12,C$7,C$9,C$8)/1000</f>
        <v>1491.7649744599</v>
      </c>
      <c r="F281" s="59" cm="1">
        <f t="array" ref="F281">estimatedTripDuration(C281,$C$8,$C$7)/60</f>
        <v>10.613819343432676</v>
      </c>
      <c r="G281">
        <f t="shared" si="46"/>
        <v>266</v>
      </c>
      <c r="H281" s="50">
        <f t="shared" si="50"/>
        <v>44.333333333333336</v>
      </c>
      <c r="I281" s="7" cm="1">
        <f t="array" ref="I281">CurrentCapacity(K$10,K$6,K$7,H281)</f>
        <v>35702.703000000001</v>
      </c>
      <c r="J281" s="48">
        <f t="shared" si="51"/>
        <v>4.1782970170631061E-2</v>
      </c>
      <c r="K281" s="5" cm="1">
        <f t="array" ref="K281">UseableCapacity(I281,$K$8,$K$9)</f>
        <v>26777.027249999999</v>
      </c>
      <c r="L281" s="59">
        <f t="shared" si="52"/>
        <v>34210.938025540105</v>
      </c>
      <c r="M281" s="7">
        <f t="shared" si="53"/>
        <v>25285.262275540099</v>
      </c>
      <c r="N281" s="7">
        <f t="shared" si="54"/>
        <v>2547.2969999999987</v>
      </c>
      <c r="O281" t="str">
        <f t="shared" si="47"/>
        <v>no</v>
      </c>
      <c r="P281" t="str">
        <f t="shared" si="48"/>
        <v>no</v>
      </c>
    </row>
    <row r="282" spans="2:16" x14ac:dyDescent="0.35">
      <c r="B282">
        <f t="shared" si="55"/>
        <v>267</v>
      </c>
      <c r="C282" s="7">
        <f t="shared" si="49"/>
        <v>267</v>
      </c>
      <c r="D282" s="1" cm="1">
        <f t="array" ref="D282">estimatedTripEnergy(C282,G$5,G$6,C$12,C$7,C$9,C$8,FALSE)/1000</f>
        <v>1344.7316536205001</v>
      </c>
      <c r="E282" s="1" cm="1">
        <f t="array" ref="E282">estimatedTripEnergy(C282,G$5,G$6,C$12,C$7,C$9,C$8)/1000</f>
        <v>1492.6916536205001</v>
      </c>
      <c r="F282" s="59" cm="1">
        <f t="array" ref="F282">estimatedTripDuration(C282,$C$8,$C$7)/60</f>
        <v>10.647152676766009</v>
      </c>
      <c r="G282">
        <f t="shared" si="46"/>
        <v>267</v>
      </c>
      <c r="H282" s="50">
        <f t="shared" si="50"/>
        <v>44.5</v>
      </c>
      <c r="I282" s="7" cm="1">
        <f t="array" ref="I282">CurrentCapacity(K$10,K$6,K$7,H282)</f>
        <v>35702.4735</v>
      </c>
      <c r="J282" s="48">
        <f t="shared" si="51"/>
        <v>4.1809194357934336E-2</v>
      </c>
      <c r="K282" s="5" cm="1">
        <f t="array" ref="K282">UseableCapacity(I282,$K$8,$K$9)</f>
        <v>26776.855125000002</v>
      </c>
      <c r="L282" s="59">
        <f t="shared" si="52"/>
        <v>34209.781846379497</v>
      </c>
      <c r="M282" s="7">
        <f t="shared" si="53"/>
        <v>25284.163471379503</v>
      </c>
      <c r="N282" s="7">
        <f t="shared" si="54"/>
        <v>2547.5264999999999</v>
      </c>
      <c r="O282" t="str">
        <f t="shared" si="47"/>
        <v>no</v>
      </c>
      <c r="P282" t="str">
        <f t="shared" si="48"/>
        <v>no</v>
      </c>
    </row>
    <row r="283" spans="2:16" x14ac:dyDescent="0.35">
      <c r="B283">
        <f t="shared" si="55"/>
        <v>268</v>
      </c>
      <c r="C283" s="7">
        <f t="shared" si="49"/>
        <v>268</v>
      </c>
      <c r="D283" s="1" cm="1">
        <f t="array" ref="D283">estimatedTripEnergy(C283,G$5,G$6,C$12,C$7,C$9,C$8,FALSE)/1000</f>
        <v>1345.6583327810999</v>
      </c>
      <c r="E283" s="1" cm="1">
        <f t="array" ref="E283">estimatedTripEnergy(C283,G$5,G$6,C$12,C$7,C$9,C$8)/1000</f>
        <v>1493.6183327811</v>
      </c>
      <c r="F283" s="59" cm="1">
        <f t="array" ref="F283">estimatedTripDuration(C283,$C$8,$C$7)/60</f>
        <v>10.680486010099342</v>
      </c>
      <c r="G283">
        <f t="shared" si="46"/>
        <v>268</v>
      </c>
      <c r="H283" s="50">
        <f t="shared" si="50"/>
        <v>44.666666666666664</v>
      </c>
      <c r="I283" s="7" cm="1">
        <f t="array" ref="I283">CurrentCapacity(K$10,K$6,K$7,H283)</f>
        <v>35702.243999999999</v>
      </c>
      <c r="J283" s="48">
        <f t="shared" si="51"/>
        <v>4.183541888238454E-2</v>
      </c>
      <c r="K283" s="5" cm="1">
        <f t="array" ref="K283">UseableCapacity(I283,$K$8,$K$9)</f>
        <v>26776.682999999997</v>
      </c>
      <c r="L283" s="59">
        <f t="shared" si="52"/>
        <v>34208.625667218897</v>
      </c>
      <c r="M283" s="7">
        <f t="shared" si="53"/>
        <v>25283.064667218896</v>
      </c>
      <c r="N283" s="7">
        <f t="shared" si="54"/>
        <v>2547.7560000000012</v>
      </c>
      <c r="O283" t="str">
        <f t="shared" si="47"/>
        <v>no</v>
      </c>
      <c r="P283" t="str">
        <f t="shared" si="48"/>
        <v>no</v>
      </c>
    </row>
    <row r="284" spans="2:16" x14ac:dyDescent="0.35">
      <c r="B284">
        <f t="shared" si="55"/>
        <v>269</v>
      </c>
      <c r="C284" s="7">
        <f t="shared" si="49"/>
        <v>269</v>
      </c>
      <c r="D284" s="1" cm="1">
        <f t="array" ref="D284">estimatedTripEnergy(C284,G$5,G$6,C$12,C$7,C$9,C$8,FALSE)/1000</f>
        <v>1346.5850119417</v>
      </c>
      <c r="E284" s="1" cm="1">
        <f t="array" ref="E284">estimatedTripEnergy(C284,G$5,G$6,C$12,C$7,C$9,C$8)/1000</f>
        <v>1494.5450119417001</v>
      </c>
      <c r="F284" s="59" cm="1">
        <f t="array" ref="F284">estimatedTripDuration(C284,$C$8,$C$7)/60</f>
        <v>10.713819343432675</v>
      </c>
      <c r="G284">
        <f t="shared" si="46"/>
        <v>269</v>
      </c>
      <c r="H284" s="50">
        <f t="shared" si="50"/>
        <v>44.833333333333336</v>
      </c>
      <c r="I284" s="7" cm="1">
        <f t="array" ref="I284">CurrentCapacity(K$10,K$6,K$7,H284)</f>
        <v>35702.014500000005</v>
      </c>
      <c r="J284" s="48">
        <f t="shared" si="51"/>
        <v>4.1861643743988167E-2</v>
      </c>
      <c r="K284" s="5" cm="1">
        <f t="array" ref="K284">UseableCapacity(I284,$K$8,$K$9)</f>
        <v>26776.510875000004</v>
      </c>
      <c r="L284" s="59">
        <f t="shared" si="52"/>
        <v>34207.469488058305</v>
      </c>
      <c r="M284" s="7">
        <f t="shared" si="53"/>
        <v>25281.965863058304</v>
      </c>
      <c r="N284" s="7">
        <f t="shared" si="54"/>
        <v>2547.9854999999952</v>
      </c>
      <c r="O284" t="str">
        <f t="shared" si="47"/>
        <v>no</v>
      </c>
      <c r="P284" t="str">
        <f t="shared" si="48"/>
        <v>no</v>
      </c>
    </row>
    <row r="285" spans="2:16" x14ac:dyDescent="0.35">
      <c r="B285">
        <f t="shared" si="55"/>
        <v>270</v>
      </c>
      <c r="C285" s="7">
        <f t="shared" si="49"/>
        <v>270</v>
      </c>
      <c r="D285" s="1" cm="1">
        <f t="array" ref="D285">estimatedTripEnergy(C285,G$5,G$6,C$12,C$7,C$9,C$8,FALSE)/1000</f>
        <v>1347.5116911023001</v>
      </c>
      <c r="E285" s="1" cm="1">
        <f t="array" ref="E285">estimatedTripEnergy(C285,G$5,G$6,C$12,C$7,C$9,C$8)/1000</f>
        <v>1495.4716911023002</v>
      </c>
      <c r="F285" s="59" cm="1">
        <f t="array" ref="F285">estimatedTripDuration(C285,$C$8,$C$7)/60</f>
        <v>10.747152676766008</v>
      </c>
      <c r="G285">
        <f t="shared" si="46"/>
        <v>270</v>
      </c>
      <c r="H285" s="50">
        <f t="shared" si="50"/>
        <v>45</v>
      </c>
      <c r="I285" s="7" cm="1">
        <f t="array" ref="I285">CurrentCapacity(K$10,K$6,K$7,H285)</f>
        <v>35701.785000000003</v>
      </c>
      <c r="J285" s="48">
        <f t="shared" si="51"/>
        <v>4.1887868942751739E-2</v>
      </c>
      <c r="K285" s="5" cm="1">
        <f t="array" ref="K285">UseableCapacity(I285,$K$8,$K$9)</f>
        <v>26776.338750000003</v>
      </c>
      <c r="L285" s="59">
        <f t="shared" si="52"/>
        <v>34206.313308897705</v>
      </c>
      <c r="M285" s="7">
        <f t="shared" si="53"/>
        <v>25280.867058897704</v>
      </c>
      <c r="N285" s="7">
        <f t="shared" si="54"/>
        <v>2548.2149999999965</v>
      </c>
      <c r="O285" t="str">
        <f t="shared" si="47"/>
        <v>no</v>
      </c>
      <c r="P285" t="str">
        <f t="shared" si="48"/>
        <v>no</v>
      </c>
    </row>
    <row r="286" spans="2:16" x14ac:dyDescent="0.35">
      <c r="B286">
        <f t="shared" si="55"/>
        <v>271</v>
      </c>
      <c r="C286" s="7">
        <f t="shared" si="49"/>
        <v>271</v>
      </c>
      <c r="D286" s="1" cm="1">
        <f t="array" ref="D286">estimatedTripEnergy(C286,G$5,G$6,C$12,C$7,C$9,C$8,FALSE)/1000</f>
        <v>1348.4383702629</v>
      </c>
      <c r="E286" s="1" cm="1">
        <f t="array" ref="E286">estimatedTripEnergy(C286,G$5,G$6,C$12,C$7,C$9,C$8)/1000</f>
        <v>1496.3983702628998</v>
      </c>
      <c r="F286" s="59" cm="1">
        <f t="array" ref="F286">estimatedTripDuration(C286,$C$8,$C$7)/60</f>
        <v>10.780486010099342</v>
      </c>
      <c r="G286">
        <f t="shared" si="46"/>
        <v>271</v>
      </c>
      <c r="H286" s="50">
        <f t="shared" si="50"/>
        <v>45.166666666666664</v>
      </c>
      <c r="I286" s="7" cm="1">
        <f t="array" ref="I286">CurrentCapacity(K$10,K$6,K$7,H286)</f>
        <v>35701.555500000002</v>
      </c>
      <c r="J286" s="48">
        <f t="shared" si="51"/>
        <v>4.1914094478681739E-2</v>
      </c>
      <c r="K286" s="5" cm="1">
        <f t="array" ref="K286">UseableCapacity(I286,$K$8,$K$9)</f>
        <v>26776.166625000002</v>
      </c>
      <c r="L286" s="59">
        <f t="shared" si="52"/>
        <v>34205.157129737105</v>
      </c>
      <c r="M286" s="7">
        <f t="shared" si="53"/>
        <v>25279.768254737101</v>
      </c>
      <c r="N286" s="7">
        <f t="shared" si="54"/>
        <v>2548.4444999999978</v>
      </c>
      <c r="O286" t="str">
        <f t="shared" si="47"/>
        <v>no</v>
      </c>
      <c r="P286" t="str">
        <f t="shared" si="48"/>
        <v>no</v>
      </c>
    </row>
    <row r="287" spans="2:16" x14ac:dyDescent="0.35">
      <c r="B287">
        <f t="shared" si="55"/>
        <v>272</v>
      </c>
      <c r="C287" s="7">
        <f t="shared" si="49"/>
        <v>272</v>
      </c>
      <c r="D287" s="1" cm="1">
        <f t="array" ref="D287">estimatedTripEnergy(C287,G$5,G$6,C$12,C$7,C$9,C$8,FALSE)/1000</f>
        <v>1349.3650494235001</v>
      </c>
      <c r="E287" s="1" cm="1">
        <f t="array" ref="E287">estimatedTripEnergy(C287,G$5,G$6,C$12,C$7,C$9,C$8)/1000</f>
        <v>1497.3250494234999</v>
      </c>
      <c r="F287" s="59" cm="1">
        <f t="array" ref="F287">estimatedTripDuration(C287,$C$8,$C$7)/60</f>
        <v>10.813819343432675</v>
      </c>
      <c r="G287">
        <f t="shared" si="46"/>
        <v>272</v>
      </c>
      <c r="H287" s="50">
        <f t="shared" si="50"/>
        <v>45.333333333333336</v>
      </c>
      <c r="I287" s="7" cm="1">
        <f t="array" ref="I287">CurrentCapacity(K$10,K$6,K$7,H287)</f>
        <v>35701.326000000001</v>
      </c>
      <c r="J287" s="48">
        <f t="shared" si="51"/>
        <v>4.1940320351784688E-2</v>
      </c>
      <c r="K287" s="5" cm="1">
        <f t="array" ref="K287">UseableCapacity(I287,$K$8,$K$9)</f>
        <v>26775.994500000001</v>
      </c>
      <c r="L287" s="59">
        <f t="shared" si="52"/>
        <v>34204.000950576505</v>
      </c>
      <c r="M287" s="7">
        <f t="shared" si="53"/>
        <v>25278.669450576501</v>
      </c>
      <c r="N287" s="7">
        <f t="shared" si="54"/>
        <v>2548.6739999999991</v>
      </c>
      <c r="O287" t="str">
        <f t="shared" si="47"/>
        <v>no</v>
      </c>
      <c r="P287" t="str">
        <f t="shared" si="48"/>
        <v>no</v>
      </c>
    </row>
    <row r="288" spans="2:16" x14ac:dyDescent="0.35">
      <c r="B288">
        <f t="shared" si="55"/>
        <v>273</v>
      </c>
      <c r="C288" s="7">
        <f t="shared" si="49"/>
        <v>273</v>
      </c>
      <c r="D288" s="1" cm="1">
        <f t="array" ref="D288">estimatedTripEnergy(C288,G$5,G$6,C$12,C$7,C$9,C$8,FALSE)/1000</f>
        <v>1350.2917285840999</v>
      </c>
      <c r="E288" s="1" cm="1">
        <f t="array" ref="E288">estimatedTripEnergy(C288,G$5,G$6,C$12,C$7,C$9,C$8)/1000</f>
        <v>1498.2517285841</v>
      </c>
      <c r="F288" s="59" cm="1">
        <f t="array" ref="F288">estimatedTripDuration(C288,$C$8,$C$7)/60</f>
        <v>10.847152676766008</v>
      </c>
      <c r="G288">
        <f t="shared" si="46"/>
        <v>273</v>
      </c>
      <c r="H288" s="50">
        <f t="shared" si="50"/>
        <v>45.5</v>
      </c>
      <c r="I288" s="7" cm="1">
        <f t="array" ref="I288">CurrentCapacity(K$10,K$6,K$7,H288)</f>
        <v>35701.0965</v>
      </c>
      <c r="J288" s="48">
        <f t="shared" si="51"/>
        <v>4.1966546562067081E-2</v>
      </c>
      <c r="K288" s="5" cm="1">
        <f t="array" ref="K288">UseableCapacity(I288,$K$8,$K$9)</f>
        <v>26775.822375</v>
      </c>
      <c r="L288" s="59">
        <f t="shared" si="52"/>
        <v>34202.844771415897</v>
      </c>
      <c r="M288" s="7">
        <f t="shared" si="53"/>
        <v>25277.570646415901</v>
      </c>
      <c r="N288" s="7">
        <f t="shared" si="54"/>
        <v>2548.9035000000003</v>
      </c>
      <c r="O288" t="str">
        <f t="shared" si="47"/>
        <v>no</v>
      </c>
      <c r="P288" t="str">
        <f t="shared" si="48"/>
        <v>no</v>
      </c>
    </row>
    <row r="289" spans="2:16" x14ac:dyDescent="0.35">
      <c r="B289">
        <f t="shared" si="55"/>
        <v>274</v>
      </c>
      <c r="C289" s="7">
        <f t="shared" si="49"/>
        <v>274</v>
      </c>
      <c r="D289" s="1" cm="1">
        <f t="array" ref="D289">estimatedTripEnergy(C289,G$5,G$6,C$12,C$7,C$9,C$8,FALSE)/1000</f>
        <v>1351.2184077447</v>
      </c>
      <c r="E289" s="1" cm="1">
        <f t="array" ref="E289">estimatedTripEnergy(C289,G$5,G$6,C$12,C$7,C$9,C$8)/1000</f>
        <v>1499.1784077447001</v>
      </c>
      <c r="F289" s="59" cm="1">
        <f t="array" ref="F289">estimatedTripDuration(C289,$C$8,$C$7)/60</f>
        <v>10.880486010099341</v>
      </c>
      <c r="G289">
        <f t="shared" si="46"/>
        <v>274</v>
      </c>
      <c r="H289" s="50">
        <f t="shared" si="50"/>
        <v>45.666666666666664</v>
      </c>
      <c r="I289" s="7" cm="1">
        <f t="array" ref="I289">CurrentCapacity(K$10,K$6,K$7,H289)</f>
        <v>35700.867000000006</v>
      </c>
      <c r="J289" s="48">
        <f t="shared" si="51"/>
        <v>4.1992773109535399E-2</v>
      </c>
      <c r="K289" s="5" cm="1">
        <f t="array" ref="K289">UseableCapacity(I289,$K$8,$K$9)</f>
        <v>26775.650250000006</v>
      </c>
      <c r="L289" s="59">
        <f t="shared" si="52"/>
        <v>34201.688592255305</v>
      </c>
      <c r="M289" s="7">
        <f t="shared" si="53"/>
        <v>25276.471842255305</v>
      </c>
      <c r="N289" s="7">
        <f t="shared" si="54"/>
        <v>2549.1329999999944</v>
      </c>
      <c r="O289" t="str">
        <f t="shared" si="47"/>
        <v>no</v>
      </c>
      <c r="P289" t="str">
        <f t="shared" si="48"/>
        <v>no</v>
      </c>
    </row>
    <row r="290" spans="2:16" x14ac:dyDescent="0.35">
      <c r="B290">
        <f t="shared" si="55"/>
        <v>275</v>
      </c>
      <c r="C290" s="7">
        <f t="shared" si="49"/>
        <v>275</v>
      </c>
      <c r="D290" s="1" cm="1">
        <f t="array" ref="D290">estimatedTripEnergy(C290,G$5,G$6,C$12,C$7,C$9,C$8,FALSE)/1000</f>
        <v>1352.1450869053001</v>
      </c>
      <c r="E290" s="1" cm="1">
        <f t="array" ref="E290">estimatedTripEnergy(C290,G$5,G$6,C$12,C$7,C$9,C$8)/1000</f>
        <v>1500.1050869053001</v>
      </c>
      <c r="F290" s="59" cm="1">
        <f t="array" ref="F290">estimatedTripDuration(C290,$C$8,$C$7)/60</f>
        <v>10.913819343432674</v>
      </c>
      <c r="G290">
        <f t="shared" si="46"/>
        <v>275</v>
      </c>
      <c r="H290" s="50">
        <f t="shared" si="50"/>
        <v>45.833333333333336</v>
      </c>
      <c r="I290" s="7" cm="1">
        <f t="array" ref="I290">CurrentCapacity(K$10,K$6,K$7,H290)</f>
        <v>35700.637499999997</v>
      </c>
      <c r="J290" s="48">
        <f t="shared" si="51"/>
        <v>4.2018999994196192E-2</v>
      </c>
      <c r="K290" s="5" cm="1">
        <f t="array" ref="K290">UseableCapacity(I290,$K$8,$K$9)</f>
        <v>26775.478124999998</v>
      </c>
      <c r="L290" s="59">
        <f t="shared" si="52"/>
        <v>34200.532413094697</v>
      </c>
      <c r="M290" s="7">
        <f t="shared" si="53"/>
        <v>25275.373038094698</v>
      </c>
      <c r="N290" s="7">
        <f t="shared" si="54"/>
        <v>2549.3625000000029</v>
      </c>
      <c r="O290" t="str">
        <f t="shared" si="47"/>
        <v>no</v>
      </c>
      <c r="P290" t="str">
        <f t="shared" si="48"/>
        <v>no</v>
      </c>
    </row>
    <row r="291" spans="2:16" x14ac:dyDescent="0.35">
      <c r="B291">
        <f t="shared" si="55"/>
        <v>276</v>
      </c>
      <c r="C291" s="7">
        <f t="shared" si="49"/>
        <v>276</v>
      </c>
      <c r="D291" s="1" cm="1">
        <f t="array" ref="D291">estimatedTripEnergy(C291,G$5,G$6,C$12,C$7,C$9,C$8,FALSE)/1000</f>
        <v>1353.0717660659</v>
      </c>
      <c r="E291" s="1" cm="1">
        <f t="array" ref="E291">estimatedTripEnergy(C291,G$5,G$6,C$12,C$7,C$9,C$8)/1000</f>
        <v>1501.0317660659</v>
      </c>
      <c r="F291" s="59" cm="1">
        <f t="array" ref="F291">estimatedTripDuration(C291,$C$8,$C$7)/60</f>
        <v>10.947152676766008</v>
      </c>
      <c r="G291">
        <f t="shared" si="46"/>
        <v>276</v>
      </c>
      <c r="H291" s="50">
        <f t="shared" si="50"/>
        <v>46</v>
      </c>
      <c r="I291" s="7" cm="1">
        <f t="array" ref="I291">CurrentCapacity(K$10,K$6,K$7,H291)</f>
        <v>35700.408000000003</v>
      </c>
      <c r="J291" s="48">
        <f t="shared" si="51"/>
        <v>4.20452272160559E-2</v>
      </c>
      <c r="K291" s="5" cm="1">
        <f t="array" ref="K291">UseableCapacity(I291,$K$8,$K$9)</f>
        <v>26775.306000000004</v>
      </c>
      <c r="L291" s="59">
        <f t="shared" si="52"/>
        <v>34199.376233934105</v>
      </c>
      <c r="M291" s="7">
        <f t="shared" si="53"/>
        <v>25274.274233934106</v>
      </c>
      <c r="N291" s="7">
        <f t="shared" si="54"/>
        <v>2549.5919999999969</v>
      </c>
      <c r="O291" t="str">
        <f t="shared" si="47"/>
        <v>no</v>
      </c>
      <c r="P291" t="str">
        <f t="shared" si="48"/>
        <v>no</v>
      </c>
    </row>
    <row r="292" spans="2:16" x14ac:dyDescent="0.35">
      <c r="B292">
        <f t="shared" si="55"/>
        <v>277</v>
      </c>
      <c r="C292" s="7">
        <f t="shared" si="49"/>
        <v>277</v>
      </c>
      <c r="D292" s="1" cm="1">
        <f t="array" ref="D292">estimatedTripEnergy(C292,G$5,G$6,C$12,C$7,C$9,C$8,FALSE)/1000</f>
        <v>1353.9984452265001</v>
      </c>
      <c r="E292" s="1" cm="1">
        <f t="array" ref="E292">estimatedTripEnergy(C292,G$5,G$6,C$12,C$7,C$9,C$8)/1000</f>
        <v>1501.9584452265001</v>
      </c>
      <c r="F292" s="59" cm="1">
        <f t="array" ref="F292">estimatedTripDuration(C292,$C$8,$C$7)/60</f>
        <v>10.980486010099343</v>
      </c>
      <c r="G292">
        <f t="shared" si="46"/>
        <v>277</v>
      </c>
      <c r="H292" s="50">
        <f t="shared" si="50"/>
        <v>46.166666666666664</v>
      </c>
      <c r="I292" s="7" cm="1">
        <f t="array" ref="I292">CurrentCapacity(K$10,K$6,K$7,H292)</f>
        <v>35700.178500000002</v>
      </c>
      <c r="J292" s="48">
        <f t="shared" si="51"/>
        <v>4.207145477512108E-2</v>
      </c>
      <c r="K292" s="5" cm="1">
        <f t="array" ref="K292">UseableCapacity(I292,$K$8,$K$9)</f>
        <v>26775.133875</v>
      </c>
      <c r="L292" s="59">
        <f t="shared" si="52"/>
        <v>34198.220054773505</v>
      </c>
      <c r="M292" s="7">
        <f t="shared" si="53"/>
        <v>25273.175429773499</v>
      </c>
      <c r="N292" s="7">
        <f t="shared" si="54"/>
        <v>2549.8214999999982</v>
      </c>
      <c r="O292" t="str">
        <f t="shared" si="47"/>
        <v>no</v>
      </c>
      <c r="P292" t="str">
        <f t="shared" si="48"/>
        <v>no</v>
      </c>
    </row>
    <row r="293" spans="2:16" x14ac:dyDescent="0.35">
      <c r="B293">
        <f t="shared" si="55"/>
        <v>278</v>
      </c>
      <c r="C293" s="7">
        <f t="shared" si="49"/>
        <v>278</v>
      </c>
      <c r="D293" s="1" cm="1">
        <f t="array" ref="D293">estimatedTripEnergy(C293,G$5,G$6,C$12,C$7,C$9,C$8,FALSE)/1000</f>
        <v>1354.9251243870999</v>
      </c>
      <c r="E293" s="1" cm="1">
        <f t="array" ref="E293">estimatedTripEnergy(C293,G$5,G$6,C$12,C$7,C$9,C$8)/1000</f>
        <v>1502.8851243870999</v>
      </c>
      <c r="F293" s="59" cm="1">
        <f t="array" ref="F293">estimatedTripDuration(C293,$C$8,$C$7)/60</f>
        <v>11.013819343432676</v>
      </c>
      <c r="G293">
        <f t="shared" si="46"/>
        <v>278</v>
      </c>
      <c r="H293" s="50">
        <f t="shared" si="50"/>
        <v>46.333333333333336</v>
      </c>
      <c r="I293" s="7" cm="1">
        <f t="array" ref="I293">CurrentCapacity(K$10,K$6,K$7,H293)</f>
        <v>35699.949000000001</v>
      </c>
      <c r="J293" s="48">
        <f t="shared" si="51"/>
        <v>4.2097682671398212E-2</v>
      </c>
      <c r="K293" s="5" cm="1">
        <f t="array" ref="K293">UseableCapacity(I293,$K$8,$K$9)</f>
        <v>26774.961750000002</v>
      </c>
      <c r="L293" s="59">
        <f t="shared" si="52"/>
        <v>34197.063875612897</v>
      </c>
      <c r="M293" s="7">
        <f t="shared" si="53"/>
        <v>25272.076625612903</v>
      </c>
      <c r="N293" s="7">
        <f t="shared" si="54"/>
        <v>2550.0509999999995</v>
      </c>
      <c r="O293" t="str">
        <f t="shared" si="47"/>
        <v>no</v>
      </c>
      <c r="P293" t="str">
        <f t="shared" si="48"/>
        <v>no</v>
      </c>
    </row>
    <row r="294" spans="2:16" x14ac:dyDescent="0.35">
      <c r="B294">
        <f t="shared" si="55"/>
        <v>279</v>
      </c>
      <c r="C294" s="7">
        <f t="shared" si="49"/>
        <v>279</v>
      </c>
      <c r="D294" s="1" cm="1">
        <f t="array" ref="D294">estimatedTripEnergy(C294,G$5,G$6,C$12,C$7,C$9,C$8,FALSE)/1000</f>
        <v>1355.8518035477</v>
      </c>
      <c r="E294" s="1" cm="1">
        <f t="array" ref="E294">estimatedTripEnergy(C294,G$5,G$6,C$12,C$7,C$9,C$8)/1000</f>
        <v>1503.8118035477</v>
      </c>
      <c r="F294" s="59" cm="1">
        <f t="array" ref="F294">estimatedTripDuration(C294,$C$8,$C$7)/60</f>
        <v>11.047152676766009</v>
      </c>
      <c r="G294">
        <f t="shared" si="46"/>
        <v>279</v>
      </c>
      <c r="H294" s="50">
        <f t="shared" si="50"/>
        <v>46.5</v>
      </c>
      <c r="I294" s="7" cm="1">
        <f t="array" ref="I294">CurrentCapacity(K$10,K$6,K$7,H294)</f>
        <v>35699.719500000007</v>
      </c>
      <c r="J294" s="48">
        <f t="shared" si="51"/>
        <v>4.2123910904893799E-2</v>
      </c>
      <c r="K294" s="5" cm="1">
        <f t="array" ref="K294">UseableCapacity(I294,$K$8,$K$9)</f>
        <v>26774.789625000005</v>
      </c>
      <c r="L294" s="59">
        <f t="shared" si="52"/>
        <v>34195.907696452305</v>
      </c>
      <c r="M294" s="7">
        <f t="shared" si="53"/>
        <v>25270.977821452303</v>
      </c>
      <c r="N294" s="7">
        <f t="shared" si="54"/>
        <v>2550.2804999999935</v>
      </c>
      <c r="O294" t="str">
        <f t="shared" si="47"/>
        <v>no</v>
      </c>
      <c r="P294" t="str">
        <f t="shared" si="48"/>
        <v>no</v>
      </c>
    </row>
    <row r="295" spans="2:16" x14ac:dyDescent="0.35">
      <c r="B295">
        <f t="shared" si="55"/>
        <v>280</v>
      </c>
      <c r="C295" s="7">
        <f t="shared" si="49"/>
        <v>280</v>
      </c>
      <c r="D295" s="1" cm="1">
        <f t="array" ref="D295">estimatedTripEnergy(C295,G$5,G$6,C$12,C$7,C$9,C$8,FALSE)/1000</f>
        <v>1356.7784827083001</v>
      </c>
      <c r="E295" s="1" cm="1">
        <f t="array" ref="E295">estimatedTripEnergy(C295,G$5,G$6,C$12,C$7,C$9,C$8)/1000</f>
        <v>1504.7384827082999</v>
      </c>
      <c r="F295" s="59" cm="1">
        <f t="array" ref="F295">estimatedTripDuration(C295,$C$8,$C$7)/60</f>
        <v>11.080486010099342</v>
      </c>
      <c r="G295">
        <f t="shared" si="46"/>
        <v>280</v>
      </c>
      <c r="H295" s="50">
        <f t="shared" si="50"/>
        <v>46.666666666666664</v>
      </c>
      <c r="I295" s="7" cm="1">
        <f t="array" ref="I295">CurrentCapacity(K$10,K$6,K$7,H295)</f>
        <v>35699.49</v>
      </c>
      <c r="J295" s="48">
        <f t="shared" si="51"/>
        <v>4.2150139475614357E-2</v>
      </c>
      <c r="K295" s="5" cm="1">
        <f t="array" ref="K295">UseableCapacity(I295,$K$8,$K$9)</f>
        <v>26774.6175</v>
      </c>
      <c r="L295" s="59">
        <f t="shared" si="52"/>
        <v>34194.751517291697</v>
      </c>
      <c r="M295" s="7">
        <f t="shared" si="53"/>
        <v>25269.8790172917</v>
      </c>
      <c r="N295" s="7">
        <f t="shared" si="54"/>
        <v>2550.510000000002</v>
      </c>
      <c r="O295" t="str">
        <f t="shared" si="47"/>
        <v>no</v>
      </c>
      <c r="P295" t="str">
        <f t="shared" si="48"/>
        <v>no</v>
      </c>
    </row>
    <row r="296" spans="2:16" x14ac:dyDescent="0.35">
      <c r="B296">
        <f t="shared" si="55"/>
        <v>281</v>
      </c>
      <c r="C296" s="7">
        <f t="shared" si="49"/>
        <v>281</v>
      </c>
      <c r="D296" s="1" cm="1">
        <f t="array" ref="D296">estimatedTripEnergy(C296,G$5,G$6,C$12,C$7,C$9,C$8,FALSE)/1000</f>
        <v>1357.7051618688999</v>
      </c>
      <c r="E296" s="1" cm="1">
        <f t="array" ref="E296">estimatedTripEnergy(C296,G$5,G$6,C$12,C$7,C$9,C$8)/1000</f>
        <v>1505.6651618689</v>
      </c>
      <c r="F296" s="59" cm="1">
        <f t="array" ref="F296">estimatedTripDuration(C296,$C$8,$C$7)/60</f>
        <v>11.113819343432676</v>
      </c>
      <c r="G296">
        <f t="shared" si="46"/>
        <v>281</v>
      </c>
      <c r="H296" s="50">
        <f t="shared" si="50"/>
        <v>46.833333333333336</v>
      </c>
      <c r="I296" s="7" cm="1">
        <f t="array" ref="I296">CurrentCapacity(K$10,K$6,K$7,H296)</f>
        <v>35699.260500000004</v>
      </c>
      <c r="J296" s="48">
        <f t="shared" si="51"/>
        <v>4.2176368383566372E-2</v>
      </c>
      <c r="K296" s="5" cm="1">
        <f t="array" ref="K296">UseableCapacity(I296,$K$8,$K$9)</f>
        <v>26774.445375000003</v>
      </c>
      <c r="L296" s="59">
        <f t="shared" si="52"/>
        <v>34193.595338131105</v>
      </c>
      <c r="M296" s="7">
        <f t="shared" si="53"/>
        <v>25268.780213131104</v>
      </c>
      <c r="N296" s="7">
        <f t="shared" si="54"/>
        <v>2550.739499999996</v>
      </c>
      <c r="O296" t="str">
        <f t="shared" si="47"/>
        <v>no</v>
      </c>
      <c r="P296" t="str">
        <f t="shared" si="48"/>
        <v>no</v>
      </c>
    </row>
    <row r="297" spans="2:16" x14ac:dyDescent="0.35">
      <c r="B297">
        <f t="shared" si="55"/>
        <v>282</v>
      </c>
      <c r="C297" s="7">
        <f t="shared" si="49"/>
        <v>282</v>
      </c>
      <c r="D297" s="1" cm="1">
        <f t="array" ref="D297">estimatedTripEnergy(C297,G$5,G$6,C$12,C$7,C$9,C$8,FALSE)/1000</f>
        <v>1358.6318410295</v>
      </c>
      <c r="E297" s="1" cm="1">
        <f t="array" ref="E297">estimatedTripEnergy(C297,G$5,G$6,C$12,C$7,C$9,C$8)/1000</f>
        <v>1506.5918410295001</v>
      </c>
      <c r="F297" s="59" cm="1">
        <f t="array" ref="F297">estimatedTripDuration(C297,$C$8,$C$7)/60</f>
        <v>11.147152676766009</v>
      </c>
      <c r="G297">
        <f t="shared" si="46"/>
        <v>282</v>
      </c>
      <c r="H297" s="50">
        <f t="shared" si="50"/>
        <v>47</v>
      </c>
      <c r="I297" s="7" cm="1">
        <f t="array" ref="I297">CurrentCapacity(K$10,K$6,K$7,H297)</f>
        <v>35699.031000000003</v>
      </c>
      <c r="J297" s="48">
        <f t="shared" si="51"/>
        <v>4.2202597628756368E-2</v>
      </c>
      <c r="K297" s="5" cm="1">
        <f t="array" ref="K297">UseableCapacity(I297,$K$8,$K$9)</f>
        <v>26774.273250000002</v>
      </c>
      <c r="L297" s="59">
        <f t="shared" si="52"/>
        <v>34192.439158970505</v>
      </c>
      <c r="M297" s="7">
        <f t="shared" si="53"/>
        <v>25267.6814089705</v>
      </c>
      <c r="N297" s="7">
        <f t="shared" si="54"/>
        <v>2550.9689999999973</v>
      </c>
      <c r="O297" t="str">
        <f t="shared" si="47"/>
        <v>no</v>
      </c>
      <c r="P297" t="str">
        <f t="shared" si="48"/>
        <v>no</v>
      </c>
    </row>
    <row r="298" spans="2:16" x14ac:dyDescent="0.35">
      <c r="B298">
        <f t="shared" si="55"/>
        <v>283</v>
      </c>
      <c r="C298" s="7">
        <f t="shared" si="49"/>
        <v>283</v>
      </c>
      <c r="D298" s="1" cm="1">
        <f t="array" ref="D298">estimatedTripEnergy(C298,G$5,G$6,C$12,C$7,C$9,C$8,FALSE)/1000</f>
        <v>1359.5585201900999</v>
      </c>
      <c r="E298" s="1" cm="1">
        <f t="array" ref="E298">estimatedTripEnergy(C298,G$5,G$6,C$12,C$7,C$9,C$8)/1000</f>
        <v>1507.5185201900999</v>
      </c>
      <c r="F298" s="59" cm="1">
        <f t="array" ref="F298">estimatedTripDuration(C298,$C$8,$C$7)/60</f>
        <v>11.180486010099342</v>
      </c>
      <c r="G298">
        <f t="shared" si="46"/>
        <v>283</v>
      </c>
      <c r="H298" s="50">
        <f t="shared" si="50"/>
        <v>47.166666666666664</v>
      </c>
      <c r="I298" s="7" cm="1">
        <f t="array" ref="I298">CurrentCapacity(K$10,K$6,K$7,H298)</f>
        <v>35698.801500000001</v>
      </c>
      <c r="J298" s="48">
        <f t="shared" si="51"/>
        <v>4.2228827211190825E-2</v>
      </c>
      <c r="K298" s="5" cm="1">
        <f t="array" ref="K298">UseableCapacity(I298,$K$8,$K$9)</f>
        <v>26774.101125000001</v>
      </c>
      <c r="L298" s="59">
        <f t="shared" si="52"/>
        <v>34191.282979809905</v>
      </c>
      <c r="M298" s="7">
        <f t="shared" si="53"/>
        <v>25266.582604809901</v>
      </c>
      <c r="N298" s="7">
        <f t="shared" si="54"/>
        <v>2551.1984999999986</v>
      </c>
      <c r="O298" t="str">
        <f t="shared" si="47"/>
        <v>no</v>
      </c>
      <c r="P298" t="str">
        <f t="shared" si="48"/>
        <v>no</v>
      </c>
    </row>
    <row r="299" spans="2:16" x14ac:dyDescent="0.35">
      <c r="B299">
        <f t="shared" si="55"/>
        <v>284</v>
      </c>
      <c r="C299" s="7">
        <f t="shared" si="49"/>
        <v>284</v>
      </c>
      <c r="D299" s="1" cm="1">
        <f t="array" ref="D299">estimatedTripEnergy(C299,G$5,G$6,C$12,C$7,C$9,C$8,FALSE)/1000</f>
        <v>1360.4851993507</v>
      </c>
      <c r="E299" s="1" cm="1">
        <f t="array" ref="E299">estimatedTripEnergy(C299,G$5,G$6,C$12,C$7,C$9,C$8)/1000</f>
        <v>1508.4451993507</v>
      </c>
      <c r="F299" s="59" cm="1">
        <f t="array" ref="F299">estimatedTripDuration(C299,$C$8,$C$7)/60</f>
        <v>11.213819343432675</v>
      </c>
      <c r="G299">
        <f t="shared" si="46"/>
        <v>284</v>
      </c>
      <c r="H299" s="50">
        <f t="shared" si="50"/>
        <v>47.333333333333336</v>
      </c>
      <c r="I299" s="7" cm="1">
        <f t="array" ref="I299">CurrentCapacity(K$10,K$6,K$7,H299)</f>
        <v>35698.572</v>
      </c>
      <c r="J299" s="48">
        <f t="shared" si="51"/>
        <v>4.2255057130876274E-2</v>
      </c>
      <c r="K299" s="5" cm="1">
        <f t="array" ref="K299">UseableCapacity(I299,$K$8,$K$9)</f>
        <v>26773.929</v>
      </c>
      <c r="L299" s="59">
        <f t="shared" si="52"/>
        <v>34190.126800649297</v>
      </c>
      <c r="M299" s="7">
        <f t="shared" si="53"/>
        <v>25265.483800649301</v>
      </c>
      <c r="N299" s="7">
        <f t="shared" si="54"/>
        <v>2551.4279999999999</v>
      </c>
      <c r="O299" t="str">
        <f t="shared" si="47"/>
        <v>no</v>
      </c>
      <c r="P299" t="str">
        <f t="shared" si="48"/>
        <v>no</v>
      </c>
    </row>
    <row r="300" spans="2:16" x14ac:dyDescent="0.35">
      <c r="B300">
        <f t="shared" si="55"/>
        <v>285</v>
      </c>
      <c r="C300" s="7">
        <f t="shared" si="49"/>
        <v>285</v>
      </c>
      <c r="D300" s="1" cm="1">
        <f t="array" ref="D300">estimatedTripEnergy(C300,G$5,G$6,C$12,C$7,C$9,C$8,FALSE)/1000</f>
        <v>1361.4118785113001</v>
      </c>
      <c r="E300" s="1" cm="1">
        <f t="array" ref="E300">estimatedTripEnergy(C300,G$5,G$6,C$12,C$7,C$9,C$8)/1000</f>
        <v>1509.3718785113001</v>
      </c>
      <c r="F300" s="59" cm="1">
        <f t="array" ref="F300">estimatedTripDuration(C300,$C$8,$C$7)/60</f>
        <v>11.247152676766008</v>
      </c>
      <c r="G300">
        <f t="shared" si="46"/>
        <v>285</v>
      </c>
      <c r="H300" s="50">
        <f t="shared" si="50"/>
        <v>47.5</v>
      </c>
      <c r="I300" s="7" cm="1">
        <f t="array" ref="I300">CurrentCapacity(K$10,K$6,K$7,H300)</f>
        <v>35698.342499999999</v>
      </c>
      <c r="J300" s="48">
        <f t="shared" si="51"/>
        <v>4.2281287387819201E-2</v>
      </c>
      <c r="K300" s="5" cm="1">
        <f t="array" ref="K300">UseableCapacity(I300,$K$8,$K$9)</f>
        <v>26773.756874999999</v>
      </c>
      <c r="L300" s="59">
        <f t="shared" si="52"/>
        <v>34188.970621488697</v>
      </c>
      <c r="M300" s="7">
        <f t="shared" si="53"/>
        <v>25264.384996488698</v>
      </c>
      <c r="N300" s="7">
        <f t="shared" si="54"/>
        <v>2551.6575000000012</v>
      </c>
      <c r="O300" t="str">
        <f t="shared" si="47"/>
        <v>no</v>
      </c>
      <c r="P300" t="str">
        <f t="shared" si="48"/>
        <v>no</v>
      </c>
    </row>
    <row r="301" spans="2:16" x14ac:dyDescent="0.35">
      <c r="B301">
        <f t="shared" si="55"/>
        <v>286</v>
      </c>
      <c r="C301" s="7">
        <f t="shared" si="49"/>
        <v>286</v>
      </c>
      <c r="D301" s="1" cm="1">
        <f t="array" ref="D301">estimatedTripEnergy(C301,G$5,G$6,C$12,C$7,C$9,C$8,FALSE)/1000</f>
        <v>1362.3385576718999</v>
      </c>
      <c r="E301" s="1" cm="1">
        <f t="array" ref="E301">estimatedTripEnergy(C301,G$5,G$6,C$12,C$7,C$9,C$8)/1000</f>
        <v>1510.2985576719</v>
      </c>
      <c r="F301" s="59" cm="1">
        <f t="array" ref="F301">estimatedTripDuration(C301,$C$8,$C$7)/60</f>
        <v>11.280486010099342</v>
      </c>
      <c r="G301">
        <f t="shared" si="46"/>
        <v>286</v>
      </c>
      <c r="H301" s="50">
        <f t="shared" si="50"/>
        <v>47.666666666666664</v>
      </c>
      <c r="I301" s="7" cm="1">
        <f t="array" ref="I301">CurrentCapacity(K$10,K$6,K$7,H301)</f>
        <v>35698.112999999998</v>
      </c>
      <c r="J301" s="48">
        <f t="shared" si="51"/>
        <v>4.2307517982026109E-2</v>
      </c>
      <c r="K301" s="5" cm="1">
        <f t="array" ref="K301">UseableCapacity(I301,$K$8,$K$9)</f>
        <v>26773.584749999998</v>
      </c>
      <c r="L301" s="59">
        <f t="shared" si="52"/>
        <v>34187.814442328097</v>
      </c>
      <c r="M301" s="7">
        <f t="shared" si="53"/>
        <v>25263.286192328098</v>
      </c>
      <c r="N301" s="7">
        <f t="shared" si="54"/>
        <v>2551.8870000000024</v>
      </c>
      <c r="O301" t="str">
        <f t="shared" si="47"/>
        <v>no</v>
      </c>
      <c r="P301" t="str">
        <f t="shared" si="48"/>
        <v>no</v>
      </c>
    </row>
    <row r="302" spans="2:16" x14ac:dyDescent="0.35">
      <c r="B302">
        <f t="shared" si="55"/>
        <v>287</v>
      </c>
      <c r="C302" s="7">
        <f t="shared" si="49"/>
        <v>287</v>
      </c>
      <c r="D302" s="1" cm="1">
        <f t="array" ref="D302">estimatedTripEnergy(C302,G$5,G$6,C$12,C$7,C$9,C$8,FALSE)/1000</f>
        <v>1363.2652368325</v>
      </c>
      <c r="E302" s="1" cm="1">
        <f t="array" ref="E302">estimatedTripEnergy(C302,G$5,G$6,C$12,C$7,C$9,C$8)/1000</f>
        <v>1511.2252368325001</v>
      </c>
      <c r="F302" s="59" cm="1">
        <f t="array" ref="F302">estimatedTripDuration(C302,$C$8,$C$7)/60</f>
        <v>11.313819343432675</v>
      </c>
      <c r="G302">
        <f t="shared" si="46"/>
        <v>287</v>
      </c>
      <c r="H302" s="50">
        <f t="shared" si="50"/>
        <v>47.833333333333336</v>
      </c>
      <c r="I302" s="7" cm="1">
        <f t="array" ref="I302">CurrentCapacity(K$10,K$6,K$7,H302)</f>
        <v>35697.883500000004</v>
      </c>
      <c r="J302" s="48">
        <f t="shared" si="51"/>
        <v>4.2333748913503513E-2</v>
      </c>
      <c r="K302" s="5" cm="1">
        <f t="array" ref="K302">UseableCapacity(I302,$K$8,$K$9)</f>
        <v>26773.412625000004</v>
      </c>
      <c r="L302" s="59">
        <f t="shared" si="52"/>
        <v>34186.658263167505</v>
      </c>
      <c r="M302" s="7">
        <f t="shared" si="53"/>
        <v>25262.187388167506</v>
      </c>
      <c r="N302" s="7">
        <f t="shared" si="54"/>
        <v>2552.1164999999964</v>
      </c>
      <c r="O302" t="str">
        <f t="shared" si="47"/>
        <v>no</v>
      </c>
      <c r="P302" t="str">
        <f t="shared" si="48"/>
        <v>no</v>
      </c>
    </row>
    <row r="303" spans="2:16" x14ac:dyDescent="0.35">
      <c r="B303">
        <f t="shared" si="55"/>
        <v>288</v>
      </c>
      <c r="C303" s="7">
        <f t="shared" si="49"/>
        <v>288</v>
      </c>
      <c r="D303" s="1" cm="1">
        <f t="array" ref="D303">estimatedTripEnergy(C303,G$5,G$6,C$12,C$7,C$9,C$8,FALSE)/1000</f>
        <v>1364.1919159931001</v>
      </c>
      <c r="E303" s="1" cm="1">
        <f t="array" ref="E303">estimatedTripEnergy(C303,G$5,G$6,C$12,C$7,C$9,C$8)/1000</f>
        <v>1512.1519159930999</v>
      </c>
      <c r="F303" s="59" cm="1">
        <f t="array" ref="F303">estimatedTripDuration(C303,$C$8,$C$7)/60</f>
        <v>11.347152676766008</v>
      </c>
      <c r="G303">
        <f t="shared" si="46"/>
        <v>288</v>
      </c>
      <c r="H303" s="50">
        <f t="shared" si="50"/>
        <v>48</v>
      </c>
      <c r="I303" s="7" cm="1">
        <f t="array" ref="I303">CurrentCapacity(K$10,K$6,K$7,H303)</f>
        <v>35697.654000000002</v>
      </c>
      <c r="J303" s="48">
        <f t="shared" si="51"/>
        <v>4.2359980182257909E-2</v>
      </c>
      <c r="K303" s="5" cm="1">
        <f t="array" ref="K303">UseableCapacity(I303,$K$8,$K$9)</f>
        <v>26773.2405</v>
      </c>
      <c r="L303" s="59">
        <f t="shared" si="52"/>
        <v>34185.502084006905</v>
      </c>
      <c r="M303" s="7">
        <f t="shared" si="53"/>
        <v>25261.088584006899</v>
      </c>
      <c r="N303" s="7">
        <f t="shared" si="54"/>
        <v>2552.3459999999977</v>
      </c>
      <c r="O303" t="str">
        <f t="shared" si="47"/>
        <v>no</v>
      </c>
      <c r="P303" t="str">
        <f t="shared" si="48"/>
        <v>no</v>
      </c>
    </row>
    <row r="304" spans="2:16" x14ac:dyDescent="0.35">
      <c r="B304">
        <f t="shared" si="55"/>
        <v>289</v>
      </c>
      <c r="C304" s="7">
        <f t="shared" si="49"/>
        <v>289</v>
      </c>
      <c r="D304" s="1" cm="1">
        <f t="array" ref="D304">estimatedTripEnergy(C304,G$5,G$6,C$12,C$7,C$9,C$8,FALSE)/1000</f>
        <v>1365.1185951537002</v>
      </c>
      <c r="E304" s="1" cm="1">
        <f t="array" ref="E304">estimatedTripEnergy(C304,G$5,G$6,C$12,C$7,C$9,C$8)/1000</f>
        <v>1513.0785951537</v>
      </c>
      <c r="F304" s="59" cm="1">
        <f t="array" ref="F304">estimatedTripDuration(C304,$C$8,$C$7)/60</f>
        <v>11.380486010099341</v>
      </c>
      <c r="G304">
        <f t="shared" si="46"/>
        <v>289</v>
      </c>
      <c r="H304" s="50">
        <f t="shared" si="50"/>
        <v>48.166666666666664</v>
      </c>
      <c r="I304" s="7" cm="1">
        <f t="array" ref="I304">CurrentCapacity(K$10,K$6,K$7,H304)</f>
        <v>35697.424500000001</v>
      </c>
      <c r="J304" s="48">
        <f t="shared" si="51"/>
        <v>4.2386211788295818E-2</v>
      </c>
      <c r="K304" s="5" cm="1">
        <f t="array" ref="K304">UseableCapacity(I304,$K$8,$K$9)</f>
        <v>26773.068375000003</v>
      </c>
      <c r="L304" s="59">
        <f t="shared" si="52"/>
        <v>34184.345904846297</v>
      </c>
      <c r="M304" s="7">
        <f t="shared" si="53"/>
        <v>25259.989779846303</v>
      </c>
      <c r="N304" s="7">
        <f t="shared" si="54"/>
        <v>2552.575499999999</v>
      </c>
      <c r="O304" t="str">
        <f t="shared" si="47"/>
        <v>no</v>
      </c>
      <c r="P304" t="str">
        <f t="shared" si="48"/>
        <v>no</v>
      </c>
    </row>
    <row r="305" spans="2:16" x14ac:dyDescent="0.35">
      <c r="B305">
        <f t="shared" si="55"/>
        <v>290</v>
      </c>
      <c r="C305" s="7">
        <f t="shared" si="49"/>
        <v>290</v>
      </c>
      <c r="D305" s="1" cm="1">
        <f t="array" ref="D305">estimatedTripEnergy(C305,G$5,G$6,C$12,C$7,C$9,C$8,FALSE)/1000</f>
        <v>1366.0452743143001</v>
      </c>
      <c r="E305" s="1" cm="1">
        <f t="array" ref="E305">estimatedTripEnergy(C305,G$5,G$6,C$12,C$7,C$9,C$8)/1000</f>
        <v>1514.0052743143001</v>
      </c>
      <c r="F305" s="59" cm="1">
        <f t="array" ref="F305">estimatedTripDuration(C305,$C$8,$C$7)/60</f>
        <v>11.413819343432674</v>
      </c>
      <c r="G305">
        <f t="shared" si="46"/>
        <v>290</v>
      </c>
      <c r="H305" s="50">
        <f t="shared" si="50"/>
        <v>48.333333333333336</v>
      </c>
      <c r="I305" s="7" cm="1">
        <f t="array" ref="I305">CurrentCapacity(K$10,K$6,K$7,H305)</f>
        <v>35697.195000000007</v>
      </c>
      <c r="J305" s="48">
        <f t="shared" si="51"/>
        <v>4.2412443731623728E-2</v>
      </c>
      <c r="K305" s="5" cm="1">
        <f t="array" ref="K305">UseableCapacity(I305,$K$8,$K$9)</f>
        <v>26772.896250000005</v>
      </c>
      <c r="L305" s="59">
        <f t="shared" si="52"/>
        <v>34183.189725685705</v>
      </c>
      <c r="M305" s="7">
        <f t="shared" si="53"/>
        <v>25258.890975685707</v>
      </c>
      <c r="N305" s="7">
        <f t="shared" si="54"/>
        <v>2552.804999999993</v>
      </c>
      <c r="O305" t="str">
        <f t="shared" si="47"/>
        <v>no</v>
      </c>
      <c r="P305" t="str">
        <f t="shared" si="48"/>
        <v>no</v>
      </c>
    </row>
    <row r="306" spans="2:16" x14ac:dyDescent="0.35">
      <c r="B306">
        <f t="shared" si="55"/>
        <v>291</v>
      </c>
      <c r="C306" s="7">
        <f t="shared" si="49"/>
        <v>291</v>
      </c>
      <c r="D306" s="1" cm="1">
        <f t="array" ref="D306">estimatedTripEnergy(C306,G$5,G$6,C$12,C$7,C$9,C$8,FALSE)/1000</f>
        <v>1366.9719534748999</v>
      </c>
      <c r="E306" s="1" cm="1">
        <f t="array" ref="E306">estimatedTripEnergy(C306,G$5,G$6,C$12,C$7,C$9,C$8)/1000</f>
        <v>1514.9319534749</v>
      </c>
      <c r="F306" s="59" cm="1">
        <f t="array" ref="F306">estimatedTripDuration(C306,$C$8,$C$7)/60</f>
        <v>11.447152676766008</v>
      </c>
      <c r="G306">
        <f t="shared" si="46"/>
        <v>291</v>
      </c>
      <c r="H306" s="50">
        <f t="shared" si="50"/>
        <v>48.5</v>
      </c>
      <c r="I306" s="7" cm="1">
        <f t="array" ref="I306">CurrentCapacity(K$10,K$6,K$7,H306)</f>
        <v>35696.965499999998</v>
      </c>
      <c r="J306" s="48">
        <f t="shared" si="51"/>
        <v>4.2438676012248155E-2</v>
      </c>
      <c r="K306" s="5" cm="1">
        <f t="array" ref="K306">UseableCapacity(I306,$K$8,$K$9)</f>
        <v>26772.724125000001</v>
      </c>
      <c r="L306" s="59">
        <f t="shared" si="52"/>
        <v>34182.033546525097</v>
      </c>
      <c r="M306" s="7">
        <f t="shared" si="53"/>
        <v>25257.7921715251</v>
      </c>
      <c r="N306" s="7">
        <f t="shared" si="54"/>
        <v>2553.0345000000016</v>
      </c>
      <c r="O306" t="str">
        <f t="shared" si="47"/>
        <v>no</v>
      </c>
      <c r="P306" t="str">
        <f t="shared" si="48"/>
        <v>no</v>
      </c>
    </row>
    <row r="307" spans="2:16" x14ac:dyDescent="0.35">
      <c r="B307">
        <f t="shared" si="55"/>
        <v>292</v>
      </c>
      <c r="C307" s="7">
        <f t="shared" si="49"/>
        <v>292</v>
      </c>
      <c r="D307" s="1" cm="1">
        <f t="array" ref="D307">estimatedTripEnergy(C307,G$5,G$6,C$12,C$7,C$9,C$8,FALSE)/1000</f>
        <v>1367.8986326355</v>
      </c>
      <c r="E307" s="1" cm="1">
        <f t="array" ref="E307">estimatedTripEnergy(C307,G$5,G$6,C$12,C$7,C$9,C$8)/1000</f>
        <v>1515.8586326355</v>
      </c>
      <c r="F307" s="59" cm="1">
        <f t="array" ref="F307">estimatedTripDuration(C307,$C$8,$C$7)/60</f>
        <v>11.480486010099343</v>
      </c>
      <c r="G307">
        <f t="shared" si="46"/>
        <v>292</v>
      </c>
      <c r="H307" s="50">
        <f t="shared" si="50"/>
        <v>48.666666666666664</v>
      </c>
      <c r="I307" s="7" cm="1">
        <f t="array" ref="I307">CurrentCapacity(K$10,K$6,K$7,H307)</f>
        <v>35696.736000000004</v>
      </c>
      <c r="J307" s="48">
        <f t="shared" si="51"/>
        <v>4.2464908630175595E-2</v>
      </c>
      <c r="K307" s="5" cm="1">
        <f t="array" ref="K307">UseableCapacity(I307,$K$8,$K$9)</f>
        <v>26772.552000000003</v>
      </c>
      <c r="L307" s="59">
        <f t="shared" si="52"/>
        <v>34180.877367364505</v>
      </c>
      <c r="M307" s="7">
        <f t="shared" si="53"/>
        <v>25256.693367364504</v>
      </c>
      <c r="N307" s="7">
        <f t="shared" si="54"/>
        <v>2553.2639999999956</v>
      </c>
      <c r="O307" t="str">
        <f t="shared" si="47"/>
        <v>no</v>
      </c>
      <c r="P307" t="str">
        <f t="shared" si="48"/>
        <v>no</v>
      </c>
    </row>
    <row r="308" spans="2:16" x14ac:dyDescent="0.35">
      <c r="B308">
        <f t="shared" si="55"/>
        <v>293</v>
      </c>
      <c r="C308" s="7">
        <f t="shared" si="49"/>
        <v>293</v>
      </c>
      <c r="D308" s="1" cm="1">
        <f t="array" ref="D308">estimatedTripEnergy(C308,G$5,G$6,C$12,C$7,C$9,C$8,FALSE)/1000</f>
        <v>1368.8253117960999</v>
      </c>
      <c r="E308" s="1" cm="1">
        <f t="array" ref="E308">estimatedTripEnergy(C308,G$5,G$6,C$12,C$7,C$9,C$8)/1000</f>
        <v>1516.7853117960999</v>
      </c>
      <c r="F308" s="59" cm="1">
        <f t="array" ref="F308">estimatedTripDuration(C308,$C$8,$C$7)/60</f>
        <v>11.513819343432676</v>
      </c>
      <c r="G308">
        <f t="shared" si="46"/>
        <v>293</v>
      </c>
      <c r="H308" s="50">
        <f t="shared" si="50"/>
        <v>48.833333333333336</v>
      </c>
      <c r="I308" s="7" cm="1">
        <f t="array" ref="I308">CurrentCapacity(K$10,K$6,K$7,H308)</f>
        <v>35696.506500000003</v>
      </c>
      <c r="J308" s="48">
        <f t="shared" si="51"/>
        <v>4.2491141585412562E-2</v>
      </c>
      <c r="K308" s="5" cm="1">
        <f t="array" ref="K308">UseableCapacity(I308,$K$8,$K$9)</f>
        <v>26772.379875000002</v>
      </c>
      <c r="L308" s="59">
        <f t="shared" si="52"/>
        <v>34179.721188203905</v>
      </c>
      <c r="M308" s="7">
        <f t="shared" si="53"/>
        <v>25255.594563203904</v>
      </c>
      <c r="N308" s="7">
        <f t="shared" si="54"/>
        <v>2553.4934999999969</v>
      </c>
      <c r="O308" t="str">
        <f t="shared" si="47"/>
        <v>no</v>
      </c>
      <c r="P308" t="str">
        <f t="shared" si="48"/>
        <v>no</v>
      </c>
    </row>
    <row r="309" spans="2:16" x14ac:dyDescent="0.35">
      <c r="B309">
        <f t="shared" si="55"/>
        <v>294</v>
      </c>
      <c r="C309" s="7">
        <f t="shared" si="49"/>
        <v>294</v>
      </c>
      <c r="D309" s="1" cm="1">
        <f t="array" ref="D309">estimatedTripEnergy(C309,G$5,G$6,C$12,C$7,C$9,C$8,FALSE)/1000</f>
        <v>1369.7519909567</v>
      </c>
      <c r="E309" s="1" cm="1">
        <f t="array" ref="E309">estimatedTripEnergy(C309,G$5,G$6,C$12,C$7,C$9,C$8)/1000</f>
        <v>1517.7119909567</v>
      </c>
      <c r="F309" s="59" cm="1">
        <f t="array" ref="F309">estimatedTripDuration(C309,$C$8,$C$7)/60</f>
        <v>11.547152676766009</v>
      </c>
      <c r="G309">
        <f t="shared" si="46"/>
        <v>294</v>
      </c>
      <c r="H309" s="50">
        <f t="shared" si="50"/>
        <v>49</v>
      </c>
      <c r="I309" s="7" cm="1">
        <f t="array" ref="I309">CurrentCapacity(K$10,K$6,K$7,H309)</f>
        <v>35696.277000000002</v>
      </c>
      <c r="J309" s="48">
        <f t="shared" si="51"/>
        <v>4.2517374877965565E-2</v>
      </c>
      <c r="K309" s="5" cm="1">
        <f t="array" ref="K309">UseableCapacity(I309,$K$8,$K$9)</f>
        <v>26772.207750000001</v>
      </c>
      <c r="L309" s="59">
        <f t="shared" si="52"/>
        <v>34178.565009043305</v>
      </c>
      <c r="M309" s="7">
        <f t="shared" si="53"/>
        <v>25254.4957590433</v>
      </c>
      <c r="N309" s="7">
        <f t="shared" si="54"/>
        <v>2553.7229999999981</v>
      </c>
      <c r="O309" t="str">
        <f t="shared" si="47"/>
        <v>no</v>
      </c>
      <c r="P309" t="str">
        <f t="shared" si="48"/>
        <v>no</v>
      </c>
    </row>
    <row r="310" spans="2:16" x14ac:dyDescent="0.35">
      <c r="B310">
        <f t="shared" si="55"/>
        <v>295</v>
      </c>
      <c r="C310" s="7">
        <f t="shared" si="49"/>
        <v>295</v>
      </c>
      <c r="D310" s="1" cm="1">
        <f t="array" ref="D310">estimatedTripEnergy(C310,G$5,G$6,C$12,C$7,C$9,C$8,FALSE)/1000</f>
        <v>1370.6786701173</v>
      </c>
      <c r="E310" s="1" cm="1">
        <f t="array" ref="E310">estimatedTripEnergy(C310,G$5,G$6,C$12,C$7,C$9,C$8)/1000</f>
        <v>1518.6386701173001</v>
      </c>
      <c r="F310" s="59" cm="1">
        <f t="array" ref="F310">estimatedTripDuration(C310,$C$8,$C$7)/60</f>
        <v>11.580486010099342</v>
      </c>
      <c r="G310">
        <f t="shared" si="46"/>
        <v>295</v>
      </c>
      <c r="H310" s="50">
        <f t="shared" si="50"/>
        <v>49.166666666666664</v>
      </c>
      <c r="I310" s="7" cm="1">
        <f t="array" ref="I310">CurrentCapacity(K$10,K$6,K$7,H310)</f>
        <v>35696.047500000001</v>
      </c>
      <c r="J310" s="48">
        <f t="shared" si="51"/>
        <v>4.2543608507841099E-2</v>
      </c>
      <c r="K310" s="5" cm="1">
        <f t="array" ref="K310">UseableCapacity(I310,$K$8,$K$9)</f>
        <v>26772.035625</v>
      </c>
      <c r="L310" s="59">
        <f t="shared" si="52"/>
        <v>34177.408829882697</v>
      </c>
      <c r="M310" s="7">
        <f t="shared" si="53"/>
        <v>25253.396954882701</v>
      </c>
      <c r="N310" s="7">
        <f t="shared" si="54"/>
        <v>2553.9524999999994</v>
      </c>
      <c r="O310" t="str">
        <f t="shared" si="47"/>
        <v>no</v>
      </c>
      <c r="P310" t="str">
        <f t="shared" si="48"/>
        <v>no</v>
      </c>
    </row>
    <row r="311" spans="2:16" x14ac:dyDescent="0.35">
      <c r="B311">
        <f t="shared" si="55"/>
        <v>296</v>
      </c>
      <c r="C311" s="7">
        <f t="shared" si="49"/>
        <v>296</v>
      </c>
      <c r="D311" s="1" cm="1">
        <f t="array" ref="D311">estimatedTripEnergy(C311,G$5,G$6,C$12,C$7,C$9,C$8,FALSE)/1000</f>
        <v>1371.6053492779001</v>
      </c>
      <c r="E311" s="1" cm="1">
        <f t="array" ref="E311">estimatedTripEnergy(C311,G$5,G$6,C$12,C$7,C$9,C$8)/1000</f>
        <v>1519.5653492779002</v>
      </c>
      <c r="F311" s="59" cm="1">
        <f t="array" ref="F311">estimatedTripDuration(C311,$C$8,$C$7)/60</f>
        <v>11.613819343432676</v>
      </c>
      <c r="G311">
        <f t="shared" si="46"/>
        <v>296</v>
      </c>
      <c r="H311" s="50">
        <f t="shared" si="50"/>
        <v>49.333333333333336</v>
      </c>
      <c r="I311" s="7" cm="1">
        <f t="array" ref="I311">CurrentCapacity(K$10,K$6,K$7,H311)</f>
        <v>35695.817999999999</v>
      </c>
      <c r="J311" s="48">
        <f t="shared" si="51"/>
        <v>4.256984247504568E-2</v>
      </c>
      <c r="K311" s="5" cm="1">
        <f t="array" ref="K311">UseableCapacity(I311,$K$8,$K$9)</f>
        <v>26771.863499999999</v>
      </c>
      <c r="L311" s="59">
        <f t="shared" si="52"/>
        <v>34176.252650722097</v>
      </c>
      <c r="M311" s="7">
        <f t="shared" si="53"/>
        <v>25252.298150722097</v>
      </c>
      <c r="N311" s="7">
        <f t="shared" si="54"/>
        <v>2554.1820000000007</v>
      </c>
      <c r="O311" t="str">
        <f t="shared" si="47"/>
        <v>no</v>
      </c>
      <c r="P311" t="str">
        <f t="shared" si="48"/>
        <v>no</v>
      </c>
    </row>
    <row r="312" spans="2:16" x14ac:dyDescent="0.35">
      <c r="B312">
        <f t="shared" si="55"/>
        <v>297</v>
      </c>
      <c r="C312" s="7">
        <f t="shared" si="49"/>
        <v>297</v>
      </c>
      <c r="D312" s="1" cm="1">
        <f t="array" ref="D312">estimatedTripEnergy(C312,G$5,G$6,C$12,C$7,C$9,C$8,FALSE)/1000</f>
        <v>1372.5320284385002</v>
      </c>
      <c r="E312" s="1" cm="1">
        <f t="array" ref="E312">estimatedTripEnergy(C312,G$5,G$6,C$12,C$7,C$9,C$8)/1000</f>
        <v>1520.4920284385</v>
      </c>
      <c r="F312" s="59" cm="1">
        <f t="array" ref="F312">estimatedTripDuration(C312,$C$8,$C$7)/60</f>
        <v>11.647152676766009</v>
      </c>
      <c r="G312">
        <f t="shared" si="46"/>
        <v>297</v>
      </c>
      <c r="H312" s="50">
        <f t="shared" si="50"/>
        <v>49.5</v>
      </c>
      <c r="I312" s="7" cm="1">
        <f t="array" ref="I312">CurrentCapacity(K$10,K$6,K$7,H312)</f>
        <v>35695.588500000005</v>
      </c>
      <c r="J312" s="48">
        <f t="shared" si="51"/>
        <v>4.2596076779585795E-2</v>
      </c>
      <c r="K312" s="5" cm="1">
        <f t="array" ref="K312">UseableCapacity(I312,$K$8,$K$9)</f>
        <v>26771.691375000002</v>
      </c>
      <c r="L312" s="59">
        <f t="shared" si="52"/>
        <v>34175.096471561505</v>
      </c>
      <c r="M312" s="7">
        <f t="shared" si="53"/>
        <v>25251.199346561501</v>
      </c>
      <c r="N312" s="7">
        <f t="shared" si="54"/>
        <v>2554.4114999999947</v>
      </c>
      <c r="O312" t="str">
        <f t="shared" si="47"/>
        <v>no</v>
      </c>
      <c r="P312" t="str">
        <f t="shared" si="48"/>
        <v>no</v>
      </c>
    </row>
    <row r="313" spans="2:16" x14ac:dyDescent="0.35">
      <c r="B313">
        <f t="shared" si="55"/>
        <v>298</v>
      </c>
      <c r="C313" s="7">
        <f t="shared" si="49"/>
        <v>298</v>
      </c>
      <c r="D313" s="1" cm="1">
        <f t="array" ref="D313">estimatedTripEnergy(C313,G$5,G$6,C$12,C$7,C$9,C$8,FALSE)/1000</f>
        <v>1373.4587075990999</v>
      </c>
      <c r="E313" s="1" cm="1">
        <f t="array" ref="E313">estimatedTripEnergy(C313,G$5,G$6,C$12,C$7,C$9,C$8)/1000</f>
        <v>1521.4187075990999</v>
      </c>
      <c r="F313" s="59" cm="1">
        <f t="array" ref="F313">estimatedTripDuration(C313,$C$8,$C$7)/60</f>
        <v>11.680486010099342</v>
      </c>
      <c r="G313">
        <f t="shared" si="46"/>
        <v>298</v>
      </c>
      <c r="H313" s="50">
        <f t="shared" si="50"/>
        <v>49.666666666666664</v>
      </c>
      <c r="I313" s="7" cm="1">
        <f t="array" ref="I313">CurrentCapacity(K$10,K$6,K$7,H313)</f>
        <v>35695.359000000004</v>
      </c>
      <c r="J313" s="48">
        <f t="shared" si="51"/>
        <v>4.2622311421467975E-2</v>
      </c>
      <c r="K313" s="5" cm="1">
        <f t="array" ref="K313">UseableCapacity(I313,$K$8,$K$9)</f>
        <v>26771.519250000005</v>
      </c>
      <c r="L313" s="59">
        <f t="shared" si="52"/>
        <v>34173.940292400905</v>
      </c>
      <c r="M313" s="7">
        <f t="shared" si="53"/>
        <v>25250.100542400905</v>
      </c>
      <c r="N313" s="7">
        <f t="shared" si="54"/>
        <v>2554.640999999996</v>
      </c>
      <c r="O313" t="str">
        <f t="shared" si="47"/>
        <v>no</v>
      </c>
      <c r="P313" t="str">
        <f t="shared" si="48"/>
        <v>no</v>
      </c>
    </row>
    <row r="314" spans="2:16" x14ac:dyDescent="0.35">
      <c r="B314">
        <f t="shared" si="55"/>
        <v>299</v>
      </c>
      <c r="C314" s="7">
        <f t="shared" si="49"/>
        <v>299</v>
      </c>
      <c r="D314" s="1" cm="1">
        <f t="array" ref="D314">estimatedTripEnergy(C314,G$5,G$6,C$12,C$7,C$9,C$8,FALSE)/1000</f>
        <v>1374.3853867596999</v>
      </c>
      <c r="E314" s="1" cm="1">
        <f t="array" ref="E314">estimatedTripEnergy(C314,G$5,G$6,C$12,C$7,C$9,C$8)/1000</f>
        <v>1522.3453867597</v>
      </c>
      <c r="F314" s="59" cm="1">
        <f t="array" ref="F314">estimatedTripDuration(C314,$C$8,$C$7)/60</f>
        <v>11.713819343432675</v>
      </c>
      <c r="G314">
        <f t="shared" si="46"/>
        <v>299</v>
      </c>
      <c r="H314" s="50">
        <f t="shared" si="50"/>
        <v>49.833333333333336</v>
      </c>
      <c r="I314" s="7" cm="1">
        <f t="array" ref="I314">CurrentCapacity(K$10,K$6,K$7,H314)</f>
        <v>35695.129500000003</v>
      </c>
      <c r="J314" s="48">
        <f t="shared" si="51"/>
        <v>4.2648546400698727E-2</v>
      </c>
      <c r="K314" s="5" cm="1">
        <f t="array" ref="K314">UseableCapacity(I314,$K$8,$K$9)</f>
        <v>26771.347125</v>
      </c>
      <c r="L314" s="59">
        <f t="shared" si="52"/>
        <v>34172.784113240305</v>
      </c>
      <c r="M314" s="7">
        <f t="shared" si="53"/>
        <v>25249.001738240302</v>
      </c>
      <c r="N314" s="7">
        <f t="shared" si="54"/>
        <v>2554.8704999999973</v>
      </c>
      <c r="O314" t="str">
        <f t="shared" si="47"/>
        <v>no</v>
      </c>
      <c r="P314" t="str">
        <f t="shared" si="48"/>
        <v>no</v>
      </c>
    </row>
    <row r="315" spans="2:16" x14ac:dyDescent="0.35">
      <c r="B315">
        <f t="shared" si="55"/>
        <v>300</v>
      </c>
      <c r="C315" s="7">
        <f t="shared" si="49"/>
        <v>300</v>
      </c>
      <c r="D315" s="1" cm="1">
        <f t="array" ref="D315">estimatedTripEnergy(C315,G$5,G$6,C$12,C$7,C$9,C$8,FALSE)/1000</f>
        <v>1375.3120659203</v>
      </c>
      <c r="E315" s="1" cm="1">
        <f t="array" ref="E315">estimatedTripEnergy(C315,G$5,G$6,C$12,C$7,C$9,C$8)/1000</f>
        <v>1523.2720659203001</v>
      </c>
      <c r="F315" s="59" cm="1">
        <f t="array" ref="F315">estimatedTripDuration(C315,$C$8,$C$7)/60</f>
        <v>11.747152676766008</v>
      </c>
      <c r="G315">
        <f t="shared" si="46"/>
        <v>300</v>
      </c>
      <c r="H315" s="50">
        <f t="shared" si="50"/>
        <v>50</v>
      </c>
      <c r="I315" s="7" cm="1">
        <f t="array" ref="I315">CurrentCapacity(K$10,K$6,K$7,H315)</f>
        <v>35694.9</v>
      </c>
      <c r="J315" s="48">
        <f t="shared" si="51"/>
        <v>4.2674781717284539E-2</v>
      </c>
      <c r="K315" s="5" cm="1">
        <f t="array" ref="K315">UseableCapacity(I315,$K$8,$K$9)</f>
        <v>26771.175000000003</v>
      </c>
      <c r="L315" s="59">
        <f t="shared" si="52"/>
        <v>34171.627934079705</v>
      </c>
      <c r="M315" s="7">
        <f t="shared" si="53"/>
        <v>25247.902934079702</v>
      </c>
      <c r="N315" s="7">
        <f t="shared" si="54"/>
        <v>2555.0999999999985</v>
      </c>
      <c r="O315" t="str">
        <f t="shared" si="47"/>
        <v>no</v>
      </c>
      <c r="P315" t="str">
        <f t="shared" si="48"/>
        <v>no</v>
      </c>
    </row>
    <row r="316" spans="2:16" x14ac:dyDescent="0.35">
      <c r="B316">
        <f t="shared" si="55"/>
        <v>301</v>
      </c>
      <c r="C316" s="7">
        <f t="shared" si="49"/>
        <v>301</v>
      </c>
      <c r="D316" s="1" cm="1">
        <f t="array" ref="D316">estimatedTripEnergy(C316,G$5,G$6,C$12,C$7,C$9,C$8,FALSE)/1000</f>
        <v>1376.2387450808999</v>
      </c>
      <c r="E316" s="1" cm="1">
        <f t="array" ref="E316">estimatedTripEnergy(C316,G$5,G$6,C$12,C$7,C$9,C$8)/1000</f>
        <v>1524.1987450808999</v>
      </c>
      <c r="F316" s="59" cm="1">
        <f t="array" ref="F316">estimatedTripDuration(C316,$C$8,$C$7)/60</f>
        <v>11.780486010099342</v>
      </c>
      <c r="G316">
        <f t="shared" si="46"/>
        <v>301</v>
      </c>
      <c r="H316" s="50">
        <f t="shared" si="50"/>
        <v>50.166666666666664</v>
      </c>
      <c r="I316" s="7" cm="1">
        <f t="array" ref="I316">CurrentCapacity(K$10,K$6,K$7,H316)</f>
        <v>35694.6705</v>
      </c>
      <c r="J316" s="48">
        <f t="shared" si="51"/>
        <v>4.2701017371231928E-2</v>
      </c>
      <c r="K316" s="5" cm="1">
        <f t="array" ref="K316">UseableCapacity(I316,$K$8,$K$9)</f>
        <v>26771.002874999998</v>
      </c>
      <c r="L316" s="59">
        <f t="shared" si="52"/>
        <v>34170.471754919097</v>
      </c>
      <c r="M316" s="7">
        <f t="shared" si="53"/>
        <v>25246.804129919099</v>
      </c>
      <c r="N316" s="7">
        <f t="shared" si="54"/>
        <v>2555.3294999999998</v>
      </c>
      <c r="O316" t="str">
        <f t="shared" si="47"/>
        <v>no</v>
      </c>
      <c r="P316" t="str">
        <f t="shared" si="48"/>
        <v>no</v>
      </c>
    </row>
    <row r="317" spans="2:16" x14ac:dyDescent="0.35">
      <c r="B317">
        <f t="shared" si="55"/>
        <v>302</v>
      </c>
      <c r="C317" s="7">
        <f t="shared" si="49"/>
        <v>302</v>
      </c>
      <c r="D317" s="1" cm="1">
        <f t="array" ref="D317">estimatedTripEnergy(C317,G$5,G$6,C$12,C$7,C$9,C$8,FALSE)/1000</f>
        <v>1377.1654242415</v>
      </c>
      <c r="E317" s="1" cm="1">
        <f t="array" ref="E317">estimatedTripEnergy(C317,G$5,G$6,C$12,C$7,C$9,C$8)/1000</f>
        <v>1525.1254242415</v>
      </c>
      <c r="F317" s="59" cm="1">
        <f t="array" ref="F317">estimatedTripDuration(C317,$C$8,$C$7)/60</f>
        <v>11.813819343432675</v>
      </c>
      <c r="G317">
        <f t="shared" si="46"/>
        <v>302</v>
      </c>
      <c r="H317" s="50">
        <f t="shared" si="50"/>
        <v>50.333333333333336</v>
      </c>
      <c r="I317" s="7" cm="1">
        <f t="array" ref="I317">CurrentCapacity(K$10,K$6,K$7,H317)</f>
        <v>35694.440999999999</v>
      </c>
      <c r="J317" s="48">
        <f t="shared" si="51"/>
        <v>4.2727253362547409E-2</v>
      </c>
      <c r="K317" s="5" cm="1">
        <f t="array" ref="K317">UseableCapacity(I317,$K$8,$K$9)</f>
        <v>26770.830750000001</v>
      </c>
      <c r="L317" s="59">
        <f t="shared" si="52"/>
        <v>34169.315575758497</v>
      </c>
      <c r="M317" s="7">
        <f t="shared" si="53"/>
        <v>25245.705325758499</v>
      </c>
      <c r="N317" s="7">
        <f t="shared" si="54"/>
        <v>2555.5590000000011</v>
      </c>
      <c r="O317" t="str">
        <f t="shared" si="47"/>
        <v>no</v>
      </c>
      <c r="P317" t="str">
        <f t="shared" si="48"/>
        <v>no</v>
      </c>
    </row>
    <row r="318" spans="2:16" x14ac:dyDescent="0.35">
      <c r="B318">
        <f t="shared" si="55"/>
        <v>303</v>
      </c>
      <c r="C318" s="7">
        <f t="shared" si="49"/>
        <v>303</v>
      </c>
      <c r="D318" s="1" cm="1">
        <f t="array" ref="D318">estimatedTripEnergy(C318,G$5,G$6,C$12,C$7,C$9,C$8,FALSE)/1000</f>
        <v>1378.0921034021001</v>
      </c>
      <c r="E318" s="1" cm="1">
        <f t="array" ref="E318">estimatedTripEnergy(C318,G$5,G$6,C$12,C$7,C$9,C$8)/1000</f>
        <v>1526.0521034021001</v>
      </c>
      <c r="F318" s="59" cm="1">
        <f t="array" ref="F318">estimatedTripDuration(C318,$C$8,$C$7)/60</f>
        <v>11.847152676766008</v>
      </c>
      <c r="G318">
        <f t="shared" si="46"/>
        <v>303</v>
      </c>
      <c r="H318" s="50">
        <f t="shared" si="50"/>
        <v>50.5</v>
      </c>
      <c r="I318" s="7" cm="1">
        <f t="array" ref="I318">CurrentCapacity(K$10,K$6,K$7,H318)</f>
        <v>35694.211500000005</v>
      </c>
      <c r="J318" s="48">
        <f t="shared" si="51"/>
        <v>4.2753489691237469E-2</v>
      </c>
      <c r="K318" s="5" cm="1">
        <f t="array" ref="K318">UseableCapacity(I318,$K$8,$K$9)</f>
        <v>26770.658625000004</v>
      </c>
      <c r="L318" s="59">
        <f t="shared" si="52"/>
        <v>34168.159396597905</v>
      </c>
      <c r="M318" s="7">
        <f t="shared" si="53"/>
        <v>25244.606521597903</v>
      </c>
      <c r="N318" s="7">
        <f t="shared" si="54"/>
        <v>2555.7884999999951</v>
      </c>
      <c r="O318" t="str">
        <f t="shared" si="47"/>
        <v>no</v>
      </c>
      <c r="P318" t="str">
        <f t="shared" si="48"/>
        <v>no</v>
      </c>
    </row>
    <row r="319" spans="2:16" x14ac:dyDescent="0.35">
      <c r="B319">
        <f t="shared" si="55"/>
        <v>304</v>
      </c>
      <c r="C319" s="7">
        <f t="shared" si="49"/>
        <v>304</v>
      </c>
      <c r="D319" s="1" cm="1">
        <f t="array" ref="D319">estimatedTripEnergy(C319,G$5,G$6,C$12,C$7,C$9,C$8,FALSE)/1000</f>
        <v>1379.0187825627002</v>
      </c>
      <c r="E319" s="1" cm="1">
        <f t="array" ref="E319">estimatedTripEnergy(C319,G$5,G$6,C$12,C$7,C$9,C$8)/1000</f>
        <v>1526.9787825627002</v>
      </c>
      <c r="F319" s="59" cm="1">
        <f t="array" ref="F319">estimatedTripDuration(C319,$C$8,$C$7)/60</f>
        <v>11.880486010099341</v>
      </c>
      <c r="G319">
        <f t="shared" si="46"/>
        <v>304</v>
      </c>
      <c r="H319" s="50">
        <f t="shared" si="50"/>
        <v>50.666666666666664</v>
      </c>
      <c r="I319" s="7" cm="1">
        <f t="array" ref="I319">CurrentCapacity(K$10,K$6,K$7,H319)</f>
        <v>35693.982000000004</v>
      </c>
      <c r="J319" s="48">
        <f t="shared" si="51"/>
        <v>4.2779726357308638E-2</v>
      </c>
      <c r="K319" s="5" cm="1">
        <f t="array" ref="K319">UseableCapacity(I319,$K$8,$K$9)</f>
        <v>26770.486500000003</v>
      </c>
      <c r="L319" s="59">
        <f t="shared" si="52"/>
        <v>34167.003217437305</v>
      </c>
      <c r="M319" s="7">
        <f t="shared" si="53"/>
        <v>25243.507717437304</v>
      </c>
      <c r="N319" s="7">
        <f t="shared" si="54"/>
        <v>2556.0179999999964</v>
      </c>
      <c r="O319" t="str">
        <f t="shared" si="47"/>
        <v>no</v>
      </c>
      <c r="P319" t="str">
        <f t="shared" si="48"/>
        <v>no</v>
      </c>
    </row>
    <row r="320" spans="2:16" x14ac:dyDescent="0.35">
      <c r="B320">
        <f t="shared" si="55"/>
        <v>305</v>
      </c>
      <c r="C320" s="7">
        <f t="shared" si="49"/>
        <v>305</v>
      </c>
      <c r="D320" s="1" cm="1">
        <f t="array" ref="D320">estimatedTripEnergy(C320,G$5,G$6,C$12,C$7,C$9,C$8,FALSE)/1000</f>
        <v>1379.9454617233</v>
      </c>
      <c r="E320" s="1" cm="1">
        <f t="array" ref="E320">estimatedTripEnergy(C320,G$5,G$6,C$12,C$7,C$9,C$8)/1000</f>
        <v>1527.9054617232998</v>
      </c>
      <c r="F320" s="59" cm="1">
        <f t="array" ref="F320">estimatedTripDuration(C320,$C$8,$C$7)/60</f>
        <v>11.913819343432674</v>
      </c>
      <c r="G320">
        <f t="shared" si="46"/>
        <v>305</v>
      </c>
      <c r="H320" s="50">
        <f t="shared" si="50"/>
        <v>50.833333333333336</v>
      </c>
      <c r="I320" s="7" cm="1">
        <f t="array" ref="I320">CurrentCapacity(K$10,K$6,K$7,H320)</f>
        <v>35693.752500000002</v>
      </c>
      <c r="J320" s="48">
        <f t="shared" si="51"/>
        <v>4.2805963360767398E-2</v>
      </c>
      <c r="K320" s="5" cm="1">
        <f t="array" ref="K320">UseableCapacity(I320,$K$8,$K$9)</f>
        <v>26770.314375000002</v>
      </c>
      <c r="L320" s="59">
        <f t="shared" si="52"/>
        <v>34165.847038276705</v>
      </c>
      <c r="M320" s="7">
        <f t="shared" si="53"/>
        <v>25242.4089132767</v>
      </c>
      <c r="N320" s="7">
        <f t="shared" si="54"/>
        <v>2556.2474999999977</v>
      </c>
      <c r="O320" t="str">
        <f t="shared" si="47"/>
        <v>no</v>
      </c>
      <c r="P320" t="str">
        <f t="shared" si="48"/>
        <v>no</v>
      </c>
    </row>
    <row r="321" spans="2:16" x14ac:dyDescent="0.35">
      <c r="B321">
        <f t="shared" si="55"/>
        <v>306</v>
      </c>
      <c r="C321" s="7">
        <f t="shared" si="49"/>
        <v>306</v>
      </c>
      <c r="D321" s="1" cm="1">
        <f t="array" ref="D321">estimatedTripEnergy(C321,G$5,G$6,C$12,C$7,C$9,C$8,FALSE)/1000</f>
        <v>1380.8721408839001</v>
      </c>
      <c r="E321" s="1" cm="1">
        <f t="array" ref="E321">estimatedTripEnergy(C321,G$5,G$6,C$12,C$7,C$9,C$8)/1000</f>
        <v>1528.8321408838999</v>
      </c>
      <c r="F321" s="59" cm="1">
        <f t="array" ref="F321">estimatedTripDuration(C321,$C$8,$C$7)/60</f>
        <v>11.947152676766008</v>
      </c>
      <c r="G321">
        <f t="shared" si="46"/>
        <v>306</v>
      </c>
      <c r="H321" s="50">
        <f t="shared" si="50"/>
        <v>51</v>
      </c>
      <c r="I321" s="7" cm="1">
        <f t="array" ref="I321">CurrentCapacity(K$10,K$6,K$7,H321)</f>
        <v>35693.523000000001</v>
      </c>
      <c r="J321" s="48">
        <f t="shared" si="51"/>
        <v>4.283220070162029E-2</v>
      </c>
      <c r="K321" s="5" cm="1">
        <f t="array" ref="K321">UseableCapacity(I321,$K$8,$K$9)</f>
        <v>26770.142250000001</v>
      </c>
      <c r="L321" s="59">
        <f t="shared" si="52"/>
        <v>34164.690859116105</v>
      </c>
      <c r="M321" s="7">
        <f t="shared" si="53"/>
        <v>25241.310109116101</v>
      </c>
      <c r="N321" s="7">
        <f t="shared" si="54"/>
        <v>2556.476999999999</v>
      </c>
      <c r="O321" t="str">
        <f t="shared" si="47"/>
        <v>no</v>
      </c>
      <c r="P321" t="str">
        <f t="shared" si="48"/>
        <v>no</v>
      </c>
    </row>
    <row r="322" spans="2:16" x14ac:dyDescent="0.35">
      <c r="B322">
        <f t="shared" si="55"/>
        <v>307</v>
      </c>
      <c r="C322" s="7">
        <f t="shared" si="49"/>
        <v>307</v>
      </c>
      <c r="D322" s="1" cm="1">
        <f t="array" ref="D322">estimatedTripEnergy(C322,G$5,G$6,C$12,C$7,C$9,C$8,FALSE)/1000</f>
        <v>1381.7988200445</v>
      </c>
      <c r="E322" s="1" cm="1">
        <f t="array" ref="E322">estimatedTripEnergy(C322,G$5,G$6,C$12,C$7,C$9,C$8)/1000</f>
        <v>1529.7588200445</v>
      </c>
      <c r="F322" s="59" cm="1">
        <f t="array" ref="F322">estimatedTripDuration(C322,$C$8,$C$7)/60</f>
        <v>11.980486010099343</v>
      </c>
      <c r="G322">
        <f t="shared" si="46"/>
        <v>307</v>
      </c>
      <c r="H322" s="50">
        <f t="shared" si="50"/>
        <v>51.166666666666664</v>
      </c>
      <c r="I322" s="7" cm="1">
        <f t="array" ref="I322">CurrentCapacity(K$10,K$6,K$7,H322)</f>
        <v>35693.2935</v>
      </c>
      <c r="J322" s="48">
        <f t="shared" si="51"/>
        <v>4.2858438379873798E-2</v>
      </c>
      <c r="K322" s="5" cm="1">
        <f t="array" ref="K322">UseableCapacity(I322,$K$8,$K$9)</f>
        <v>26769.970125</v>
      </c>
      <c r="L322" s="59">
        <f t="shared" si="52"/>
        <v>34163.534679955497</v>
      </c>
      <c r="M322" s="7">
        <f t="shared" si="53"/>
        <v>25240.211304955501</v>
      </c>
      <c r="N322" s="7">
        <f t="shared" si="54"/>
        <v>2556.7065000000002</v>
      </c>
      <c r="O322" t="str">
        <f t="shared" si="47"/>
        <v>no</v>
      </c>
      <c r="P322" t="str">
        <f t="shared" si="48"/>
        <v>no</v>
      </c>
    </row>
    <row r="323" spans="2:16" x14ac:dyDescent="0.35">
      <c r="B323">
        <f t="shared" si="55"/>
        <v>308</v>
      </c>
      <c r="C323" s="7">
        <f t="shared" si="49"/>
        <v>308</v>
      </c>
      <c r="D323" s="1" cm="1">
        <f t="array" ref="D323">estimatedTripEnergy(C323,G$5,G$6,C$12,C$7,C$9,C$8,FALSE)/1000</f>
        <v>1382.7254992050998</v>
      </c>
      <c r="E323" s="1" cm="1">
        <f t="array" ref="E323">estimatedTripEnergy(C323,G$5,G$6,C$12,C$7,C$9,C$8)/1000</f>
        <v>1530.6854992050999</v>
      </c>
      <c r="F323" s="59" cm="1">
        <f t="array" ref="F323">estimatedTripDuration(C323,$C$8,$C$7)/60</f>
        <v>12.013819343432676</v>
      </c>
      <c r="G323">
        <f t="shared" si="46"/>
        <v>308</v>
      </c>
      <c r="H323" s="50">
        <f t="shared" si="50"/>
        <v>51.333333333333336</v>
      </c>
      <c r="I323" s="7" cm="1">
        <f t="array" ref="I323">CurrentCapacity(K$10,K$6,K$7,H323)</f>
        <v>35693.064000000006</v>
      </c>
      <c r="J323" s="48">
        <f t="shared" si="51"/>
        <v>4.2884676395534428E-2</v>
      </c>
      <c r="K323" s="5" cm="1">
        <f t="array" ref="K323">UseableCapacity(I323,$K$8,$K$9)</f>
        <v>26769.798000000003</v>
      </c>
      <c r="L323" s="59">
        <f t="shared" si="52"/>
        <v>34162.378500794905</v>
      </c>
      <c r="M323" s="7">
        <f t="shared" si="53"/>
        <v>25239.112500794901</v>
      </c>
      <c r="N323" s="7">
        <f t="shared" si="54"/>
        <v>2556.9359999999942</v>
      </c>
      <c r="O323" t="str">
        <f t="shared" si="47"/>
        <v>no</v>
      </c>
      <c r="P323" t="str">
        <f t="shared" si="48"/>
        <v>no</v>
      </c>
    </row>
    <row r="324" spans="2:16" x14ac:dyDescent="0.35">
      <c r="B324">
        <f t="shared" si="55"/>
        <v>309</v>
      </c>
      <c r="C324" s="7">
        <f t="shared" si="49"/>
        <v>309</v>
      </c>
      <c r="D324" s="1" cm="1">
        <f t="array" ref="D324">estimatedTripEnergy(C324,G$5,G$6,C$12,C$7,C$9,C$8,FALSE)/1000</f>
        <v>1383.6521783656999</v>
      </c>
      <c r="E324" s="1" cm="1">
        <f t="array" ref="E324">estimatedTripEnergy(C324,G$5,G$6,C$12,C$7,C$9,C$8)/1000</f>
        <v>1531.6121783656999</v>
      </c>
      <c r="F324" s="59" cm="1">
        <f t="array" ref="F324">estimatedTripDuration(C324,$C$8,$C$7)/60</f>
        <v>12.047152676766009</v>
      </c>
      <c r="G324">
        <f t="shared" si="46"/>
        <v>309</v>
      </c>
      <c r="H324" s="50">
        <f t="shared" si="50"/>
        <v>51.5</v>
      </c>
      <c r="I324" s="7" cm="1">
        <f t="array" ref="I324">CurrentCapacity(K$10,K$6,K$7,H324)</f>
        <v>35692.834500000004</v>
      </c>
      <c r="J324" s="48">
        <f t="shared" si="51"/>
        <v>4.2910914748608711E-2</v>
      </c>
      <c r="K324" s="5" cm="1">
        <f t="array" ref="K324">UseableCapacity(I324,$K$8,$K$9)</f>
        <v>26769.625875000005</v>
      </c>
      <c r="L324" s="59">
        <f t="shared" si="52"/>
        <v>34161.222321634305</v>
      </c>
      <c r="M324" s="7">
        <f t="shared" si="53"/>
        <v>25238.013696634305</v>
      </c>
      <c r="N324" s="7">
        <f t="shared" si="54"/>
        <v>2557.1654999999955</v>
      </c>
      <c r="O324" t="str">
        <f t="shared" si="47"/>
        <v>no</v>
      </c>
      <c r="P324" t="str">
        <f t="shared" si="48"/>
        <v>no</v>
      </c>
    </row>
    <row r="325" spans="2:16" x14ac:dyDescent="0.35">
      <c r="B325">
        <f t="shared" si="55"/>
        <v>310</v>
      </c>
      <c r="C325" s="7">
        <f t="shared" si="49"/>
        <v>310</v>
      </c>
      <c r="D325" s="1" cm="1">
        <f t="array" ref="D325">estimatedTripEnergy(C325,G$5,G$6,C$12,C$7,C$9,C$8,FALSE)/1000</f>
        <v>1384.5788575263</v>
      </c>
      <c r="E325" s="1" cm="1">
        <f t="array" ref="E325">estimatedTripEnergy(C325,G$5,G$6,C$12,C$7,C$9,C$8)/1000</f>
        <v>1532.5388575263</v>
      </c>
      <c r="F325" s="59" cm="1">
        <f t="array" ref="F325">estimatedTripDuration(C325,$C$8,$C$7)/60</f>
        <v>12.080486010099342</v>
      </c>
      <c r="G325">
        <f t="shared" si="46"/>
        <v>310</v>
      </c>
      <c r="H325" s="50">
        <f t="shared" si="50"/>
        <v>51.666666666666664</v>
      </c>
      <c r="I325" s="7" cm="1">
        <f t="array" ref="I325">CurrentCapacity(K$10,K$6,K$7,H325)</f>
        <v>35692.605000000003</v>
      </c>
      <c r="J325" s="48">
        <f t="shared" si="51"/>
        <v>4.2937153439103141E-2</v>
      </c>
      <c r="K325" s="5" cm="1">
        <f t="array" ref="K325">UseableCapacity(I325,$K$8,$K$9)</f>
        <v>26769.453750000001</v>
      </c>
      <c r="L325" s="59">
        <f t="shared" si="52"/>
        <v>34160.066142473705</v>
      </c>
      <c r="M325" s="7">
        <f t="shared" si="53"/>
        <v>25236.914892473702</v>
      </c>
      <c r="N325" s="7">
        <f t="shared" si="54"/>
        <v>2557.3949999999968</v>
      </c>
      <c r="O325" t="str">
        <f t="shared" si="47"/>
        <v>no</v>
      </c>
      <c r="P325" t="str">
        <f t="shared" si="48"/>
        <v>no</v>
      </c>
    </row>
    <row r="326" spans="2:16" x14ac:dyDescent="0.35">
      <c r="B326">
        <f t="shared" si="55"/>
        <v>311</v>
      </c>
      <c r="C326" s="7">
        <f t="shared" si="49"/>
        <v>311</v>
      </c>
      <c r="D326" s="1" cm="1">
        <f t="array" ref="D326">estimatedTripEnergy(C326,G$5,G$6,C$12,C$7,C$9,C$8,FALSE)/1000</f>
        <v>1385.5055366869001</v>
      </c>
      <c r="E326" s="1" cm="1">
        <f t="array" ref="E326">estimatedTripEnergy(C326,G$5,G$6,C$12,C$7,C$9,C$8)/1000</f>
        <v>1533.4655366869001</v>
      </c>
      <c r="F326" s="59" cm="1">
        <f t="array" ref="F326">estimatedTripDuration(C326,$C$8,$C$7)/60</f>
        <v>12.113819343432676</v>
      </c>
      <c r="G326">
        <f t="shared" si="46"/>
        <v>311</v>
      </c>
      <c r="H326" s="50">
        <f t="shared" si="50"/>
        <v>51.833333333333336</v>
      </c>
      <c r="I326" s="7" cm="1">
        <f t="array" ref="I326">CurrentCapacity(K$10,K$6,K$7,H326)</f>
        <v>35692.375500000002</v>
      </c>
      <c r="J326" s="48">
        <f t="shared" si="51"/>
        <v>4.2963392467024228E-2</v>
      </c>
      <c r="K326" s="5" cm="1">
        <f t="array" ref="K326">UseableCapacity(I326,$K$8,$K$9)</f>
        <v>26769.281625000003</v>
      </c>
      <c r="L326" s="59">
        <f t="shared" si="52"/>
        <v>34158.909963313105</v>
      </c>
      <c r="M326" s="7">
        <f t="shared" si="53"/>
        <v>25235.816088313102</v>
      </c>
      <c r="N326" s="7">
        <f t="shared" si="54"/>
        <v>2557.6244999999981</v>
      </c>
      <c r="O326" t="str">
        <f t="shared" si="47"/>
        <v>no</v>
      </c>
      <c r="P326" t="str">
        <f t="shared" si="48"/>
        <v>no</v>
      </c>
    </row>
    <row r="327" spans="2:16" x14ac:dyDescent="0.35">
      <c r="B327">
        <f t="shared" si="55"/>
        <v>312</v>
      </c>
      <c r="C327" s="7">
        <f t="shared" si="49"/>
        <v>312</v>
      </c>
      <c r="D327" s="1" cm="1">
        <f t="array" ref="D327">estimatedTripEnergy(C327,G$5,G$6,C$12,C$7,C$9,C$8,FALSE)/1000</f>
        <v>1386.4322158475002</v>
      </c>
      <c r="E327" s="1" cm="1">
        <f t="array" ref="E327">estimatedTripEnergy(C327,G$5,G$6,C$12,C$7,C$9,C$8)/1000</f>
        <v>1534.3922158475002</v>
      </c>
      <c r="F327" s="59" cm="1">
        <f t="array" ref="F327">estimatedTripDuration(C327,$C$8,$C$7)/60</f>
        <v>12.147152676766009</v>
      </c>
      <c r="G327">
        <f t="shared" si="46"/>
        <v>312</v>
      </c>
      <c r="H327" s="50">
        <f t="shared" si="50"/>
        <v>52</v>
      </c>
      <c r="I327" s="7" cm="1">
        <f t="array" ref="I327">CurrentCapacity(K$10,K$6,K$7,H327)</f>
        <v>35692.146000000001</v>
      </c>
      <c r="J327" s="48">
        <f t="shared" si="51"/>
        <v>4.2989631832378479E-2</v>
      </c>
      <c r="K327" s="5" cm="1">
        <f t="array" ref="K327">UseableCapacity(I327,$K$8,$K$9)</f>
        <v>26769.109499999999</v>
      </c>
      <c r="L327" s="59">
        <f t="shared" si="52"/>
        <v>34157.753784152497</v>
      </c>
      <c r="M327" s="7">
        <f t="shared" si="53"/>
        <v>25234.717284152499</v>
      </c>
      <c r="N327" s="7">
        <f t="shared" si="54"/>
        <v>2557.8539999999994</v>
      </c>
      <c r="O327" t="str">
        <f t="shared" si="47"/>
        <v>no</v>
      </c>
      <c r="P327" t="str">
        <f t="shared" si="48"/>
        <v>no</v>
      </c>
    </row>
    <row r="328" spans="2:16" x14ac:dyDescent="0.35">
      <c r="B328">
        <f t="shared" si="55"/>
        <v>313</v>
      </c>
      <c r="C328" s="7">
        <f t="shared" si="49"/>
        <v>313</v>
      </c>
      <c r="D328" s="1" cm="1">
        <f t="array" ref="D328">estimatedTripEnergy(C328,G$5,G$6,C$12,C$7,C$9,C$8,FALSE)/1000</f>
        <v>1387.3588950081</v>
      </c>
      <c r="E328" s="1" cm="1">
        <f t="array" ref="E328">estimatedTripEnergy(C328,G$5,G$6,C$12,C$7,C$9,C$8)/1000</f>
        <v>1535.3188950081001</v>
      </c>
      <c r="F328" s="59" cm="1">
        <f t="array" ref="F328">estimatedTripDuration(C328,$C$8,$C$7)/60</f>
        <v>12.180486010099342</v>
      </c>
      <c r="G328">
        <f t="shared" si="46"/>
        <v>313</v>
      </c>
      <c r="H328" s="50">
        <f t="shared" si="50"/>
        <v>52.166666666666664</v>
      </c>
      <c r="I328" s="7" cm="1">
        <f t="array" ref="I328">CurrentCapacity(K$10,K$6,K$7,H328)</f>
        <v>35691.916499999999</v>
      </c>
      <c r="J328" s="48">
        <f t="shared" si="51"/>
        <v>4.3015871535172397E-2</v>
      </c>
      <c r="K328" s="5" cm="1">
        <f t="array" ref="K328">UseableCapacity(I328,$K$8,$K$9)</f>
        <v>26768.937375000001</v>
      </c>
      <c r="L328" s="59">
        <f t="shared" si="52"/>
        <v>34156.597604991897</v>
      </c>
      <c r="M328" s="7">
        <f t="shared" si="53"/>
        <v>25233.618479991903</v>
      </c>
      <c r="N328" s="7">
        <f t="shared" si="54"/>
        <v>2558.0835000000006</v>
      </c>
      <c r="O328" t="str">
        <f t="shared" si="47"/>
        <v>no</v>
      </c>
      <c r="P328" t="str">
        <f t="shared" si="48"/>
        <v>no</v>
      </c>
    </row>
    <row r="329" spans="2:16" x14ac:dyDescent="0.35">
      <c r="B329">
        <f t="shared" si="55"/>
        <v>314</v>
      </c>
      <c r="C329" s="7">
        <f t="shared" si="49"/>
        <v>314</v>
      </c>
      <c r="D329" s="1" cm="1">
        <f t="array" ref="D329">estimatedTripEnergy(C329,G$5,G$6,C$12,C$7,C$9,C$8,FALSE)/1000</f>
        <v>1388.2855741687001</v>
      </c>
      <c r="E329" s="1" cm="1">
        <f t="array" ref="E329">estimatedTripEnergy(C329,G$5,G$6,C$12,C$7,C$9,C$8)/1000</f>
        <v>1536.2455741686999</v>
      </c>
      <c r="F329" s="59" cm="1">
        <f t="array" ref="F329">estimatedTripDuration(C329,$C$8,$C$7)/60</f>
        <v>12.213819343432675</v>
      </c>
      <c r="G329">
        <f t="shared" si="46"/>
        <v>314</v>
      </c>
      <c r="H329" s="50">
        <f t="shared" si="50"/>
        <v>52.333333333333336</v>
      </c>
      <c r="I329" s="7" cm="1">
        <f t="array" ref="I329">CurrentCapacity(K$10,K$6,K$7,H329)</f>
        <v>35691.687000000005</v>
      </c>
      <c r="J329" s="48">
        <f t="shared" si="51"/>
        <v>4.3042111575412496E-2</v>
      </c>
      <c r="K329" s="5" cm="1">
        <f t="array" ref="K329">UseableCapacity(I329,$K$8,$K$9)</f>
        <v>26768.765250000004</v>
      </c>
      <c r="L329" s="59">
        <f t="shared" si="52"/>
        <v>34155.441425831305</v>
      </c>
      <c r="M329" s="7">
        <f t="shared" si="53"/>
        <v>25232.519675831303</v>
      </c>
      <c r="N329" s="7">
        <f t="shared" si="54"/>
        <v>2558.3129999999946</v>
      </c>
      <c r="O329" t="str">
        <f t="shared" si="47"/>
        <v>no</v>
      </c>
      <c r="P329" t="str">
        <f t="shared" si="48"/>
        <v>no</v>
      </c>
    </row>
    <row r="330" spans="2:16" x14ac:dyDescent="0.35">
      <c r="B330">
        <f t="shared" si="55"/>
        <v>315</v>
      </c>
      <c r="C330" s="7">
        <f t="shared" si="49"/>
        <v>315</v>
      </c>
      <c r="D330" s="1" cm="1">
        <f t="array" ref="D330">estimatedTripEnergy(C330,G$5,G$6,C$12,C$7,C$9,C$8,FALSE)/1000</f>
        <v>1389.2122533293</v>
      </c>
      <c r="E330" s="1" cm="1">
        <f t="array" ref="E330">estimatedTripEnergy(C330,G$5,G$6,C$12,C$7,C$9,C$8)/1000</f>
        <v>1537.1722533293</v>
      </c>
      <c r="F330" s="59" cm="1">
        <f t="array" ref="F330">estimatedTripDuration(C330,$C$8,$C$7)/60</f>
        <v>12.247152676766008</v>
      </c>
      <c r="G330">
        <f t="shared" ref="G330:G351" si="56">B330</f>
        <v>315</v>
      </c>
      <c r="H330" s="50">
        <f t="shared" si="50"/>
        <v>52.5</v>
      </c>
      <c r="I330" s="7" cm="1">
        <f t="array" ref="I330">CurrentCapacity(K$10,K$6,K$7,H330)</f>
        <v>35691.457500000004</v>
      </c>
      <c r="J330" s="48">
        <f t="shared" si="51"/>
        <v>4.3068351953105301E-2</v>
      </c>
      <c r="K330" s="5" cm="1">
        <f t="array" ref="K330">UseableCapacity(I330,$K$8,$K$9)</f>
        <v>26768.593125000003</v>
      </c>
      <c r="L330" s="59">
        <f t="shared" si="52"/>
        <v>34154.285246670705</v>
      </c>
      <c r="M330" s="7">
        <f t="shared" si="53"/>
        <v>25231.420871670703</v>
      </c>
      <c r="N330" s="7">
        <f t="shared" si="54"/>
        <v>2558.5424999999959</v>
      </c>
      <c r="O330" t="str">
        <f t="shared" ref="O330:O351" si="57">IF(M330&lt;0,"yes","no")</f>
        <v>no</v>
      </c>
      <c r="P330" t="str">
        <f t="shared" ref="P330:P351" si="58">IF(L330&lt;0,"yes","no")</f>
        <v>no</v>
      </c>
    </row>
    <row r="331" spans="2:16" x14ac:dyDescent="0.35">
      <c r="B331">
        <f t="shared" si="55"/>
        <v>316</v>
      </c>
      <c r="C331" s="7">
        <f t="shared" si="49"/>
        <v>316</v>
      </c>
      <c r="D331" s="1" cm="1">
        <f t="array" ref="D331">estimatedTripEnergy(C331,G$5,G$6,C$12,C$7,C$9,C$8,FALSE)/1000</f>
        <v>1390.1389324898998</v>
      </c>
      <c r="E331" s="1" cm="1">
        <f t="array" ref="E331">estimatedTripEnergy(C331,G$5,G$6,C$12,C$7,C$9,C$8)/1000</f>
        <v>1538.0989324898999</v>
      </c>
      <c r="F331" s="59" cm="1">
        <f t="array" ref="F331">estimatedTripDuration(C331,$C$8,$C$7)/60</f>
        <v>12.280486010099342</v>
      </c>
      <c r="G331">
        <f t="shared" si="56"/>
        <v>316</v>
      </c>
      <c r="H331" s="50">
        <f t="shared" si="50"/>
        <v>52.666666666666664</v>
      </c>
      <c r="I331" s="7" cm="1">
        <f t="array" ref="I331">CurrentCapacity(K$10,K$6,K$7,H331)</f>
        <v>35691.228000000003</v>
      </c>
      <c r="J331" s="48">
        <f t="shared" si="51"/>
        <v>4.3094592668257305E-2</v>
      </c>
      <c r="K331" s="5" cm="1">
        <f t="array" ref="K331">UseableCapacity(I331,$K$8,$K$9)</f>
        <v>26768.421000000002</v>
      </c>
      <c r="L331" s="59">
        <f t="shared" si="52"/>
        <v>34153.129067510105</v>
      </c>
      <c r="M331" s="7">
        <f t="shared" si="53"/>
        <v>25230.322067510104</v>
      </c>
      <c r="N331" s="7">
        <f t="shared" si="54"/>
        <v>2558.7719999999972</v>
      </c>
      <c r="O331" t="str">
        <f t="shared" si="57"/>
        <v>no</v>
      </c>
      <c r="P331" t="str">
        <f t="shared" si="58"/>
        <v>no</v>
      </c>
    </row>
    <row r="332" spans="2:16" x14ac:dyDescent="0.35">
      <c r="B332">
        <f t="shared" si="55"/>
        <v>317</v>
      </c>
      <c r="C332" s="7">
        <f t="shared" si="49"/>
        <v>317</v>
      </c>
      <c r="D332" s="1" cm="1">
        <f t="array" ref="D332">estimatedTripEnergy(C332,G$5,G$6,C$12,C$7,C$9,C$8,FALSE)/1000</f>
        <v>1391.0656116504999</v>
      </c>
      <c r="E332" s="1" cm="1">
        <f t="array" ref="E332">estimatedTripEnergy(C332,G$5,G$6,C$12,C$7,C$9,C$8)/1000</f>
        <v>1539.0256116505</v>
      </c>
      <c r="F332" s="59" cm="1">
        <f t="array" ref="F332">estimatedTripDuration(C332,$C$8,$C$7)/60</f>
        <v>12.313819343432675</v>
      </c>
      <c r="G332">
        <f t="shared" si="56"/>
        <v>317</v>
      </c>
      <c r="H332" s="50">
        <f t="shared" si="50"/>
        <v>52.833333333333336</v>
      </c>
      <c r="I332" s="7" cm="1">
        <f t="array" ref="I332">CurrentCapacity(K$10,K$6,K$7,H332)</f>
        <v>35690.998500000002</v>
      </c>
      <c r="J332" s="48">
        <f t="shared" si="51"/>
        <v>4.3120833720875024E-2</v>
      </c>
      <c r="K332" s="5" cm="1">
        <f t="array" ref="K332">UseableCapacity(I332,$K$8,$K$9)</f>
        <v>26768.248875000001</v>
      </c>
      <c r="L332" s="59">
        <f t="shared" si="52"/>
        <v>34151.972888349505</v>
      </c>
      <c r="M332" s="7">
        <f t="shared" si="53"/>
        <v>25229.2232633495</v>
      </c>
      <c r="N332" s="7">
        <f t="shared" si="54"/>
        <v>2559.0014999999985</v>
      </c>
      <c r="O332" t="str">
        <f t="shared" si="57"/>
        <v>no</v>
      </c>
      <c r="P332" t="str">
        <f t="shared" si="58"/>
        <v>no</v>
      </c>
    </row>
    <row r="333" spans="2:16" x14ac:dyDescent="0.35">
      <c r="B333">
        <f t="shared" si="55"/>
        <v>318</v>
      </c>
      <c r="C333" s="7">
        <f t="shared" si="49"/>
        <v>318</v>
      </c>
      <c r="D333" s="1" cm="1">
        <f t="array" ref="D333">estimatedTripEnergy(C333,G$5,G$6,C$12,C$7,C$9,C$8,FALSE)/1000</f>
        <v>1391.9922908111</v>
      </c>
      <c r="E333" s="1" cm="1">
        <f t="array" ref="E333">estimatedTripEnergy(C333,G$5,G$6,C$12,C$7,C$9,C$8)/1000</f>
        <v>1539.9522908111001</v>
      </c>
      <c r="F333" s="59" cm="1">
        <f t="array" ref="F333">estimatedTripDuration(C333,$C$8,$C$7)/60</f>
        <v>12.347152676766008</v>
      </c>
      <c r="G333">
        <f t="shared" si="56"/>
        <v>318</v>
      </c>
      <c r="H333" s="50">
        <f t="shared" si="50"/>
        <v>53</v>
      </c>
      <c r="I333" s="7" cm="1">
        <f t="array" ref="I333">CurrentCapacity(K$10,K$6,K$7,H333)</f>
        <v>35690.769</v>
      </c>
      <c r="J333" s="48">
        <f t="shared" si="51"/>
        <v>4.3147075110964966E-2</v>
      </c>
      <c r="K333" s="5" cm="1">
        <f t="array" ref="K333">UseableCapacity(I333,$K$8,$K$9)</f>
        <v>26768.07675</v>
      </c>
      <c r="L333" s="59">
        <f t="shared" si="52"/>
        <v>34150.816709188897</v>
      </c>
      <c r="M333" s="7">
        <f t="shared" si="53"/>
        <v>25228.124459188901</v>
      </c>
      <c r="N333" s="7">
        <f t="shared" si="54"/>
        <v>2559.2309999999998</v>
      </c>
      <c r="O333" t="str">
        <f t="shared" si="57"/>
        <v>no</v>
      </c>
      <c r="P333" t="str">
        <f t="shared" si="58"/>
        <v>no</v>
      </c>
    </row>
    <row r="334" spans="2:16" x14ac:dyDescent="0.35">
      <c r="B334">
        <f t="shared" si="55"/>
        <v>319</v>
      </c>
      <c r="C334" s="7">
        <f t="shared" si="49"/>
        <v>319</v>
      </c>
      <c r="D334" s="1" cm="1">
        <f t="array" ref="D334">estimatedTripEnergy(C334,G$5,G$6,C$12,C$7,C$9,C$8,FALSE)/1000</f>
        <v>1392.9189699717001</v>
      </c>
      <c r="E334" s="1" cm="1">
        <f t="array" ref="E334">estimatedTripEnergy(C334,G$5,G$6,C$12,C$7,C$9,C$8)/1000</f>
        <v>1540.8789699717001</v>
      </c>
      <c r="F334" s="59" cm="1">
        <f t="array" ref="F334">estimatedTripDuration(C334,$C$8,$C$7)/60</f>
        <v>12.380486010099341</v>
      </c>
      <c r="G334">
        <f t="shared" si="56"/>
        <v>319</v>
      </c>
      <c r="H334" s="50">
        <f t="shared" si="50"/>
        <v>53.166666666666664</v>
      </c>
      <c r="I334" s="7" cm="1">
        <f t="array" ref="I334">CurrentCapacity(K$10,K$6,K$7,H334)</f>
        <v>35690.539500000006</v>
      </c>
      <c r="J334" s="48">
        <f t="shared" si="51"/>
        <v>4.3173316838533635E-2</v>
      </c>
      <c r="K334" s="5" cm="1">
        <f t="array" ref="K334">UseableCapacity(I334,$K$8,$K$9)</f>
        <v>26767.904625000003</v>
      </c>
      <c r="L334" s="59">
        <f t="shared" si="52"/>
        <v>34149.660530028304</v>
      </c>
      <c r="M334" s="7">
        <f t="shared" si="53"/>
        <v>25227.025655028301</v>
      </c>
      <c r="N334" s="7">
        <f t="shared" si="54"/>
        <v>2559.4604999999938</v>
      </c>
      <c r="O334" t="str">
        <f t="shared" si="57"/>
        <v>no</v>
      </c>
      <c r="P334" t="str">
        <f t="shared" si="58"/>
        <v>no</v>
      </c>
    </row>
    <row r="335" spans="2:16" x14ac:dyDescent="0.35">
      <c r="B335">
        <f t="shared" si="55"/>
        <v>320</v>
      </c>
      <c r="C335" s="7">
        <f t="shared" si="49"/>
        <v>320</v>
      </c>
      <c r="D335" s="1" cm="1">
        <f t="array" ref="D335">estimatedTripEnergy(C335,G$5,G$6,C$12,C$7,C$9,C$8,FALSE)/1000</f>
        <v>1393.8456491323</v>
      </c>
      <c r="E335" s="1" cm="1">
        <f t="array" ref="E335">estimatedTripEnergy(C335,G$5,G$6,C$12,C$7,C$9,C$8)/1000</f>
        <v>1541.8056491323</v>
      </c>
      <c r="F335" s="59" cm="1">
        <f t="array" ref="F335">estimatedTripDuration(C335,$C$8,$C$7)/60</f>
        <v>12.413819343432674</v>
      </c>
      <c r="G335">
        <f t="shared" si="56"/>
        <v>320</v>
      </c>
      <c r="H335" s="50">
        <f t="shared" si="50"/>
        <v>53.333333333333336</v>
      </c>
      <c r="I335" s="7" cm="1">
        <f t="array" ref="I335">CurrentCapacity(K$10,K$6,K$7,H335)</f>
        <v>35690.31</v>
      </c>
      <c r="J335" s="48">
        <f t="shared" si="51"/>
        <v>4.3199558903587558E-2</v>
      </c>
      <c r="K335" s="5" cm="1">
        <f t="array" ref="K335">UseableCapacity(I335,$K$8,$K$9)</f>
        <v>26767.732499999998</v>
      </c>
      <c r="L335" s="59">
        <f t="shared" si="52"/>
        <v>34148.504350867697</v>
      </c>
      <c r="M335" s="7">
        <f t="shared" si="53"/>
        <v>25225.926850867698</v>
      </c>
      <c r="N335" s="7">
        <f t="shared" si="54"/>
        <v>2559.6900000000023</v>
      </c>
      <c r="O335" t="str">
        <f t="shared" si="57"/>
        <v>no</v>
      </c>
      <c r="P335" t="str">
        <f t="shared" si="58"/>
        <v>no</v>
      </c>
    </row>
    <row r="336" spans="2:16" x14ac:dyDescent="0.35">
      <c r="B336">
        <f t="shared" si="55"/>
        <v>321</v>
      </c>
      <c r="C336" s="7">
        <f t="shared" ref="C336:C399" si="59">$C$8*B336</f>
        <v>321</v>
      </c>
      <c r="D336" s="1" cm="1">
        <f t="array" ref="D336">estimatedTripEnergy(C336,G$5,G$6,C$12,C$7,C$9,C$8,FALSE)/1000</f>
        <v>1394.7723282929001</v>
      </c>
      <c r="E336" s="1" cm="1">
        <f t="array" ref="E336">estimatedTripEnergy(C336,G$5,G$6,C$12,C$7,C$9,C$8)/1000</f>
        <v>1542.7323282929001</v>
      </c>
      <c r="F336" s="59" cm="1">
        <f t="array" ref="F336">estimatedTripDuration(C336,$C$8,$C$7)/60</f>
        <v>12.447152676766008</v>
      </c>
      <c r="G336">
        <f t="shared" si="56"/>
        <v>321</v>
      </c>
      <c r="H336" s="50">
        <f t="shared" ref="H336:H399" si="60">G336/$G$4</f>
        <v>53.5</v>
      </c>
      <c r="I336" s="7" cm="1">
        <f t="array" ref="I336">CurrentCapacity(K$10,K$6,K$7,H336)</f>
        <v>35690.080500000004</v>
      </c>
      <c r="J336" s="48">
        <f t="shared" ref="J336:J399" si="61">E336/I336</f>
        <v>4.3225801306133224E-2</v>
      </c>
      <c r="K336" s="5" cm="1">
        <f t="array" ref="K336">UseableCapacity(I336,$K$8,$K$9)</f>
        <v>26767.560375000001</v>
      </c>
      <c r="L336" s="59">
        <f t="shared" ref="L336:L399" si="62">(K$8*I336)-E336</f>
        <v>34147.348171707104</v>
      </c>
      <c r="M336" s="7">
        <f t="shared" ref="M336:M399" si="63">K336-E336</f>
        <v>25224.828046707102</v>
      </c>
      <c r="N336" s="7">
        <f t="shared" ref="N336:N399" si="64">$K$10-I336</f>
        <v>2559.9194999999963</v>
      </c>
      <c r="O336" t="str">
        <f t="shared" si="57"/>
        <v>no</v>
      </c>
      <c r="P336" t="str">
        <f t="shared" si="58"/>
        <v>no</v>
      </c>
    </row>
    <row r="337" spans="2:16" x14ac:dyDescent="0.35">
      <c r="B337">
        <f t="shared" ref="B337:B400" si="65">B336+$G$12</f>
        <v>322</v>
      </c>
      <c r="C337" s="7">
        <f t="shared" si="59"/>
        <v>322</v>
      </c>
      <c r="D337" s="1" cm="1">
        <f t="array" ref="D337">estimatedTripEnergy(C337,G$5,G$6,C$12,C$7,C$9,C$8,FALSE)/1000</f>
        <v>1395.6990074535001</v>
      </c>
      <c r="E337" s="1" cm="1">
        <f t="array" ref="E337">estimatedTripEnergy(C337,G$5,G$6,C$12,C$7,C$9,C$8)/1000</f>
        <v>1543.6590074535</v>
      </c>
      <c r="F337" s="59" cm="1">
        <f t="array" ref="F337">estimatedTripDuration(C337,$C$8,$C$7)/60</f>
        <v>12.480486010099343</v>
      </c>
      <c r="G337">
        <f t="shared" si="56"/>
        <v>322</v>
      </c>
      <c r="H337" s="50">
        <f t="shared" si="60"/>
        <v>53.666666666666664</v>
      </c>
      <c r="I337" s="7" cm="1">
        <f t="array" ref="I337">CurrentCapacity(K$10,K$6,K$7,H337)</f>
        <v>35689.851000000002</v>
      </c>
      <c r="J337" s="48">
        <f t="shared" si="61"/>
        <v>4.3252044046177156E-2</v>
      </c>
      <c r="K337" s="5" cm="1">
        <f t="array" ref="K337">UseableCapacity(I337,$K$8,$K$9)</f>
        <v>26767.388250000004</v>
      </c>
      <c r="L337" s="59">
        <f t="shared" si="62"/>
        <v>34146.191992546504</v>
      </c>
      <c r="M337" s="7">
        <f t="shared" si="63"/>
        <v>25223.729242546502</v>
      </c>
      <c r="N337" s="7">
        <f t="shared" si="64"/>
        <v>2560.1489999999976</v>
      </c>
      <c r="O337" t="str">
        <f t="shared" si="57"/>
        <v>no</v>
      </c>
      <c r="P337" t="str">
        <f t="shared" si="58"/>
        <v>no</v>
      </c>
    </row>
    <row r="338" spans="2:16" x14ac:dyDescent="0.35">
      <c r="B338">
        <f t="shared" si="65"/>
        <v>323</v>
      </c>
      <c r="C338" s="7">
        <f t="shared" si="59"/>
        <v>323</v>
      </c>
      <c r="D338" s="1" cm="1">
        <f t="array" ref="D338">estimatedTripEnergy(C338,G$5,G$6,C$12,C$7,C$9,C$8,FALSE)/1000</f>
        <v>1396.6256866140998</v>
      </c>
      <c r="E338" s="1" cm="1">
        <f t="array" ref="E338">estimatedTripEnergy(C338,G$5,G$6,C$12,C$7,C$9,C$8)/1000</f>
        <v>1544.5856866140998</v>
      </c>
      <c r="F338" s="59" cm="1">
        <f t="array" ref="F338">estimatedTripDuration(C338,$C$8,$C$7)/60</f>
        <v>12.513819343432676</v>
      </c>
      <c r="G338">
        <f t="shared" si="56"/>
        <v>323</v>
      </c>
      <c r="H338" s="50">
        <f t="shared" si="60"/>
        <v>53.833333333333336</v>
      </c>
      <c r="I338" s="7" cm="1">
        <f t="array" ref="I338">CurrentCapacity(K$10,K$6,K$7,H338)</f>
        <v>35689.621500000001</v>
      </c>
      <c r="J338" s="48">
        <f t="shared" si="61"/>
        <v>4.3278287123725862E-2</v>
      </c>
      <c r="K338" s="5" cm="1">
        <f t="array" ref="K338">UseableCapacity(I338,$K$8,$K$9)</f>
        <v>26767.216124999999</v>
      </c>
      <c r="L338" s="59">
        <f t="shared" si="62"/>
        <v>34145.035813385904</v>
      </c>
      <c r="M338" s="7">
        <f t="shared" si="63"/>
        <v>25222.630438385899</v>
      </c>
      <c r="N338" s="7">
        <f t="shared" si="64"/>
        <v>2560.3784999999989</v>
      </c>
      <c r="O338" t="str">
        <f t="shared" si="57"/>
        <v>no</v>
      </c>
      <c r="P338" t="str">
        <f t="shared" si="58"/>
        <v>no</v>
      </c>
    </row>
    <row r="339" spans="2:16" x14ac:dyDescent="0.35">
      <c r="B339">
        <f t="shared" si="65"/>
        <v>324</v>
      </c>
      <c r="C339" s="7">
        <f t="shared" si="59"/>
        <v>324</v>
      </c>
      <c r="D339" s="1" cm="1">
        <f t="array" ref="D339">estimatedTripEnergy(C339,G$5,G$6,C$12,C$7,C$9,C$8,FALSE)/1000</f>
        <v>1397.5523657746999</v>
      </c>
      <c r="E339" s="1" cm="1">
        <f t="array" ref="E339">estimatedTripEnergy(C339,G$5,G$6,C$12,C$7,C$9,C$8)/1000</f>
        <v>1545.5123657746999</v>
      </c>
      <c r="F339" s="59" cm="1">
        <f t="array" ref="F339">estimatedTripDuration(C339,$C$8,$C$7)/60</f>
        <v>12.547152676766009</v>
      </c>
      <c r="G339">
        <f t="shared" si="56"/>
        <v>324</v>
      </c>
      <c r="H339" s="50">
        <f t="shared" si="60"/>
        <v>54</v>
      </c>
      <c r="I339" s="7" cm="1">
        <f t="array" ref="I339">CurrentCapacity(K$10,K$6,K$7,H339)</f>
        <v>35689.392000000007</v>
      </c>
      <c r="J339" s="48">
        <f t="shared" si="61"/>
        <v>4.3304530538785857E-2</v>
      </c>
      <c r="K339" s="5" cm="1">
        <f t="array" ref="K339">UseableCapacity(I339,$K$8,$K$9)</f>
        <v>26767.044000000005</v>
      </c>
      <c r="L339" s="59">
        <f t="shared" si="62"/>
        <v>34143.879634225304</v>
      </c>
      <c r="M339" s="7">
        <f t="shared" si="63"/>
        <v>25221.531634225306</v>
      </c>
      <c r="N339" s="7">
        <f t="shared" si="64"/>
        <v>2560.6079999999929</v>
      </c>
      <c r="O339" t="str">
        <f t="shared" si="57"/>
        <v>no</v>
      </c>
      <c r="P339" t="str">
        <f t="shared" si="58"/>
        <v>no</v>
      </c>
    </row>
    <row r="340" spans="2:16" x14ac:dyDescent="0.35">
      <c r="B340">
        <f t="shared" si="65"/>
        <v>325</v>
      </c>
      <c r="C340" s="7">
        <f t="shared" si="59"/>
        <v>325</v>
      </c>
      <c r="D340" s="1" cm="1">
        <f t="array" ref="D340">estimatedTripEnergy(C340,G$5,G$6,C$12,C$7,C$9,C$8,FALSE)/1000</f>
        <v>1398.4790449353</v>
      </c>
      <c r="E340" s="1" cm="1">
        <f t="array" ref="E340">estimatedTripEnergy(C340,G$5,G$6,C$12,C$7,C$9,C$8)/1000</f>
        <v>1546.4390449353</v>
      </c>
      <c r="F340" s="59" cm="1">
        <f t="array" ref="F340">estimatedTripDuration(C340,$C$8,$C$7)/60</f>
        <v>12.580486010099342</v>
      </c>
      <c r="G340">
        <f t="shared" si="56"/>
        <v>325</v>
      </c>
      <c r="H340" s="50">
        <f t="shared" si="60"/>
        <v>54.166666666666664</v>
      </c>
      <c r="I340" s="7" cm="1">
        <f t="array" ref="I340">CurrentCapacity(K$10,K$6,K$7,H340)</f>
        <v>35689.162499999999</v>
      </c>
      <c r="J340" s="48">
        <f t="shared" si="61"/>
        <v>4.3330774291363658E-2</v>
      </c>
      <c r="K340" s="5" cm="1">
        <f t="array" ref="K340">UseableCapacity(I340,$K$8,$K$9)</f>
        <v>26766.871874999997</v>
      </c>
      <c r="L340" s="59">
        <f t="shared" si="62"/>
        <v>34142.723455064697</v>
      </c>
      <c r="M340" s="7">
        <f t="shared" si="63"/>
        <v>25220.432830064696</v>
      </c>
      <c r="N340" s="7">
        <f t="shared" si="64"/>
        <v>2560.8375000000015</v>
      </c>
      <c r="O340" t="str">
        <f t="shared" si="57"/>
        <v>no</v>
      </c>
      <c r="P340" t="str">
        <f t="shared" si="58"/>
        <v>no</v>
      </c>
    </row>
    <row r="341" spans="2:16" x14ac:dyDescent="0.35">
      <c r="B341">
        <f t="shared" si="65"/>
        <v>326</v>
      </c>
      <c r="C341" s="7">
        <f t="shared" si="59"/>
        <v>326</v>
      </c>
      <c r="D341" s="1" cm="1">
        <f t="array" ref="D341">estimatedTripEnergy(C341,G$5,G$6,C$12,C$7,C$9,C$8,FALSE)/1000</f>
        <v>1399.4057240959</v>
      </c>
      <c r="E341" s="1" cm="1">
        <f t="array" ref="E341">estimatedTripEnergy(C341,G$5,G$6,C$12,C$7,C$9,C$8)/1000</f>
        <v>1547.3657240959001</v>
      </c>
      <c r="F341" s="59" cm="1">
        <f t="array" ref="F341">estimatedTripDuration(C341,$C$8,$C$7)/60</f>
        <v>12.613819343432676</v>
      </c>
      <c r="G341">
        <f t="shared" si="56"/>
        <v>326</v>
      </c>
      <c r="H341" s="50">
        <f t="shared" si="60"/>
        <v>54.333333333333336</v>
      </c>
      <c r="I341" s="7" cm="1">
        <f t="array" ref="I341">CurrentCapacity(K$10,K$6,K$7,H341)</f>
        <v>35688.933000000005</v>
      </c>
      <c r="J341" s="48">
        <f t="shared" si="61"/>
        <v>4.3357018381465759E-2</v>
      </c>
      <c r="K341" s="5" cm="1">
        <f t="array" ref="K341">UseableCapacity(I341,$K$8,$K$9)</f>
        <v>26766.699750000003</v>
      </c>
      <c r="L341" s="59">
        <f t="shared" si="62"/>
        <v>34141.567275904104</v>
      </c>
      <c r="M341" s="7">
        <f t="shared" si="63"/>
        <v>25219.334025904103</v>
      </c>
      <c r="N341" s="7">
        <f t="shared" si="64"/>
        <v>2561.0669999999955</v>
      </c>
      <c r="O341" t="str">
        <f t="shared" si="57"/>
        <v>no</v>
      </c>
      <c r="P341" t="str">
        <f t="shared" si="58"/>
        <v>no</v>
      </c>
    </row>
    <row r="342" spans="2:16" x14ac:dyDescent="0.35">
      <c r="B342">
        <f t="shared" si="65"/>
        <v>327</v>
      </c>
      <c r="C342" s="7">
        <f t="shared" si="59"/>
        <v>327</v>
      </c>
      <c r="D342" s="1" cm="1">
        <f t="array" ref="D342">estimatedTripEnergy(C342,G$5,G$6,C$12,C$7,C$9,C$8,FALSE)/1000</f>
        <v>1400.3324032565001</v>
      </c>
      <c r="E342" s="1" cm="1">
        <f t="array" ref="E342">estimatedTripEnergy(C342,G$5,G$6,C$12,C$7,C$9,C$8)/1000</f>
        <v>1548.2924032565002</v>
      </c>
      <c r="F342" s="59" cm="1">
        <f t="array" ref="F342">estimatedTripDuration(C342,$C$8,$C$7)/60</f>
        <v>12.647152676766009</v>
      </c>
      <c r="G342">
        <f t="shared" si="56"/>
        <v>327</v>
      </c>
      <c r="H342" s="50">
        <f t="shared" si="60"/>
        <v>54.5</v>
      </c>
      <c r="I342" s="7" cm="1">
        <f t="array" ref="I342">CurrentCapacity(K$10,K$6,K$7,H342)</f>
        <v>35688.703500000003</v>
      </c>
      <c r="J342" s="48">
        <f t="shared" si="61"/>
        <v>4.3383262809098683E-2</v>
      </c>
      <c r="K342" s="5" cm="1">
        <f t="array" ref="K342">UseableCapacity(I342,$K$8,$K$9)</f>
        <v>26766.527625000002</v>
      </c>
      <c r="L342" s="59">
        <f t="shared" si="62"/>
        <v>34140.411096743504</v>
      </c>
      <c r="M342" s="7">
        <f t="shared" si="63"/>
        <v>25218.235221743504</v>
      </c>
      <c r="N342" s="7">
        <f t="shared" si="64"/>
        <v>2561.2964999999967</v>
      </c>
      <c r="O342" t="str">
        <f t="shared" si="57"/>
        <v>no</v>
      </c>
      <c r="P342" t="str">
        <f t="shared" si="58"/>
        <v>no</v>
      </c>
    </row>
    <row r="343" spans="2:16" x14ac:dyDescent="0.35">
      <c r="B343">
        <f t="shared" si="65"/>
        <v>328</v>
      </c>
      <c r="C343" s="7">
        <f t="shared" si="59"/>
        <v>328</v>
      </c>
      <c r="D343" s="1" cm="1">
        <f t="array" ref="D343">estimatedTripEnergy(C343,G$5,G$6,C$12,C$7,C$9,C$8,FALSE)/1000</f>
        <v>1401.2590824171</v>
      </c>
      <c r="E343" s="1" cm="1">
        <f t="array" ref="E343">estimatedTripEnergy(C343,G$5,G$6,C$12,C$7,C$9,C$8)/1000</f>
        <v>1549.2190824171</v>
      </c>
      <c r="F343" s="59" cm="1">
        <f t="array" ref="F343">estimatedTripDuration(C343,$C$8,$C$7)/60</f>
        <v>12.680486010099342</v>
      </c>
      <c r="G343">
        <f t="shared" si="56"/>
        <v>328</v>
      </c>
      <c r="H343" s="50">
        <f t="shared" si="60"/>
        <v>54.666666666666664</v>
      </c>
      <c r="I343" s="7" cm="1">
        <f t="array" ref="I343">CurrentCapacity(K$10,K$6,K$7,H343)</f>
        <v>35688.474000000002</v>
      </c>
      <c r="J343" s="48">
        <f t="shared" si="61"/>
        <v>4.3409507574268938E-2</v>
      </c>
      <c r="K343" s="5" cm="1">
        <f t="array" ref="K343">UseableCapacity(I343,$K$8,$K$9)</f>
        <v>26766.355500000001</v>
      </c>
      <c r="L343" s="59">
        <f t="shared" si="62"/>
        <v>34139.254917582904</v>
      </c>
      <c r="M343" s="7">
        <f t="shared" si="63"/>
        <v>25217.1364175829</v>
      </c>
      <c r="N343" s="7">
        <f t="shared" si="64"/>
        <v>2561.525999999998</v>
      </c>
      <c r="O343" t="str">
        <f t="shared" si="57"/>
        <v>no</v>
      </c>
      <c r="P343" t="str">
        <f t="shared" si="58"/>
        <v>no</v>
      </c>
    </row>
    <row r="344" spans="2:16" x14ac:dyDescent="0.35">
      <c r="B344">
        <f t="shared" si="65"/>
        <v>329</v>
      </c>
      <c r="C344" s="7">
        <f t="shared" si="59"/>
        <v>329</v>
      </c>
      <c r="D344" s="1" cm="1">
        <f t="array" ref="D344">estimatedTripEnergy(C344,G$5,G$6,C$12,C$7,C$9,C$8,FALSE)/1000</f>
        <v>1402.1857615777001</v>
      </c>
      <c r="E344" s="1" cm="1">
        <f t="array" ref="E344">estimatedTripEnergy(C344,G$5,G$6,C$12,C$7,C$9,C$8)/1000</f>
        <v>1550.1457615777001</v>
      </c>
      <c r="F344" s="59" cm="1">
        <f t="array" ref="F344">estimatedTripDuration(C344,$C$8,$C$7)/60</f>
        <v>12.713819343432675</v>
      </c>
      <c r="G344">
        <f t="shared" si="56"/>
        <v>329</v>
      </c>
      <c r="H344" s="50">
        <f t="shared" si="60"/>
        <v>54.833333333333336</v>
      </c>
      <c r="I344" s="7" cm="1">
        <f t="array" ref="I344">CurrentCapacity(K$10,K$6,K$7,H344)</f>
        <v>35688.244500000001</v>
      </c>
      <c r="J344" s="48">
        <f t="shared" si="61"/>
        <v>4.3435752676983033E-2</v>
      </c>
      <c r="K344" s="5" cm="1">
        <f t="array" ref="K344">UseableCapacity(I344,$K$8,$K$9)</f>
        <v>26766.183375000001</v>
      </c>
      <c r="L344" s="59">
        <f t="shared" si="62"/>
        <v>34138.098738422297</v>
      </c>
      <c r="M344" s="7">
        <f t="shared" si="63"/>
        <v>25216.037613422301</v>
      </c>
      <c r="N344" s="7">
        <f t="shared" si="64"/>
        <v>2561.7554999999993</v>
      </c>
      <c r="O344" t="str">
        <f t="shared" si="57"/>
        <v>no</v>
      </c>
      <c r="P344" t="str">
        <f t="shared" si="58"/>
        <v>no</v>
      </c>
    </row>
    <row r="345" spans="2:16" x14ac:dyDescent="0.35">
      <c r="B345">
        <f t="shared" si="65"/>
        <v>330</v>
      </c>
      <c r="C345" s="7">
        <f t="shared" si="59"/>
        <v>330</v>
      </c>
      <c r="D345" s="1" cm="1">
        <f t="array" ref="D345">estimatedTripEnergy(C345,G$5,G$6,C$12,C$7,C$9,C$8,FALSE)/1000</f>
        <v>1403.1124407383002</v>
      </c>
      <c r="E345" s="1" cm="1">
        <f t="array" ref="E345">estimatedTripEnergy(C345,G$5,G$6,C$12,C$7,C$9,C$8)/1000</f>
        <v>1551.0724407383002</v>
      </c>
      <c r="F345" s="59" cm="1">
        <f t="array" ref="F345">estimatedTripDuration(C345,$C$8,$C$7)/60</f>
        <v>12.747152676766008</v>
      </c>
      <c r="G345">
        <f t="shared" si="56"/>
        <v>330</v>
      </c>
      <c r="H345" s="50">
        <f t="shared" si="60"/>
        <v>55</v>
      </c>
      <c r="I345" s="7" cm="1">
        <f t="array" ref="I345">CurrentCapacity(K$10,K$6,K$7,H345)</f>
        <v>35688.014999999999</v>
      </c>
      <c r="J345" s="48">
        <f t="shared" si="61"/>
        <v>4.3461998117247491E-2</v>
      </c>
      <c r="K345" s="5" cm="1">
        <f t="array" ref="K345">UseableCapacity(I345,$K$8,$K$9)</f>
        <v>26766.01125</v>
      </c>
      <c r="L345" s="59">
        <f t="shared" si="62"/>
        <v>34136.942559261697</v>
      </c>
      <c r="M345" s="7">
        <f t="shared" si="63"/>
        <v>25214.938809261701</v>
      </c>
      <c r="N345" s="7">
        <f t="shared" si="64"/>
        <v>2561.9850000000006</v>
      </c>
      <c r="O345" t="str">
        <f t="shared" si="57"/>
        <v>no</v>
      </c>
      <c r="P345" t="str">
        <f t="shared" si="58"/>
        <v>no</v>
      </c>
    </row>
    <row r="346" spans="2:16" x14ac:dyDescent="0.35">
      <c r="B346">
        <f t="shared" si="65"/>
        <v>331</v>
      </c>
      <c r="C346" s="7">
        <f t="shared" si="59"/>
        <v>331</v>
      </c>
      <c r="D346" s="1" cm="1">
        <f t="array" ref="D346">estimatedTripEnergy(C346,G$5,G$6,C$12,C$7,C$9,C$8,FALSE)/1000</f>
        <v>1404.0391198989</v>
      </c>
      <c r="E346" s="1" cm="1">
        <f t="array" ref="E346">estimatedTripEnergy(C346,G$5,G$6,C$12,C$7,C$9,C$8)/1000</f>
        <v>1551.9991198988998</v>
      </c>
      <c r="F346" s="59" cm="1">
        <f t="array" ref="F346">estimatedTripDuration(C346,$C$8,$C$7)/60</f>
        <v>12.780486010099342</v>
      </c>
      <c r="G346">
        <f t="shared" si="56"/>
        <v>331</v>
      </c>
      <c r="H346" s="50">
        <f t="shared" si="60"/>
        <v>55.166666666666664</v>
      </c>
      <c r="I346" s="7" cm="1">
        <f t="array" ref="I346">CurrentCapacity(K$10,K$6,K$7,H346)</f>
        <v>35687.785499999998</v>
      </c>
      <c r="J346" s="48">
        <f t="shared" si="61"/>
        <v>4.34882438950688E-2</v>
      </c>
      <c r="K346" s="5" cm="1">
        <f t="array" ref="K346">UseableCapacity(I346,$K$8,$K$9)</f>
        <v>26765.839124999999</v>
      </c>
      <c r="L346" s="59">
        <f t="shared" si="62"/>
        <v>34135.786380101097</v>
      </c>
      <c r="M346" s="7">
        <f t="shared" si="63"/>
        <v>25213.840005101098</v>
      </c>
      <c r="N346" s="7">
        <f t="shared" si="64"/>
        <v>2562.2145000000019</v>
      </c>
      <c r="O346" t="str">
        <f t="shared" si="57"/>
        <v>no</v>
      </c>
      <c r="P346" t="str">
        <f t="shared" si="58"/>
        <v>no</v>
      </c>
    </row>
    <row r="347" spans="2:16" x14ac:dyDescent="0.35">
      <c r="B347">
        <f t="shared" si="65"/>
        <v>332</v>
      </c>
      <c r="C347" s="7">
        <f t="shared" si="59"/>
        <v>332</v>
      </c>
      <c r="D347" s="1" cm="1">
        <f t="array" ref="D347">estimatedTripEnergy(C347,G$5,G$6,C$12,C$7,C$9,C$8,FALSE)/1000</f>
        <v>1404.9657990594999</v>
      </c>
      <c r="E347" s="1" cm="1">
        <f t="array" ref="E347">estimatedTripEnergy(C347,G$5,G$6,C$12,C$7,C$9,C$8)/1000</f>
        <v>1552.9257990594999</v>
      </c>
      <c r="F347" s="59" cm="1">
        <f t="array" ref="F347">estimatedTripDuration(C347,$C$8,$C$7)/60</f>
        <v>12.813819343432675</v>
      </c>
      <c r="G347">
        <f t="shared" si="56"/>
        <v>332</v>
      </c>
      <c r="H347" s="50">
        <f t="shared" si="60"/>
        <v>55.333333333333336</v>
      </c>
      <c r="I347" s="7" cm="1">
        <f t="array" ref="I347">CurrentCapacity(K$10,K$6,K$7,H347)</f>
        <v>35687.556000000004</v>
      </c>
      <c r="J347" s="48">
        <f t="shared" si="61"/>
        <v>4.3514490010453495E-2</v>
      </c>
      <c r="K347" s="5" cm="1">
        <f t="array" ref="K347">UseableCapacity(I347,$K$8,$K$9)</f>
        <v>26765.667000000001</v>
      </c>
      <c r="L347" s="59">
        <f t="shared" si="62"/>
        <v>34134.630200940504</v>
      </c>
      <c r="M347" s="7">
        <f t="shared" si="63"/>
        <v>25212.741200940502</v>
      </c>
      <c r="N347" s="7">
        <f t="shared" si="64"/>
        <v>2562.4439999999959</v>
      </c>
      <c r="O347" t="str">
        <f t="shared" si="57"/>
        <v>no</v>
      </c>
      <c r="P347" t="str">
        <f t="shared" si="58"/>
        <v>no</v>
      </c>
    </row>
    <row r="348" spans="2:16" x14ac:dyDescent="0.35">
      <c r="B348">
        <f t="shared" si="65"/>
        <v>333</v>
      </c>
      <c r="C348" s="7">
        <f t="shared" si="59"/>
        <v>333</v>
      </c>
      <c r="D348" s="1" cm="1">
        <f t="array" ref="D348">estimatedTripEnergy(C348,G$5,G$6,C$12,C$7,C$9,C$8,FALSE)/1000</f>
        <v>1405.8924782201</v>
      </c>
      <c r="E348" s="1" cm="1">
        <f t="array" ref="E348">estimatedTripEnergy(C348,G$5,G$6,C$12,C$7,C$9,C$8)/1000</f>
        <v>1553.8524782201</v>
      </c>
      <c r="F348" s="59" cm="1">
        <f t="array" ref="F348">estimatedTripDuration(C348,$C$8,$C$7)/60</f>
        <v>12.847152676766008</v>
      </c>
      <c r="G348">
        <f t="shared" si="56"/>
        <v>333</v>
      </c>
      <c r="H348" s="50">
        <f t="shared" si="60"/>
        <v>55.5</v>
      </c>
      <c r="I348" s="7" cm="1">
        <f t="array" ref="I348">CurrentCapacity(K$10,K$6,K$7,H348)</f>
        <v>35687.326500000003</v>
      </c>
      <c r="J348" s="48">
        <f t="shared" si="61"/>
        <v>4.3540736463408093E-2</v>
      </c>
      <c r="K348" s="5" cm="1">
        <f t="array" ref="K348">UseableCapacity(I348,$K$8,$K$9)</f>
        <v>26765.494875000004</v>
      </c>
      <c r="L348" s="59">
        <f t="shared" si="62"/>
        <v>34133.474021779904</v>
      </c>
      <c r="M348" s="7">
        <f t="shared" si="63"/>
        <v>25211.642396779906</v>
      </c>
      <c r="N348" s="7">
        <f t="shared" si="64"/>
        <v>2562.6734999999971</v>
      </c>
      <c r="O348" t="str">
        <f t="shared" si="57"/>
        <v>no</v>
      </c>
      <c r="P348" t="str">
        <f t="shared" si="58"/>
        <v>no</v>
      </c>
    </row>
    <row r="349" spans="2:16" x14ac:dyDescent="0.35">
      <c r="B349">
        <f t="shared" si="65"/>
        <v>334</v>
      </c>
      <c r="C349" s="7">
        <f t="shared" si="59"/>
        <v>334</v>
      </c>
      <c r="D349" s="1" cm="1">
        <f t="array" ref="D349">estimatedTripEnergy(C349,G$5,G$6,C$12,C$7,C$9,C$8,FALSE)/1000</f>
        <v>1406.8191573807001</v>
      </c>
      <c r="E349" s="1" cm="1">
        <f t="array" ref="E349">estimatedTripEnergy(C349,G$5,G$6,C$12,C$7,C$9,C$8)/1000</f>
        <v>1554.7791573807001</v>
      </c>
      <c r="F349" s="59" cm="1">
        <f t="array" ref="F349">estimatedTripDuration(C349,$C$8,$C$7)/60</f>
        <v>12.880486010099341</v>
      </c>
      <c r="G349">
        <f t="shared" si="56"/>
        <v>334</v>
      </c>
      <c r="H349" s="50">
        <f t="shared" si="60"/>
        <v>55.666666666666664</v>
      </c>
      <c r="I349" s="7" cm="1">
        <f t="array" ref="I349">CurrentCapacity(K$10,K$6,K$7,H349)</f>
        <v>35687.097000000002</v>
      </c>
      <c r="J349" s="48">
        <f t="shared" si="61"/>
        <v>4.3566983253939096E-2</v>
      </c>
      <c r="K349" s="5" cm="1">
        <f t="array" ref="K349">UseableCapacity(I349,$K$8,$K$9)</f>
        <v>26765.322749999999</v>
      </c>
      <c r="L349" s="59">
        <f t="shared" si="62"/>
        <v>34132.317842619304</v>
      </c>
      <c r="M349" s="7">
        <f t="shared" si="63"/>
        <v>25210.543592619299</v>
      </c>
      <c r="N349" s="7">
        <f t="shared" si="64"/>
        <v>2562.9029999999984</v>
      </c>
      <c r="O349" t="str">
        <f t="shared" si="57"/>
        <v>no</v>
      </c>
      <c r="P349" t="str">
        <f t="shared" si="58"/>
        <v>no</v>
      </c>
    </row>
    <row r="350" spans="2:16" x14ac:dyDescent="0.35">
      <c r="B350">
        <f t="shared" si="65"/>
        <v>335</v>
      </c>
      <c r="C350" s="7">
        <f t="shared" si="59"/>
        <v>335</v>
      </c>
      <c r="D350" s="1" cm="1">
        <f t="array" ref="D350">estimatedTripEnergy(C350,G$5,G$6,C$12,C$7,C$9,C$8,FALSE)/1000</f>
        <v>1407.7458365412999</v>
      </c>
      <c r="E350" s="1" cm="1">
        <f t="array" ref="E350">estimatedTripEnergy(C350,G$5,G$6,C$12,C$7,C$9,C$8)/1000</f>
        <v>1555.7058365413</v>
      </c>
      <c r="F350" s="59" cm="1">
        <f t="array" ref="F350">estimatedTripDuration(C350,$C$8,$C$7)/60</f>
        <v>12.913819343432674</v>
      </c>
      <c r="G350">
        <f t="shared" si="56"/>
        <v>335</v>
      </c>
      <c r="H350" s="50">
        <f t="shared" si="60"/>
        <v>55.833333333333336</v>
      </c>
      <c r="I350" s="7" cm="1">
        <f t="array" ref="I350">CurrentCapacity(K$10,K$6,K$7,H350)</f>
        <v>35686.8675</v>
      </c>
      <c r="J350" s="48">
        <f t="shared" si="61"/>
        <v>4.3593230382053004E-2</v>
      </c>
      <c r="K350" s="5" cm="1">
        <f t="array" ref="K350">UseableCapacity(I350,$K$8,$K$9)</f>
        <v>26765.150625000002</v>
      </c>
      <c r="L350" s="59">
        <f t="shared" si="62"/>
        <v>34131.161663458697</v>
      </c>
      <c r="M350" s="7">
        <f t="shared" si="63"/>
        <v>25209.444788458703</v>
      </c>
      <c r="N350" s="7">
        <f t="shared" si="64"/>
        <v>2563.1324999999997</v>
      </c>
      <c r="O350" t="str">
        <f t="shared" si="57"/>
        <v>no</v>
      </c>
      <c r="P350" t="str">
        <f t="shared" si="58"/>
        <v>no</v>
      </c>
    </row>
    <row r="351" spans="2:16" x14ac:dyDescent="0.35">
      <c r="B351">
        <f t="shared" si="65"/>
        <v>336</v>
      </c>
      <c r="C351" s="7">
        <f t="shared" si="59"/>
        <v>336</v>
      </c>
      <c r="D351" s="1" cm="1">
        <f t="array" ref="D351">estimatedTripEnergy(C351,G$5,G$6,C$12,C$7,C$9,C$8,FALSE)/1000</f>
        <v>1408.6725157019</v>
      </c>
      <c r="E351" s="1" cm="1">
        <f t="array" ref="E351">estimatedTripEnergy(C351,G$5,G$6,C$12,C$7,C$9,C$8)/1000</f>
        <v>1556.6325157019</v>
      </c>
      <c r="F351" s="59" cm="1">
        <f t="array" ref="F351">estimatedTripDuration(C351,$C$8,$C$7)/60</f>
        <v>12.947152676766008</v>
      </c>
      <c r="G351">
        <f t="shared" si="56"/>
        <v>336</v>
      </c>
      <c r="H351" s="50">
        <f t="shared" si="60"/>
        <v>56</v>
      </c>
      <c r="I351" s="7" cm="1">
        <f t="array" ref="I351">CurrentCapacity(K$10,K$6,K$7,H351)</f>
        <v>35686.637999999999</v>
      </c>
      <c r="J351" s="48">
        <f t="shared" si="61"/>
        <v>4.3619477847756355E-2</v>
      </c>
      <c r="K351" s="5" cm="1">
        <f t="array" ref="K351">UseableCapacity(I351,$K$8,$K$9)</f>
        <v>26764.978499999997</v>
      </c>
      <c r="L351" s="59">
        <f t="shared" si="62"/>
        <v>34130.005484298097</v>
      </c>
      <c r="M351" s="7">
        <f t="shared" si="63"/>
        <v>25208.345984298096</v>
      </c>
      <c r="N351" s="7">
        <f t="shared" si="64"/>
        <v>2563.362000000001</v>
      </c>
      <c r="O351" t="str">
        <f t="shared" si="57"/>
        <v>no</v>
      </c>
      <c r="P351" t="str">
        <f t="shared" si="58"/>
        <v>no</v>
      </c>
    </row>
    <row r="352" spans="2:16" x14ac:dyDescent="0.35">
      <c r="B352">
        <f t="shared" si="65"/>
        <v>337</v>
      </c>
      <c r="C352" s="7">
        <f t="shared" si="59"/>
        <v>337</v>
      </c>
      <c r="D352" s="1" cm="1">
        <f t="array" ref="D352">estimatedTripEnergy(C352,G$5,G$6,C$12,C$7,C$9,C$8,FALSE)/1000</f>
        <v>1409.5991948625001</v>
      </c>
      <c r="E352" s="1" cm="1">
        <f t="array" ref="E352">estimatedTripEnergy(C352,G$5,G$6,C$12,C$7,C$9,C$8)/1000</f>
        <v>1557.5591948625001</v>
      </c>
      <c r="F352" s="59" cm="1">
        <f t="array" ref="F352">estimatedTripDuration(C352,$C$8,$C$7)/60</f>
        <v>12.980486010099343</v>
      </c>
      <c r="G352">
        <f t="shared" ref="G352:G415" si="66">B352</f>
        <v>337</v>
      </c>
      <c r="H352" s="50">
        <f t="shared" si="60"/>
        <v>56.166666666666664</v>
      </c>
      <c r="I352" s="7" cm="1">
        <f t="array" ref="I352">CurrentCapacity(K$10,K$6,K$7,H352)</f>
        <v>35686.408500000005</v>
      </c>
      <c r="J352" s="48">
        <f t="shared" si="61"/>
        <v>4.3645725651055636E-2</v>
      </c>
      <c r="K352" s="5" cm="1">
        <f t="array" ref="K352">UseableCapacity(I352,$K$8,$K$9)</f>
        <v>26764.806375000004</v>
      </c>
      <c r="L352" s="59">
        <f t="shared" si="62"/>
        <v>34128.849305137504</v>
      </c>
      <c r="M352" s="7">
        <f t="shared" si="63"/>
        <v>25207.247180137503</v>
      </c>
      <c r="N352" s="7">
        <f t="shared" si="64"/>
        <v>2563.591499999995</v>
      </c>
      <c r="O352" t="str">
        <f t="shared" ref="O352:O415" si="67">IF(M352&lt;0,"yes","no")</f>
        <v>no</v>
      </c>
      <c r="P352" t="str">
        <f t="shared" ref="P352:P415" si="68">IF(L352&lt;0,"yes","no")</f>
        <v>no</v>
      </c>
    </row>
    <row r="353" spans="2:16" x14ac:dyDescent="0.35">
      <c r="B353">
        <f t="shared" si="65"/>
        <v>338</v>
      </c>
      <c r="C353" s="7">
        <f t="shared" si="59"/>
        <v>338</v>
      </c>
      <c r="D353" s="1" cm="1">
        <f t="array" ref="D353">estimatedTripEnergy(C353,G$5,G$6,C$12,C$7,C$9,C$8,FALSE)/1000</f>
        <v>1410.5258740231</v>
      </c>
      <c r="E353" s="1" cm="1">
        <f t="array" ref="E353">estimatedTripEnergy(C353,G$5,G$6,C$12,C$7,C$9,C$8)/1000</f>
        <v>1558.4858740231</v>
      </c>
      <c r="F353" s="59" cm="1">
        <f t="array" ref="F353">estimatedTripDuration(C353,$C$8,$C$7)/60</f>
        <v>13.013819343432676</v>
      </c>
      <c r="G353">
        <f t="shared" si="66"/>
        <v>338</v>
      </c>
      <c r="H353" s="50">
        <f t="shared" si="60"/>
        <v>56.333333333333336</v>
      </c>
      <c r="I353" s="7" cm="1">
        <f t="array" ref="I353">CurrentCapacity(K$10,K$6,K$7,H353)</f>
        <v>35686.179000000004</v>
      </c>
      <c r="J353" s="48">
        <f t="shared" si="61"/>
        <v>4.3671973791957377E-2</v>
      </c>
      <c r="K353" s="5" cm="1">
        <f t="array" ref="K353">UseableCapacity(I353,$K$8,$K$9)</f>
        <v>26764.634250000003</v>
      </c>
      <c r="L353" s="59">
        <f t="shared" si="62"/>
        <v>34127.693125976904</v>
      </c>
      <c r="M353" s="7">
        <f t="shared" si="63"/>
        <v>25206.148375976903</v>
      </c>
      <c r="N353" s="7">
        <f t="shared" si="64"/>
        <v>2563.8209999999963</v>
      </c>
      <c r="O353" t="str">
        <f t="shared" si="67"/>
        <v>no</v>
      </c>
      <c r="P353" t="str">
        <f t="shared" si="68"/>
        <v>no</v>
      </c>
    </row>
    <row r="354" spans="2:16" x14ac:dyDescent="0.35">
      <c r="B354">
        <f t="shared" si="65"/>
        <v>339</v>
      </c>
      <c r="C354" s="7">
        <f t="shared" si="59"/>
        <v>339</v>
      </c>
      <c r="D354" s="1" cm="1">
        <f t="array" ref="D354">estimatedTripEnergy(C354,G$5,G$6,C$12,C$7,C$9,C$8,FALSE)/1000</f>
        <v>1411.4525531837</v>
      </c>
      <c r="E354" s="1" cm="1">
        <f t="array" ref="E354">estimatedTripEnergy(C354,G$5,G$6,C$12,C$7,C$9,C$8)/1000</f>
        <v>1559.4125531836999</v>
      </c>
      <c r="F354" s="59" cm="1">
        <f t="array" ref="F354">estimatedTripDuration(C354,$C$8,$C$7)/60</f>
        <v>13.047152676766009</v>
      </c>
      <c r="G354">
        <f t="shared" si="66"/>
        <v>339</v>
      </c>
      <c r="H354" s="50">
        <f t="shared" si="60"/>
        <v>56.5</v>
      </c>
      <c r="I354" s="7" cm="1">
        <f t="array" ref="I354">CurrentCapacity(K$10,K$6,K$7,H354)</f>
        <v>35685.949500000002</v>
      </c>
      <c r="J354" s="48">
        <f t="shared" si="61"/>
        <v>4.3698222270468094E-2</v>
      </c>
      <c r="K354" s="5" cm="1">
        <f t="array" ref="K354">UseableCapacity(I354,$K$8,$K$9)</f>
        <v>26764.462125000002</v>
      </c>
      <c r="L354" s="59">
        <f t="shared" si="62"/>
        <v>34126.536946816304</v>
      </c>
      <c r="M354" s="7">
        <f t="shared" si="63"/>
        <v>25205.0495718163</v>
      </c>
      <c r="N354" s="7">
        <f t="shared" si="64"/>
        <v>2564.0504999999976</v>
      </c>
      <c r="O354" t="str">
        <f t="shared" si="67"/>
        <v>no</v>
      </c>
      <c r="P354" t="str">
        <f t="shared" si="68"/>
        <v>no</v>
      </c>
    </row>
    <row r="355" spans="2:16" x14ac:dyDescent="0.35">
      <c r="B355">
        <f t="shared" si="65"/>
        <v>340</v>
      </c>
      <c r="C355" s="7">
        <f t="shared" si="59"/>
        <v>340</v>
      </c>
      <c r="D355" s="1" cm="1">
        <f t="array" ref="D355">estimatedTripEnergy(C355,G$5,G$6,C$12,C$7,C$9,C$8,FALSE)/1000</f>
        <v>1412.3792323442999</v>
      </c>
      <c r="E355" s="1" cm="1">
        <f t="array" ref="E355">estimatedTripEnergy(C355,G$5,G$6,C$12,C$7,C$9,C$8)/1000</f>
        <v>1560.3392323442999</v>
      </c>
      <c r="F355" s="59" cm="1">
        <f t="array" ref="F355">estimatedTripDuration(C355,$C$8,$C$7)/60</f>
        <v>13.080486010099342</v>
      </c>
      <c r="G355">
        <f t="shared" si="66"/>
        <v>340</v>
      </c>
      <c r="H355" s="50">
        <f t="shared" si="60"/>
        <v>56.666666666666664</v>
      </c>
      <c r="I355" s="7" cm="1">
        <f t="array" ref="I355">CurrentCapacity(K$10,K$6,K$7,H355)</f>
        <v>35685.72</v>
      </c>
      <c r="J355" s="48">
        <f t="shared" si="61"/>
        <v>4.3724471086594302E-2</v>
      </c>
      <c r="K355" s="5" cm="1">
        <f t="array" ref="K355">UseableCapacity(I355,$K$8,$K$9)</f>
        <v>26764.29</v>
      </c>
      <c r="L355" s="59">
        <f t="shared" si="62"/>
        <v>34125.380767655704</v>
      </c>
      <c r="M355" s="7">
        <f t="shared" si="63"/>
        <v>25203.9507676557</v>
      </c>
      <c r="N355" s="7">
        <f t="shared" si="64"/>
        <v>2564.2799999999988</v>
      </c>
      <c r="O355" t="str">
        <f t="shared" si="67"/>
        <v>no</v>
      </c>
      <c r="P355" t="str">
        <f t="shared" si="68"/>
        <v>no</v>
      </c>
    </row>
    <row r="356" spans="2:16" x14ac:dyDescent="0.35">
      <c r="B356">
        <f t="shared" si="65"/>
        <v>341</v>
      </c>
      <c r="C356" s="7">
        <f t="shared" si="59"/>
        <v>341</v>
      </c>
      <c r="D356" s="1" cm="1">
        <f t="array" ref="D356">estimatedTripEnergy(C356,G$5,G$6,C$12,C$7,C$9,C$8,FALSE)/1000</f>
        <v>1413.3059115049</v>
      </c>
      <c r="E356" s="1" cm="1">
        <f t="array" ref="E356">estimatedTripEnergy(C356,G$5,G$6,C$12,C$7,C$9,C$8)/1000</f>
        <v>1561.2659115049</v>
      </c>
      <c r="F356" s="59" cm="1">
        <f t="array" ref="F356">estimatedTripDuration(C356,$C$8,$C$7)/60</f>
        <v>13.113819343432676</v>
      </c>
      <c r="G356">
        <f t="shared" si="66"/>
        <v>341</v>
      </c>
      <c r="H356" s="50">
        <f t="shared" si="60"/>
        <v>56.833333333333336</v>
      </c>
      <c r="I356" s="7" cm="1">
        <f t="array" ref="I356">CurrentCapacity(K$10,K$6,K$7,H356)</f>
        <v>35685.4905</v>
      </c>
      <c r="J356" s="48">
        <f t="shared" si="61"/>
        <v>4.3750720240342503E-2</v>
      </c>
      <c r="K356" s="5" cm="1">
        <f t="array" ref="K356">UseableCapacity(I356,$K$8,$K$9)</f>
        <v>26764.117875</v>
      </c>
      <c r="L356" s="59">
        <f t="shared" si="62"/>
        <v>34124.224588495097</v>
      </c>
      <c r="M356" s="7">
        <f t="shared" si="63"/>
        <v>25202.851963495101</v>
      </c>
      <c r="N356" s="7">
        <f t="shared" si="64"/>
        <v>2564.5095000000001</v>
      </c>
      <c r="O356" t="str">
        <f t="shared" si="67"/>
        <v>no</v>
      </c>
      <c r="P356" t="str">
        <f t="shared" si="68"/>
        <v>no</v>
      </c>
    </row>
    <row r="357" spans="2:16" x14ac:dyDescent="0.35">
      <c r="B357">
        <f t="shared" si="65"/>
        <v>342</v>
      </c>
      <c r="C357" s="7">
        <f t="shared" si="59"/>
        <v>342</v>
      </c>
      <c r="D357" s="1" cm="1">
        <f t="array" ref="D357">estimatedTripEnergy(C357,G$5,G$6,C$12,C$7,C$9,C$8,FALSE)/1000</f>
        <v>1414.2325906655001</v>
      </c>
      <c r="E357" s="1" cm="1">
        <f t="array" ref="E357">estimatedTripEnergy(C357,G$5,G$6,C$12,C$7,C$9,C$8)/1000</f>
        <v>1562.1925906655001</v>
      </c>
      <c r="F357" s="59" cm="1">
        <f t="array" ref="F357">estimatedTripDuration(C357,$C$8,$C$7)/60</f>
        <v>13.147152676766009</v>
      </c>
      <c r="G357">
        <f t="shared" si="66"/>
        <v>342</v>
      </c>
      <c r="H357" s="50">
        <f t="shared" si="60"/>
        <v>57</v>
      </c>
      <c r="I357" s="7" cm="1">
        <f t="array" ref="I357">CurrentCapacity(K$10,K$6,K$7,H357)</f>
        <v>35685.260999999999</v>
      </c>
      <c r="J357" s="48">
        <f t="shared" si="61"/>
        <v>4.3776969731719219E-2</v>
      </c>
      <c r="K357" s="5" cm="1">
        <f t="array" ref="K357">UseableCapacity(I357,$K$8,$K$9)</f>
        <v>26763.945749999999</v>
      </c>
      <c r="L357" s="59">
        <f t="shared" si="62"/>
        <v>34123.068409334497</v>
      </c>
      <c r="M357" s="7">
        <f t="shared" si="63"/>
        <v>25201.753159334497</v>
      </c>
      <c r="N357" s="7">
        <f t="shared" si="64"/>
        <v>2564.7390000000014</v>
      </c>
      <c r="O357" t="str">
        <f t="shared" si="67"/>
        <v>no</v>
      </c>
      <c r="P357" t="str">
        <f t="shared" si="68"/>
        <v>no</v>
      </c>
    </row>
    <row r="358" spans="2:16" x14ac:dyDescent="0.35">
      <c r="B358">
        <f t="shared" si="65"/>
        <v>343</v>
      </c>
      <c r="C358" s="7">
        <f t="shared" si="59"/>
        <v>343</v>
      </c>
      <c r="D358" s="1" cm="1">
        <f t="array" ref="D358">estimatedTripEnergy(C358,G$5,G$6,C$12,C$7,C$9,C$8,FALSE)/1000</f>
        <v>1415.1592698260999</v>
      </c>
      <c r="E358" s="1" cm="1">
        <f t="array" ref="E358">estimatedTripEnergy(C358,G$5,G$6,C$12,C$7,C$9,C$8)/1000</f>
        <v>1563.1192698261</v>
      </c>
      <c r="F358" s="59" cm="1">
        <f t="array" ref="F358">estimatedTripDuration(C358,$C$8,$C$7)/60</f>
        <v>13.180486010099342</v>
      </c>
      <c r="G358">
        <f t="shared" si="66"/>
        <v>343</v>
      </c>
      <c r="H358" s="50">
        <f t="shared" si="60"/>
        <v>57.166666666666664</v>
      </c>
      <c r="I358" s="7" cm="1">
        <f t="array" ref="I358">CurrentCapacity(K$10,K$6,K$7,H358)</f>
        <v>35685.031500000005</v>
      </c>
      <c r="J358" s="48">
        <f t="shared" si="61"/>
        <v>4.3803219560730938E-2</v>
      </c>
      <c r="K358" s="5" cm="1">
        <f t="array" ref="K358">UseableCapacity(I358,$K$8,$K$9)</f>
        <v>26763.773625000002</v>
      </c>
      <c r="L358" s="59">
        <f t="shared" si="62"/>
        <v>34121.912230173904</v>
      </c>
      <c r="M358" s="7">
        <f t="shared" si="63"/>
        <v>25200.654355173901</v>
      </c>
      <c r="N358" s="7">
        <f t="shared" si="64"/>
        <v>2564.9684999999954</v>
      </c>
      <c r="O358" t="str">
        <f t="shared" si="67"/>
        <v>no</v>
      </c>
      <c r="P358" t="str">
        <f t="shared" si="68"/>
        <v>no</v>
      </c>
    </row>
    <row r="359" spans="2:16" x14ac:dyDescent="0.35">
      <c r="B359">
        <f t="shared" si="65"/>
        <v>344</v>
      </c>
      <c r="C359" s="7">
        <f t="shared" si="59"/>
        <v>344</v>
      </c>
      <c r="D359" s="1" cm="1">
        <f t="array" ref="D359">estimatedTripEnergy(C359,G$5,G$6,C$12,C$7,C$9,C$8,FALSE)/1000</f>
        <v>1416.0859489867</v>
      </c>
      <c r="E359" s="1" cm="1">
        <f t="array" ref="E359">estimatedTripEnergy(C359,G$5,G$6,C$12,C$7,C$9,C$8)/1000</f>
        <v>1564.0459489867001</v>
      </c>
      <c r="F359" s="59" cm="1">
        <f t="array" ref="F359">estimatedTripDuration(C359,$C$8,$C$7)/60</f>
        <v>13.213819343432675</v>
      </c>
      <c r="G359">
        <f t="shared" si="66"/>
        <v>344</v>
      </c>
      <c r="H359" s="50">
        <f t="shared" si="60"/>
        <v>57.333333333333336</v>
      </c>
      <c r="I359" s="7" cm="1">
        <f t="array" ref="I359">CurrentCapacity(K$10,K$6,K$7,H359)</f>
        <v>35684.802000000003</v>
      </c>
      <c r="J359" s="48">
        <f t="shared" si="61"/>
        <v>4.3829469727384218E-2</v>
      </c>
      <c r="K359" s="5" cm="1">
        <f t="array" ref="K359">UseableCapacity(I359,$K$8,$K$9)</f>
        <v>26763.601500000004</v>
      </c>
      <c r="L359" s="59">
        <f t="shared" si="62"/>
        <v>34120.756051013304</v>
      </c>
      <c r="M359" s="7">
        <f t="shared" si="63"/>
        <v>25199.555551013305</v>
      </c>
      <c r="N359" s="7">
        <f t="shared" si="64"/>
        <v>2565.1979999999967</v>
      </c>
      <c r="O359" t="str">
        <f t="shared" si="67"/>
        <v>no</v>
      </c>
      <c r="P359" t="str">
        <f t="shared" si="68"/>
        <v>no</v>
      </c>
    </row>
    <row r="360" spans="2:16" x14ac:dyDescent="0.35">
      <c r="B360">
        <f t="shared" si="65"/>
        <v>345</v>
      </c>
      <c r="C360" s="7">
        <f t="shared" si="59"/>
        <v>345</v>
      </c>
      <c r="D360" s="1" cm="1">
        <f t="array" ref="D360">estimatedTripEnergy(C360,G$5,G$6,C$12,C$7,C$9,C$8,FALSE)/1000</f>
        <v>1417.0126281472999</v>
      </c>
      <c r="E360" s="1" cm="1">
        <f t="array" ref="E360">estimatedTripEnergy(C360,G$5,G$6,C$12,C$7,C$9,C$8)/1000</f>
        <v>1564.9726281472999</v>
      </c>
      <c r="F360" s="59" cm="1">
        <f t="array" ref="F360">estimatedTripDuration(C360,$C$8,$C$7)/60</f>
        <v>13.247152676766008</v>
      </c>
      <c r="G360">
        <f t="shared" si="66"/>
        <v>345</v>
      </c>
      <c r="H360" s="50">
        <f t="shared" si="60"/>
        <v>57.5</v>
      </c>
      <c r="I360" s="7" cm="1">
        <f t="array" ref="I360">CurrentCapacity(K$10,K$6,K$7,H360)</f>
        <v>35684.572500000002</v>
      </c>
      <c r="J360" s="48">
        <f t="shared" si="61"/>
        <v>4.3855720231685554E-2</v>
      </c>
      <c r="K360" s="5" cm="1">
        <f t="array" ref="K360">UseableCapacity(I360,$K$8,$K$9)</f>
        <v>26763.429375</v>
      </c>
      <c r="L360" s="59">
        <f t="shared" si="62"/>
        <v>34119.599871852704</v>
      </c>
      <c r="M360" s="7">
        <f t="shared" si="63"/>
        <v>25198.456746852698</v>
      </c>
      <c r="N360" s="7">
        <f t="shared" si="64"/>
        <v>2565.427499999998</v>
      </c>
      <c r="O360" t="str">
        <f t="shared" si="67"/>
        <v>no</v>
      </c>
      <c r="P360" t="str">
        <f t="shared" si="68"/>
        <v>no</v>
      </c>
    </row>
    <row r="361" spans="2:16" x14ac:dyDescent="0.35">
      <c r="B361">
        <f t="shared" si="65"/>
        <v>346</v>
      </c>
      <c r="C361" s="7">
        <f t="shared" si="59"/>
        <v>346</v>
      </c>
      <c r="D361" s="1" cm="1">
        <f t="array" ref="D361">estimatedTripEnergy(C361,G$5,G$6,C$12,C$7,C$9,C$8,FALSE)/1000</f>
        <v>1417.9393073079</v>
      </c>
      <c r="E361" s="1" cm="1">
        <f t="array" ref="E361">estimatedTripEnergy(C361,G$5,G$6,C$12,C$7,C$9,C$8)/1000</f>
        <v>1565.8993073079</v>
      </c>
      <c r="F361" s="59" cm="1">
        <f t="array" ref="F361">estimatedTripDuration(C361,$C$8,$C$7)/60</f>
        <v>13.280486010099342</v>
      </c>
      <c r="G361">
        <f t="shared" si="66"/>
        <v>346</v>
      </c>
      <c r="H361" s="50">
        <f t="shared" si="60"/>
        <v>57.666666666666664</v>
      </c>
      <c r="I361" s="7" cm="1">
        <f t="array" ref="I361">CurrentCapacity(K$10,K$6,K$7,H361)</f>
        <v>35684.343000000001</v>
      </c>
      <c r="J361" s="48">
        <f t="shared" si="61"/>
        <v>4.3881971073641453E-2</v>
      </c>
      <c r="K361" s="5" cm="1">
        <f t="array" ref="K361">UseableCapacity(I361,$K$8,$K$9)</f>
        <v>26763.257250000002</v>
      </c>
      <c r="L361" s="59">
        <f t="shared" si="62"/>
        <v>34118.443692692104</v>
      </c>
      <c r="M361" s="7">
        <f t="shared" si="63"/>
        <v>25197.357942692102</v>
      </c>
      <c r="N361" s="7">
        <f t="shared" si="64"/>
        <v>2565.6569999999992</v>
      </c>
      <c r="O361" t="str">
        <f t="shared" si="67"/>
        <v>no</v>
      </c>
      <c r="P361" t="str">
        <f t="shared" si="68"/>
        <v>no</v>
      </c>
    </row>
    <row r="362" spans="2:16" x14ac:dyDescent="0.35">
      <c r="B362">
        <f t="shared" si="65"/>
        <v>347</v>
      </c>
      <c r="C362" s="7">
        <f t="shared" si="59"/>
        <v>347</v>
      </c>
      <c r="D362" s="1" cm="1">
        <f t="array" ref="D362">estimatedTripEnergy(C362,G$5,G$6,C$12,C$7,C$9,C$8,FALSE)/1000</f>
        <v>1418.8659864685001</v>
      </c>
      <c r="E362" s="1" cm="1">
        <f t="array" ref="E362">estimatedTripEnergy(C362,G$5,G$6,C$12,C$7,C$9,C$8)/1000</f>
        <v>1566.8259864685001</v>
      </c>
      <c r="F362" s="59" cm="1">
        <f t="array" ref="F362">estimatedTripDuration(C362,$C$8,$C$7)/60</f>
        <v>13.313819343432675</v>
      </c>
      <c r="G362">
        <f t="shared" si="66"/>
        <v>347</v>
      </c>
      <c r="H362" s="50">
        <f t="shared" si="60"/>
        <v>57.833333333333336</v>
      </c>
      <c r="I362" s="7" cm="1">
        <f t="array" ref="I362">CurrentCapacity(K$10,K$6,K$7,H362)</f>
        <v>35684.113499999999</v>
      </c>
      <c r="J362" s="48">
        <f t="shared" si="61"/>
        <v>4.3908222253258446E-2</v>
      </c>
      <c r="K362" s="5" cm="1">
        <f t="array" ref="K362">UseableCapacity(I362,$K$8,$K$9)</f>
        <v>26763.085124999998</v>
      </c>
      <c r="L362" s="59">
        <f t="shared" si="62"/>
        <v>34117.287513531497</v>
      </c>
      <c r="M362" s="7">
        <f t="shared" si="63"/>
        <v>25196.259138531499</v>
      </c>
      <c r="N362" s="7">
        <f t="shared" si="64"/>
        <v>2565.8865000000005</v>
      </c>
      <c r="O362" t="str">
        <f t="shared" si="67"/>
        <v>no</v>
      </c>
      <c r="P362" t="str">
        <f t="shared" si="68"/>
        <v>no</v>
      </c>
    </row>
    <row r="363" spans="2:16" x14ac:dyDescent="0.35">
      <c r="B363">
        <f t="shared" si="65"/>
        <v>348</v>
      </c>
      <c r="C363" s="7">
        <f t="shared" si="59"/>
        <v>348</v>
      </c>
      <c r="D363" s="1" cm="1">
        <f t="array" ref="D363">estimatedTripEnergy(C363,G$5,G$6,C$12,C$7,C$9,C$8,FALSE)/1000</f>
        <v>1419.7926656291002</v>
      </c>
      <c r="E363" s="1" cm="1">
        <f t="array" ref="E363">estimatedTripEnergy(C363,G$5,G$6,C$12,C$7,C$9,C$8)/1000</f>
        <v>1567.7526656291</v>
      </c>
      <c r="F363" s="59" cm="1">
        <f t="array" ref="F363">estimatedTripDuration(C363,$C$8,$C$7)/60</f>
        <v>13.347152676766008</v>
      </c>
      <c r="G363">
        <f t="shared" si="66"/>
        <v>348</v>
      </c>
      <c r="H363" s="50">
        <f t="shared" si="60"/>
        <v>58</v>
      </c>
      <c r="I363" s="7" cm="1">
        <f t="array" ref="I363">CurrentCapacity(K$10,K$6,K$7,H363)</f>
        <v>35683.884000000005</v>
      </c>
      <c r="J363" s="48">
        <f t="shared" si="61"/>
        <v>4.393447377054302E-2</v>
      </c>
      <c r="K363" s="5" cm="1">
        <f t="array" ref="K363">UseableCapacity(I363,$K$8,$K$9)</f>
        <v>26762.913000000004</v>
      </c>
      <c r="L363" s="59">
        <f t="shared" si="62"/>
        <v>34116.131334370904</v>
      </c>
      <c r="M363" s="7">
        <f t="shared" si="63"/>
        <v>25195.160334370903</v>
      </c>
      <c r="N363" s="7">
        <f t="shared" si="64"/>
        <v>2566.1159999999945</v>
      </c>
      <c r="O363" t="str">
        <f t="shared" si="67"/>
        <v>no</v>
      </c>
      <c r="P363" t="str">
        <f t="shared" si="68"/>
        <v>no</v>
      </c>
    </row>
    <row r="364" spans="2:16" x14ac:dyDescent="0.35">
      <c r="B364">
        <f t="shared" si="65"/>
        <v>349</v>
      </c>
      <c r="C364" s="7">
        <f t="shared" si="59"/>
        <v>349</v>
      </c>
      <c r="D364" s="1" cm="1">
        <f t="array" ref="D364">estimatedTripEnergy(C364,G$5,G$6,C$12,C$7,C$9,C$8,FALSE)/1000</f>
        <v>1420.7193447897</v>
      </c>
      <c r="E364" s="1" cm="1">
        <f t="array" ref="E364">estimatedTripEnergy(C364,G$5,G$6,C$12,C$7,C$9,C$8)/1000</f>
        <v>1568.6793447897001</v>
      </c>
      <c r="F364" s="59" cm="1">
        <f t="array" ref="F364">estimatedTripDuration(C364,$C$8,$C$7)/60</f>
        <v>13.380486010099341</v>
      </c>
      <c r="G364">
        <f t="shared" si="66"/>
        <v>349</v>
      </c>
      <c r="H364" s="50">
        <f t="shared" si="60"/>
        <v>58.166666666666664</v>
      </c>
      <c r="I364" s="7" cm="1">
        <f t="array" ref="I364">CurrentCapacity(K$10,K$6,K$7,H364)</f>
        <v>35683.654499999997</v>
      </c>
      <c r="J364" s="48">
        <f t="shared" si="61"/>
        <v>4.3960725625501733E-2</v>
      </c>
      <c r="K364" s="5" cm="1">
        <f t="array" ref="K364">UseableCapacity(I364,$K$8,$K$9)</f>
        <v>26762.740874999996</v>
      </c>
      <c r="L364" s="59">
        <f t="shared" si="62"/>
        <v>34114.975155210297</v>
      </c>
      <c r="M364" s="7">
        <f t="shared" si="63"/>
        <v>25194.061530210296</v>
      </c>
      <c r="N364" s="7">
        <f t="shared" si="64"/>
        <v>2566.3455000000031</v>
      </c>
      <c r="O364" t="str">
        <f t="shared" si="67"/>
        <v>no</v>
      </c>
      <c r="P364" t="str">
        <f t="shared" si="68"/>
        <v>no</v>
      </c>
    </row>
    <row r="365" spans="2:16" x14ac:dyDescent="0.35">
      <c r="B365">
        <f t="shared" si="65"/>
        <v>350</v>
      </c>
      <c r="C365" s="7">
        <f t="shared" si="59"/>
        <v>350</v>
      </c>
      <c r="D365" s="1" cm="1">
        <f t="array" ref="D365">estimatedTripEnergy(C365,G$5,G$6,C$12,C$7,C$9,C$8,FALSE)/1000</f>
        <v>1421.6460239502999</v>
      </c>
      <c r="E365" s="1" cm="1">
        <f t="array" ref="E365">estimatedTripEnergy(C365,G$5,G$6,C$12,C$7,C$9,C$8)/1000</f>
        <v>1569.6060239502999</v>
      </c>
      <c r="F365" s="59" cm="1">
        <f t="array" ref="F365">estimatedTripDuration(C365,$C$8,$C$7)/60</f>
        <v>13.413819343432674</v>
      </c>
      <c r="G365">
        <f t="shared" si="66"/>
        <v>350</v>
      </c>
      <c r="H365" s="50">
        <f t="shared" si="60"/>
        <v>58.333333333333336</v>
      </c>
      <c r="I365" s="7" cm="1">
        <f t="array" ref="I365">CurrentCapacity(K$10,K$6,K$7,H365)</f>
        <v>35683.425000000003</v>
      </c>
      <c r="J365" s="48">
        <f t="shared" si="61"/>
        <v>4.3986977818141051E-2</v>
      </c>
      <c r="K365" s="5" cm="1">
        <f t="array" ref="K365">UseableCapacity(I365,$K$8,$K$9)</f>
        <v>26762.568750000002</v>
      </c>
      <c r="L365" s="59">
        <f t="shared" si="62"/>
        <v>34113.818976049704</v>
      </c>
      <c r="M365" s="7">
        <f t="shared" si="63"/>
        <v>25192.962726049704</v>
      </c>
      <c r="N365" s="7">
        <f t="shared" si="64"/>
        <v>2566.5749999999971</v>
      </c>
      <c r="O365" t="str">
        <f t="shared" si="67"/>
        <v>no</v>
      </c>
      <c r="P365" t="str">
        <f t="shared" si="68"/>
        <v>no</v>
      </c>
    </row>
    <row r="366" spans="2:16" x14ac:dyDescent="0.35">
      <c r="B366">
        <f t="shared" si="65"/>
        <v>351</v>
      </c>
      <c r="C366" s="7">
        <f t="shared" si="59"/>
        <v>351</v>
      </c>
      <c r="D366" s="1" cm="1">
        <f t="array" ref="D366">estimatedTripEnergy(C366,G$5,G$6,C$12,C$7,C$9,C$8,FALSE)/1000</f>
        <v>1422.5727031109</v>
      </c>
      <c r="E366" s="1" cm="1">
        <f t="array" ref="E366">estimatedTripEnergy(C366,G$5,G$6,C$12,C$7,C$9,C$8)/1000</f>
        <v>1570.5327031109</v>
      </c>
      <c r="F366" s="59" cm="1">
        <f t="array" ref="F366">estimatedTripDuration(C366,$C$8,$C$7)/60</f>
        <v>13.447152676766008</v>
      </c>
      <c r="G366">
        <f t="shared" si="66"/>
        <v>351</v>
      </c>
      <c r="H366" s="50">
        <f t="shared" si="60"/>
        <v>58.5</v>
      </c>
      <c r="I366" s="7" cm="1">
        <f t="array" ref="I366">CurrentCapacity(K$10,K$6,K$7,H366)</f>
        <v>35683.195500000002</v>
      </c>
      <c r="J366" s="48">
        <f t="shared" si="61"/>
        <v>4.4013230348467526E-2</v>
      </c>
      <c r="K366" s="5" cm="1">
        <f t="array" ref="K366">UseableCapacity(I366,$K$8,$K$9)</f>
        <v>26762.396625000001</v>
      </c>
      <c r="L366" s="59">
        <f t="shared" si="62"/>
        <v>34112.662796889104</v>
      </c>
      <c r="M366" s="7">
        <f t="shared" si="63"/>
        <v>25191.8639218891</v>
      </c>
      <c r="N366" s="7">
        <f t="shared" si="64"/>
        <v>2566.8044999999984</v>
      </c>
      <c r="O366" t="str">
        <f t="shared" si="67"/>
        <v>no</v>
      </c>
      <c r="P366" t="str">
        <f t="shared" si="68"/>
        <v>no</v>
      </c>
    </row>
    <row r="367" spans="2:16" x14ac:dyDescent="0.35">
      <c r="B367">
        <f t="shared" si="65"/>
        <v>352</v>
      </c>
      <c r="C367" s="7">
        <f t="shared" si="59"/>
        <v>352</v>
      </c>
      <c r="D367" s="1" cm="1">
        <f t="array" ref="D367">estimatedTripEnergy(C367,G$5,G$6,C$12,C$7,C$9,C$8,FALSE)/1000</f>
        <v>1423.4993822715001</v>
      </c>
      <c r="E367" s="1" cm="1">
        <f t="array" ref="E367">estimatedTripEnergy(C367,G$5,G$6,C$12,C$7,C$9,C$8)/1000</f>
        <v>1571.4593822715001</v>
      </c>
      <c r="F367" s="59" cm="1">
        <f t="array" ref="F367">estimatedTripDuration(C367,$C$8,$C$7)/60</f>
        <v>13.480486010099343</v>
      </c>
      <c r="G367">
        <f t="shared" si="66"/>
        <v>352</v>
      </c>
      <c r="H367" s="50">
        <f t="shared" si="60"/>
        <v>58.666666666666664</v>
      </c>
      <c r="I367" s="7" cm="1">
        <f t="array" ref="I367">CurrentCapacity(K$10,K$6,K$7,H367)</f>
        <v>35682.966</v>
      </c>
      <c r="J367" s="48">
        <f t="shared" si="61"/>
        <v>4.4039483216487665E-2</v>
      </c>
      <c r="K367" s="5" cm="1">
        <f t="array" ref="K367">UseableCapacity(I367,$K$8,$K$9)</f>
        <v>26762.2245</v>
      </c>
      <c r="L367" s="59">
        <f t="shared" si="62"/>
        <v>34111.506617728497</v>
      </c>
      <c r="M367" s="7">
        <f t="shared" si="63"/>
        <v>25190.765117728501</v>
      </c>
      <c r="N367" s="7">
        <f t="shared" si="64"/>
        <v>2567.0339999999997</v>
      </c>
      <c r="O367" t="str">
        <f t="shared" si="67"/>
        <v>no</v>
      </c>
      <c r="P367" t="str">
        <f t="shared" si="68"/>
        <v>no</v>
      </c>
    </row>
    <row r="368" spans="2:16" x14ac:dyDescent="0.35">
      <c r="B368">
        <f t="shared" si="65"/>
        <v>353</v>
      </c>
      <c r="C368" s="7">
        <f t="shared" si="59"/>
        <v>353</v>
      </c>
      <c r="D368" s="1" cm="1">
        <f t="array" ref="D368">estimatedTripEnergy(C368,G$5,G$6,C$12,C$7,C$9,C$8,FALSE)/1000</f>
        <v>1424.4260614320999</v>
      </c>
      <c r="E368" s="1" cm="1">
        <f t="array" ref="E368">estimatedTripEnergy(C368,G$5,G$6,C$12,C$7,C$9,C$8)/1000</f>
        <v>1572.3860614321</v>
      </c>
      <c r="F368" s="59" cm="1">
        <f t="array" ref="F368">estimatedTripDuration(C368,$C$8,$C$7)/60</f>
        <v>13.513819343432676</v>
      </c>
      <c r="G368">
        <f t="shared" si="66"/>
        <v>353</v>
      </c>
      <c r="H368" s="50">
        <f t="shared" si="60"/>
        <v>58.833333333333336</v>
      </c>
      <c r="I368" s="7" cm="1">
        <f t="array" ref="I368">CurrentCapacity(K$10,K$6,K$7,H368)</f>
        <v>35682.736500000006</v>
      </c>
      <c r="J368" s="48">
        <f t="shared" si="61"/>
        <v>4.4065736422207971E-2</v>
      </c>
      <c r="K368" s="5" cm="1">
        <f t="array" ref="K368">UseableCapacity(I368,$K$8,$K$9)</f>
        <v>26762.052375000007</v>
      </c>
      <c r="L368" s="59">
        <f t="shared" si="62"/>
        <v>34110.350438567904</v>
      </c>
      <c r="M368" s="7">
        <f t="shared" si="63"/>
        <v>25189.666313567908</v>
      </c>
      <c r="N368" s="7">
        <f t="shared" si="64"/>
        <v>2567.2634999999937</v>
      </c>
      <c r="O368" t="str">
        <f t="shared" si="67"/>
        <v>no</v>
      </c>
      <c r="P368" t="str">
        <f t="shared" si="68"/>
        <v>no</v>
      </c>
    </row>
    <row r="369" spans="2:16" x14ac:dyDescent="0.35">
      <c r="B369">
        <f t="shared" si="65"/>
        <v>354</v>
      </c>
      <c r="C369" s="7">
        <f t="shared" si="59"/>
        <v>354</v>
      </c>
      <c r="D369" s="1" cm="1">
        <f t="array" ref="D369">estimatedTripEnergy(C369,G$5,G$6,C$12,C$7,C$9,C$8,FALSE)/1000</f>
        <v>1425.3527405927</v>
      </c>
      <c r="E369" s="1" cm="1">
        <f t="array" ref="E369">estimatedTripEnergy(C369,G$5,G$6,C$12,C$7,C$9,C$8)/1000</f>
        <v>1573.3127405927</v>
      </c>
      <c r="F369" s="59" cm="1">
        <f t="array" ref="F369">estimatedTripDuration(C369,$C$8,$C$7)/60</f>
        <v>13.547152676766009</v>
      </c>
      <c r="G369">
        <f t="shared" si="66"/>
        <v>354</v>
      </c>
      <c r="H369" s="50">
        <f t="shared" si="60"/>
        <v>59</v>
      </c>
      <c r="I369" s="7" cm="1">
        <f t="array" ref="I369">CurrentCapacity(K$10,K$6,K$7,H369)</f>
        <v>35682.507000000005</v>
      </c>
      <c r="J369" s="48">
        <f t="shared" si="61"/>
        <v>4.409198996563498E-2</v>
      </c>
      <c r="K369" s="5" cm="1">
        <f t="array" ref="K369">UseableCapacity(I369,$K$8,$K$9)</f>
        <v>26761.880250000002</v>
      </c>
      <c r="L369" s="59">
        <f t="shared" si="62"/>
        <v>34109.194259407304</v>
      </c>
      <c r="M369" s="7">
        <f t="shared" si="63"/>
        <v>25188.567509407301</v>
      </c>
      <c r="N369" s="7">
        <f t="shared" si="64"/>
        <v>2567.4929999999949</v>
      </c>
      <c r="O369" t="str">
        <f t="shared" si="67"/>
        <v>no</v>
      </c>
      <c r="P369" t="str">
        <f t="shared" si="68"/>
        <v>no</v>
      </c>
    </row>
    <row r="370" spans="2:16" x14ac:dyDescent="0.35">
      <c r="B370">
        <f t="shared" si="65"/>
        <v>355</v>
      </c>
      <c r="C370" s="7">
        <f t="shared" si="59"/>
        <v>355</v>
      </c>
      <c r="D370" s="1" cm="1">
        <f t="array" ref="D370">estimatedTripEnergy(C370,G$5,G$6,C$12,C$7,C$9,C$8,FALSE)/1000</f>
        <v>1426.2794197533001</v>
      </c>
      <c r="E370" s="1" cm="1">
        <f t="array" ref="E370">estimatedTripEnergy(C370,G$5,G$6,C$12,C$7,C$9,C$8)/1000</f>
        <v>1574.2394197533001</v>
      </c>
      <c r="F370" s="59" cm="1">
        <f t="array" ref="F370">estimatedTripDuration(C370,$C$8,$C$7)/60</f>
        <v>13.580486010099342</v>
      </c>
      <c r="G370">
        <f t="shared" si="66"/>
        <v>355</v>
      </c>
      <c r="H370" s="50">
        <f t="shared" si="60"/>
        <v>59.166666666666664</v>
      </c>
      <c r="I370" s="7" cm="1">
        <f t="array" ref="I370">CurrentCapacity(K$10,K$6,K$7,H370)</f>
        <v>35682.277500000004</v>
      </c>
      <c r="J370" s="48">
        <f t="shared" si="61"/>
        <v>4.4118243846775193E-2</v>
      </c>
      <c r="K370" s="5" cm="1">
        <f t="array" ref="K370">UseableCapacity(I370,$K$8,$K$9)</f>
        <v>26761.708125000005</v>
      </c>
      <c r="L370" s="59">
        <f t="shared" si="62"/>
        <v>34108.038080246704</v>
      </c>
      <c r="M370" s="7">
        <f t="shared" si="63"/>
        <v>25187.468705246705</v>
      </c>
      <c r="N370" s="7">
        <f t="shared" si="64"/>
        <v>2567.7224999999962</v>
      </c>
      <c r="O370" t="str">
        <f t="shared" si="67"/>
        <v>no</v>
      </c>
      <c r="P370" t="str">
        <f t="shared" si="68"/>
        <v>no</v>
      </c>
    </row>
    <row r="371" spans="2:16" x14ac:dyDescent="0.35">
      <c r="B371">
        <f t="shared" si="65"/>
        <v>356</v>
      </c>
      <c r="C371" s="7">
        <f t="shared" si="59"/>
        <v>356</v>
      </c>
      <c r="D371" s="1" cm="1">
        <f t="array" ref="D371">estimatedTripEnergy(C371,G$5,G$6,C$12,C$7,C$9,C$8,FALSE)/1000</f>
        <v>1427.2060989139002</v>
      </c>
      <c r="E371" s="1" cm="1">
        <f t="array" ref="E371">estimatedTripEnergy(C371,G$5,G$6,C$12,C$7,C$9,C$8)/1000</f>
        <v>1575.1660989139</v>
      </c>
      <c r="F371" s="59" cm="1">
        <f t="array" ref="F371">estimatedTripDuration(C371,$C$8,$C$7)/60</f>
        <v>13.613819343432676</v>
      </c>
      <c r="G371">
        <f t="shared" si="66"/>
        <v>356</v>
      </c>
      <c r="H371" s="50">
        <f t="shared" si="60"/>
        <v>59.333333333333336</v>
      </c>
      <c r="I371" s="7" cm="1">
        <f t="array" ref="I371">CurrentCapacity(K$10,K$6,K$7,H371)</f>
        <v>35682.048000000003</v>
      </c>
      <c r="J371" s="48">
        <f t="shared" si="61"/>
        <v>4.4144498065635134E-2</v>
      </c>
      <c r="K371" s="5" cm="1">
        <f t="array" ref="K371">UseableCapacity(I371,$K$8,$K$9)</f>
        <v>26761.536</v>
      </c>
      <c r="L371" s="59">
        <f t="shared" si="62"/>
        <v>34106.881901086104</v>
      </c>
      <c r="M371" s="7">
        <f t="shared" si="63"/>
        <v>25186.369901086102</v>
      </c>
      <c r="N371" s="7">
        <f t="shared" si="64"/>
        <v>2567.9519999999975</v>
      </c>
      <c r="O371" t="str">
        <f t="shared" si="67"/>
        <v>no</v>
      </c>
      <c r="P371" t="str">
        <f t="shared" si="68"/>
        <v>no</v>
      </c>
    </row>
    <row r="372" spans="2:16" x14ac:dyDescent="0.35">
      <c r="B372">
        <f t="shared" si="65"/>
        <v>357</v>
      </c>
      <c r="C372" s="7">
        <f t="shared" si="59"/>
        <v>357</v>
      </c>
      <c r="D372" s="1" cm="1">
        <f t="array" ref="D372">estimatedTripEnergy(C372,G$5,G$6,C$12,C$7,C$9,C$8,FALSE)/1000</f>
        <v>1428.1327780745</v>
      </c>
      <c r="E372" s="1" cm="1">
        <f t="array" ref="E372">estimatedTripEnergy(C372,G$5,G$6,C$12,C$7,C$9,C$8)/1000</f>
        <v>1576.0927780745001</v>
      </c>
      <c r="F372" s="59" cm="1">
        <f t="array" ref="F372">estimatedTripDuration(C372,$C$8,$C$7)/60</f>
        <v>13.647152676766009</v>
      </c>
      <c r="G372">
        <f t="shared" si="66"/>
        <v>357</v>
      </c>
      <c r="H372" s="50">
        <f t="shared" si="60"/>
        <v>59.5</v>
      </c>
      <c r="I372" s="7" cm="1">
        <f t="array" ref="I372">CurrentCapacity(K$10,K$6,K$7,H372)</f>
        <v>35681.818500000001</v>
      </c>
      <c r="J372" s="48">
        <f t="shared" si="61"/>
        <v>4.4170752622221317E-2</v>
      </c>
      <c r="K372" s="5" cm="1">
        <f t="array" ref="K372">UseableCapacity(I372,$K$8,$K$9)</f>
        <v>26761.363875000003</v>
      </c>
      <c r="L372" s="59">
        <f t="shared" si="62"/>
        <v>34105.725721925504</v>
      </c>
      <c r="M372" s="7">
        <f t="shared" si="63"/>
        <v>25185.271096925502</v>
      </c>
      <c r="N372" s="7">
        <f t="shared" si="64"/>
        <v>2568.1814999999988</v>
      </c>
      <c r="O372" t="str">
        <f t="shared" si="67"/>
        <v>no</v>
      </c>
      <c r="P372" t="str">
        <f t="shared" si="68"/>
        <v>no</v>
      </c>
    </row>
    <row r="373" spans="2:16" x14ac:dyDescent="0.35">
      <c r="B373">
        <f t="shared" si="65"/>
        <v>358</v>
      </c>
      <c r="C373" s="7">
        <f t="shared" si="59"/>
        <v>358</v>
      </c>
      <c r="D373" s="1" cm="1">
        <f t="array" ref="D373">estimatedTripEnergy(C373,G$5,G$6,C$12,C$7,C$9,C$8,FALSE)/1000</f>
        <v>1429.0594572350999</v>
      </c>
      <c r="E373" s="1" cm="1">
        <f t="array" ref="E373">estimatedTripEnergy(C373,G$5,G$6,C$12,C$7,C$9,C$8)/1000</f>
        <v>1577.0194572350999</v>
      </c>
      <c r="F373" s="59" cm="1">
        <f t="array" ref="F373">estimatedTripDuration(C373,$C$8,$C$7)/60</f>
        <v>13.680486010099342</v>
      </c>
      <c r="G373">
        <f t="shared" si="66"/>
        <v>358</v>
      </c>
      <c r="H373" s="50">
        <f t="shared" si="60"/>
        <v>59.666666666666664</v>
      </c>
      <c r="I373" s="7" cm="1">
        <f t="array" ref="I373">CurrentCapacity(K$10,K$6,K$7,H373)</f>
        <v>35681.589</v>
      </c>
      <c r="J373" s="48">
        <f t="shared" si="61"/>
        <v>4.4197007516540252E-2</v>
      </c>
      <c r="K373" s="5" cm="1">
        <f t="array" ref="K373">UseableCapacity(I373,$K$8,$K$9)</f>
        <v>26761.191749999998</v>
      </c>
      <c r="L373" s="59">
        <f t="shared" si="62"/>
        <v>34104.569542764897</v>
      </c>
      <c r="M373" s="7">
        <f t="shared" si="63"/>
        <v>25184.172292764899</v>
      </c>
      <c r="N373" s="7">
        <f t="shared" si="64"/>
        <v>2568.4110000000001</v>
      </c>
      <c r="O373" t="str">
        <f t="shared" si="67"/>
        <v>no</v>
      </c>
      <c r="P373" t="str">
        <f t="shared" si="68"/>
        <v>no</v>
      </c>
    </row>
    <row r="374" spans="2:16" x14ac:dyDescent="0.35">
      <c r="B374">
        <f t="shared" si="65"/>
        <v>359</v>
      </c>
      <c r="C374" s="7">
        <f t="shared" si="59"/>
        <v>359</v>
      </c>
      <c r="D374" s="1" cm="1">
        <f t="array" ref="D374">estimatedTripEnergy(C374,G$5,G$6,C$12,C$7,C$9,C$8,FALSE)/1000</f>
        <v>1429.9861363957</v>
      </c>
      <c r="E374" s="1" cm="1">
        <f t="array" ref="E374">estimatedTripEnergy(C374,G$5,G$6,C$12,C$7,C$9,C$8)/1000</f>
        <v>1577.9461363957</v>
      </c>
      <c r="F374" s="59" cm="1">
        <f t="array" ref="F374">estimatedTripDuration(C374,$C$8,$C$7)/60</f>
        <v>13.713819343432675</v>
      </c>
      <c r="G374">
        <f t="shared" si="66"/>
        <v>359</v>
      </c>
      <c r="H374" s="50">
        <f t="shared" si="60"/>
        <v>59.833333333333336</v>
      </c>
      <c r="I374" s="7" cm="1">
        <f t="array" ref="I374">CurrentCapacity(K$10,K$6,K$7,H374)</f>
        <v>35681.359500000006</v>
      </c>
      <c r="J374" s="48">
        <f t="shared" si="61"/>
        <v>4.422326274859846E-2</v>
      </c>
      <c r="K374" s="5" cm="1">
        <f t="array" ref="K374">UseableCapacity(I374,$K$8,$K$9)</f>
        <v>26761.019625000004</v>
      </c>
      <c r="L374" s="59">
        <f t="shared" si="62"/>
        <v>34103.413363604304</v>
      </c>
      <c r="M374" s="7">
        <f t="shared" si="63"/>
        <v>25183.073488604303</v>
      </c>
      <c r="N374" s="7">
        <f t="shared" si="64"/>
        <v>2568.6404999999941</v>
      </c>
      <c r="O374" t="str">
        <f t="shared" si="67"/>
        <v>no</v>
      </c>
      <c r="P374" t="str">
        <f t="shared" si="68"/>
        <v>no</v>
      </c>
    </row>
    <row r="375" spans="2:16" x14ac:dyDescent="0.35">
      <c r="B375">
        <f t="shared" si="65"/>
        <v>360</v>
      </c>
      <c r="C375" s="7">
        <f t="shared" si="59"/>
        <v>360</v>
      </c>
      <c r="D375" s="1" cm="1">
        <f t="array" ref="D375">estimatedTripEnergy(C375,G$5,G$6,C$12,C$7,C$9,C$8,FALSE)/1000</f>
        <v>1430.9128155562998</v>
      </c>
      <c r="E375" s="1" cm="1">
        <f t="array" ref="E375">estimatedTripEnergy(C375,G$5,G$6,C$12,C$7,C$9,C$8)/1000</f>
        <v>1578.8728155562999</v>
      </c>
      <c r="F375" s="59" cm="1">
        <f t="array" ref="F375">estimatedTripDuration(C375,$C$8,$C$7)/60</f>
        <v>13.747152676766008</v>
      </c>
      <c r="G375">
        <f t="shared" si="66"/>
        <v>360</v>
      </c>
      <c r="H375" s="50">
        <f t="shared" si="60"/>
        <v>60</v>
      </c>
      <c r="I375" s="7" cm="1">
        <f t="array" ref="I375">CurrentCapacity(K$10,K$6,K$7,H375)</f>
        <v>35681.129999999997</v>
      </c>
      <c r="J375" s="48">
        <f t="shared" si="61"/>
        <v>4.4249518318402473E-2</v>
      </c>
      <c r="K375" s="5" cm="1">
        <f t="array" ref="K375">UseableCapacity(I375,$K$8,$K$9)</f>
        <v>26760.847499999996</v>
      </c>
      <c r="L375" s="59">
        <f t="shared" si="62"/>
        <v>34102.257184443697</v>
      </c>
      <c r="M375" s="7">
        <f t="shared" si="63"/>
        <v>25181.974684443696</v>
      </c>
      <c r="N375" s="7">
        <f t="shared" si="64"/>
        <v>2568.8700000000026</v>
      </c>
      <c r="O375" t="str">
        <f t="shared" si="67"/>
        <v>no</v>
      </c>
      <c r="P375" t="str">
        <f t="shared" si="68"/>
        <v>no</v>
      </c>
    </row>
    <row r="376" spans="2:16" x14ac:dyDescent="0.35">
      <c r="B376">
        <f t="shared" si="65"/>
        <v>361</v>
      </c>
      <c r="C376" s="7">
        <f t="shared" si="59"/>
        <v>361</v>
      </c>
      <c r="D376" s="1" cm="1">
        <f t="array" ref="D376">estimatedTripEnergy(C376,G$5,G$6,C$12,C$7,C$9,C$8,FALSE)/1000</f>
        <v>1431.8394947168999</v>
      </c>
      <c r="E376" s="1" cm="1">
        <f t="array" ref="E376">estimatedTripEnergy(C376,G$5,G$6,C$12,C$7,C$9,C$8)/1000</f>
        <v>1579.7994947169</v>
      </c>
      <c r="F376" s="59" cm="1">
        <f t="array" ref="F376">estimatedTripDuration(C376,$C$8,$C$7)/60</f>
        <v>13.780486010099342</v>
      </c>
      <c r="G376">
        <f t="shared" si="66"/>
        <v>361</v>
      </c>
      <c r="H376" s="50">
        <f t="shared" si="60"/>
        <v>60.166666666666664</v>
      </c>
      <c r="I376" s="7" cm="1">
        <f t="array" ref="I376">CurrentCapacity(K$10,K$6,K$7,H376)</f>
        <v>35680.900500000003</v>
      </c>
      <c r="J376" s="48">
        <f t="shared" si="61"/>
        <v>4.4275774225958783E-2</v>
      </c>
      <c r="K376" s="5" cm="1">
        <f t="array" ref="K376">UseableCapacity(I376,$K$8,$K$9)</f>
        <v>26760.675375000003</v>
      </c>
      <c r="L376" s="59">
        <f t="shared" si="62"/>
        <v>34101.101005283104</v>
      </c>
      <c r="M376" s="7">
        <f t="shared" si="63"/>
        <v>25180.875880283103</v>
      </c>
      <c r="N376" s="7">
        <f t="shared" si="64"/>
        <v>2569.0994999999966</v>
      </c>
      <c r="O376" t="str">
        <f t="shared" si="67"/>
        <v>no</v>
      </c>
      <c r="P376" t="str">
        <f t="shared" si="68"/>
        <v>no</v>
      </c>
    </row>
    <row r="377" spans="2:16" x14ac:dyDescent="0.35">
      <c r="B377">
        <f t="shared" si="65"/>
        <v>362</v>
      </c>
      <c r="C377" s="7">
        <f t="shared" si="59"/>
        <v>362</v>
      </c>
      <c r="D377" s="1" cm="1">
        <f t="array" ref="D377">estimatedTripEnergy(C377,G$5,G$6,C$12,C$7,C$9,C$8,FALSE)/1000</f>
        <v>1432.7661738775</v>
      </c>
      <c r="E377" s="1" cm="1">
        <f t="array" ref="E377">estimatedTripEnergy(C377,G$5,G$6,C$12,C$7,C$9,C$8)/1000</f>
        <v>1580.7261738775001</v>
      </c>
      <c r="F377" s="59" cm="1">
        <f t="array" ref="F377">estimatedTripDuration(C377,$C$8,$C$7)/60</f>
        <v>13.813819343432675</v>
      </c>
      <c r="G377">
        <f t="shared" si="66"/>
        <v>362</v>
      </c>
      <c r="H377" s="50">
        <f t="shared" si="60"/>
        <v>60.333333333333336</v>
      </c>
      <c r="I377" s="7" cm="1">
        <f t="array" ref="I377">CurrentCapacity(K$10,K$6,K$7,H377)</f>
        <v>35680.671000000002</v>
      </c>
      <c r="J377" s="48">
        <f t="shared" si="61"/>
        <v>4.4302030471273929E-2</v>
      </c>
      <c r="K377" s="5" cm="1">
        <f t="array" ref="K377">UseableCapacity(I377,$K$8,$K$9)</f>
        <v>26760.503250000002</v>
      </c>
      <c r="L377" s="59">
        <f t="shared" si="62"/>
        <v>34099.944826122504</v>
      </c>
      <c r="M377" s="7">
        <f t="shared" si="63"/>
        <v>25179.7770761225</v>
      </c>
      <c r="N377" s="7">
        <f t="shared" si="64"/>
        <v>2569.3289999999979</v>
      </c>
      <c r="O377" t="str">
        <f t="shared" si="67"/>
        <v>no</v>
      </c>
      <c r="P377" t="str">
        <f t="shared" si="68"/>
        <v>no</v>
      </c>
    </row>
    <row r="378" spans="2:16" x14ac:dyDescent="0.35">
      <c r="B378">
        <f t="shared" si="65"/>
        <v>363</v>
      </c>
      <c r="C378" s="7">
        <f t="shared" si="59"/>
        <v>363</v>
      </c>
      <c r="D378" s="1" cm="1">
        <f t="array" ref="D378">estimatedTripEnergy(C378,G$5,G$6,C$12,C$7,C$9,C$8,FALSE)/1000</f>
        <v>1433.6928530381001</v>
      </c>
      <c r="E378" s="1" cm="1">
        <f t="array" ref="E378">estimatedTripEnergy(C378,G$5,G$6,C$12,C$7,C$9,C$8)/1000</f>
        <v>1581.6528530381001</v>
      </c>
      <c r="F378" s="59" cm="1">
        <f t="array" ref="F378">estimatedTripDuration(C378,$C$8,$C$7)/60</f>
        <v>13.847152676766008</v>
      </c>
      <c r="G378">
        <f t="shared" si="66"/>
        <v>363</v>
      </c>
      <c r="H378" s="50">
        <f t="shared" si="60"/>
        <v>60.5</v>
      </c>
      <c r="I378" s="7" cm="1">
        <f t="array" ref="I378">CurrentCapacity(K$10,K$6,K$7,H378)</f>
        <v>35680.441500000001</v>
      </c>
      <c r="J378" s="48">
        <f t="shared" si="61"/>
        <v>4.4328287054354418E-2</v>
      </c>
      <c r="K378" s="5" cm="1">
        <f t="array" ref="K378">UseableCapacity(I378,$K$8,$K$9)</f>
        <v>26760.331125000001</v>
      </c>
      <c r="L378" s="59">
        <f t="shared" si="62"/>
        <v>34098.788646961897</v>
      </c>
      <c r="M378" s="7">
        <f t="shared" si="63"/>
        <v>25178.6782719619</v>
      </c>
      <c r="N378" s="7">
        <f t="shared" si="64"/>
        <v>2569.5584999999992</v>
      </c>
      <c r="O378" t="str">
        <f t="shared" si="67"/>
        <v>no</v>
      </c>
      <c r="P378" t="str">
        <f t="shared" si="68"/>
        <v>no</v>
      </c>
    </row>
    <row r="379" spans="2:16" x14ac:dyDescent="0.35">
      <c r="B379">
        <f t="shared" si="65"/>
        <v>364</v>
      </c>
      <c r="C379" s="7">
        <f t="shared" si="59"/>
        <v>364</v>
      </c>
      <c r="D379" s="1" cm="1">
        <f t="array" ref="D379">estimatedTripEnergy(C379,G$5,G$6,C$12,C$7,C$9,C$8,FALSE)/1000</f>
        <v>1434.6195321987002</v>
      </c>
      <c r="E379" s="1" cm="1">
        <f t="array" ref="E379">estimatedTripEnergy(C379,G$5,G$6,C$12,C$7,C$9,C$8)/1000</f>
        <v>1582.5795321987002</v>
      </c>
      <c r="F379" s="59" cm="1">
        <f t="array" ref="F379">estimatedTripDuration(C379,$C$8,$C$7)/60</f>
        <v>13.880486010099341</v>
      </c>
      <c r="G379">
        <f t="shared" si="66"/>
        <v>364</v>
      </c>
      <c r="H379" s="50">
        <f t="shared" si="60"/>
        <v>60.666666666666664</v>
      </c>
      <c r="I379" s="7" cm="1">
        <f t="array" ref="I379">CurrentCapacity(K$10,K$6,K$7,H379)</f>
        <v>35680.212000000007</v>
      </c>
      <c r="J379" s="48">
        <f t="shared" si="61"/>
        <v>4.4354543975206759E-2</v>
      </c>
      <c r="K379" s="5" cm="1">
        <f t="array" ref="K379">UseableCapacity(I379,$K$8,$K$9)</f>
        <v>26760.159000000007</v>
      </c>
      <c r="L379" s="59">
        <f t="shared" si="62"/>
        <v>34097.632467801304</v>
      </c>
      <c r="M379" s="7">
        <f t="shared" si="63"/>
        <v>25177.579467801308</v>
      </c>
      <c r="N379" s="7">
        <f t="shared" si="64"/>
        <v>2569.7879999999932</v>
      </c>
      <c r="O379" t="str">
        <f t="shared" si="67"/>
        <v>no</v>
      </c>
      <c r="P379" t="str">
        <f t="shared" si="68"/>
        <v>no</v>
      </c>
    </row>
    <row r="380" spans="2:16" x14ac:dyDescent="0.35">
      <c r="B380">
        <f t="shared" si="65"/>
        <v>365</v>
      </c>
      <c r="C380" s="7">
        <f t="shared" si="59"/>
        <v>365</v>
      </c>
      <c r="D380" s="1" cm="1">
        <f t="array" ref="D380">estimatedTripEnergy(C380,G$5,G$6,C$12,C$7,C$9,C$8,FALSE)/1000</f>
        <v>1435.5462113593001</v>
      </c>
      <c r="E380" s="1" cm="1">
        <f t="array" ref="E380">estimatedTripEnergy(C380,G$5,G$6,C$12,C$7,C$9,C$8)/1000</f>
        <v>1583.5062113592999</v>
      </c>
      <c r="F380" s="59" cm="1">
        <f t="array" ref="F380">estimatedTripDuration(C380,$C$8,$C$7)/60</f>
        <v>13.913819343432674</v>
      </c>
      <c r="G380">
        <f t="shared" si="66"/>
        <v>365</v>
      </c>
      <c r="H380" s="50">
        <f t="shared" si="60"/>
        <v>60.833333333333336</v>
      </c>
      <c r="I380" s="7" cm="1">
        <f t="array" ref="I380">CurrentCapacity(K$10,K$6,K$7,H380)</f>
        <v>35679.982499999998</v>
      </c>
      <c r="J380" s="48">
        <f t="shared" si="61"/>
        <v>4.4380801233837489E-2</v>
      </c>
      <c r="K380" s="5" cm="1">
        <f t="array" ref="K380">UseableCapacity(I380,$K$8,$K$9)</f>
        <v>26759.986874999999</v>
      </c>
      <c r="L380" s="59">
        <f t="shared" si="62"/>
        <v>34096.476288640697</v>
      </c>
      <c r="M380" s="7">
        <f t="shared" si="63"/>
        <v>25176.480663640697</v>
      </c>
      <c r="N380" s="7">
        <f t="shared" si="64"/>
        <v>2570.0175000000017</v>
      </c>
      <c r="O380" t="str">
        <f t="shared" si="67"/>
        <v>no</v>
      </c>
      <c r="P380" t="str">
        <f t="shared" si="68"/>
        <v>no</v>
      </c>
    </row>
    <row r="381" spans="2:16" x14ac:dyDescent="0.35">
      <c r="B381">
        <f t="shared" si="65"/>
        <v>366</v>
      </c>
      <c r="C381" s="7">
        <f t="shared" si="59"/>
        <v>366</v>
      </c>
      <c r="D381" s="1" cm="1">
        <f t="array" ref="D381">estimatedTripEnergy(C381,G$5,G$6,C$12,C$7,C$9,C$8,FALSE)/1000</f>
        <v>1436.4728905198999</v>
      </c>
      <c r="E381" s="1" cm="1">
        <f t="array" ref="E381">estimatedTripEnergy(C381,G$5,G$6,C$12,C$7,C$9,C$8)/1000</f>
        <v>1584.4328905199</v>
      </c>
      <c r="F381" s="59" cm="1">
        <f t="array" ref="F381">estimatedTripDuration(C381,$C$8,$C$7)/60</f>
        <v>13.947152676766008</v>
      </c>
      <c r="G381">
        <f t="shared" si="66"/>
        <v>366</v>
      </c>
      <c r="H381" s="50">
        <f t="shared" si="60"/>
        <v>61</v>
      </c>
      <c r="I381" s="7" cm="1">
        <f t="array" ref="I381">CurrentCapacity(K$10,K$6,K$7,H381)</f>
        <v>35679.753000000004</v>
      </c>
      <c r="J381" s="48">
        <f t="shared" si="61"/>
        <v>4.4407058830253109E-2</v>
      </c>
      <c r="K381" s="5" cm="1">
        <f t="array" ref="K381">UseableCapacity(I381,$K$8,$K$9)</f>
        <v>26759.814750000005</v>
      </c>
      <c r="L381" s="59">
        <f t="shared" si="62"/>
        <v>34095.320109480104</v>
      </c>
      <c r="M381" s="7">
        <f t="shared" si="63"/>
        <v>25175.381859480105</v>
      </c>
      <c r="N381" s="7">
        <f t="shared" si="64"/>
        <v>2570.2469999999958</v>
      </c>
      <c r="O381" t="str">
        <f t="shared" si="67"/>
        <v>no</v>
      </c>
      <c r="P381" t="str">
        <f t="shared" si="68"/>
        <v>no</v>
      </c>
    </row>
    <row r="382" spans="2:16" x14ac:dyDescent="0.35">
      <c r="B382">
        <f t="shared" si="65"/>
        <v>367</v>
      </c>
      <c r="C382" s="7">
        <f t="shared" si="59"/>
        <v>367</v>
      </c>
      <c r="D382" s="1" cm="1">
        <f t="array" ref="D382">estimatedTripEnergy(C382,G$5,G$6,C$12,C$7,C$9,C$8,FALSE)/1000</f>
        <v>1437.3995696805</v>
      </c>
      <c r="E382" s="1" cm="1">
        <f t="array" ref="E382">estimatedTripEnergy(C382,G$5,G$6,C$12,C$7,C$9,C$8)/1000</f>
        <v>1585.3595696805</v>
      </c>
      <c r="F382" s="59" cm="1">
        <f t="array" ref="F382">estimatedTripDuration(C382,$C$8,$C$7)/60</f>
        <v>13.980486010099343</v>
      </c>
      <c r="G382">
        <f t="shared" si="66"/>
        <v>367</v>
      </c>
      <c r="H382" s="50">
        <f t="shared" si="60"/>
        <v>61.166666666666664</v>
      </c>
      <c r="I382" s="7" cm="1">
        <f t="array" ref="I382">CurrentCapacity(K$10,K$6,K$7,H382)</f>
        <v>35679.523500000003</v>
      </c>
      <c r="J382" s="48">
        <f t="shared" si="61"/>
        <v>4.4433316764460148E-2</v>
      </c>
      <c r="K382" s="5" cm="1">
        <f t="array" ref="K382">UseableCapacity(I382,$K$8,$K$9)</f>
        <v>26759.642625</v>
      </c>
      <c r="L382" s="59">
        <f t="shared" si="62"/>
        <v>34094.163930319504</v>
      </c>
      <c r="M382" s="7">
        <f t="shared" si="63"/>
        <v>25174.283055319502</v>
      </c>
      <c r="N382" s="7">
        <f t="shared" si="64"/>
        <v>2570.476499999997</v>
      </c>
      <c r="O382" t="str">
        <f t="shared" si="67"/>
        <v>no</v>
      </c>
      <c r="P382" t="str">
        <f t="shared" si="68"/>
        <v>no</v>
      </c>
    </row>
    <row r="383" spans="2:16" x14ac:dyDescent="0.35">
      <c r="B383">
        <f t="shared" si="65"/>
        <v>368</v>
      </c>
      <c r="C383" s="7">
        <f t="shared" si="59"/>
        <v>368</v>
      </c>
      <c r="D383" s="1" cm="1">
        <f t="array" ref="D383">estimatedTripEnergy(C383,G$5,G$6,C$12,C$7,C$9,C$8,FALSE)/1000</f>
        <v>1438.3262488410999</v>
      </c>
      <c r="E383" s="1" cm="1">
        <f t="array" ref="E383">estimatedTripEnergy(C383,G$5,G$6,C$12,C$7,C$9,C$8)/1000</f>
        <v>1586.2862488410999</v>
      </c>
      <c r="F383" s="59" cm="1">
        <f t="array" ref="F383">estimatedTripDuration(C383,$C$8,$C$7)/60</f>
        <v>14.013819343432676</v>
      </c>
      <c r="G383">
        <f t="shared" si="66"/>
        <v>368</v>
      </c>
      <c r="H383" s="50">
        <f t="shared" si="60"/>
        <v>61.333333333333336</v>
      </c>
      <c r="I383" s="7" cm="1">
        <f t="array" ref="I383">CurrentCapacity(K$10,K$6,K$7,H383)</f>
        <v>35679.294000000002</v>
      </c>
      <c r="J383" s="48">
        <f t="shared" si="61"/>
        <v>4.4459575036465124E-2</v>
      </c>
      <c r="K383" s="5" cm="1">
        <f t="array" ref="K383">UseableCapacity(I383,$K$8,$K$9)</f>
        <v>26759.470500000003</v>
      </c>
      <c r="L383" s="59">
        <f t="shared" si="62"/>
        <v>34093.007751158904</v>
      </c>
      <c r="M383" s="7">
        <f t="shared" si="63"/>
        <v>25173.184251158902</v>
      </c>
      <c r="N383" s="7">
        <f t="shared" si="64"/>
        <v>2570.7059999999983</v>
      </c>
      <c r="O383" t="str">
        <f t="shared" si="67"/>
        <v>no</v>
      </c>
      <c r="P383" t="str">
        <f t="shared" si="68"/>
        <v>no</v>
      </c>
    </row>
    <row r="384" spans="2:16" x14ac:dyDescent="0.35">
      <c r="B384">
        <f t="shared" si="65"/>
        <v>369</v>
      </c>
      <c r="C384" s="7">
        <f t="shared" si="59"/>
        <v>369</v>
      </c>
      <c r="D384" s="1" cm="1">
        <f t="array" ref="D384">estimatedTripEnergy(C384,G$5,G$6,C$12,C$7,C$9,C$8,FALSE)/1000</f>
        <v>1439.2529280017</v>
      </c>
      <c r="E384" s="1" cm="1">
        <f t="array" ref="E384">estimatedTripEnergy(C384,G$5,G$6,C$12,C$7,C$9,C$8)/1000</f>
        <v>1587.2129280017</v>
      </c>
      <c r="F384" s="59" cm="1">
        <f t="array" ref="F384">estimatedTripDuration(C384,$C$8,$C$7)/60</f>
        <v>14.047152676766009</v>
      </c>
      <c r="G384">
        <f t="shared" si="66"/>
        <v>369</v>
      </c>
      <c r="H384" s="50">
        <f t="shared" si="60"/>
        <v>61.5</v>
      </c>
      <c r="I384" s="7" cm="1">
        <f t="array" ref="I384">CurrentCapacity(K$10,K$6,K$7,H384)</f>
        <v>35679.0645</v>
      </c>
      <c r="J384" s="48">
        <f t="shared" si="61"/>
        <v>4.448583364627455E-2</v>
      </c>
      <c r="K384" s="5" cm="1">
        <f t="array" ref="K384">UseableCapacity(I384,$K$8,$K$9)</f>
        <v>26759.298374999998</v>
      </c>
      <c r="L384" s="59">
        <f t="shared" si="62"/>
        <v>34091.851571998297</v>
      </c>
      <c r="M384" s="7">
        <f t="shared" si="63"/>
        <v>25172.085446998299</v>
      </c>
      <c r="N384" s="7">
        <f t="shared" si="64"/>
        <v>2570.9354999999996</v>
      </c>
      <c r="O384" t="str">
        <f t="shared" si="67"/>
        <v>no</v>
      </c>
      <c r="P384" t="str">
        <f t="shared" si="68"/>
        <v>no</v>
      </c>
    </row>
    <row r="385" spans="2:16" x14ac:dyDescent="0.35">
      <c r="B385">
        <f t="shared" si="65"/>
        <v>370</v>
      </c>
      <c r="C385" s="7">
        <f t="shared" si="59"/>
        <v>370</v>
      </c>
      <c r="D385" s="1" cm="1">
        <f t="array" ref="D385">estimatedTripEnergy(C385,G$5,G$6,C$12,C$7,C$9,C$8,FALSE)/1000</f>
        <v>1440.1796071623</v>
      </c>
      <c r="E385" s="1" cm="1">
        <f t="array" ref="E385">estimatedTripEnergy(C385,G$5,G$6,C$12,C$7,C$9,C$8)/1000</f>
        <v>1588.1396071623001</v>
      </c>
      <c r="F385" s="59" cm="1">
        <f t="array" ref="F385">estimatedTripDuration(C385,$C$8,$C$7)/60</f>
        <v>14.080486010099342</v>
      </c>
      <c r="G385">
        <f t="shared" si="66"/>
        <v>370</v>
      </c>
      <c r="H385" s="50">
        <f t="shared" si="60"/>
        <v>61.666666666666664</v>
      </c>
      <c r="I385" s="7" cm="1">
        <f t="array" ref="I385">CurrentCapacity(K$10,K$6,K$7,H385)</f>
        <v>35678.834999999999</v>
      </c>
      <c r="J385" s="48">
        <f t="shared" si="61"/>
        <v>4.4512092593894957E-2</v>
      </c>
      <c r="K385" s="5" cm="1">
        <f t="array" ref="K385">UseableCapacity(I385,$K$8,$K$9)</f>
        <v>26759.126250000001</v>
      </c>
      <c r="L385" s="59">
        <f t="shared" si="62"/>
        <v>34090.695392837697</v>
      </c>
      <c r="M385" s="7">
        <f t="shared" si="63"/>
        <v>25170.986642837703</v>
      </c>
      <c r="N385" s="7">
        <f t="shared" si="64"/>
        <v>2571.1650000000009</v>
      </c>
      <c r="O385" t="str">
        <f t="shared" si="67"/>
        <v>no</v>
      </c>
      <c r="P385" t="str">
        <f t="shared" si="68"/>
        <v>no</v>
      </c>
    </row>
    <row r="386" spans="2:16" x14ac:dyDescent="0.35">
      <c r="B386">
        <f t="shared" si="65"/>
        <v>371</v>
      </c>
      <c r="C386" s="7">
        <f t="shared" si="59"/>
        <v>371</v>
      </c>
      <c r="D386" s="1" cm="1">
        <f t="array" ref="D386">estimatedTripEnergy(C386,G$5,G$6,C$12,C$7,C$9,C$8,FALSE)/1000</f>
        <v>1441.1062863229001</v>
      </c>
      <c r="E386" s="1" cm="1">
        <f t="array" ref="E386">estimatedTripEnergy(C386,G$5,G$6,C$12,C$7,C$9,C$8)/1000</f>
        <v>1589.0662863229002</v>
      </c>
      <c r="F386" s="59" cm="1">
        <f t="array" ref="F386">estimatedTripDuration(C386,$C$8,$C$7)/60</f>
        <v>14.113819343432676</v>
      </c>
      <c r="G386">
        <f t="shared" si="66"/>
        <v>371</v>
      </c>
      <c r="H386" s="50">
        <f t="shared" si="60"/>
        <v>61.833333333333336</v>
      </c>
      <c r="I386" s="7" cm="1">
        <f t="array" ref="I386">CurrentCapacity(K$10,K$6,K$7,H386)</f>
        <v>35678.605500000005</v>
      </c>
      <c r="J386" s="48">
        <f t="shared" si="61"/>
        <v>4.453835187933284E-2</v>
      </c>
      <c r="K386" s="5" cm="1">
        <f t="array" ref="K386">UseableCapacity(I386,$K$8,$K$9)</f>
        <v>26758.954125000004</v>
      </c>
      <c r="L386" s="59">
        <f t="shared" si="62"/>
        <v>34089.539213677104</v>
      </c>
      <c r="M386" s="7">
        <f t="shared" si="63"/>
        <v>25169.887838677103</v>
      </c>
      <c r="N386" s="7">
        <f t="shared" si="64"/>
        <v>2571.3944999999949</v>
      </c>
      <c r="O386" t="str">
        <f t="shared" si="67"/>
        <v>no</v>
      </c>
      <c r="P386" t="str">
        <f t="shared" si="68"/>
        <v>no</v>
      </c>
    </row>
    <row r="387" spans="2:16" x14ac:dyDescent="0.35">
      <c r="B387">
        <f t="shared" si="65"/>
        <v>372</v>
      </c>
      <c r="C387" s="7">
        <f t="shared" si="59"/>
        <v>372</v>
      </c>
      <c r="D387" s="1" cm="1">
        <f t="array" ref="D387">estimatedTripEnergy(C387,G$5,G$6,C$12,C$7,C$9,C$8,FALSE)/1000</f>
        <v>1442.0329654835002</v>
      </c>
      <c r="E387" s="1" cm="1">
        <f t="array" ref="E387">estimatedTripEnergy(C387,G$5,G$6,C$12,C$7,C$9,C$8)/1000</f>
        <v>1589.9929654835003</v>
      </c>
      <c r="F387" s="59" cm="1">
        <f t="array" ref="F387">estimatedTripDuration(C387,$C$8,$C$7)/60</f>
        <v>14.147152676766009</v>
      </c>
      <c r="G387">
        <f t="shared" si="66"/>
        <v>372</v>
      </c>
      <c r="H387" s="50">
        <f t="shared" si="60"/>
        <v>62</v>
      </c>
      <c r="I387" s="7" cm="1">
        <f t="array" ref="I387">CurrentCapacity(K$10,K$6,K$7,H387)</f>
        <v>35678.376000000004</v>
      </c>
      <c r="J387" s="48">
        <f t="shared" si="61"/>
        <v>4.4564611502594741E-2</v>
      </c>
      <c r="K387" s="5" cm="1">
        <f t="array" ref="K387">UseableCapacity(I387,$K$8,$K$9)</f>
        <v>26758.782000000003</v>
      </c>
      <c r="L387" s="59">
        <f t="shared" si="62"/>
        <v>34088.383034516504</v>
      </c>
      <c r="M387" s="7">
        <f t="shared" si="63"/>
        <v>25168.789034516503</v>
      </c>
      <c r="N387" s="7">
        <f t="shared" si="64"/>
        <v>2571.6239999999962</v>
      </c>
      <c r="O387" t="str">
        <f t="shared" si="67"/>
        <v>no</v>
      </c>
      <c r="P387" t="str">
        <f t="shared" si="68"/>
        <v>no</v>
      </c>
    </row>
    <row r="388" spans="2:16" x14ac:dyDescent="0.35">
      <c r="B388">
        <f t="shared" si="65"/>
        <v>373</v>
      </c>
      <c r="C388" s="7">
        <f t="shared" si="59"/>
        <v>373</v>
      </c>
      <c r="D388" s="1" cm="1">
        <f t="array" ref="D388">estimatedTripEnergy(C388,G$5,G$6,C$12,C$7,C$9,C$8,FALSE)/1000</f>
        <v>1442.9596446441001</v>
      </c>
      <c r="E388" s="1" cm="1">
        <f t="array" ref="E388">estimatedTripEnergy(C388,G$5,G$6,C$12,C$7,C$9,C$8)/1000</f>
        <v>1590.9196446440999</v>
      </c>
      <c r="F388" s="59" cm="1">
        <f t="array" ref="F388">estimatedTripDuration(C388,$C$8,$C$7)/60</f>
        <v>14.180486010099342</v>
      </c>
      <c r="G388">
        <f t="shared" si="66"/>
        <v>373</v>
      </c>
      <c r="H388" s="50">
        <f t="shared" si="60"/>
        <v>62.166666666666664</v>
      </c>
      <c r="I388" s="7" cm="1">
        <f t="array" ref="I388">CurrentCapacity(K$10,K$6,K$7,H388)</f>
        <v>35678.146500000003</v>
      </c>
      <c r="J388" s="48">
        <f t="shared" si="61"/>
        <v>4.4590871463687155E-2</v>
      </c>
      <c r="K388" s="5" cm="1">
        <f t="array" ref="K388">UseableCapacity(I388,$K$8,$K$9)</f>
        <v>26758.609875000002</v>
      </c>
      <c r="L388" s="59">
        <f t="shared" si="62"/>
        <v>34087.226855355904</v>
      </c>
      <c r="M388" s="7">
        <f t="shared" si="63"/>
        <v>25167.690230355904</v>
      </c>
      <c r="N388" s="7">
        <f t="shared" si="64"/>
        <v>2571.8534999999974</v>
      </c>
      <c r="O388" t="str">
        <f t="shared" si="67"/>
        <v>no</v>
      </c>
      <c r="P388" t="str">
        <f t="shared" si="68"/>
        <v>no</v>
      </c>
    </row>
    <row r="389" spans="2:16" x14ac:dyDescent="0.35">
      <c r="B389">
        <f t="shared" si="65"/>
        <v>374</v>
      </c>
      <c r="C389" s="7">
        <f t="shared" si="59"/>
        <v>374</v>
      </c>
      <c r="D389" s="1" cm="1">
        <f t="array" ref="D389">estimatedTripEnergy(C389,G$5,G$6,C$12,C$7,C$9,C$8,FALSE)/1000</f>
        <v>1443.8863238046999</v>
      </c>
      <c r="E389" s="1" cm="1">
        <f t="array" ref="E389">estimatedTripEnergy(C389,G$5,G$6,C$12,C$7,C$9,C$8)/1000</f>
        <v>1591.8463238047</v>
      </c>
      <c r="F389" s="59" cm="1">
        <f t="array" ref="F389">estimatedTripDuration(C389,$C$8,$C$7)/60</f>
        <v>14.213819343432675</v>
      </c>
      <c r="G389">
        <f t="shared" si="66"/>
        <v>374</v>
      </c>
      <c r="H389" s="50">
        <f t="shared" si="60"/>
        <v>62.333333333333336</v>
      </c>
      <c r="I389" s="7" cm="1">
        <f t="array" ref="I389">CurrentCapacity(K$10,K$6,K$7,H389)</f>
        <v>35677.917000000001</v>
      </c>
      <c r="J389" s="48">
        <f t="shared" si="61"/>
        <v>4.4617131762616634E-2</v>
      </c>
      <c r="K389" s="5" cm="1">
        <f t="array" ref="K389">UseableCapacity(I389,$K$8,$K$9)</f>
        <v>26758.437750000001</v>
      </c>
      <c r="L389" s="59">
        <f t="shared" si="62"/>
        <v>34086.070676195304</v>
      </c>
      <c r="M389" s="7">
        <f t="shared" si="63"/>
        <v>25166.5914261953</v>
      </c>
      <c r="N389" s="7">
        <f t="shared" si="64"/>
        <v>2572.0829999999987</v>
      </c>
      <c r="O389" t="str">
        <f t="shared" si="67"/>
        <v>no</v>
      </c>
      <c r="P389" t="str">
        <f t="shared" si="68"/>
        <v>no</v>
      </c>
    </row>
    <row r="390" spans="2:16" x14ac:dyDescent="0.35">
      <c r="B390">
        <f t="shared" si="65"/>
        <v>375</v>
      </c>
      <c r="C390" s="7">
        <f t="shared" si="59"/>
        <v>375</v>
      </c>
      <c r="D390" s="1" cm="1">
        <f t="array" ref="D390">estimatedTripEnergy(C390,G$5,G$6,C$12,C$7,C$9,C$8,FALSE)/1000</f>
        <v>1444.8130029652998</v>
      </c>
      <c r="E390" s="1" cm="1">
        <f t="array" ref="E390">estimatedTripEnergy(C390,G$5,G$6,C$12,C$7,C$9,C$8)/1000</f>
        <v>1592.7730029652998</v>
      </c>
      <c r="F390" s="59" cm="1">
        <f t="array" ref="F390">estimatedTripDuration(C390,$C$8,$C$7)/60</f>
        <v>14.247152676766008</v>
      </c>
      <c r="G390">
        <f t="shared" si="66"/>
        <v>375</v>
      </c>
      <c r="H390" s="50">
        <f t="shared" si="60"/>
        <v>62.5</v>
      </c>
      <c r="I390" s="7" cm="1">
        <f t="array" ref="I390">CurrentCapacity(K$10,K$6,K$7,H390)</f>
        <v>35677.6875</v>
      </c>
      <c r="J390" s="48">
        <f t="shared" si="61"/>
        <v>4.4643392399389671E-2</v>
      </c>
      <c r="K390" s="5" cm="1">
        <f t="array" ref="K390">UseableCapacity(I390,$K$8,$K$9)</f>
        <v>26758.265625</v>
      </c>
      <c r="L390" s="59">
        <f t="shared" si="62"/>
        <v>34084.914497034697</v>
      </c>
      <c r="M390" s="7">
        <f t="shared" si="63"/>
        <v>25165.492622034701</v>
      </c>
      <c r="N390" s="7">
        <f t="shared" si="64"/>
        <v>2572.3125</v>
      </c>
      <c r="O390" t="str">
        <f t="shared" si="67"/>
        <v>no</v>
      </c>
      <c r="P390" t="str">
        <f t="shared" si="68"/>
        <v>no</v>
      </c>
    </row>
    <row r="391" spans="2:16" x14ac:dyDescent="0.35">
      <c r="B391">
        <f t="shared" si="65"/>
        <v>376</v>
      </c>
      <c r="C391" s="7">
        <f t="shared" si="59"/>
        <v>376</v>
      </c>
      <c r="D391" s="1" cm="1">
        <f t="array" ref="D391">estimatedTripEnergy(C391,G$5,G$6,C$12,C$7,C$9,C$8,FALSE)/1000</f>
        <v>1445.7396821258999</v>
      </c>
      <c r="E391" s="1" cm="1">
        <f t="array" ref="E391">estimatedTripEnergy(C391,G$5,G$6,C$12,C$7,C$9,C$8)/1000</f>
        <v>1593.6996821258999</v>
      </c>
      <c r="F391" s="59" cm="1">
        <f t="array" ref="F391">estimatedTripDuration(C391,$C$8,$C$7)/60</f>
        <v>14.280486010099342</v>
      </c>
      <c r="G391">
        <f t="shared" si="66"/>
        <v>376</v>
      </c>
      <c r="H391" s="50">
        <f t="shared" si="60"/>
        <v>62.666666666666664</v>
      </c>
      <c r="I391" s="7" cm="1">
        <f t="array" ref="I391">CurrentCapacity(K$10,K$6,K$7,H391)</f>
        <v>35677.457999999999</v>
      </c>
      <c r="J391" s="48">
        <f t="shared" si="61"/>
        <v>4.4669653374012804E-2</v>
      </c>
      <c r="K391" s="5" cm="1">
        <f t="array" ref="K391">UseableCapacity(I391,$K$8,$K$9)</f>
        <v>26758.093499999999</v>
      </c>
      <c r="L391" s="59">
        <f t="shared" si="62"/>
        <v>34083.758317874097</v>
      </c>
      <c r="M391" s="7">
        <f t="shared" si="63"/>
        <v>25164.393817874101</v>
      </c>
      <c r="N391" s="7">
        <f t="shared" si="64"/>
        <v>2572.5420000000013</v>
      </c>
      <c r="O391" t="str">
        <f t="shared" si="67"/>
        <v>no</v>
      </c>
      <c r="P391" t="str">
        <f t="shared" si="68"/>
        <v>no</v>
      </c>
    </row>
    <row r="392" spans="2:16" x14ac:dyDescent="0.35">
      <c r="B392">
        <f t="shared" si="65"/>
        <v>377</v>
      </c>
      <c r="C392" s="7">
        <f t="shared" si="59"/>
        <v>377</v>
      </c>
      <c r="D392" s="1" cm="1">
        <f t="array" ref="D392">estimatedTripEnergy(C392,G$5,G$6,C$12,C$7,C$9,C$8,FALSE)/1000</f>
        <v>1446.6663612865</v>
      </c>
      <c r="E392" s="1" cm="1">
        <f t="array" ref="E392">estimatedTripEnergy(C392,G$5,G$6,C$12,C$7,C$9,C$8)/1000</f>
        <v>1594.6263612865</v>
      </c>
      <c r="F392" s="59" cm="1">
        <f t="array" ref="F392">estimatedTripDuration(C392,$C$8,$C$7)/60</f>
        <v>14.313819343432675</v>
      </c>
      <c r="G392">
        <f t="shared" si="66"/>
        <v>377</v>
      </c>
      <c r="H392" s="50">
        <f t="shared" si="60"/>
        <v>62.833333333333336</v>
      </c>
      <c r="I392" s="7" cm="1">
        <f t="array" ref="I392">CurrentCapacity(K$10,K$6,K$7,H392)</f>
        <v>35677.228500000005</v>
      </c>
      <c r="J392" s="48">
        <f t="shared" si="61"/>
        <v>4.4695914686492526E-2</v>
      </c>
      <c r="K392" s="5" cm="1">
        <f t="array" ref="K392">UseableCapacity(I392,$K$8,$K$9)</f>
        <v>26757.921375000005</v>
      </c>
      <c r="L392" s="59">
        <f t="shared" si="62"/>
        <v>34082.602138713504</v>
      </c>
      <c r="M392" s="7">
        <f t="shared" si="63"/>
        <v>25163.295013713505</v>
      </c>
      <c r="N392" s="7">
        <f t="shared" si="64"/>
        <v>2572.7714999999953</v>
      </c>
      <c r="O392" t="str">
        <f t="shared" si="67"/>
        <v>no</v>
      </c>
      <c r="P392" t="str">
        <f t="shared" si="68"/>
        <v>no</v>
      </c>
    </row>
    <row r="393" spans="2:16" x14ac:dyDescent="0.35">
      <c r="B393">
        <f t="shared" si="65"/>
        <v>378</v>
      </c>
      <c r="C393" s="7">
        <f t="shared" si="59"/>
        <v>378</v>
      </c>
      <c r="D393" s="1" cm="1">
        <f t="array" ref="D393">estimatedTripEnergy(C393,G$5,G$6,C$12,C$7,C$9,C$8,FALSE)/1000</f>
        <v>1447.5930404471001</v>
      </c>
      <c r="E393" s="1" cm="1">
        <f t="array" ref="E393">estimatedTripEnergy(C393,G$5,G$6,C$12,C$7,C$9,C$8)/1000</f>
        <v>1595.5530404471001</v>
      </c>
      <c r="F393" s="59" cm="1">
        <f t="array" ref="F393">estimatedTripDuration(C393,$C$8,$C$7)/60</f>
        <v>14.347152676766008</v>
      </c>
      <c r="G393">
        <f t="shared" si="66"/>
        <v>378</v>
      </c>
      <c r="H393" s="50">
        <f t="shared" si="60"/>
        <v>63</v>
      </c>
      <c r="I393" s="7" cm="1">
        <f t="array" ref="I393">CurrentCapacity(K$10,K$6,K$7,H393)</f>
        <v>35676.999000000003</v>
      </c>
      <c r="J393" s="48">
        <f t="shared" si="61"/>
        <v>4.4722176336835395E-2</v>
      </c>
      <c r="K393" s="5" cm="1">
        <f t="array" ref="K393">UseableCapacity(I393,$K$8,$K$9)</f>
        <v>26757.749250000001</v>
      </c>
      <c r="L393" s="59">
        <f t="shared" si="62"/>
        <v>34081.445959552904</v>
      </c>
      <c r="M393" s="7">
        <f t="shared" si="63"/>
        <v>25162.196209552902</v>
      </c>
      <c r="N393" s="7">
        <f t="shared" si="64"/>
        <v>2573.0009999999966</v>
      </c>
      <c r="O393" t="str">
        <f t="shared" si="67"/>
        <v>no</v>
      </c>
      <c r="P393" t="str">
        <f t="shared" si="68"/>
        <v>no</v>
      </c>
    </row>
    <row r="394" spans="2:16" x14ac:dyDescent="0.35">
      <c r="B394">
        <f t="shared" si="65"/>
        <v>379</v>
      </c>
      <c r="C394" s="7">
        <f t="shared" si="59"/>
        <v>379</v>
      </c>
      <c r="D394" s="1" cm="1">
        <f t="array" ref="D394">estimatedTripEnergy(C394,G$5,G$6,C$12,C$7,C$9,C$8,FALSE)/1000</f>
        <v>1448.5197196077002</v>
      </c>
      <c r="E394" s="1" cm="1">
        <f t="array" ref="E394">estimatedTripEnergy(C394,G$5,G$6,C$12,C$7,C$9,C$8)/1000</f>
        <v>1596.4797196077002</v>
      </c>
      <c r="F394" s="59" cm="1">
        <f t="array" ref="F394">estimatedTripDuration(C394,$C$8,$C$7)/60</f>
        <v>14.380486010099341</v>
      </c>
      <c r="G394">
        <f t="shared" si="66"/>
        <v>379</v>
      </c>
      <c r="H394" s="50">
        <f t="shared" si="60"/>
        <v>63.166666666666664</v>
      </c>
      <c r="I394" s="7" cm="1">
        <f t="array" ref="I394">CurrentCapacity(K$10,K$6,K$7,H394)</f>
        <v>35676.769500000002</v>
      </c>
      <c r="J394" s="48">
        <f t="shared" si="61"/>
        <v>4.47484383250479E-2</v>
      </c>
      <c r="K394" s="5" cm="1">
        <f t="array" ref="K394">UseableCapacity(I394,$K$8,$K$9)</f>
        <v>26757.577125000003</v>
      </c>
      <c r="L394" s="59">
        <f t="shared" si="62"/>
        <v>34080.289780392304</v>
      </c>
      <c r="M394" s="7">
        <f t="shared" si="63"/>
        <v>25161.097405392302</v>
      </c>
      <c r="N394" s="7">
        <f t="shared" si="64"/>
        <v>2573.2304999999978</v>
      </c>
      <c r="O394" t="str">
        <f t="shared" si="67"/>
        <v>no</v>
      </c>
      <c r="P394" t="str">
        <f t="shared" si="68"/>
        <v>no</v>
      </c>
    </row>
    <row r="395" spans="2:16" x14ac:dyDescent="0.35">
      <c r="B395">
        <f t="shared" si="65"/>
        <v>380</v>
      </c>
      <c r="C395" s="7">
        <f t="shared" si="59"/>
        <v>380</v>
      </c>
      <c r="D395" s="1" cm="1">
        <f t="array" ref="D395">estimatedTripEnergy(C395,G$5,G$6,C$12,C$7,C$9,C$8,FALSE)/1000</f>
        <v>1449.4463987683</v>
      </c>
      <c r="E395" s="1" cm="1">
        <f t="array" ref="E395">estimatedTripEnergy(C395,G$5,G$6,C$12,C$7,C$9,C$8)/1000</f>
        <v>1597.4063987683001</v>
      </c>
      <c r="F395" s="59" cm="1">
        <f t="array" ref="F395">estimatedTripDuration(C395,$C$8,$C$7)/60</f>
        <v>14.413819343432674</v>
      </c>
      <c r="G395">
        <f t="shared" si="66"/>
        <v>380</v>
      </c>
      <c r="H395" s="50">
        <f t="shared" si="60"/>
        <v>63.333333333333336</v>
      </c>
      <c r="I395" s="7" cm="1">
        <f t="array" ref="I395">CurrentCapacity(K$10,K$6,K$7,H395)</f>
        <v>35676.54</v>
      </c>
      <c r="J395" s="48">
        <f t="shared" si="61"/>
        <v>4.4774700651136576E-2</v>
      </c>
      <c r="K395" s="5" cm="1">
        <f t="array" ref="K395">UseableCapacity(I395,$K$8,$K$9)</f>
        <v>26757.404999999999</v>
      </c>
      <c r="L395" s="59">
        <f t="shared" si="62"/>
        <v>34079.133601231704</v>
      </c>
      <c r="M395" s="7">
        <f t="shared" si="63"/>
        <v>25159.998601231699</v>
      </c>
      <c r="N395" s="7">
        <f t="shared" si="64"/>
        <v>2573.4599999999991</v>
      </c>
      <c r="O395" t="str">
        <f t="shared" si="67"/>
        <v>no</v>
      </c>
      <c r="P395" t="str">
        <f t="shared" si="68"/>
        <v>no</v>
      </c>
    </row>
    <row r="396" spans="2:16" x14ac:dyDescent="0.35">
      <c r="B396">
        <f t="shared" si="65"/>
        <v>381</v>
      </c>
      <c r="C396" s="7">
        <f t="shared" si="59"/>
        <v>381</v>
      </c>
      <c r="D396" s="1" cm="1">
        <f t="array" ref="D396">estimatedTripEnergy(C396,G$5,G$6,C$12,C$7,C$9,C$8,FALSE)/1000</f>
        <v>1450.3730779289001</v>
      </c>
      <c r="E396" s="1" cm="1">
        <f t="array" ref="E396">estimatedTripEnergy(C396,G$5,G$6,C$12,C$7,C$9,C$8)/1000</f>
        <v>1598.3330779288999</v>
      </c>
      <c r="F396" s="59" cm="1">
        <f t="array" ref="F396">estimatedTripDuration(C396,$C$8,$C$7)/60</f>
        <v>14.447152676766008</v>
      </c>
      <c r="G396">
        <f t="shared" si="66"/>
        <v>381</v>
      </c>
      <c r="H396" s="50">
        <f t="shared" si="60"/>
        <v>63.5</v>
      </c>
      <c r="I396" s="7" cm="1">
        <f t="array" ref="I396">CurrentCapacity(K$10,K$6,K$7,H396)</f>
        <v>35676.3105</v>
      </c>
      <c r="J396" s="48">
        <f t="shared" si="61"/>
        <v>4.4800963315107932E-2</v>
      </c>
      <c r="K396" s="5" cm="1">
        <f t="array" ref="K396">UseableCapacity(I396,$K$8,$K$9)</f>
        <v>26757.232875000002</v>
      </c>
      <c r="L396" s="59">
        <f t="shared" si="62"/>
        <v>34077.977422071097</v>
      </c>
      <c r="M396" s="7">
        <f t="shared" si="63"/>
        <v>25158.899797071103</v>
      </c>
      <c r="N396" s="7">
        <f t="shared" si="64"/>
        <v>2573.6895000000004</v>
      </c>
      <c r="O396" t="str">
        <f t="shared" si="67"/>
        <v>no</v>
      </c>
      <c r="P396" t="str">
        <f t="shared" si="68"/>
        <v>no</v>
      </c>
    </row>
    <row r="397" spans="2:16" x14ac:dyDescent="0.35">
      <c r="B397">
        <f t="shared" si="65"/>
        <v>382</v>
      </c>
      <c r="C397" s="7">
        <f t="shared" si="59"/>
        <v>382</v>
      </c>
      <c r="D397" s="1" cm="1">
        <f t="array" ref="D397">estimatedTripEnergy(C397,G$5,G$6,C$12,C$7,C$9,C$8,FALSE)/1000</f>
        <v>1451.2997570895002</v>
      </c>
      <c r="E397" s="1" cm="1">
        <f t="array" ref="E397">estimatedTripEnergy(C397,G$5,G$6,C$12,C$7,C$9,C$8)/1000</f>
        <v>1599.2597570895</v>
      </c>
      <c r="F397" s="59" cm="1">
        <f t="array" ref="F397">estimatedTripDuration(C397,$C$8,$C$7)/60</f>
        <v>14.480486010099343</v>
      </c>
      <c r="G397">
        <f t="shared" si="66"/>
        <v>382</v>
      </c>
      <c r="H397" s="50">
        <f t="shared" si="60"/>
        <v>63.666666666666664</v>
      </c>
      <c r="I397" s="7" cm="1">
        <f t="array" ref="I397">CurrentCapacity(K$10,K$6,K$7,H397)</f>
        <v>35676.081000000006</v>
      </c>
      <c r="J397" s="48">
        <f t="shared" si="61"/>
        <v>4.4827226316968498E-2</v>
      </c>
      <c r="K397" s="5" cm="1">
        <f t="array" ref="K397">UseableCapacity(I397,$K$8,$K$9)</f>
        <v>26757.060750000004</v>
      </c>
      <c r="L397" s="59">
        <f t="shared" si="62"/>
        <v>34076.821242910504</v>
      </c>
      <c r="M397" s="7">
        <f t="shared" si="63"/>
        <v>25157.800992910503</v>
      </c>
      <c r="N397" s="7">
        <f t="shared" si="64"/>
        <v>2573.9189999999944</v>
      </c>
      <c r="O397" t="str">
        <f t="shared" si="67"/>
        <v>no</v>
      </c>
      <c r="P397" t="str">
        <f t="shared" si="68"/>
        <v>no</v>
      </c>
    </row>
    <row r="398" spans="2:16" x14ac:dyDescent="0.35">
      <c r="B398">
        <f t="shared" si="65"/>
        <v>383</v>
      </c>
      <c r="C398" s="7">
        <f t="shared" si="59"/>
        <v>383</v>
      </c>
      <c r="D398" s="1" cm="1">
        <f t="array" ref="D398">estimatedTripEnergy(C398,G$5,G$6,C$12,C$7,C$9,C$8,FALSE)/1000</f>
        <v>1452.2264362500998</v>
      </c>
      <c r="E398" s="1" cm="1">
        <f t="array" ref="E398">estimatedTripEnergy(C398,G$5,G$6,C$12,C$7,C$9,C$8)/1000</f>
        <v>1600.1864362500999</v>
      </c>
      <c r="F398" s="59" cm="1">
        <f t="array" ref="F398">estimatedTripDuration(C398,$C$8,$C$7)/60</f>
        <v>14.513819343432676</v>
      </c>
      <c r="G398">
        <f t="shared" si="66"/>
        <v>383</v>
      </c>
      <c r="H398" s="50">
        <f t="shared" si="60"/>
        <v>63.833333333333336</v>
      </c>
      <c r="I398" s="7" cm="1">
        <f t="array" ref="I398">CurrentCapacity(K$10,K$6,K$7,H398)</f>
        <v>35675.851500000004</v>
      </c>
      <c r="J398" s="48">
        <f t="shared" si="61"/>
        <v>4.4853489656724789E-2</v>
      </c>
      <c r="K398" s="5" cm="1">
        <f t="array" ref="K398">UseableCapacity(I398,$K$8,$K$9)</f>
        <v>26756.888625000003</v>
      </c>
      <c r="L398" s="59">
        <f t="shared" si="62"/>
        <v>34075.665063749904</v>
      </c>
      <c r="M398" s="7">
        <f t="shared" si="63"/>
        <v>25156.702188749903</v>
      </c>
      <c r="N398" s="7">
        <f t="shared" si="64"/>
        <v>2574.1484999999957</v>
      </c>
      <c r="O398" t="str">
        <f t="shared" si="67"/>
        <v>no</v>
      </c>
      <c r="P398" t="str">
        <f t="shared" si="68"/>
        <v>no</v>
      </c>
    </row>
    <row r="399" spans="2:16" x14ac:dyDescent="0.35">
      <c r="B399">
        <f t="shared" si="65"/>
        <v>384</v>
      </c>
      <c r="C399" s="7">
        <f t="shared" si="59"/>
        <v>384</v>
      </c>
      <c r="D399" s="1" cm="1">
        <f t="array" ref="D399">estimatedTripEnergy(C399,G$5,G$6,C$12,C$7,C$9,C$8,FALSE)/1000</f>
        <v>1453.1531154106999</v>
      </c>
      <c r="E399" s="1" cm="1">
        <f t="array" ref="E399">estimatedTripEnergy(C399,G$5,G$6,C$12,C$7,C$9,C$8)/1000</f>
        <v>1601.1131154106999</v>
      </c>
      <c r="F399" s="59" cm="1">
        <f t="array" ref="F399">estimatedTripDuration(C399,$C$8,$C$7)/60</f>
        <v>14.547152676766009</v>
      </c>
      <c r="G399">
        <f t="shared" si="66"/>
        <v>384</v>
      </c>
      <c r="H399" s="50">
        <f t="shared" si="60"/>
        <v>64</v>
      </c>
      <c r="I399" s="7" cm="1">
        <f t="array" ref="I399">CurrentCapacity(K$10,K$6,K$7,H399)</f>
        <v>35675.622000000003</v>
      </c>
      <c r="J399" s="48">
        <f t="shared" si="61"/>
        <v>4.4879753334383342E-2</v>
      </c>
      <c r="K399" s="5" cm="1">
        <f t="array" ref="K399">UseableCapacity(I399,$K$8,$K$9)</f>
        <v>26756.716500000002</v>
      </c>
      <c r="L399" s="59">
        <f t="shared" si="62"/>
        <v>34074.508884589304</v>
      </c>
      <c r="M399" s="7">
        <f t="shared" si="63"/>
        <v>25155.603384589303</v>
      </c>
      <c r="N399" s="7">
        <f t="shared" si="64"/>
        <v>2574.377999999997</v>
      </c>
      <c r="O399" t="str">
        <f t="shared" si="67"/>
        <v>no</v>
      </c>
      <c r="P399" t="str">
        <f t="shared" si="68"/>
        <v>no</v>
      </c>
    </row>
    <row r="400" spans="2:16" x14ac:dyDescent="0.35">
      <c r="B400">
        <f t="shared" si="65"/>
        <v>385</v>
      </c>
      <c r="C400" s="7">
        <f t="shared" ref="C400:C463" si="69">$C$8*B400</f>
        <v>385</v>
      </c>
      <c r="D400" s="1" cm="1">
        <f t="array" ref="D400">estimatedTripEnergy(C400,G$5,G$6,C$12,C$7,C$9,C$8,FALSE)/1000</f>
        <v>1454.0797945713</v>
      </c>
      <c r="E400" s="1" cm="1">
        <f t="array" ref="E400">estimatedTripEnergy(C400,G$5,G$6,C$12,C$7,C$9,C$8)/1000</f>
        <v>1602.0397945713</v>
      </c>
      <c r="F400" s="59" cm="1">
        <f t="array" ref="F400">estimatedTripDuration(C400,$C$8,$C$7)/60</f>
        <v>14.580486010099342</v>
      </c>
      <c r="G400">
        <f t="shared" si="66"/>
        <v>385</v>
      </c>
      <c r="H400" s="50">
        <f t="shared" ref="H400:H463" si="70">G400/$G$4</f>
        <v>64.166666666666671</v>
      </c>
      <c r="I400" s="7" cm="1">
        <f t="array" ref="I400">CurrentCapacity(K$10,K$6,K$7,H400)</f>
        <v>35675.392500000002</v>
      </c>
      <c r="J400" s="48">
        <f t="shared" ref="J400:J463" si="71">E400/I400</f>
        <v>4.4906017349950665E-2</v>
      </c>
      <c r="K400" s="5" cm="1">
        <f t="array" ref="K400">UseableCapacity(I400,$K$8,$K$9)</f>
        <v>26756.544375000001</v>
      </c>
      <c r="L400" s="59">
        <f t="shared" ref="L400:L463" si="72">(K$8*I400)-E400</f>
        <v>34073.352705428704</v>
      </c>
      <c r="M400" s="7">
        <f t="shared" ref="M400:M463" si="73">K400-E400</f>
        <v>25154.5045804287</v>
      </c>
      <c r="N400" s="7">
        <f t="shared" ref="N400:N463" si="74">$K$10-I400</f>
        <v>2574.6074999999983</v>
      </c>
      <c r="O400" t="str">
        <f t="shared" si="67"/>
        <v>no</v>
      </c>
      <c r="P400" t="str">
        <f t="shared" si="68"/>
        <v>no</v>
      </c>
    </row>
    <row r="401" spans="2:16" x14ac:dyDescent="0.35">
      <c r="B401">
        <f t="shared" ref="B401:B464" si="75">B400+$G$12</f>
        <v>386</v>
      </c>
      <c r="C401" s="7">
        <f t="shared" si="69"/>
        <v>386</v>
      </c>
      <c r="D401" s="1" cm="1">
        <f t="array" ref="D401">estimatedTripEnergy(C401,G$5,G$6,C$12,C$7,C$9,C$8,FALSE)/1000</f>
        <v>1455.0064737319001</v>
      </c>
      <c r="E401" s="1" cm="1">
        <f t="array" ref="E401">estimatedTripEnergy(C401,G$5,G$6,C$12,C$7,C$9,C$8)/1000</f>
        <v>1602.9664737319001</v>
      </c>
      <c r="F401" s="59" cm="1">
        <f t="array" ref="F401">estimatedTripDuration(C401,$C$8,$C$7)/60</f>
        <v>14.613819343432676</v>
      </c>
      <c r="G401">
        <f t="shared" si="66"/>
        <v>386</v>
      </c>
      <c r="H401" s="50">
        <f t="shared" si="70"/>
        <v>64.333333333333329</v>
      </c>
      <c r="I401" s="7" cm="1">
        <f t="array" ref="I401">CurrentCapacity(K$10,K$6,K$7,H401)</f>
        <v>35675.163</v>
      </c>
      <c r="J401" s="48">
        <f t="shared" si="71"/>
        <v>4.4932281703433288E-2</v>
      </c>
      <c r="K401" s="5" cm="1">
        <f t="array" ref="K401">UseableCapacity(I401,$K$8,$K$9)</f>
        <v>26756.37225</v>
      </c>
      <c r="L401" s="59">
        <f t="shared" si="72"/>
        <v>34072.196526268097</v>
      </c>
      <c r="M401" s="7">
        <f t="shared" si="73"/>
        <v>25153.4057762681</v>
      </c>
      <c r="N401" s="7">
        <f t="shared" si="74"/>
        <v>2574.8369999999995</v>
      </c>
      <c r="O401" t="str">
        <f t="shared" si="67"/>
        <v>no</v>
      </c>
      <c r="P401" t="str">
        <f t="shared" si="68"/>
        <v>no</v>
      </c>
    </row>
    <row r="402" spans="2:16" x14ac:dyDescent="0.35">
      <c r="B402">
        <f t="shared" si="75"/>
        <v>387</v>
      </c>
      <c r="C402" s="7">
        <f t="shared" si="69"/>
        <v>387</v>
      </c>
      <c r="D402" s="1" cm="1">
        <f t="array" ref="D402">estimatedTripEnergy(C402,G$5,G$6,C$12,C$7,C$9,C$8,FALSE)/1000</f>
        <v>1455.9331528924999</v>
      </c>
      <c r="E402" s="1" cm="1">
        <f t="array" ref="E402">estimatedTripEnergy(C402,G$5,G$6,C$12,C$7,C$9,C$8)/1000</f>
        <v>1603.8931528925</v>
      </c>
      <c r="F402" s="59" cm="1">
        <f t="array" ref="F402">estimatedTripDuration(C402,$C$8,$C$7)/60</f>
        <v>14.647152676766009</v>
      </c>
      <c r="G402">
        <f t="shared" si="66"/>
        <v>387</v>
      </c>
      <c r="H402" s="50">
        <f t="shared" si="70"/>
        <v>64.5</v>
      </c>
      <c r="I402" s="7" cm="1">
        <f t="array" ref="I402">CurrentCapacity(K$10,K$6,K$7,H402)</f>
        <v>35674.933499999999</v>
      </c>
      <c r="J402" s="48">
        <f t="shared" si="71"/>
        <v>4.4958546394837706E-2</v>
      </c>
      <c r="K402" s="5" cm="1">
        <f t="array" ref="K402">UseableCapacity(I402,$K$8,$K$9)</f>
        <v>26756.200124999999</v>
      </c>
      <c r="L402" s="59">
        <f t="shared" si="72"/>
        <v>34071.040347107497</v>
      </c>
      <c r="M402" s="7">
        <f t="shared" si="73"/>
        <v>25152.306972107501</v>
      </c>
      <c r="N402" s="7">
        <f t="shared" si="74"/>
        <v>2575.0665000000008</v>
      </c>
      <c r="O402" t="str">
        <f t="shared" si="67"/>
        <v>no</v>
      </c>
      <c r="P402" t="str">
        <f t="shared" si="68"/>
        <v>no</v>
      </c>
    </row>
    <row r="403" spans="2:16" x14ac:dyDescent="0.35">
      <c r="B403">
        <f t="shared" si="75"/>
        <v>388</v>
      </c>
      <c r="C403" s="7">
        <f t="shared" si="69"/>
        <v>388</v>
      </c>
      <c r="D403" s="1" cm="1">
        <f t="array" ref="D403">estimatedTripEnergy(C403,G$5,G$6,C$12,C$7,C$9,C$8,FALSE)/1000</f>
        <v>1456.8598320531</v>
      </c>
      <c r="E403" s="1" cm="1">
        <f t="array" ref="E403">estimatedTripEnergy(C403,G$5,G$6,C$12,C$7,C$9,C$8)/1000</f>
        <v>1604.8198320531001</v>
      </c>
      <c r="F403" s="59" cm="1">
        <f t="array" ref="F403">estimatedTripDuration(C403,$C$8,$C$7)/60</f>
        <v>14.680486010099342</v>
      </c>
      <c r="G403">
        <f t="shared" si="66"/>
        <v>388</v>
      </c>
      <c r="H403" s="50">
        <f t="shared" si="70"/>
        <v>64.666666666666671</v>
      </c>
      <c r="I403" s="7" cm="1">
        <f t="array" ref="I403">CurrentCapacity(K$10,K$6,K$7,H403)</f>
        <v>35674.704000000005</v>
      </c>
      <c r="J403" s="48">
        <f t="shared" si="71"/>
        <v>4.4984811424170469E-2</v>
      </c>
      <c r="K403" s="5" cm="1">
        <f t="array" ref="K403">UseableCapacity(I403,$K$8,$K$9)</f>
        <v>26756.028000000006</v>
      </c>
      <c r="L403" s="59">
        <f t="shared" si="72"/>
        <v>34069.884167946904</v>
      </c>
      <c r="M403" s="7">
        <f t="shared" si="73"/>
        <v>25151.208167946905</v>
      </c>
      <c r="N403" s="7">
        <f t="shared" si="74"/>
        <v>2575.2959999999948</v>
      </c>
      <c r="O403" t="str">
        <f t="shared" si="67"/>
        <v>no</v>
      </c>
      <c r="P403" t="str">
        <f t="shared" si="68"/>
        <v>no</v>
      </c>
    </row>
    <row r="404" spans="2:16" x14ac:dyDescent="0.35">
      <c r="B404">
        <f t="shared" si="75"/>
        <v>389</v>
      </c>
      <c r="C404" s="7">
        <f t="shared" si="69"/>
        <v>389</v>
      </c>
      <c r="D404" s="1" cm="1">
        <f t="array" ref="D404">estimatedTripEnergy(C404,G$5,G$6,C$12,C$7,C$9,C$8,FALSE)/1000</f>
        <v>1457.7865112137001</v>
      </c>
      <c r="E404" s="1" cm="1">
        <f t="array" ref="E404">estimatedTripEnergy(C404,G$5,G$6,C$12,C$7,C$9,C$8)/1000</f>
        <v>1605.7465112137002</v>
      </c>
      <c r="F404" s="59" cm="1">
        <f t="array" ref="F404">estimatedTripDuration(C404,$C$8,$C$7)/60</f>
        <v>14.713819343432675</v>
      </c>
      <c r="G404">
        <f t="shared" si="66"/>
        <v>389</v>
      </c>
      <c r="H404" s="50">
        <f t="shared" si="70"/>
        <v>64.833333333333329</v>
      </c>
      <c r="I404" s="7" cm="1">
        <f t="array" ref="I404">CurrentCapacity(K$10,K$6,K$7,H404)</f>
        <v>35674.474500000004</v>
      </c>
      <c r="J404" s="48">
        <f t="shared" si="71"/>
        <v>4.5011076791438093E-2</v>
      </c>
      <c r="K404" s="5" cm="1">
        <f t="array" ref="K404">UseableCapacity(I404,$K$8,$K$9)</f>
        <v>26755.855875000001</v>
      </c>
      <c r="L404" s="59">
        <f t="shared" si="72"/>
        <v>34068.727988786304</v>
      </c>
      <c r="M404" s="7">
        <f t="shared" si="73"/>
        <v>25150.109363786301</v>
      </c>
      <c r="N404" s="7">
        <f t="shared" si="74"/>
        <v>2575.5254999999961</v>
      </c>
      <c r="O404" t="str">
        <f t="shared" si="67"/>
        <v>no</v>
      </c>
      <c r="P404" t="str">
        <f t="shared" si="68"/>
        <v>no</v>
      </c>
    </row>
    <row r="405" spans="2:16" x14ac:dyDescent="0.35">
      <c r="B405">
        <f t="shared" si="75"/>
        <v>390</v>
      </c>
      <c r="C405" s="7">
        <f t="shared" si="69"/>
        <v>390</v>
      </c>
      <c r="D405" s="1" cm="1">
        <f t="array" ref="D405">estimatedTripEnergy(C405,G$5,G$6,C$12,C$7,C$9,C$8,FALSE)/1000</f>
        <v>1458.7131903743</v>
      </c>
      <c r="E405" s="1" cm="1">
        <f t="array" ref="E405">estimatedTripEnergy(C405,G$5,G$6,C$12,C$7,C$9,C$8)/1000</f>
        <v>1606.6731903742998</v>
      </c>
      <c r="F405" s="59" cm="1">
        <f t="array" ref="F405">estimatedTripDuration(C405,$C$8,$C$7)/60</f>
        <v>14.747152676766008</v>
      </c>
      <c r="G405">
        <f t="shared" si="66"/>
        <v>390</v>
      </c>
      <c r="H405" s="50">
        <f t="shared" si="70"/>
        <v>65</v>
      </c>
      <c r="I405" s="7" cm="1">
        <f t="array" ref="I405">CurrentCapacity(K$10,K$6,K$7,H405)</f>
        <v>35674.245000000003</v>
      </c>
      <c r="J405" s="48">
        <f t="shared" si="71"/>
        <v>4.5037342496647079E-2</v>
      </c>
      <c r="K405" s="5" cm="1">
        <f t="array" ref="K405">UseableCapacity(I405,$K$8,$K$9)</f>
        <v>26755.683750000004</v>
      </c>
      <c r="L405" s="59">
        <f t="shared" si="72"/>
        <v>34067.571809625704</v>
      </c>
      <c r="M405" s="7">
        <f t="shared" si="73"/>
        <v>25149.010559625705</v>
      </c>
      <c r="N405" s="7">
        <f t="shared" si="74"/>
        <v>2575.7549999999974</v>
      </c>
      <c r="O405" t="str">
        <f t="shared" si="67"/>
        <v>no</v>
      </c>
      <c r="P405" t="str">
        <f t="shared" si="68"/>
        <v>no</v>
      </c>
    </row>
    <row r="406" spans="2:16" x14ac:dyDescent="0.35">
      <c r="B406">
        <f t="shared" si="75"/>
        <v>391</v>
      </c>
      <c r="C406" s="7">
        <f t="shared" si="69"/>
        <v>391</v>
      </c>
      <c r="D406" s="1" cm="1">
        <f t="array" ref="D406">estimatedTripEnergy(C406,G$5,G$6,C$12,C$7,C$9,C$8,FALSE)/1000</f>
        <v>1459.6398695348998</v>
      </c>
      <c r="E406" s="1" cm="1">
        <f t="array" ref="E406">estimatedTripEnergy(C406,G$5,G$6,C$12,C$7,C$9,C$8)/1000</f>
        <v>1607.5998695348999</v>
      </c>
      <c r="F406" s="59" cm="1">
        <f t="array" ref="F406">estimatedTripDuration(C406,$C$8,$C$7)/60</f>
        <v>14.780486010099342</v>
      </c>
      <c r="G406">
        <f t="shared" si="66"/>
        <v>391</v>
      </c>
      <c r="H406" s="50">
        <f t="shared" si="70"/>
        <v>65.166666666666671</v>
      </c>
      <c r="I406" s="7" cm="1">
        <f t="array" ref="I406">CurrentCapacity(K$10,K$6,K$7,H406)</f>
        <v>35674.015500000001</v>
      </c>
      <c r="J406" s="48">
        <f t="shared" si="71"/>
        <v>4.5063608539803984E-2</v>
      </c>
      <c r="K406" s="5" cm="1">
        <f t="array" ref="K406">UseableCapacity(I406,$K$8,$K$9)</f>
        <v>26755.511624999999</v>
      </c>
      <c r="L406" s="59">
        <f t="shared" si="72"/>
        <v>34066.415630465104</v>
      </c>
      <c r="M406" s="7">
        <f t="shared" si="73"/>
        <v>25147.911755465098</v>
      </c>
      <c r="N406" s="7">
        <f t="shared" si="74"/>
        <v>2575.9844999999987</v>
      </c>
      <c r="O406" t="str">
        <f t="shared" si="67"/>
        <v>no</v>
      </c>
      <c r="P406" t="str">
        <f t="shared" si="68"/>
        <v>no</v>
      </c>
    </row>
    <row r="407" spans="2:16" x14ac:dyDescent="0.35">
      <c r="B407">
        <f t="shared" si="75"/>
        <v>392</v>
      </c>
      <c r="C407" s="7">
        <f t="shared" si="69"/>
        <v>392</v>
      </c>
      <c r="D407" s="1" cm="1">
        <f t="array" ref="D407">estimatedTripEnergy(C407,G$5,G$6,C$12,C$7,C$9,C$8,FALSE)/1000</f>
        <v>1460.5665486954999</v>
      </c>
      <c r="E407" s="1" cm="1">
        <f t="array" ref="E407">estimatedTripEnergy(C407,G$5,G$6,C$12,C$7,C$9,C$8)/1000</f>
        <v>1608.5265486955</v>
      </c>
      <c r="F407" s="59" cm="1">
        <f t="array" ref="F407">estimatedTripDuration(C407,$C$8,$C$7)/60</f>
        <v>14.813819343432675</v>
      </c>
      <c r="G407">
        <f t="shared" si="66"/>
        <v>392</v>
      </c>
      <c r="H407" s="50">
        <f t="shared" si="70"/>
        <v>65.333333333333329</v>
      </c>
      <c r="I407" s="7" cm="1">
        <f t="array" ref="I407">CurrentCapacity(K$10,K$6,K$7,H407)</f>
        <v>35673.786</v>
      </c>
      <c r="J407" s="48">
        <f t="shared" si="71"/>
        <v>4.5089874920915318E-2</v>
      </c>
      <c r="K407" s="5" cm="1">
        <f t="array" ref="K407">UseableCapacity(I407,$K$8,$K$9)</f>
        <v>26755.339500000002</v>
      </c>
      <c r="L407" s="59">
        <f t="shared" si="72"/>
        <v>34065.259451304497</v>
      </c>
      <c r="M407" s="7">
        <f t="shared" si="73"/>
        <v>25146.812951304502</v>
      </c>
      <c r="N407" s="7">
        <f t="shared" si="74"/>
        <v>2576.2139999999999</v>
      </c>
      <c r="O407" t="str">
        <f t="shared" si="67"/>
        <v>no</v>
      </c>
      <c r="P407" t="str">
        <f t="shared" si="68"/>
        <v>no</v>
      </c>
    </row>
    <row r="408" spans="2:16" x14ac:dyDescent="0.35">
      <c r="B408">
        <f t="shared" si="75"/>
        <v>393</v>
      </c>
      <c r="C408" s="7">
        <f t="shared" si="69"/>
        <v>393</v>
      </c>
      <c r="D408" s="1" cm="1">
        <f t="array" ref="D408">estimatedTripEnergy(C408,G$5,G$6,C$12,C$7,C$9,C$8,FALSE)/1000</f>
        <v>1461.4932278561</v>
      </c>
      <c r="E408" s="1" cm="1">
        <f t="array" ref="E408">estimatedTripEnergy(C408,G$5,G$6,C$12,C$7,C$9,C$8)/1000</f>
        <v>1609.4532278561001</v>
      </c>
      <c r="F408" s="59" cm="1">
        <f t="array" ref="F408">estimatedTripDuration(C408,$C$8,$C$7)/60</f>
        <v>14.847152676766008</v>
      </c>
      <c r="G408">
        <f t="shared" si="66"/>
        <v>393</v>
      </c>
      <c r="H408" s="50">
        <f t="shared" si="70"/>
        <v>65.5</v>
      </c>
      <c r="I408" s="7" cm="1">
        <f t="array" ref="I408">CurrentCapacity(K$10,K$6,K$7,H408)</f>
        <v>35673.556500000006</v>
      </c>
      <c r="J408" s="48">
        <f t="shared" si="71"/>
        <v>4.5116141639987582E-2</v>
      </c>
      <c r="K408" s="5" cm="1">
        <f t="array" ref="K408">UseableCapacity(I408,$K$8,$K$9)</f>
        <v>26755.167375000005</v>
      </c>
      <c r="L408" s="59">
        <f t="shared" si="72"/>
        <v>34064.103272143904</v>
      </c>
      <c r="M408" s="7">
        <f t="shared" si="73"/>
        <v>25145.714147143903</v>
      </c>
      <c r="N408" s="7">
        <f t="shared" si="74"/>
        <v>2576.4434999999939</v>
      </c>
      <c r="O408" t="str">
        <f t="shared" si="67"/>
        <v>no</v>
      </c>
      <c r="P408" t="str">
        <f t="shared" si="68"/>
        <v>no</v>
      </c>
    </row>
    <row r="409" spans="2:16" x14ac:dyDescent="0.35">
      <c r="B409">
        <f t="shared" si="75"/>
        <v>394</v>
      </c>
      <c r="C409" s="7">
        <f t="shared" si="69"/>
        <v>394</v>
      </c>
      <c r="D409" s="1" cm="1">
        <f t="array" ref="D409">estimatedTripEnergy(C409,G$5,G$6,C$12,C$7,C$9,C$8,FALSE)/1000</f>
        <v>1462.4199070167001</v>
      </c>
      <c r="E409" s="1" cm="1">
        <f t="array" ref="E409">estimatedTripEnergy(C409,G$5,G$6,C$12,C$7,C$9,C$8)/1000</f>
        <v>1610.3799070167001</v>
      </c>
      <c r="F409" s="59" cm="1">
        <f t="array" ref="F409">estimatedTripDuration(C409,$C$8,$C$7)/60</f>
        <v>14.880486010099341</v>
      </c>
      <c r="G409">
        <f t="shared" si="66"/>
        <v>394</v>
      </c>
      <c r="H409" s="50">
        <f t="shared" si="70"/>
        <v>65.666666666666671</v>
      </c>
      <c r="I409" s="7" cm="1">
        <f t="array" ref="I409">CurrentCapacity(K$10,K$6,K$7,H409)</f>
        <v>35673.326999999997</v>
      </c>
      <c r="J409" s="48">
        <f t="shared" si="71"/>
        <v>4.5142408697027341E-2</v>
      </c>
      <c r="K409" s="5" cm="1">
        <f t="array" ref="K409">UseableCapacity(I409,$K$8,$K$9)</f>
        <v>26754.99525</v>
      </c>
      <c r="L409" s="59">
        <f t="shared" si="72"/>
        <v>34062.947092983297</v>
      </c>
      <c r="M409" s="7">
        <f t="shared" si="73"/>
        <v>25144.615342983299</v>
      </c>
      <c r="N409" s="7">
        <f t="shared" si="74"/>
        <v>2576.6730000000025</v>
      </c>
      <c r="O409" t="str">
        <f t="shared" si="67"/>
        <v>no</v>
      </c>
      <c r="P409" t="str">
        <f t="shared" si="68"/>
        <v>no</v>
      </c>
    </row>
    <row r="410" spans="2:16" x14ac:dyDescent="0.35">
      <c r="B410">
        <f t="shared" si="75"/>
        <v>395</v>
      </c>
      <c r="C410" s="7">
        <f t="shared" si="69"/>
        <v>395</v>
      </c>
      <c r="D410" s="1" cm="1">
        <f t="array" ref="D410">estimatedTripEnergy(C410,G$5,G$6,C$12,C$7,C$9,C$8,FALSE)/1000</f>
        <v>1463.3465861773</v>
      </c>
      <c r="E410" s="1" cm="1">
        <f t="array" ref="E410">estimatedTripEnergy(C410,G$5,G$6,C$12,C$7,C$9,C$8)/1000</f>
        <v>1611.3065861773</v>
      </c>
      <c r="F410" s="59" cm="1">
        <f t="array" ref="F410">estimatedTripDuration(C410,$C$8,$C$7)/60</f>
        <v>14.913819343432674</v>
      </c>
      <c r="G410">
        <f t="shared" si="66"/>
        <v>395</v>
      </c>
      <c r="H410" s="50">
        <f t="shared" si="70"/>
        <v>65.833333333333329</v>
      </c>
      <c r="I410" s="7" cm="1">
        <f t="array" ref="I410">CurrentCapacity(K$10,K$6,K$7,H410)</f>
        <v>35673.097500000003</v>
      </c>
      <c r="J410" s="48">
        <f t="shared" si="71"/>
        <v>4.5168676092041067E-2</v>
      </c>
      <c r="K410" s="5" cm="1">
        <f t="array" ref="K410">UseableCapacity(I410,$K$8,$K$9)</f>
        <v>26754.823125000003</v>
      </c>
      <c r="L410" s="59">
        <f t="shared" si="72"/>
        <v>34061.790913822704</v>
      </c>
      <c r="M410" s="7">
        <f t="shared" si="73"/>
        <v>25143.516538822703</v>
      </c>
      <c r="N410" s="7">
        <f t="shared" si="74"/>
        <v>2576.9024999999965</v>
      </c>
      <c r="O410" t="str">
        <f t="shared" si="67"/>
        <v>no</v>
      </c>
      <c r="P410" t="str">
        <f t="shared" si="68"/>
        <v>no</v>
      </c>
    </row>
    <row r="411" spans="2:16" x14ac:dyDescent="0.35">
      <c r="B411">
        <f t="shared" si="75"/>
        <v>396</v>
      </c>
      <c r="C411" s="7">
        <f t="shared" si="69"/>
        <v>396</v>
      </c>
      <c r="D411" s="1" cm="1">
        <f t="array" ref="D411">estimatedTripEnergy(C411,G$5,G$6,C$12,C$7,C$9,C$8,FALSE)/1000</f>
        <v>1464.2732653379001</v>
      </c>
      <c r="E411" s="1" cm="1">
        <f t="array" ref="E411">estimatedTripEnergy(C411,G$5,G$6,C$12,C$7,C$9,C$8)/1000</f>
        <v>1612.2332653379001</v>
      </c>
      <c r="F411" s="59" cm="1">
        <f t="array" ref="F411">estimatedTripDuration(C411,$C$8,$C$7)/60</f>
        <v>14.947152676766008</v>
      </c>
      <c r="G411">
        <f t="shared" si="66"/>
        <v>396</v>
      </c>
      <c r="H411" s="50">
        <f t="shared" si="70"/>
        <v>66</v>
      </c>
      <c r="I411" s="7" cm="1">
        <f t="array" ref="I411">CurrentCapacity(K$10,K$6,K$7,H411)</f>
        <v>35672.868000000002</v>
      </c>
      <c r="J411" s="48">
        <f t="shared" si="71"/>
        <v>4.5194943825035319E-2</v>
      </c>
      <c r="K411" s="5" cm="1">
        <f t="array" ref="K411">UseableCapacity(I411,$K$8,$K$9)</f>
        <v>26754.651000000002</v>
      </c>
      <c r="L411" s="59">
        <f t="shared" si="72"/>
        <v>34060.634734662104</v>
      </c>
      <c r="M411" s="7">
        <f t="shared" si="73"/>
        <v>25142.4177346621</v>
      </c>
      <c r="N411" s="7">
        <f t="shared" si="74"/>
        <v>2577.1319999999978</v>
      </c>
      <c r="O411" t="str">
        <f t="shared" si="67"/>
        <v>no</v>
      </c>
      <c r="P411" t="str">
        <f t="shared" si="68"/>
        <v>no</v>
      </c>
    </row>
    <row r="412" spans="2:16" x14ac:dyDescent="0.35">
      <c r="B412">
        <f t="shared" si="75"/>
        <v>397</v>
      </c>
      <c r="C412" s="7">
        <f t="shared" si="69"/>
        <v>397</v>
      </c>
      <c r="D412" s="1" cm="1">
        <f t="array" ref="D412">estimatedTripEnergy(C412,G$5,G$6,C$12,C$7,C$9,C$8,FALSE)/1000</f>
        <v>1465.1999444985001</v>
      </c>
      <c r="E412" s="1" cm="1">
        <f t="array" ref="E412">estimatedTripEnergy(C412,G$5,G$6,C$12,C$7,C$9,C$8)/1000</f>
        <v>1613.1599444985002</v>
      </c>
      <c r="F412" s="59" cm="1">
        <f t="array" ref="F412">estimatedTripDuration(C412,$C$8,$C$7)/60</f>
        <v>14.980486010099343</v>
      </c>
      <c r="G412">
        <f t="shared" si="66"/>
        <v>397</v>
      </c>
      <c r="H412" s="50">
        <f t="shared" si="70"/>
        <v>66.166666666666671</v>
      </c>
      <c r="I412" s="7" cm="1">
        <f t="array" ref="I412">CurrentCapacity(K$10,K$6,K$7,H412)</f>
        <v>35672.638500000001</v>
      </c>
      <c r="J412" s="48">
        <f t="shared" si="71"/>
        <v>4.5221211896016612E-2</v>
      </c>
      <c r="K412" s="5" cm="1">
        <f t="array" ref="K412">UseableCapacity(I412,$K$8,$K$9)</f>
        <v>26754.478875000001</v>
      </c>
      <c r="L412" s="59">
        <f t="shared" si="72"/>
        <v>34059.478555501504</v>
      </c>
      <c r="M412" s="7">
        <f t="shared" si="73"/>
        <v>25141.3189305015</v>
      </c>
      <c r="N412" s="7">
        <f t="shared" si="74"/>
        <v>2577.3614999999991</v>
      </c>
      <c r="O412" t="str">
        <f t="shared" si="67"/>
        <v>no</v>
      </c>
      <c r="P412" t="str">
        <f t="shared" si="68"/>
        <v>no</v>
      </c>
    </row>
    <row r="413" spans="2:16" x14ac:dyDescent="0.35">
      <c r="B413">
        <f t="shared" si="75"/>
        <v>398</v>
      </c>
      <c r="C413" s="7">
        <f t="shared" si="69"/>
        <v>398</v>
      </c>
      <c r="D413" s="1" cm="1">
        <f t="array" ref="D413">estimatedTripEnergy(C413,G$5,G$6,C$12,C$7,C$9,C$8,FALSE)/1000</f>
        <v>1466.1266236591</v>
      </c>
      <c r="E413" s="1" cm="1">
        <f t="array" ref="E413">estimatedTripEnergy(C413,G$5,G$6,C$12,C$7,C$9,C$8)/1000</f>
        <v>1614.0866236590998</v>
      </c>
      <c r="F413" s="59" cm="1">
        <f t="array" ref="F413">estimatedTripDuration(C413,$C$8,$C$7)/60</f>
        <v>15.013819343432676</v>
      </c>
      <c r="G413">
        <f t="shared" si="66"/>
        <v>398</v>
      </c>
      <c r="H413" s="50">
        <f t="shared" si="70"/>
        <v>66.333333333333329</v>
      </c>
      <c r="I413" s="7" cm="1">
        <f t="array" ref="I413">CurrentCapacity(K$10,K$6,K$7,H413)</f>
        <v>35672.409000000007</v>
      </c>
      <c r="J413" s="48">
        <f t="shared" si="71"/>
        <v>4.5247480304991441E-2</v>
      </c>
      <c r="K413" s="5" cm="1">
        <f t="array" ref="K413">UseableCapacity(I413,$K$8,$K$9)</f>
        <v>26754.306750000003</v>
      </c>
      <c r="L413" s="59">
        <f t="shared" si="72"/>
        <v>34058.322376340904</v>
      </c>
      <c r="M413" s="7">
        <f t="shared" si="73"/>
        <v>25140.220126340904</v>
      </c>
      <c r="N413" s="7">
        <f t="shared" si="74"/>
        <v>2577.5909999999931</v>
      </c>
      <c r="O413" t="str">
        <f t="shared" si="67"/>
        <v>no</v>
      </c>
      <c r="P413" t="str">
        <f t="shared" si="68"/>
        <v>no</v>
      </c>
    </row>
    <row r="414" spans="2:16" x14ac:dyDescent="0.35">
      <c r="B414">
        <f t="shared" si="75"/>
        <v>399</v>
      </c>
      <c r="C414" s="7">
        <f t="shared" si="69"/>
        <v>399</v>
      </c>
      <c r="D414" s="1" cm="1">
        <f t="array" ref="D414">estimatedTripEnergy(C414,G$5,G$6,C$12,C$7,C$9,C$8,FALSE)/1000</f>
        <v>1467.0533028197001</v>
      </c>
      <c r="E414" s="1" cm="1">
        <f t="array" ref="E414">estimatedTripEnergy(C414,G$5,G$6,C$12,C$7,C$9,C$8)/1000</f>
        <v>1615.0133028196999</v>
      </c>
      <c r="F414" s="59" cm="1">
        <f t="array" ref="F414">estimatedTripDuration(C414,$C$8,$C$7)/60</f>
        <v>15.047152676766009</v>
      </c>
      <c r="G414">
        <f t="shared" si="66"/>
        <v>399</v>
      </c>
      <c r="H414" s="50">
        <f t="shared" si="70"/>
        <v>66.5</v>
      </c>
      <c r="I414" s="7" cm="1">
        <f t="array" ref="I414">CurrentCapacity(K$10,K$6,K$7,H414)</f>
        <v>35672.179499999998</v>
      </c>
      <c r="J414" s="48">
        <f t="shared" si="71"/>
        <v>4.5273749051966392E-2</v>
      </c>
      <c r="K414" s="5" cm="1">
        <f t="array" ref="K414">UseableCapacity(I414,$K$8,$K$9)</f>
        <v>26754.134624999999</v>
      </c>
      <c r="L414" s="59">
        <f t="shared" si="72"/>
        <v>34057.166197180297</v>
      </c>
      <c r="M414" s="7">
        <f t="shared" si="73"/>
        <v>25139.121322180297</v>
      </c>
      <c r="N414" s="7">
        <f t="shared" si="74"/>
        <v>2577.8205000000016</v>
      </c>
      <c r="O414" t="str">
        <f t="shared" si="67"/>
        <v>no</v>
      </c>
      <c r="P414" t="str">
        <f t="shared" si="68"/>
        <v>no</v>
      </c>
    </row>
    <row r="415" spans="2:16" x14ac:dyDescent="0.35">
      <c r="B415">
        <f t="shared" si="75"/>
        <v>400</v>
      </c>
      <c r="C415" s="7">
        <f t="shared" si="69"/>
        <v>400</v>
      </c>
      <c r="D415" s="1" cm="1">
        <f t="array" ref="D415">estimatedTripEnergy(C415,G$5,G$6,C$12,C$7,C$9,C$8,FALSE)/1000</f>
        <v>1467.9799819803</v>
      </c>
      <c r="E415" s="1" cm="1">
        <f t="array" ref="E415">estimatedTripEnergy(C415,G$5,G$6,C$12,C$7,C$9,C$8)/1000</f>
        <v>1615.9399819803</v>
      </c>
      <c r="F415" s="59" cm="1">
        <f t="array" ref="F415">estimatedTripDuration(C415,$C$8,$C$7)/60</f>
        <v>15.080486010099342</v>
      </c>
      <c r="G415">
        <f t="shared" si="66"/>
        <v>400</v>
      </c>
      <c r="H415" s="50">
        <f t="shared" si="70"/>
        <v>66.666666666666671</v>
      </c>
      <c r="I415" s="7" cm="1">
        <f t="array" ref="I415">CurrentCapacity(K$10,K$6,K$7,H415)</f>
        <v>35671.950000000004</v>
      </c>
      <c r="J415" s="48">
        <f t="shared" si="71"/>
        <v>4.530001813694793E-2</v>
      </c>
      <c r="K415" s="5" cm="1">
        <f t="array" ref="K415">UseableCapacity(I415,$K$8,$K$9)</f>
        <v>26753.962500000001</v>
      </c>
      <c r="L415" s="59">
        <f t="shared" si="72"/>
        <v>34056.010018019704</v>
      </c>
      <c r="M415" s="7">
        <f t="shared" si="73"/>
        <v>25138.022518019701</v>
      </c>
      <c r="N415" s="7">
        <f t="shared" si="74"/>
        <v>2578.0499999999956</v>
      </c>
      <c r="O415" t="str">
        <f t="shared" si="67"/>
        <v>no</v>
      </c>
      <c r="P415" t="str">
        <f t="shared" si="68"/>
        <v>no</v>
      </c>
    </row>
    <row r="416" spans="2:16" x14ac:dyDescent="0.35">
      <c r="B416">
        <f t="shared" si="75"/>
        <v>401</v>
      </c>
      <c r="C416" s="7">
        <f t="shared" si="69"/>
        <v>401</v>
      </c>
      <c r="D416" s="1" cm="1">
        <f t="array" ref="D416">estimatedTripEnergy(C416,G$5,G$6,C$12,C$7,C$9,C$8,FALSE)/1000</f>
        <v>1468.9066611409</v>
      </c>
      <c r="E416" s="1" cm="1">
        <f t="array" ref="E416">estimatedTripEnergy(C416,G$5,G$6,C$12,C$7,C$9,C$8)/1000</f>
        <v>1616.8666611409001</v>
      </c>
      <c r="F416" s="59" cm="1">
        <f t="array" ref="F416">estimatedTripDuration(C416,$C$8,$C$7)/60</f>
        <v>15.113819343432676</v>
      </c>
      <c r="G416">
        <f t="shared" ref="G416:G479" si="76">B416</f>
        <v>401</v>
      </c>
      <c r="H416" s="50">
        <f t="shared" si="70"/>
        <v>66.833333333333329</v>
      </c>
      <c r="I416" s="7" cm="1">
        <f t="array" ref="I416">CurrentCapacity(K$10,K$6,K$7,H416)</f>
        <v>35671.720500000003</v>
      </c>
      <c r="J416" s="48">
        <f t="shared" si="71"/>
        <v>4.5326287559942613E-2</v>
      </c>
      <c r="K416" s="5" cm="1">
        <f t="array" ref="K416">UseableCapacity(I416,$K$8,$K$9)</f>
        <v>26753.790375000004</v>
      </c>
      <c r="L416" s="59">
        <f t="shared" si="72"/>
        <v>34054.853838859104</v>
      </c>
      <c r="M416" s="7">
        <f t="shared" si="73"/>
        <v>25136.923713859105</v>
      </c>
      <c r="N416" s="7">
        <f t="shared" si="74"/>
        <v>2578.2794999999969</v>
      </c>
      <c r="O416" t="str">
        <f t="shared" ref="O416:O479" si="77">IF(M416&lt;0,"yes","no")</f>
        <v>no</v>
      </c>
      <c r="P416" t="str">
        <f t="shared" ref="P416:P479" si="78">IF(L416&lt;0,"yes","no")</f>
        <v>no</v>
      </c>
    </row>
    <row r="417" spans="2:16" x14ac:dyDescent="0.35">
      <c r="B417">
        <f t="shared" si="75"/>
        <v>402</v>
      </c>
      <c r="C417" s="7">
        <f t="shared" si="69"/>
        <v>402</v>
      </c>
      <c r="D417" s="1" cm="1">
        <f t="array" ref="D417">estimatedTripEnergy(C417,G$5,G$6,C$12,C$7,C$9,C$8,FALSE)/1000</f>
        <v>1469.8333403014999</v>
      </c>
      <c r="E417" s="1" cm="1">
        <f t="array" ref="E417">estimatedTripEnergy(C417,G$5,G$6,C$12,C$7,C$9,C$8)/1000</f>
        <v>1617.7933403014999</v>
      </c>
      <c r="F417" s="59" cm="1">
        <f t="array" ref="F417">estimatedTripDuration(C417,$C$8,$C$7)/60</f>
        <v>15.147152676766009</v>
      </c>
      <c r="G417">
        <f t="shared" si="76"/>
        <v>402</v>
      </c>
      <c r="H417" s="50">
        <f t="shared" si="70"/>
        <v>67</v>
      </c>
      <c r="I417" s="7" cm="1">
        <f t="array" ref="I417">CurrentCapacity(K$10,K$6,K$7,H417)</f>
        <v>35671.491000000002</v>
      </c>
      <c r="J417" s="48">
        <f t="shared" si="71"/>
        <v>4.535255732095695E-2</v>
      </c>
      <c r="K417" s="5" cm="1">
        <f t="array" ref="K417">UseableCapacity(I417,$K$8,$K$9)</f>
        <v>26753.61825</v>
      </c>
      <c r="L417" s="59">
        <f t="shared" si="72"/>
        <v>34053.697659698504</v>
      </c>
      <c r="M417" s="7">
        <f t="shared" si="73"/>
        <v>25135.824909698498</v>
      </c>
      <c r="N417" s="7">
        <f t="shared" si="74"/>
        <v>2578.5089999999982</v>
      </c>
      <c r="O417" t="str">
        <f t="shared" si="77"/>
        <v>no</v>
      </c>
      <c r="P417" t="str">
        <f t="shared" si="78"/>
        <v>no</v>
      </c>
    </row>
    <row r="418" spans="2:16" x14ac:dyDescent="0.35">
      <c r="B418">
        <f t="shared" si="75"/>
        <v>403</v>
      </c>
      <c r="C418" s="7">
        <f t="shared" si="69"/>
        <v>403</v>
      </c>
      <c r="D418" s="1" cm="1">
        <f t="array" ref="D418">estimatedTripEnergy(C418,G$5,G$6,C$12,C$7,C$9,C$8,FALSE)/1000</f>
        <v>1470.7600194621</v>
      </c>
      <c r="E418" s="1" cm="1">
        <f t="array" ref="E418">estimatedTripEnergy(C418,G$5,G$6,C$12,C$7,C$9,C$8)/1000</f>
        <v>1618.7200194621</v>
      </c>
      <c r="F418" s="59" cm="1">
        <f t="array" ref="F418">estimatedTripDuration(C418,$C$8,$C$7)/60</f>
        <v>15.180486010099342</v>
      </c>
      <c r="G418">
        <f t="shared" si="76"/>
        <v>403</v>
      </c>
      <c r="H418" s="50">
        <f t="shared" si="70"/>
        <v>67.166666666666671</v>
      </c>
      <c r="I418" s="7" cm="1">
        <f t="array" ref="I418">CurrentCapacity(K$10,K$6,K$7,H418)</f>
        <v>35671.261500000001</v>
      </c>
      <c r="J418" s="48">
        <f t="shared" si="71"/>
        <v>4.5378827419997471E-2</v>
      </c>
      <c r="K418" s="5" cm="1">
        <f t="array" ref="K418">UseableCapacity(I418,$K$8,$K$9)</f>
        <v>26753.446125000002</v>
      </c>
      <c r="L418" s="59">
        <f t="shared" si="72"/>
        <v>34052.541480537897</v>
      </c>
      <c r="M418" s="7">
        <f t="shared" si="73"/>
        <v>25134.726105537902</v>
      </c>
      <c r="N418" s="7">
        <f t="shared" si="74"/>
        <v>2578.7384999999995</v>
      </c>
      <c r="O418" t="str">
        <f t="shared" si="77"/>
        <v>no</v>
      </c>
      <c r="P418" t="str">
        <f t="shared" si="78"/>
        <v>no</v>
      </c>
    </row>
    <row r="419" spans="2:16" x14ac:dyDescent="0.35">
      <c r="B419">
        <f t="shared" si="75"/>
        <v>404</v>
      </c>
      <c r="C419" s="7">
        <f t="shared" si="69"/>
        <v>404</v>
      </c>
      <c r="D419" s="1" cm="1">
        <f t="array" ref="D419">estimatedTripEnergy(C419,G$5,G$6,C$12,C$7,C$9,C$8,FALSE)/1000</f>
        <v>1471.6866986227001</v>
      </c>
      <c r="E419" s="1" cm="1">
        <f t="array" ref="E419">estimatedTripEnergy(C419,G$5,G$6,C$12,C$7,C$9,C$8)/1000</f>
        <v>1619.6466986227001</v>
      </c>
      <c r="F419" s="59" cm="1">
        <f t="array" ref="F419">estimatedTripDuration(C419,$C$8,$C$7)/60</f>
        <v>15.213819343432675</v>
      </c>
      <c r="G419">
        <f t="shared" si="76"/>
        <v>404</v>
      </c>
      <c r="H419" s="50">
        <f t="shared" si="70"/>
        <v>67.333333333333329</v>
      </c>
      <c r="I419" s="7" cm="1">
        <f t="array" ref="I419">CurrentCapacity(K$10,K$6,K$7,H419)</f>
        <v>35671.031999999999</v>
      </c>
      <c r="J419" s="48">
        <f t="shared" si="71"/>
        <v>4.5405097857070691E-2</v>
      </c>
      <c r="K419" s="5" cm="1">
        <f t="array" ref="K419">UseableCapacity(I419,$K$8,$K$9)</f>
        <v>26753.273999999998</v>
      </c>
      <c r="L419" s="59">
        <f t="shared" si="72"/>
        <v>34051.385301377297</v>
      </c>
      <c r="M419" s="7">
        <f t="shared" si="73"/>
        <v>25133.627301377299</v>
      </c>
      <c r="N419" s="7">
        <f t="shared" si="74"/>
        <v>2578.9680000000008</v>
      </c>
      <c r="O419" t="str">
        <f t="shared" si="77"/>
        <v>no</v>
      </c>
      <c r="P419" t="str">
        <f t="shared" si="78"/>
        <v>no</v>
      </c>
    </row>
    <row r="420" spans="2:16" x14ac:dyDescent="0.35">
      <c r="B420">
        <f t="shared" si="75"/>
        <v>405</v>
      </c>
      <c r="C420" s="7">
        <f t="shared" si="69"/>
        <v>405</v>
      </c>
      <c r="D420" s="1" cm="1">
        <f t="array" ref="D420">estimatedTripEnergy(C420,G$5,G$6,C$12,C$7,C$9,C$8,FALSE)/1000</f>
        <v>1472.6133777832999</v>
      </c>
      <c r="E420" s="1" cm="1">
        <f t="array" ref="E420">estimatedTripEnergy(C420,G$5,G$6,C$12,C$7,C$9,C$8)/1000</f>
        <v>1620.5733777833</v>
      </c>
      <c r="F420" s="59" cm="1">
        <f t="array" ref="F420">estimatedTripDuration(C420,$C$8,$C$7)/60</f>
        <v>15.247152676766008</v>
      </c>
      <c r="G420">
        <f t="shared" si="76"/>
        <v>405</v>
      </c>
      <c r="H420" s="50">
        <f t="shared" si="70"/>
        <v>67.5</v>
      </c>
      <c r="I420" s="7" cm="1">
        <f t="array" ref="I420">CurrentCapacity(K$10,K$6,K$7,H420)</f>
        <v>35670.802499999998</v>
      </c>
      <c r="J420" s="48">
        <f t="shared" si="71"/>
        <v>4.5431368632183146E-2</v>
      </c>
      <c r="K420" s="5" cm="1">
        <f t="array" ref="K420">UseableCapacity(I420,$K$8,$K$9)</f>
        <v>26753.101875</v>
      </c>
      <c r="L420" s="59">
        <f t="shared" si="72"/>
        <v>34050.229122216697</v>
      </c>
      <c r="M420" s="7">
        <f t="shared" si="73"/>
        <v>25132.528497216699</v>
      </c>
      <c r="N420" s="7">
        <f t="shared" si="74"/>
        <v>2579.197500000002</v>
      </c>
      <c r="O420" t="str">
        <f t="shared" si="77"/>
        <v>no</v>
      </c>
      <c r="P420" t="str">
        <f t="shared" si="78"/>
        <v>no</v>
      </c>
    </row>
    <row r="421" spans="2:16" x14ac:dyDescent="0.35">
      <c r="B421">
        <f t="shared" si="75"/>
        <v>406</v>
      </c>
      <c r="C421" s="7">
        <f t="shared" si="69"/>
        <v>406</v>
      </c>
      <c r="D421" s="1" cm="1">
        <f t="array" ref="D421">estimatedTripEnergy(C421,G$5,G$6,C$12,C$7,C$9,C$8,FALSE)/1000</f>
        <v>1473.5400569439</v>
      </c>
      <c r="E421" s="1" cm="1">
        <f t="array" ref="E421">estimatedTripEnergy(C421,G$5,G$6,C$12,C$7,C$9,C$8)/1000</f>
        <v>1621.5000569439001</v>
      </c>
      <c r="F421" s="59" cm="1">
        <f t="array" ref="F421">estimatedTripDuration(C421,$C$8,$C$7)/60</f>
        <v>15.280486010099342</v>
      </c>
      <c r="G421">
        <f t="shared" si="76"/>
        <v>406</v>
      </c>
      <c r="H421" s="50">
        <f t="shared" si="70"/>
        <v>67.666666666666671</v>
      </c>
      <c r="I421" s="7" cm="1">
        <f t="array" ref="I421">CurrentCapacity(K$10,K$6,K$7,H421)</f>
        <v>35670.573000000004</v>
      </c>
      <c r="J421" s="48">
        <f t="shared" si="71"/>
        <v>4.5457639745341345E-2</v>
      </c>
      <c r="K421" s="5" cm="1">
        <f t="array" ref="K421">UseableCapacity(I421,$K$8,$K$9)</f>
        <v>26752.929750000003</v>
      </c>
      <c r="L421" s="59">
        <f t="shared" si="72"/>
        <v>34049.072943056104</v>
      </c>
      <c r="M421" s="7">
        <f t="shared" si="73"/>
        <v>25131.429693056103</v>
      </c>
      <c r="N421" s="7">
        <f t="shared" si="74"/>
        <v>2579.426999999996</v>
      </c>
      <c r="O421" t="str">
        <f t="shared" si="77"/>
        <v>no</v>
      </c>
      <c r="P421" t="str">
        <f t="shared" si="78"/>
        <v>no</v>
      </c>
    </row>
    <row r="422" spans="2:16" x14ac:dyDescent="0.35">
      <c r="B422">
        <f t="shared" si="75"/>
        <v>407</v>
      </c>
      <c r="C422" s="7">
        <f t="shared" si="69"/>
        <v>407</v>
      </c>
      <c r="D422" s="1" cm="1">
        <f t="array" ref="D422">estimatedTripEnergy(C422,G$5,G$6,C$12,C$7,C$9,C$8,FALSE)/1000</f>
        <v>1474.4667361045001</v>
      </c>
      <c r="E422" s="1" cm="1">
        <f t="array" ref="E422">estimatedTripEnergy(C422,G$5,G$6,C$12,C$7,C$9,C$8)/1000</f>
        <v>1622.4267361044999</v>
      </c>
      <c r="F422" s="59" cm="1">
        <f t="array" ref="F422">estimatedTripDuration(C422,$C$8,$C$7)/60</f>
        <v>15.313819343432675</v>
      </c>
      <c r="G422">
        <f t="shared" si="76"/>
        <v>407</v>
      </c>
      <c r="H422" s="50">
        <f t="shared" si="70"/>
        <v>67.833333333333329</v>
      </c>
      <c r="I422" s="7" cm="1">
        <f t="array" ref="I422">CurrentCapacity(K$10,K$6,K$7,H422)</f>
        <v>35670.343500000003</v>
      </c>
      <c r="J422" s="48">
        <f t="shared" si="71"/>
        <v>4.5483911196551832E-2</v>
      </c>
      <c r="K422" s="5" cm="1">
        <f t="array" ref="K422">UseableCapacity(I422,$K$8,$K$9)</f>
        <v>26752.757625000002</v>
      </c>
      <c r="L422" s="59">
        <f t="shared" si="72"/>
        <v>34047.916763895504</v>
      </c>
      <c r="M422" s="7">
        <f t="shared" si="73"/>
        <v>25130.330888895503</v>
      </c>
      <c r="N422" s="7">
        <f t="shared" si="74"/>
        <v>2579.6564999999973</v>
      </c>
      <c r="O422" t="str">
        <f t="shared" si="77"/>
        <v>no</v>
      </c>
      <c r="P422" t="str">
        <f t="shared" si="78"/>
        <v>no</v>
      </c>
    </row>
    <row r="423" spans="2:16" x14ac:dyDescent="0.35">
      <c r="B423">
        <f t="shared" si="75"/>
        <v>408</v>
      </c>
      <c r="C423" s="7">
        <f t="shared" si="69"/>
        <v>408</v>
      </c>
      <c r="D423" s="1" cm="1">
        <f t="array" ref="D423">estimatedTripEnergy(C423,G$5,G$6,C$12,C$7,C$9,C$8,FALSE)/1000</f>
        <v>1475.3934152651</v>
      </c>
      <c r="E423" s="1" cm="1">
        <f t="array" ref="E423">estimatedTripEnergy(C423,G$5,G$6,C$12,C$7,C$9,C$8)/1000</f>
        <v>1623.3534152651</v>
      </c>
      <c r="F423" s="59" cm="1">
        <f t="array" ref="F423">estimatedTripDuration(C423,$C$8,$C$7)/60</f>
        <v>15.347152676766008</v>
      </c>
      <c r="G423">
        <f t="shared" si="76"/>
        <v>408</v>
      </c>
      <c r="H423" s="50">
        <f t="shared" si="70"/>
        <v>68</v>
      </c>
      <c r="I423" s="7" cm="1">
        <f t="array" ref="I423">CurrentCapacity(K$10,K$6,K$7,H423)</f>
        <v>35670.114000000001</v>
      </c>
      <c r="J423" s="48">
        <f t="shared" si="71"/>
        <v>4.5510182985821129E-2</v>
      </c>
      <c r="K423" s="5" cm="1">
        <f t="array" ref="K423">UseableCapacity(I423,$K$8,$K$9)</f>
        <v>26752.585500000001</v>
      </c>
      <c r="L423" s="59">
        <f t="shared" si="72"/>
        <v>34046.760584734904</v>
      </c>
      <c r="M423" s="7">
        <f t="shared" si="73"/>
        <v>25129.2320847349</v>
      </c>
      <c r="N423" s="7">
        <f t="shared" si="74"/>
        <v>2579.8859999999986</v>
      </c>
      <c r="O423" t="str">
        <f t="shared" si="77"/>
        <v>no</v>
      </c>
      <c r="P423" t="str">
        <f t="shared" si="78"/>
        <v>no</v>
      </c>
    </row>
    <row r="424" spans="2:16" x14ac:dyDescent="0.35">
      <c r="B424">
        <f t="shared" si="75"/>
        <v>409</v>
      </c>
      <c r="C424" s="7">
        <f t="shared" si="69"/>
        <v>409</v>
      </c>
      <c r="D424" s="1" cm="1">
        <f t="array" ref="D424">estimatedTripEnergy(C424,G$5,G$6,C$12,C$7,C$9,C$8,FALSE)/1000</f>
        <v>1476.3200944257001</v>
      </c>
      <c r="E424" s="1" cm="1">
        <f t="array" ref="E424">estimatedTripEnergy(C424,G$5,G$6,C$12,C$7,C$9,C$8)/1000</f>
        <v>1624.2800944257001</v>
      </c>
      <c r="F424" s="59" cm="1">
        <f t="array" ref="F424">estimatedTripDuration(C424,$C$8,$C$7)/60</f>
        <v>15.380486010099341</v>
      </c>
      <c r="G424">
        <f t="shared" si="76"/>
        <v>409</v>
      </c>
      <c r="H424" s="50">
        <f t="shared" si="70"/>
        <v>68.166666666666671</v>
      </c>
      <c r="I424" s="7" cm="1">
        <f t="array" ref="I424">CurrentCapacity(K$10,K$6,K$7,H424)</f>
        <v>35669.8845</v>
      </c>
      <c r="J424" s="48">
        <f t="shared" si="71"/>
        <v>4.5536455113155752E-2</v>
      </c>
      <c r="K424" s="5" cm="1">
        <f t="array" ref="K424">UseableCapacity(I424,$K$8,$K$9)</f>
        <v>26752.413375</v>
      </c>
      <c r="L424" s="59">
        <f t="shared" si="72"/>
        <v>34045.604405574297</v>
      </c>
      <c r="M424" s="7">
        <f t="shared" si="73"/>
        <v>25128.1332805743</v>
      </c>
      <c r="N424" s="7">
        <f t="shared" si="74"/>
        <v>2580.1154999999999</v>
      </c>
      <c r="O424" t="str">
        <f t="shared" si="77"/>
        <v>no</v>
      </c>
      <c r="P424" t="str">
        <f t="shared" si="78"/>
        <v>no</v>
      </c>
    </row>
    <row r="425" spans="2:16" x14ac:dyDescent="0.35">
      <c r="B425">
        <f t="shared" si="75"/>
        <v>410</v>
      </c>
      <c r="C425" s="7">
        <f t="shared" si="69"/>
        <v>410</v>
      </c>
      <c r="D425" s="1" cm="1">
        <f t="array" ref="D425">estimatedTripEnergy(C425,G$5,G$6,C$12,C$7,C$9,C$8,FALSE)/1000</f>
        <v>1477.2467735862999</v>
      </c>
      <c r="E425" s="1" cm="1">
        <f t="array" ref="E425">estimatedTripEnergy(C425,G$5,G$6,C$12,C$7,C$9,C$8)/1000</f>
        <v>1625.2067735863</v>
      </c>
      <c r="F425" s="59" cm="1">
        <f t="array" ref="F425">estimatedTripDuration(C425,$C$8,$C$7)/60</f>
        <v>15.413819343432674</v>
      </c>
      <c r="G425">
        <f t="shared" si="76"/>
        <v>410</v>
      </c>
      <c r="H425" s="50">
        <f t="shared" si="70"/>
        <v>68.333333333333329</v>
      </c>
      <c r="I425" s="7" cm="1">
        <f t="array" ref="I425">CurrentCapacity(K$10,K$6,K$7,H425)</f>
        <v>35669.654999999999</v>
      </c>
      <c r="J425" s="48">
        <f t="shared" si="71"/>
        <v>4.5562727578562223E-2</v>
      </c>
      <c r="K425" s="5" cm="1">
        <f t="array" ref="K425">UseableCapacity(I425,$K$8,$K$9)</f>
        <v>26752.241249999999</v>
      </c>
      <c r="L425" s="59">
        <f t="shared" si="72"/>
        <v>34044.448226413697</v>
      </c>
      <c r="M425" s="7">
        <f t="shared" si="73"/>
        <v>25127.034476413701</v>
      </c>
      <c r="N425" s="7">
        <f t="shared" si="74"/>
        <v>2580.3450000000012</v>
      </c>
      <c r="O425" t="str">
        <f t="shared" si="77"/>
        <v>no</v>
      </c>
      <c r="P425" t="str">
        <f t="shared" si="78"/>
        <v>no</v>
      </c>
    </row>
    <row r="426" spans="2:16" x14ac:dyDescent="0.35">
      <c r="B426">
        <f t="shared" si="75"/>
        <v>411</v>
      </c>
      <c r="C426" s="7">
        <f t="shared" si="69"/>
        <v>411</v>
      </c>
      <c r="D426" s="1" cm="1">
        <f t="array" ref="D426">estimatedTripEnergy(C426,G$5,G$6,C$12,C$7,C$9,C$8,FALSE)/1000</f>
        <v>1478.1734527469</v>
      </c>
      <c r="E426" s="1" cm="1">
        <f t="array" ref="E426">estimatedTripEnergy(C426,G$5,G$6,C$12,C$7,C$9,C$8)/1000</f>
        <v>1626.1334527469</v>
      </c>
      <c r="F426" s="59" cm="1">
        <f t="array" ref="F426">estimatedTripDuration(C426,$C$8,$C$7)/60</f>
        <v>15.447152676766008</v>
      </c>
      <c r="G426">
        <f t="shared" si="76"/>
        <v>411</v>
      </c>
      <c r="H426" s="50">
        <f t="shared" si="70"/>
        <v>68.5</v>
      </c>
      <c r="I426" s="7" cm="1">
        <f t="array" ref="I426">CurrentCapacity(K$10,K$6,K$7,H426)</f>
        <v>35669.425500000005</v>
      </c>
      <c r="J426" s="48">
        <f t="shared" si="71"/>
        <v>4.5589000382047079E-2</v>
      </c>
      <c r="K426" s="5" cm="1">
        <f t="array" ref="K426">UseableCapacity(I426,$K$8,$K$9)</f>
        <v>26752.069125000002</v>
      </c>
      <c r="L426" s="59">
        <f t="shared" si="72"/>
        <v>34043.292047253104</v>
      </c>
      <c r="M426" s="7">
        <f t="shared" si="73"/>
        <v>25125.935672253101</v>
      </c>
      <c r="N426" s="7">
        <f t="shared" si="74"/>
        <v>2580.5744999999952</v>
      </c>
      <c r="O426" t="str">
        <f t="shared" si="77"/>
        <v>no</v>
      </c>
      <c r="P426" t="str">
        <f t="shared" si="78"/>
        <v>no</v>
      </c>
    </row>
    <row r="427" spans="2:16" x14ac:dyDescent="0.35">
      <c r="B427">
        <f t="shared" si="75"/>
        <v>412</v>
      </c>
      <c r="C427" s="7">
        <f t="shared" si="69"/>
        <v>412</v>
      </c>
      <c r="D427" s="1" cm="1">
        <f t="array" ref="D427">estimatedTripEnergy(C427,G$5,G$6,C$12,C$7,C$9,C$8,FALSE)/1000</f>
        <v>1479.1001319075001</v>
      </c>
      <c r="E427" s="1" cm="1">
        <f t="array" ref="E427">estimatedTripEnergy(C427,G$5,G$6,C$12,C$7,C$9,C$8)/1000</f>
        <v>1627.0601319075001</v>
      </c>
      <c r="F427" s="59" cm="1">
        <f t="array" ref="F427">estimatedTripDuration(C427,$C$8,$C$7)/60</f>
        <v>15.480486010099343</v>
      </c>
      <c r="G427">
        <f t="shared" si="76"/>
        <v>412</v>
      </c>
      <c r="H427" s="50">
        <f t="shared" si="70"/>
        <v>68.666666666666671</v>
      </c>
      <c r="I427" s="7" cm="1">
        <f t="array" ref="I427">CurrentCapacity(K$10,K$6,K$7,H427)</f>
        <v>35669.196000000004</v>
      </c>
      <c r="J427" s="48">
        <f t="shared" si="71"/>
        <v>4.5615273523616849E-2</v>
      </c>
      <c r="K427" s="5" cm="1">
        <f t="array" ref="K427">UseableCapacity(I427,$K$8,$K$9)</f>
        <v>26751.897000000004</v>
      </c>
      <c r="L427" s="59">
        <f t="shared" si="72"/>
        <v>34042.135868092504</v>
      </c>
      <c r="M427" s="7">
        <f t="shared" si="73"/>
        <v>25124.836868092505</v>
      </c>
      <c r="N427" s="7">
        <f t="shared" si="74"/>
        <v>2580.8039999999964</v>
      </c>
      <c r="O427" t="str">
        <f t="shared" si="77"/>
        <v>no</v>
      </c>
      <c r="P427" t="str">
        <f t="shared" si="78"/>
        <v>no</v>
      </c>
    </row>
    <row r="428" spans="2:16" x14ac:dyDescent="0.35">
      <c r="B428">
        <f t="shared" si="75"/>
        <v>413</v>
      </c>
      <c r="C428" s="7">
        <f t="shared" si="69"/>
        <v>413</v>
      </c>
      <c r="D428" s="1" cm="1">
        <f t="array" ref="D428">estimatedTripEnergy(C428,G$5,G$6,C$12,C$7,C$9,C$8,FALSE)/1000</f>
        <v>1480.0268110681</v>
      </c>
      <c r="E428" s="1" cm="1">
        <f t="array" ref="E428">estimatedTripEnergy(C428,G$5,G$6,C$12,C$7,C$9,C$8)/1000</f>
        <v>1627.9868110681</v>
      </c>
      <c r="F428" s="59" cm="1">
        <f t="array" ref="F428">estimatedTripDuration(C428,$C$8,$C$7)/60</f>
        <v>15.513819343432676</v>
      </c>
      <c r="G428">
        <f t="shared" si="76"/>
        <v>413</v>
      </c>
      <c r="H428" s="50">
        <f t="shared" si="70"/>
        <v>68.833333333333329</v>
      </c>
      <c r="I428" s="7" cm="1">
        <f t="array" ref="I428">CurrentCapacity(K$10,K$6,K$7,H428)</f>
        <v>35668.966500000002</v>
      </c>
      <c r="J428" s="48">
        <f t="shared" si="71"/>
        <v>4.5641547003278042E-2</v>
      </c>
      <c r="K428" s="5" cm="1">
        <f t="array" ref="K428">UseableCapacity(I428,$K$8,$K$9)</f>
        <v>26751.724875</v>
      </c>
      <c r="L428" s="59">
        <f t="shared" si="72"/>
        <v>34040.979688931904</v>
      </c>
      <c r="M428" s="7">
        <f t="shared" si="73"/>
        <v>25123.738063931902</v>
      </c>
      <c r="N428" s="7">
        <f t="shared" si="74"/>
        <v>2581.0334999999977</v>
      </c>
      <c r="O428" t="str">
        <f t="shared" si="77"/>
        <v>no</v>
      </c>
      <c r="P428" t="str">
        <f t="shared" si="78"/>
        <v>no</v>
      </c>
    </row>
    <row r="429" spans="2:16" x14ac:dyDescent="0.35">
      <c r="B429">
        <f t="shared" si="75"/>
        <v>414</v>
      </c>
      <c r="C429" s="7">
        <f t="shared" si="69"/>
        <v>414</v>
      </c>
      <c r="D429" s="1" cm="1">
        <f t="array" ref="D429">estimatedTripEnergy(C429,G$5,G$6,C$12,C$7,C$9,C$8,FALSE)/1000</f>
        <v>1480.9534902287</v>
      </c>
      <c r="E429" s="1" cm="1">
        <f t="array" ref="E429">estimatedTripEnergy(C429,G$5,G$6,C$12,C$7,C$9,C$8)/1000</f>
        <v>1628.9134902287001</v>
      </c>
      <c r="F429" s="59" cm="1">
        <f t="array" ref="F429">estimatedTripDuration(C429,$C$8,$C$7)/60</f>
        <v>15.547152676766009</v>
      </c>
      <c r="G429">
        <f t="shared" si="76"/>
        <v>414</v>
      </c>
      <c r="H429" s="50">
        <f t="shared" si="70"/>
        <v>69</v>
      </c>
      <c r="I429" s="7" cm="1">
        <f t="array" ref="I429">CurrentCapacity(K$10,K$6,K$7,H429)</f>
        <v>35668.737000000001</v>
      </c>
      <c r="J429" s="48">
        <f t="shared" si="71"/>
        <v>4.5667820821037201E-2</v>
      </c>
      <c r="K429" s="5" cm="1">
        <f t="array" ref="K429">UseableCapacity(I429,$K$8,$K$9)</f>
        <v>26751.552750000003</v>
      </c>
      <c r="L429" s="59">
        <f t="shared" si="72"/>
        <v>34039.823509771304</v>
      </c>
      <c r="M429" s="7">
        <f t="shared" si="73"/>
        <v>25122.639259771302</v>
      </c>
      <c r="N429" s="7">
        <f t="shared" si="74"/>
        <v>2581.262999999999</v>
      </c>
      <c r="O429" t="str">
        <f t="shared" si="77"/>
        <v>no</v>
      </c>
      <c r="P429" t="str">
        <f t="shared" si="78"/>
        <v>no</v>
      </c>
    </row>
    <row r="430" spans="2:16" x14ac:dyDescent="0.35">
      <c r="B430">
        <f t="shared" si="75"/>
        <v>415</v>
      </c>
      <c r="C430" s="7">
        <f t="shared" si="69"/>
        <v>415</v>
      </c>
      <c r="D430" s="1" cm="1">
        <f t="array" ref="D430">estimatedTripEnergy(C430,G$5,G$6,C$12,C$7,C$9,C$8,FALSE)/1000</f>
        <v>1481.8801693893001</v>
      </c>
      <c r="E430" s="1" cm="1">
        <f t="array" ref="E430">estimatedTripEnergy(C430,G$5,G$6,C$12,C$7,C$9,C$8)/1000</f>
        <v>1629.8401693892999</v>
      </c>
      <c r="F430" s="59" cm="1">
        <f t="array" ref="F430">estimatedTripDuration(C430,$C$8,$C$7)/60</f>
        <v>15.580486010099342</v>
      </c>
      <c r="G430">
        <f t="shared" si="76"/>
        <v>415</v>
      </c>
      <c r="H430" s="50">
        <f t="shared" si="70"/>
        <v>69.166666666666671</v>
      </c>
      <c r="I430" s="7" cm="1">
        <f t="array" ref="I430">CurrentCapacity(K$10,K$6,K$7,H430)</f>
        <v>35668.5075</v>
      </c>
      <c r="J430" s="48">
        <f t="shared" si="71"/>
        <v>4.5694094976900843E-2</v>
      </c>
      <c r="K430" s="5" cm="1">
        <f t="array" ref="K430">UseableCapacity(I430,$K$8,$K$9)</f>
        <v>26751.380624999998</v>
      </c>
      <c r="L430" s="59">
        <f t="shared" si="72"/>
        <v>34038.667330610697</v>
      </c>
      <c r="M430" s="7">
        <f t="shared" si="73"/>
        <v>25121.540455610699</v>
      </c>
      <c r="N430" s="7">
        <f t="shared" si="74"/>
        <v>2581.4925000000003</v>
      </c>
      <c r="O430" t="str">
        <f t="shared" si="77"/>
        <v>no</v>
      </c>
      <c r="P430" t="str">
        <f t="shared" si="78"/>
        <v>no</v>
      </c>
    </row>
    <row r="431" spans="2:16" x14ac:dyDescent="0.35">
      <c r="B431">
        <f t="shared" si="75"/>
        <v>416</v>
      </c>
      <c r="C431" s="7">
        <f t="shared" si="69"/>
        <v>416</v>
      </c>
      <c r="D431" s="1" cm="1">
        <f t="array" ref="D431">estimatedTripEnergy(C431,G$5,G$6,C$12,C$7,C$9,C$8,FALSE)/1000</f>
        <v>1482.8068485499002</v>
      </c>
      <c r="E431" s="1" cm="1">
        <f t="array" ref="E431">estimatedTripEnergy(C431,G$5,G$6,C$12,C$7,C$9,C$8)/1000</f>
        <v>1630.7668485499</v>
      </c>
      <c r="F431" s="59" cm="1">
        <f t="array" ref="F431">estimatedTripDuration(C431,$C$8,$C$7)/60</f>
        <v>15.613819343432676</v>
      </c>
      <c r="G431">
        <f t="shared" si="76"/>
        <v>416</v>
      </c>
      <c r="H431" s="50">
        <f t="shared" si="70"/>
        <v>69.333333333333329</v>
      </c>
      <c r="I431" s="7" cm="1">
        <f t="array" ref="I431">CurrentCapacity(K$10,K$6,K$7,H431)</f>
        <v>35668.277999999998</v>
      </c>
      <c r="J431" s="48">
        <f t="shared" si="71"/>
        <v>4.5720369470875495E-2</v>
      </c>
      <c r="K431" s="5" cm="1">
        <f t="array" ref="K431">UseableCapacity(I431,$K$8,$K$9)</f>
        <v>26751.208500000001</v>
      </c>
      <c r="L431" s="59">
        <f t="shared" si="72"/>
        <v>34037.511151450097</v>
      </c>
      <c r="M431" s="7">
        <f t="shared" si="73"/>
        <v>25120.441651450099</v>
      </c>
      <c r="N431" s="7">
        <f t="shared" si="74"/>
        <v>2581.7220000000016</v>
      </c>
      <c r="O431" t="str">
        <f t="shared" si="77"/>
        <v>no</v>
      </c>
      <c r="P431" t="str">
        <f t="shared" si="78"/>
        <v>no</v>
      </c>
    </row>
    <row r="432" spans="2:16" x14ac:dyDescent="0.35">
      <c r="B432">
        <f t="shared" si="75"/>
        <v>417</v>
      </c>
      <c r="C432" s="7">
        <f t="shared" si="69"/>
        <v>417</v>
      </c>
      <c r="D432" s="1" cm="1">
        <f t="array" ref="D432">estimatedTripEnergy(C432,G$5,G$6,C$12,C$7,C$9,C$8,FALSE)/1000</f>
        <v>1483.7335277104999</v>
      </c>
      <c r="E432" s="1" cm="1">
        <f t="array" ref="E432">estimatedTripEnergy(C432,G$5,G$6,C$12,C$7,C$9,C$8)/1000</f>
        <v>1631.6935277104999</v>
      </c>
      <c r="F432" s="59" cm="1">
        <f t="array" ref="F432">estimatedTripDuration(C432,$C$8,$C$7)/60</f>
        <v>15.647152676766009</v>
      </c>
      <c r="G432">
        <f t="shared" si="76"/>
        <v>417</v>
      </c>
      <c r="H432" s="50">
        <f t="shared" si="70"/>
        <v>69.5</v>
      </c>
      <c r="I432" s="7" cm="1">
        <f t="array" ref="I432">CurrentCapacity(K$10,K$6,K$7,H432)</f>
        <v>35668.048500000004</v>
      </c>
      <c r="J432" s="48">
        <f t="shared" si="71"/>
        <v>4.5746644302967675E-2</v>
      </c>
      <c r="K432" s="5" cm="1">
        <f t="array" ref="K432">UseableCapacity(I432,$K$8,$K$9)</f>
        <v>26751.036375000003</v>
      </c>
      <c r="L432" s="59">
        <f t="shared" si="72"/>
        <v>34036.354972289504</v>
      </c>
      <c r="M432" s="7">
        <f t="shared" si="73"/>
        <v>25119.342847289503</v>
      </c>
      <c r="N432" s="7">
        <f t="shared" si="74"/>
        <v>2581.9514999999956</v>
      </c>
      <c r="O432" t="str">
        <f t="shared" si="77"/>
        <v>no</v>
      </c>
      <c r="P432" t="str">
        <f t="shared" si="78"/>
        <v>no</v>
      </c>
    </row>
    <row r="433" spans="2:16" x14ac:dyDescent="0.35">
      <c r="B433">
        <f t="shared" si="75"/>
        <v>418</v>
      </c>
      <c r="C433" s="7">
        <f t="shared" si="69"/>
        <v>418</v>
      </c>
      <c r="D433" s="1" cm="1">
        <f t="array" ref="D433">estimatedTripEnergy(C433,G$5,G$6,C$12,C$7,C$9,C$8,FALSE)/1000</f>
        <v>1484.6602068710999</v>
      </c>
      <c r="E433" s="1" cm="1">
        <f t="array" ref="E433">estimatedTripEnergy(C433,G$5,G$6,C$12,C$7,C$9,C$8)/1000</f>
        <v>1632.6202068711</v>
      </c>
      <c r="F433" s="59" cm="1">
        <f t="array" ref="F433">estimatedTripDuration(C433,$C$8,$C$7)/60</f>
        <v>15.680486010099342</v>
      </c>
      <c r="G433">
        <f t="shared" si="76"/>
        <v>418</v>
      </c>
      <c r="H433" s="50">
        <f t="shared" si="70"/>
        <v>69.666666666666671</v>
      </c>
      <c r="I433" s="7" cm="1">
        <f t="array" ref="I433">CurrentCapacity(K$10,K$6,K$7,H433)</f>
        <v>35667.819000000003</v>
      </c>
      <c r="J433" s="48">
        <f t="shared" si="71"/>
        <v>4.5772919473183932E-2</v>
      </c>
      <c r="K433" s="5" cm="1">
        <f t="array" ref="K433">UseableCapacity(I433,$K$8,$K$9)</f>
        <v>26750.864250000002</v>
      </c>
      <c r="L433" s="59">
        <f t="shared" si="72"/>
        <v>34035.198793128904</v>
      </c>
      <c r="M433" s="7">
        <f t="shared" si="73"/>
        <v>25118.244043128903</v>
      </c>
      <c r="N433" s="7">
        <f t="shared" si="74"/>
        <v>2582.1809999999969</v>
      </c>
      <c r="O433" t="str">
        <f t="shared" si="77"/>
        <v>no</v>
      </c>
      <c r="P433" t="str">
        <f t="shared" si="78"/>
        <v>no</v>
      </c>
    </row>
    <row r="434" spans="2:16" x14ac:dyDescent="0.35">
      <c r="B434">
        <f t="shared" si="75"/>
        <v>419</v>
      </c>
      <c r="C434" s="7">
        <f t="shared" si="69"/>
        <v>419</v>
      </c>
      <c r="D434" s="1" cm="1">
        <f t="array" ref="D434">estimatedTripEnergy(C434,G$5,G$6,C$12,C$7,C$9,C$8,FALSE)/1000</f>
        <v>1485.5868860317</v>
      </c>
      <c r="E434" s="1" cm="1">
        <f t="array" ref="E434">estimatedTripEnergy(C434,G$5,G$6,C$12,C$7,C$9,C$8)/1000</f>
        <v>1633.5468860317001</v>
      </c>
      <c r="F434" s="59" cm="1">
        <f t="array" ref="F434">estimatedTripDuration(C434,$C$8,$C$7)/60</f>
        <v>15.713819343432675</v>
      </c>
      <c r="G434">
        <f t="shared" si="76"/>
        <v>419</v>
      </c>
      <c r="H434" s="50">
        <f t="shared" si="70"/>
        <v>69.833333333333329</v>
      </c>
      <c r="I434" s="7" cm="1">
        <f t="array" ref="I434">CurrentCapacity(K$10,K$6,K$7,H434)</f>
        <v>35667.589500000002</v>
      </c>
      <c r="J434" s="48">
        <f t="shared" si="71"/>
        <v>4.5799194981530782E-2</v>
      </c>
      <c r="K434" s="5" cm="1">
        <f t="array" ref="K434">UseableCapacity(I434,$K$8,$K$9)</f>
        <v>26750.692125000001</v>
      </c>
      <c r="L434" s="59">
        <f t="shared" si="72"/>
        <v>34034.042613968304</v>
      </c>
      <c r="M434" s="7">
        <f t="shared" si="73"/>
        <v>25117.1452389683</v>
      </c>
      <c r="N434" s="7">
        <f t="shared" si="74"/>
        <v>2582.4104999999981</v>
      </c>
      <c r="O434" t="str">
        <f t="shared" si="77"/>
        <v>no</v>
      </c>
      <c r="P434" t="str">
        <f t="shared" si="78"/>
        <v>no</v>
      </c>
    </row>
    <row r="435" spans="2:16" x14ac:dyDescent="0.35">
      <c r="B435">
        <f t="shared" si="75"/>
        <v>420</v>
      </c>
      <c r="C435" s="7">
        <f t="shared" si="69"/>
        <v>420</v>
      </c>
      <c r="D435" s="1" cm="1">
        <f t="array" ref="D435">estimatedTripEnergy(C435,G$5,G$6,C$12,C$7,C$9,C$8,FALSE)/1000</f>
        <v>1486.5135651922999</v>
      </c>
      <c r="E435" s="1" cm="1">
        <f t="array" ref="E435">estimatedTripEnergy(C435,G$5,G$6,C$12,C$7,C$9,C$8)/1000</f>
        <v>1634.4735651922999</v>
      </c>
      <c r="F435" s="59" cm="1">
        <f t="array" ref="F435">estimatedTripDuration(C435,$C$8,$C$7)/60</f>
        <v>15.747152676766008</v>
      </c>
      <c r="G435">
        <f t="shared" si="76"/>
        <v>420</v>
      </c>
      <c r="H435" s="50">
        <f t="shared" si="70"/>
        <v>70</v>
      </c>
      <c r="I435" s="7" cm="1">
        <f t="array" ref="I435">CurrentCapacity(K$10,K$6,K$7,H435)</f>
        <v>35667.360000000001</v>
      </c>
      <c r="J435" s="48">
        <f t="shared" si="71"/>
        <v>4.582547082801474E-2</v>
      </c>
      <c r="K435" s="5" cm="1">
        <f t="array" ref="K435">UseableCapacity(I435,$K$8,$K$9)</f>
        <v>26750.52</v>
      </c>
      <c r="L435" s="59">
        <f t="shared" si="72"/>
        <v>34032.886434807704</v>
      </c>
      <c r="M435" s="7">
        <f t="shared" si="73"/>
        <v>25116.0464348077</v>
      </c>
      <c r="N435" s="7">
        <f t="shared" si="74"/>
        <v>2582.6399999999994</v>
      </c>
      <c r="O435" t="str">
        <f t="shared" si="77"/>
        <v>no</v>
      </c>
      <c r="P435" t="str">
        <f t="shared" si="78"/>
        <v>no</v>
      </c>
    </row>
    <row r="436" spans="2:16" x14ac:dyDescent="0.35">
      <c r="B436">
        <f t="shared" si="75"/>
        <v>421</v>
      </c>
      <c r="C436" s="7">
        <f t="shared" si="69"/>
        <v>421</v>
      </c>
      <c r="D436" s="1" cm="1">
        <f t="array" ref="D436">estimatedTripEnergy(C436,G$5,G$6,C$12,C$7,C$9,C$8,FALSE)/1000</f>
        <v>1487.4402443529</v>
      </c>
      <c r="E436" s="1" cm="1">
        <f t="array" ref="E436">estimatedTripEnergy(C436,G$5,G$6,C$12,C$7,C$9,C$8)/1000</f>
        <v>1635.4002443529</v>
      </c>
      <c r="F436" s="59" cm="1">
        <f t="array" ref="F436">estimatedTripDuration(C436,$C$8,$C$7)/60</f>
        <v>15.780486010099342</v>
      </c>
      <c r="G436">
        <f t="shared" si="76"/>
        <v>421</v>
      </c>
      <c r="H436" s="50">
        <f t="shared" si="70"/>
        <v>70.166666666666671</v>
      </c>
      <c r="I436" s="7" cm="1">
        <f t="array" ref="I436">CurrentCapacity(K$10,K$6,K$7,H436)</f>
        <v>35667.130499999999</v>
      </c>
      <c r="J436" s="48">
        <f t="shared" si="71"/>
        <v>4.5851747012642358E-2</v>
      </c>
      <c r="K436" s="5" cm="1">
        <f t="array" ref="K436">UseableCapacity(I436,$K$8,$K$9)</f>
        <v>26750.347874999999</v>
      </c>
      <c r="L436" s="59">
        <f t="shared" si="72"/>
        <v>34031.730255647097</v>
      </c>
      <c r="M436" s="7">
        <f t="shared" si="73"/>
        <v>25114.947630647101</v>
      </c>
      <c r="N436" s="7">
        <f t="shared" si="74"/>
        <v>2582.8695000000007</v>
      </c>
      <c r="O436" t="str">
        <f t="shared" si="77"/>
        <v>no</v>
      </c>
      <c r="P436" t="str">
        <f t="shared" si="78"/>
        <v>no</v>
      </c>
    </row>
    <row r="437" spans="2:16" x14ac:dyDescent="0.35">
      <c r="B437">
        <f t="shared" si="75"/>
        <v>422</v>
      </c>
      <c r="C437" s="7">
        <f t="shared" si="69"/>
        <v>422</v>
      </c>
      <c r="D437" s="1" cm="1">
        <f t="array" ref="D437">estimatedTripEnergy(C437,G$5,G$6,C$12,C$7,C$9,C$8,FALSE)/1000</f>
        <v>1488.3669235135001</v>
      </c>
      <c r="E437" s="1" cm="1">
        <f t="array" ref="E437">estimatedTripEnergy(C437,G$5,G$6,C$12,C$7,C$9,C$8)/1000</f>
        <v>1636.3269235135001</v>
      </c>
      <c r="F437" s="59" cm="1">
        <f t="array" ref="F437">estimatedTripDuration(C437,$C$8,$C$7)/60</f>
        <v>15.813819343432675</v>
      </c>
      <c r="G437">
        <f t="shared" si="76"/>
        <v>422</v>
      </c>
      <c r="H437" s="50">
        <f t="shared" si="70"/>
        <v>70.333333333333329</v>
      </c>
      <c r="I437" s="7" cm="1">
        <f t="array" ref="I437">CurrentCapacity(K$10,K$6,K$7,H437)</f>
        <v>35666.901000000005</v>
      </c>
      <c r="J437" s="48">
        <f t="shared" si="71"/>
        <v>4.5878023535420136E-2</v>
      </c>
      <c r="K437" s="5" cm="1">
        <f t="array" ref="K437">UseableCapacity(I437,$K$8,$K$9)</f>
        <v>26750.175750000002</v>
      </c>
      <c r="L437" s="59">
        <f t="shared" si="72"/>
        <v>34030.574076486504</v>
      </c>
      <c r="M437" s="7">
        <f t="shared" si="73"/>
        <v>25113.848826486501</v>
      </c>
      <c r="N437" s="7">
        <f t="shared" si="74"/>
        <v>2583.0989999999947</v>
      </c>
      <c r="O437" t="str">
        <f t="shared" si="77"/>
        <v>no</v>
      </c>
      <c r="P437" t="str">
        <f t="shared" si="78"/>
        <v>no</v>
      </c>
    </row>
    <row r="438" spans="2:16" x14ac:dyDescent="0.35">
      <c r="B438">
        <f t="shared" si="75"/>
        <v>423</v>
      </c>
      <c r="C438" s="7">
        <f t="shared" si="69"/>
        <v>423</v>
      </c>
      <c r="D438" s="1" cm="1">
        <f t="array" ref="D438">estimatedTripEnergy(C438,G$5,G$6,C$12,C$7,C$9,C$8,FALSE)/1000</f>
        <v>1489.2936026741002</v>
      </c>
      <c r="E438" s="1" cm="1">
        <f t="array" ref="E438">estimatedTripEnergy(C438,G$5,G$6,C$12,C$7,C$9,C$8)/1000</f>
        <v>1637.2536026741002</v>
      </c>
      <c r="F438" s="59" cm="1">
        <f t="array" ref="F438">estimatedTripDuration(C438,$C$8,$C$7)/60</f>
        <v>15.847152676766008</v>
      </c>
      <c r="G438">
        <f t="shared" si="76"/>
        <v>423</v>
      </c>
      <c r="H438" s="50">
        <f t="shared" si="70"/>
        <v>70.5</v>
      </c>
      <c r="I438" s="7" cm="1">
        <f t="array" ref="I438">CurrentCapacity(K$10,K$6,K$7,H438)</f>
        <v>35666.671500000004</v>
      </c>
      <c r="J438" s="48">
        <f t="shared" si="71"/>
        <v>4.5904300396354618E-2</v>
      </c>
      <c r="K438" s="5" cm="1">
        <f t="array" ref="K438">UseableCapacity(I438,$K$8,$K$9)</f>
        <v>26750.003625000005</v>
      </c>
      <c r="L438" s="59">
        <f t="shared" si="72"/>
        <v>34029.417897325904</v>
      </c>
      <c r="M438" s="7">
        <f t="shared" si="73"/>
        <v>25112.750022325905</v>
      </c>
      <c r="N438" s="7">
        <f t="shared" si="74"/>
        <v>2583.328499999996</v>
      </c>
      <c r="O438" t="str">
        <f t="shared" si="77"/>
        <v>no</v>
      </c>
      <c r="P438" t="str">
        <f t="shared" si="78"/>
        <v>no</v>
      </c>
    </row>
    <row r="439" spans="2:16" x14ac:dyDescent="0.35">
      <c r="B439">
        <f t="shared" si="75"/>
        <v>424</v>
      </c>
      <c r="C439" s="7">
        <f t="shared" si="69"/>
        <v>424</v>
      </c>
      <c r="D439" s="1" cm="1">
        <f t="array" ref="D439">estimatedTripEnergy(C439,G$5,G$6,C$12,C$7,C$9,C$8,FALSE)/1000</f>
        <v>1490.2202818347002</v>
      </c>
      <c r="E439" s="1" cm="1">
        <f t="array" ref="E439">estimatedTripEnergy(C439,G$5,G$6,C$12,C$7,C$9,C$8)/1000</f>
        <v>1638.1802818347001</v>
      </c>
      <c r="F439" s="59" cm="1">
        <f t="array" ref="F439">estimatedTripDuration(C439,$C$8,$C$7)/60</f>
        <v>15.880486010099341</v>
      </c>
      <c r="G439">
        <f t="shared" si="76"/>
        <v>424</v>
      </c>
      <c r="H439" s="50">
        <f t="shared" si="70"/>
        <v>70.666666666666671</v>
      </c>
      <c r="I439" s="7" cm="1">
        <f t="array" ref="I439">CurrentCapacity(K$10,K$6,K$7,H439)</f>
        <v>35666.442000000003</v>
      </c>
      <c r="J439" s="48">
        <f t="shared" si="71"/>
        <v>4.5930577595452327E-2</v>
      </c>
      <c r="K439" s="5" cm="1">
        <f t="array" ref="K439">UseableCapacity(I439,$K$8,$K$9)</f>
        <v>26749.8315</v>
      </c>
      <c r="L439" s="59">
        <f t="shared" si="72"/>
        <v>34028.261718165304</v>
      </c>
      <c r="M439" s="7">
        <f t="shared" si="73"/>
        <v>25111.651218165302</v>
      </c>
      <c r="N439" s="7">
        <f t="shared" si="74"/>
        <v>2583.5579999999973</v>
      </c>
      <c r="O439" t="str">
        <f t="shared" si="77"/>
        <v>no</v>
      </c>
      <c r="P439" t="str">
        <f t="shared" si="78"/>
        <v>no</v>
      </c>
    </row>
    <row r="440" spans="2:16" x14ac:dyDescent="0.35">
      <c r="B440">
        <f t="shared" si="75"/>
        <v>425</v>
      </c>
      <c r="C440" s="7">
        <f t="shared" si="69"/>
        <v>425</v>
      </c>
      <c r="D440" s="1" cm="1">
        <f t="array" ref="D440">estimatedTripEnergy(C440,G$5,G$6,C$12,C$7,C$9,C$8,FALSE)/1000</f>
        <v>1491.1469609952999</v>
      </c>
      <c r="E440" s="1" cm="1">
        <f t="array" ref="E440">estimatedTripEnergy(C440,G$5,G$6,C$12,C$7,C$9,C$8)/1000</f>
        <v>1639.1069609952999</v>
      </c>
      <c r="F440" s="59" cm="1">
        <f t="array" ref="F440">estimatedTripDuration(C440,$C$8,$C$7)/60</f>
        <v>15.913819343432674</v>
      </c>
      <c r="G440">
        <f t="shared" si="76"/>
        <v>425</v>
      </c>
      <c r="H440" s="50">
        <f t="shared" si="70"/>
        <v>70.833333333333329</v>
      </c>
      <c r="I440" s="7" cm="1">
        <f t="array" ref="I440">CurrentCapacity(K$10,K$6,K$7,H440)</f>
        <v>35666.212500000001</v>
      </c>
      <c r="J440" s="48">
        <f t="shared" si="71"/>
        <v>4.5956855132719791E-2</v>
      </c>
      <c r="K440" s="5" cm="1">
        <f t="array" ref="K440">UseableCapacity(I440,$K$8,$K$9)</f>
        <v>26749.659375000003</v>
      </c>
      <c r="L440" s="59">
        <f t="shared" si="72"/>
        <v>34027.105539004704</v>
      </c>
      <c r="M440" s="7">
        <f t="shared" si="73"/>
        <v>25110.552414004702</v>
      </c>
      <c r="N440" s="7">
        <f t="shared" si="74"/>
        <v>2583.7874999999985</v>
      </c>
      <c r="O440" t="str">
        <f t="shared" si="77"/>
        <v>no</v>
      </c>
      <c r="P440" t="str">
        <f t="shared" si="78"/>
        <v>no</v>
      </c>
    </row>
    <row r="441" spans="2:16" x14ac:dyDescent="0.35">
      <c r="B441">
        <f t="shared" si="75"/>
        <v>426</v>
      </c>
      <c r="C441" s="7">
        <f t="shared" si="69"/>
        <v>426</v>
      </c>
      <c r="D441" s="1" cm="1">
        <f t="array" ref="D441">estimatedTripEnergy(C441,G$5,G$6,C$12,C$7,C$9,C$8,FALSE)/1000</f>
        <v>1492.0736401559</v>
      </c>
      <c r="E441" s="1" cm="1">
        <f t="array" ref="E441">estimatedTripEnergy(C441,G$5,G$6,C$12,C$7,C$9,C$8)/1000</f>
        <v>1640.0336401559</v>
      </c>
      <c r="F441" s="59" cm="1">
        <f t="array" ref="F441">estimatedTripDuration(C441,$C$8,$C$7)/60</f>
        <v>15.947152676766008</v>
      </c>
      <c r="G441">
        <f t="shared" si="76"/>
        <v>426</v>
      </c>
      <c r="H441" s="50">
        <f t="shared" si="70"/>
        <v>71</v>
      </c>
      <c r="I441" s="7" cm="1">
        <f t="array" ref="I441">CurrentCapacity(K$10,K$6,K$7,H441)</f>
        <v>35665.983</v>
      </c>
      <c r="J441" s="48">
        <f t="shared" si="71"/>
        <v>4.5983133008163549E-2</v>
      </c>
      <c r="K441" s="5" cm="1">
        <f t="array" ref="K441">UseableCapacity(I441,$K$8,$K$9)</f>
        <v>26749.487249999998</v>
      </c>
      <c r="L441" s="59">
        <f t="shared" si="72"/>
        <v>34025.949359844097</v>
      </c>
      <c r="M441" s="7">
        <f t="shared" si="73"/>
        <v>25109.453609844099</v>
      </c>
      <c r="N441" s="7">
        <f t="shared" si="74"/>
        <v>2584.0169999999998</v>
      </c>
      <c r="O441" t="str">
        <f t="shared" si="77"/>
        <v>no</v>
      </c>
      <c r="P441" t="str">
        <f t="shared" si="78"/>
        <v>no</v>
      </c>
    </row>
    <row r="442" spans="2:16" x14ac:dyDescent="0.35">
      <c r="B442">
        <f t="shared" si="75"/>
        <v>427</v>
      </c>
      <c r="C442" s="7">
        <f t="shared" si="69"/>
        <v>427</v>
      </c>
      <c r="D442" s="1" cm="1">
        <f t="array" ref="D442">estimatedTripEnergy(C442,G$5,G$6,C$12,C$7,C$9,C$8,FALSE)/1000</f>
        <v>1493.0003193165001</v>
      </c>
      <c r="E442" s="1" cm="1">
        <f t="array" ref="E442">estimatedTripEnergy(C442,G$5,G$6,C$12,C$7,C$9,C$8)/1000</f>
        <v>1640.9603193165001</v>
      </c>
      <c r="F442" s="59" cm="1">
        <f t="array" ref="F442">estimatedTripDuration(C442,$C$8,$C$7)/60</f>
        <v>15.980486010099343</v>
      </c>
      <c r="G442">
        <f t="shared" si="76"/>
        <v>427</v>
      </c>
      <c r="H442" s="50">
        <f t="shared" si="70"/>
        <v>71.166666666666671</v>
      </c>
      <c r="I442" s="7" cm="1">
        <f t="array" ref="I442">CurrentCapacity(K$10,K$6,K$7,H442)</f>
        <v>35665.753500000006</v>
      </c>
      <c r="J442" s="48">
        <f t="shared" si="71"/>
        <v>4.6009411221790107E-2</v>
      </c>
      <c r="K442" s="5" cm="1">
        <f t="array" ref="K442">UseableCapacity(I442,$K$8,$K$9)</f>
        <v>26749.315125000005</v>
      </c>
      <c r="L442" s="59">
        <f t="shared" si="72"/>
        <v>34024.793180683504</v>
      </c>
      <c r="M442" s="7">
        <f t="shared" si="73"/>
        <v>25108.354805683506</v>
      </c>
      <c r="N442" s="7">
        <f t="shared" si="74"/>
        <v>2584.2464999999938</v>
      </c>
      <c r="O442" t="str">
        <f t="shared" si="77"/>
        <v>no</v>
      </c>
      <c r="P442" t="str">
        <f t="shared" si="78"/>
        <v>no</v>
      </c>
    </row>
    <row r="443" spans="2:16" x14ac:dyDescent="0.35">
      <c r="B443">
        <f t="shared" si="75"/>
        <v>428</v>
      </c>
      <c r="C443" s="7">
        <f t="shared" si="69"/>
        <v>428</v>
      </c>
      <c r="D443" s="1" cm="1">
        <f t="array" ref="D443">estimatedTripEnergy(C443,G$5,G$6,C$12,C$7,C$9,C$8,FALSE)/1000</f>
        <v>1493.9269984770999</v>
      </c>
      <c r="E443" s="1" cm="1">
        <f t="array" ref="E443">estimatedTripEnergy(C443,G$5,G$6,C$12,C$7,C$9,C$8)/1000</f>
        <v>1641.8869984771</v>
      </c>
      <c r="F443" s="59" cm="1">
        <f t="array" ref="F443">estimatedTripDuration(C443,$C$8,$C$7)/60</f>
        <v>16.013819343432676</v>
      </c>
      <c r="G443">
        <f t="shared" si="76"/>
        <v>428</v>
      </c>
      <c r="H443" s="50">
        <f t="shared" si="70"/>
        <v>71.333333333333329</v>
      </c>
      <c r="I443" s="7" cm="1">
        <f t="array" ref="I443">CurrentCapacity(K$10,K$6,K$7,H443)</f>
        <v>35665.524000000005</v>
      </c>
      <c r="J443" s="48">
        <f t="shared" si="71"/>
        <v>4.603568977360601E-2</v>
      </c>
      <c r="K443" s="5" cm="1">
        <f t="array" ref="K443">UseableCapacity(I443,$K$8,$K$9)</f>
        <v>26749.143000000004</v>
      </c>
      <c r="L443" s="59">
        <f t="shared" si="72"/>
        <v>34023.637001522904</v>
      </c>
      <c r="M443" s="7">
        <f t="shared" si="73"/>
        <v>25107.256001522903</v>
      </c>
      <c r="N443" s="7">
        <f t="shared" si="74"/>
        <v>2584.4759999999951</v>
      </c>
      <c r="O443" t="str">
        <f t="shared" si="77"/>
        <v>no</v>
      </c>
      <c r="P443" t="str">
        <f t="shared" si="78"/>
        <v>no</v>
      </c>
    </row>
    <row r="444" spans="2:16" x14ac:dyDescent="0.35">
      <c r="B444">
        <f t="shared" si="75"/>
        <v>429</v>
      </c>
      <c r="C444" s="7">
        <f t="shared" si="69"/>
        <v>429</v>
      </c>
      <c r="D444" s="1" cm="1">
        <f t="array" ref="D444">estimatedTripEnergy(C444,G$5,G$6,C$12,C$7,C$9,C$8,FALSE)/1000</f>
        <v>1494.8536776377</v>
      </c>
      <c r="E444" s="1" cm="1">
        <f t="array" ref="E444">estimatedTripEnergy(C444,G$5,G$6,C$12,C$7,C$9,C$8)/1000</f>
        <v>1642.8136776377</v>
      </c>
      <c r="F444" s="59" cm="1">
        <f t="array" ref="F444">estimatedTripDuration(C444,$C$8,$C$7)/60</f>
        <v>16.047152676766007</v>
      </c>
      <c r="G444">
        <f t="shared" si="76"/>
        <v>429</v>
      </c>
      <c r="H444" s="50">
        <f t="shared" si="70"/>
        <v>71.5</v>
      </c>
      <c r="I444" s="7" cm="1">
        <f t="array" ref="I444">CurrentCapacity(K$10,K$6,K$7,H444)</f>
        <v>35665.294500000004</v>
      </c>
      <c r="J444" s="48">
        <f t="shared" si="71"/>
        <v>4.6061968663617787E-2</v>
      </c>
      <c r="K444" s="5" cm="1">
        <f t="array" ref="K444">UseableCapacity(I444,$K$8,$K$9)</f>
        <v>26748.970875000003</v>
      </c>
      <c r="L444" s="59">
        <f t="shared" si="72"/>
        <v>34022.480822362304</v>
      </c>
      <c r="M444" s="7">
        <f t="shared" si="73"/>
        <v>25106.157197362303</v>
      </c>
      <c r="N444" s="7">
        <f t="shared" si="74"/>
        <v>2584.7054999999964</v>
      </c>
      <c r="O444" t="str">
        <f t="shared" si="77"/>
        <v>no</v>
      </c>
      <c r="P444" t="str">
        <f t="shared" si="78"/>
        <v>no</v>
      </c>
    </row>
    <row r="445" spans="2:16" x14ac:dyDescent="0.35">
      <c r="B445">
        <f t="shared" si="75"/>
        <v>430</v>
      </c>
      <c r="C445" s="7">
        <f t="shared" si="69"/>
        <v>430</v>
      </c>
      <c r="D445" s="1" cm="1">
        <f t="array" ref="D445">estimatedTripEnergy(C445,G$5,G$6,C$12,C$7,C$9,C$8,FALSE)/1000</f>
        <v>1495.7803567983001</v>
      </c>
      <c r="E445" s="1" cm="1">
        <f t="array" ref="E445">estimatedTripEnergy(C445,G$5,G$6,C$12,C$7,C$9,C$8)/1000</f>
        <v>1643.7403567983001</v>
      </c>
      <c r="F445" s="59" cm="1">
        <f t="array" ref="F445">estimatedTripDuration(C445,$C$8,$C$7)/60</f>
        <v>16.080486010099342</v>
      </c>
      <c r="G445">
        <f t="shared" si="76"/>
        <v>430</v>
      </c>
      <c r="H445" s="50">
        <f t="shared" si="70"/>
        <v>71.666666666666671</v>
      </c>
      <c r="I445" s="7" cm="1">
        <f t="array" ref="I445">CurrentCapacity(K$10,K$6,K$7,H445)</f>
        <v>35665.065000000002</v>
      </c>
      <c r="J445" s="48">
        <f t="shared" si="71"/>
        <v>4.6088247891831968E-2</v>
      </c>
      <c r="K445" s="5" cm="1">
        <f t="array" ref="K445">UseableCapacity(I445,$K$8,$K$9)</f>
        <v>26748.798750000002</v>
      </c>
      <c r="L445" s="59">
        <f t="shared" si="72"/>
        <v>34021.324643201704</v>
      </c>
      <c r="M445" s="7">
        <f t="shared" si="73"/>
        <v>25105.058393201703</v>
      </c>
      <c r="N445" s="7">
        <f t="shared" si="74"/>
        <v>2584.9349999999977</v>
      </c>
      <c r="O445" t="str">
        <f t="shared" si="77"/>
        <v>no</v>
      </c>
      <c r="P445" t="str">
        <f t="shared" si="78"/>
        <v>no</v>
      </c>
    </row>
    <row r="446" spans="2:16" x14ac:dyDescent="0.35">
      <c r="B446">
        <f t="shared" si="75"/>
        <v>431</v>
      </c>
      <c r="C446" s="7">
        <f t="shared" si="69"/>
        <v>431</v>
      </c>
      <c r="D446" s="1" cm="1">
        <f t="array" ref="D446">estimatedTripEnergy(C446,G$5,G$6,C$12,C$7,C$9,C$8,FALSE)/1000</f>
        <v>1496.7070359589002</v>
      </c>
      <c r="E446" s="1" cm="1">
        <f t="array" ref="E446">estimatedTripEnergy(C446,G$5,G$6,C$12,C$7,C$9,C$8)/1000</f>
        <v>1644.6670359589002</v>
      </c>
      <c r="F446" s="59" cm="1">
        <f t="array" ref="F446">estimatedTripDuration(C446,$C$8,$C$7)/60</f>
        <v>16.113819343432674</v>
      </c>
      <c r="G446">
        <f t="shared" si="76"/>
        <v>431</v>
      </c>
      <c r="H446" s="50">
        <f t="shared" si="70"/>
        <v>71.833333333333329</v>
      </c>
      <c r="I446" s="7" cm="1">
        <f t="array" ref="I446">CurrentCapacity(K$10,K$6,K$7,H446)</f>
        <v>35664.835500000001</v>
      </c>
      <c r="J446" s="48">
        <f t="shared" si="71"/>
        <v>4.6114527458255068E-2</v>
      </c>
      <c r="K446" s="5" cm="1">
        <f t="array" ref="K446">UseableCapacity(I446,$K$8,$K$9)</f>
        <v>26748.626625000001</v>
      </c>
      <c r="L446" s="59">
        <f t="shared" si="72"/>
        <v>34020.168464041104</v>
      </c>
      <c r="M446" s="7">
        <f t="shared" si="73"/>
        <v>25103.9595890411</v>
      </c>
      <c r="N446" s="7">
        <f t="shared" si="74"/>
        <v>2585.164499999999</v>
      </c>
      <c r="O446" t="str">
        <f t="shared" si="77"/>
        <v>no</v>
      </c>
      <c r="P446" t="str">
        <f t="shared" si="78"/>
        <v>no</v>
      </c>
    </row>
    <row r="447" spans="2:16" x14ac:dyDescent="0.35">
      <c r="B447">
        <f t="shared" si="75"/>
        <v>432</v>
      </c>
      <c r="C447" s="7">
        <f t="shared" si="69"/>
        <v>432</v>
      </c>
      <c r="D447" s="1" cm="1">
        <f t="array" ref="D447">estimatedTripEnergy(C447,G$5,G$6,C$12,C$7,C$9,C$8,FALSE)/1000</f>
        <v>1497.6337151195</v>
      </c>
      <c r="E447" s="1" cm="1">
        <f t="array" ref="E447">estimatedTripEnergy(C447,G$5,G$6,C$12,C$7,C$9,C$8)/1000</f>
        <v>1645.5937151194998</v>
      </c>
      <c r="F447" s="59" cm="1">
        <f t="array" ref="F447">estimatedTripDuration(C447,$C$8,$C$7)/60</f>
        <v>16.147152676766009</v>
      </c>
      <c r="G447">
        <f t="shared" si="76"/>
        <v>432</v>
      </c>
      <c r="H447" s="50">
        <f t="shared" si="70"/>
        <v>72</v>
      </c>
      <c r="I447" s="7" cm="1">
        <f t="array" ref="I447">CurrentCapacity(K$10,K$6,K$7,H447)</f>
        <v>35664.606</v>
      </c>
      <c r="J447" s="48">
        <f t="shared" si="71"/>
        <v>4.6140807362893617E-2</v>
      </c>
      <c r="K447" s="5" cm="1">
        <f t="array" ref="K447">UseableCapacity(I447,$K$8,$K$9)</f>
        <v>26748.4545</v>
      </c>
      <c r="L447" s="59">
        <f t="shared" si="72"/>
        <v>34019.012284880497</v>
      </c>
      <c r="M447" s="7">
        <f t="shared" si="73"/>
        <v>25102.8607848805</v>
      </c>
      <c r="N447" s="7">
        <f t="shared" si="74"/>
        <v>2585.3940000000002</v>
      </c>
      <c r="O447" t="str">
        <f t="shared" si="77"/>
        <v>no</v>
      </c>
      <c r="P447" t="str">
        <f t="shared" si="78"/>
        <v>no</v>
      </c>
    </row>
    <row r="448" spans="2:16" x14ac:dyDescent="0.35">
      <c r="B448">
        <f t="shared" si="75"/>
        <v>433</v>
      </c>
      <c r="C448" s="7">
        <f t="shared" si="69"/>
        <v>433</v>
      </c>
      <c r="D448" s="1" cm="1">
        <f t="array" ref="D448">estimatedTripEnergy(C448,G$5,G$6,C$12,C$7,C$9,C$8,FALSE)/1000</f>
        <v>1498.5603942800999</v>
      </c>
      <c r="E448" s="1" cm="1">
        <f t="array" ref="E448">estimatedTripEnergy(C448,G$5,G$6,C$12,C$7,C$9,C$8)/1000</f>
        <v>1646.5203942800999</v>
      </c>
      <c r="F448" s="59" cm="1">
        <f t="array" ref="F448">estimatedTripDuration(C448,$C$8,$C$7)/60</f>
        <v>16.18048601009934</v>
      </c>
      <c r="G448">
        <f t="shared" si="76"/>
        <v>433</v>
      </c>
      <c r="H448" s="50">
        <f t="shared" si="70"/>
        <v>72.166666666666671</v>
      </c>
      <c r="I448" s="7" cm="1">
        <f t="array" ref="I448">CurrentCapacity(K$10,K$6,K$7,H448)</f>
        <v>35664.376500000006</v>
      </c>
      <c r="J448" s="48">
        <f t="shared" si="71"/>
        <v>4.6167087605754151E-2</v>
      </c>
      <c r="K448" s="5" cm="1">
        <f t="array" ref="K448">UseableCapacity(I448,$K$8,$K$9)</f>
        <v>26748.282375000003</v>
      </c>
      <c r="L448" s="59">
        <f t="shared" si="72"/>
        <v>34017.856105719904</v>
      </c>
      <c r="M448" s="7">
        <f t="shared" si="73"/>
        <v>25101.761980719901</v>
      </c>
      <c r="N448" s="7">
        <f t="shared" si="74"/>
        <v>2585.6234999999942</v>
      </c>
      <c r="O448" t="str">
        <f t="shared" si="77"/>
        <v>no</v>
      </c>
      <c r="P448" t="str">
        <f t="shared" si="78"/>
        <v>no</v>
      </c>
    </row>
    <row r="449" spans="2:16" x14ac:dyDescent="0.35">
      <c r="B449">
        <f t="shared" si="75"/>
        <v>434</v>
      </c>
      <c r="C449" s="7">
        <f t="shared" si="69"/>
        <v>434</v>
      </c>
      <c r="D449" s="1" cm="1">
        <f t="array" ref="D449">estimatedTripEnergy(C449,G$5,G$6,C$12,C$7,C$9,C$8,FALSE)/1000</f>
        <v>1499.4870734407</v>
      </c>
      <c r="E449" s="1" cm="1">
        <f t="array" ref="E449">estimatedTripEnergy(C449,G$5,G$6,C$12,C$7,C$9,C$8)/1000</f>
        <v>1647.4470734407</v>
      </c>
      <c r="F449" s="59" cm="1">
        <f t="array" ref="F449">estimatedTripDuration(C449,$C$8,$C$7)/60</f>
        <v>16.213819343432675</v>
      </c>
      <c r="G449">
        <f t="shared" si="76"/>
        <v>434</v>
      </c>
      <c r="H449" s="50">
        <f t="shared" si="70"/>
        <v>72.333333333333329</v>
      </c>
      <c r="I449" s="7" cm="1">
        <f t="array" ref="I449">CurrentCapacity(K$10,K$6,K$7,H449)</f>
        <v>35664.146999999997</v>
      </c>
      <c r="J449" s="48">
        <f t="shared" si="71"/>
        <v>4.619336818684322E-2</v>
      </c>
      <c r="K449" s="5" cm="1">
        <f t="array" ref="K449">UseableCapacity(I449,$K$8,$K$9)</f>
        <v>26748.110249999998</v>
      </c>
      <c r="L449" s="59">
        <f t="shared" si="72"/>
        <v>34016.699926559297</v>
      </c>
      <c r="M449" s="7">
        <f t="shared" si="73"/>
        <v>25100.663176559297</v>
      </c>
      <c r="N449" s="7">
        <f t="shared" si="74"/>
        <v>2585.8530000000028</v>
      </c>
      <c r="O449" t="str">
        <f t="shared" si="77"/>
        <v>no</v>
      </c>
      <c r="P449" t="str">
        <f t="shared" si="78"/>
        <v>no</v>
      </c>
    </row>
    <row r="450" spans="2:16" x14ac:dyDescent="0.35">
      <c r="B450">
        <f t="shared" si="75"/>
        <v>435</v>
      </c>
      <c r="C450" s="7">
        <f t="shared" si="69"/>
        <v>435</v>
      </c>
      <c r="D450" s="1" cm="1">
        <f t="array" ref="D450">estimatedTripEnergy(C450,G$5,G$6,C$12,C$7,C$9,C$8,FALSE)/1000</f>
        <v>1500.4137526012998</v>
      </c>
      <c r="E450" s="1" cm="1">
        <f t="array" ref="E450">estimatedTripEnergy(C450,G$5,G$6,C$12,C$7,C$9,C$8)/1000</f>
        <v>1648.3737526012999</v>
      </c>
      <c r="F450" s="59" cm="1">
        <f t="array" ref="F450">estimatedTripDuration(C450,$C$8,$C$7)/60</f>
        <v>16.24715267676601</v>
      </c>
      <c r="G450">
        <f t="shared" si="76"/>
        <v>435</v>
      </c>
      <c r="H450" s="50">
        <f t="shared" si="70"/>
        <v>72.5</v>
      </c>
      <c r="I450" s="7" cm="1">
        <f t="array" ref="I450">CurrentCapacity(K$10,K$6,K$7,H450)</f>
        <v>35663.917500000003</v>
      </c>
      <c r="J450" s="48">
        <f t="shared" si="71"/>
        <v>4.6219649106167313E-2</v>
      </c>
      <c r="K450" s="5" cm="1">
        <f t="array" ref="K450">UseableCapacity(I450,$K$8,$K$9)</f>
        <v>26747.938125000001</v>
      </c>
      <c r="L450" s="59">
        <f t="shared" si="72"/>
        <v>34015.543747398704</v>
      </c>
      <c r="M450" s="7">
        <f t="shared" si="73"/>
        <v>25099.564372398701</v>
      </c>
      <c r="N450" s="7">
        <f t="shared" si="74"/>
        <v>2586.0824999999968</v>
      </c>
      <c r="O450" t="str">
        <f t="shared" si="77"/>
        <v>no</v>
      </c>
      <c r="P450" t="str">
        <f t="shared" si="78"/>
        <v>no</v>
      </c>
    </row>
    <row r="451" spans="2:16" x14ac:dyDescent="0.35">
      <c r="B451">
        <f t="shared" si="75"/>
        <v>436</v>
      </c>
      <c r="C451" s="7">
        <f t="shared" si="69"/>
        <v>436</v>
      </c>
      <c r="D451" s="1" cm="1">
        <f t="array" ref="D451">estimatedTripEnergy(C451,G$5,G$6,C$12,C$7,C$9,C$8,FALSE)/1000</f>
        <v>1501.3404317618999</v>
      </c>
      <c r="E451" s="1" cm="1">
        <f t="array" ref="E451">estimatedTripEnergy(C451,G$5,G$6,C$12,C$7,C$9,C$8)/1000</f>
        <v>1649.3004317619</v>
      </c>
      <c r="F451" s="59" cm="1">
        <f t="array" ref="F451">estimatedTripDuration(C451,$C$8,$C$7)/60</f>
        <v>16.280486010099342</v>
      </c>
      <c r="G451">
        <f t="shared" si="76"/>
        <v>436</v>
      </c>
      <c r="H451" s="50">
        <f t="shared" si="70"/>
        <v>72.666666666666671</v>
      </c>
      <c r="I451" s="7" cm="1">
        <f t="array" ref="I451">CurrentCapacity(K$10,K$6,K$7,H451)</f>
        <v>35663.688000000002</v>
      </c>
      <c r="J451" s="48">
        <f t="shared" si="71"/>
        <v>4.6245930363732993E-2</v>
      </c>
      <c r="K451" s="5" cm="1">
        <f t="array" ref="K451">UseableCapacity(I451,$K$8,$K$9)</f>
        <v>26747.766000000003</v>
      </c>
      <c r="L451" s="59">
        <f t="shared" si="72"/>
        <v>34014.387568238104</v>
      </c>
      <c r="M451" s="7">
        <f t="shared" si="73"/>
        <v>25098.465568238102</v>
      </c>
      <c r="N451" s="7">
        <f t="shared" si="74"/>
        <v>2586.3119999999981</v>
      </c>
      <c r="O451" t="str">
        <f t="shared" si="77"/>
        <v>no</v>
      </c>
      <c r="P451" t="str">
        <f t="shared" si="78"/>
        <v>no</v>
      </c>
    </row>
    <row r="452" spans="2:16" x14ac:dyDescent="0.35">
      <c r="B452">
        <f t="shared" si="75"/>
        <v>437</v>
      </c>
      <c r="C452" s="7">
        <f t="shared" si="69"/>
        <v>437</v>
      </c>
      <c r="D452" s="1" cm="1">
        <f t="array" ref="D452">estimatedTripEnergy(C452,G$5,G$6,C$12,C$7,C$9,C$8,FALSE)/1000</f>
        <v>1502.2671109225</v>
      </c>
      <c r="E452" s="1" cm="1">
        <f t="array" ref="E452">estimatedTripEnergy(C452,G$5,G$6,C$12,C$7,C$9,C$8)/1000</f>
        <v>1650.2271109225001</v>
      </c>
      <c r="F452" s="59" cm="1">
        <f t="array" ref="F452">estimatedTripDuration(C452,$C$8,$C$7)/60</f>
        <v>16.313819343432677</v>
      </c>
      <c r="G452">
        <f t="shared" si="76"/>
        <v>437</v>
      </c>
      <c r="H452" s="50">
        <f t="shared" si="70"/>
        <v>72.833333333333329</v>
      </c>
      <c r="I452" s="7" cm="1">
        <f t="array" ref="I452">CurrentCapacity(K$10,K$6,K$7,H452)</f>
        <v>35663.458500000001</v>
      </c>
      <c r="J452" s="48">
        <f t="shared" si="71"/>
        <v>4.6272211959546776E-2</v>
      </c>
      <c r="K452" s="5" cm="1">
        <f t="array" ref="K452">UseableCapacity(I452,$K$8,$K$9)</f>
        <v>26747.593874999999</v>
      </c>
      <c r="L452" s="59">
        <f t="shared" si="72"/>
        <v>34013.231389077504</v>
      </c>
      <c r="M452" s="7">
        <f t="shared" si="73"/>
        <v>25097.366764077498</v>
      </c>
      <c r="N452" s="7">
        <f t="shared" si="74"/>
        <v>2586.5414999999994</v>
      </c>
      <c r="O452" t="str">
        <f t="shared" si="77"/>
        <v>no</v>
      </c>
      <c r="P452" t="str">
        <f t="shared" si="78"/>
        <v>no</v>
      </c>
    </row>
    <row r="453" spans="2:16" x14ac:dyDescent="0.35">
      <c r="B453">
        <f t="shared" si="75"/>
        <v>438</v>
      </c>
      <c r="C453" s="7">
        <f t="shared" si="69"/>
        <v>438</v>
      </c>
      <c r="D453" s="1" cm="1">
        <f t="array" ref="D453">estimatedTripEnergy(C453,G$5,G$6,C$12,C$7,C$9,C$8,FALSE)/1000</f>
        <v>1503.1937900831001</v>
      </c>
      <c r="E453" s="1" cm="1">
        <f t="array" ref="E453">estimatedTripEnergy(C453,G$5,G$6,C$12,C$7,C$9,C$8)/1000</f>
        <v>1651.1537900831001</v>
      </c>
      <c r="F453" s="59" cm="1">
        <f t="array" ref="F453">estimatedTripDuration(C453,$C$8,$C$7)/60</f>
        <v>16.347152676766008</v>
      </c>
      <c r="G453">
        <f t="shared" si="76"/>
        <v>438</v>
      </c>
      <c r="H453" s="50">
        <f t="shared" si="70"/>
        <v>73</v>
      </c>
      <c r="I453" s="7" cm="1">
        <f t="array" ref="I453">CurrentCapacity(K$10,K$6,K$7,H453)</f>
        <v>35663.229000000007</v>
      </c>
      <c r="J453" s="48">
        <f t="shared" si="71"/>
        <v>4.6298493893615178E-2</v>
      </c>
      <c r="K453" s="5" cm="1">
        <f t="array" ref="K453">UseableCapacity(I453,$K$8,$K$9)</f>
        <v>26747.421750000005</v>
      </c>
      <c r="L453" s="59">
        <f t="shared" si="72"/>
        <v>34012.075209916904</v>
      </c>
      <c r="M453" s="7">
        <f t="shared" si="73"/>
        <v>25096.267959916906</v>
      </c>
      <c r="N453" s="7">
        <f t="shared" si="74"/>
        <v>2586.7709999999934</v>
      </c>
      <c r="O453" t="str">
        <f t="shared" si="77"/>
        <v>no</v>
      </c>
      <c r="P453" t="str">
        <f t="shared" si="78"/>
        <v>no</v>
      </c>
    </row>
    <row r="454" spans="2:16" x14ac:dyDescent="0.35">
      <c r="B454">
        <f t="shared" si="75"/>
        <v>439</v>
      </c>
      <c r="C454" s="7">
        <f t="shared" si="69"/>
        <v>439</v>
      </c>
      <c r="D454" s="1" cm="1">
        <f t="array" ref="D454">estimatedTripEnergy(C454,G$5,G$6,C$12,C$7,C$9,C$8,FALSE)/1000</f>
        <v>1504.1204692437002</v>
      </c>
      <c r="E454" s="1" cm="1">
        <f t="array" ref="E454">estimatedTripEnergy(C454,G$5,G$6,C$12,C$7,C$9,C$8)/1000</f>
        <v>1652.0804692437002</v>
      </c>
      <c r="F454" s="59" cm="1">
        <f t="array" ref="F454">estimatedTripDuration(C454,$C$8,$C$7)/60</f>
        <v>16.380486010099343</v>
      </c>
      <c r="G454">
        <f t="shared" si="76"/>
        <v>439</v>
      </c>
      <c r="H454" s="50">
        <f t="shared" si="70"/>
        <v>73.166666666666671</v>
      </c>
      <c r="I454" s="7" cm="1">
        <f t="array" ref="I454">CurrentCapacity(K$10,K$6,K$7,H454)</f>
        <v>35662.999499999998</v>
      </c>
      <c r="J454" s="48">
        <f t="shared" si="71"/>
        <v>4.632477616594477E-2</v>
      </c>
      <c r="K454" s="5" cm="1">
        <f t="array" ref="K454">UseableCapacity(I454,$K$8,$K$9)</f>
        <v>26747.249624999997</v>
      </c>
      <c r="L454" s="59">
        <f t="shared" si="72"/>
        <v>34010.919030756297</v>
      </c>
      <c r="M454" s="7">
        <f t="shared" si="73"/>
        <v>25095.169155756295</v>
      </c>
      <c r="N454" s="7">
        <f t="shared" si="74"/>
        <v>2587.0005000000019</v>
      </c>
      <c r="O454" t="str">
        <f t="shared" si="77"/>
        <v>no</v>
      </c>
      <c r="P454" t="str">
        <f t="shared" si="78"/>
        <v>no</v>
      </c>
    </row>
    <row r="455" spans="2:16" x14ac:dyDescent="0.35">
      <c r="B455">
        <f t="shared" si="75"/>
        <v>440</v>
      </c>
      <c r="C455" s="7">
        <f t="shared" si="69"/>
        <v>440</v>
      </c>
      <c r="D455" s="1" cm="1">
        <f t="array" ref="D455">estimatedTripEnergy(C455,G$5,G$6,C$12,C$7,C$9,C$8,FALSE)/1000</f>
        <v>1505.0471484043001</v>
      </c>
      <c r="E455" s="1" cm="1">
        <f t="array" ref="E455">estimatedTripEnergy(C455,G$5,G$6,C$12,C$7,C$9,C$8)/1000</f>
        <v>1653.0071484042999</v>
      </c>
      <c r="F455" s="59" cm="1">
        <f t="array" ref="F455">estimatedTripDuration(C455,$C$8,$C$7)/60</f>
        <v>16.413819343432674</v>
      </c>
      <c r="G455">
        <f t="shared" si="76"/>
        <v>440</v>
      </c>
      <c r="H455" s="50">
        <f t="shared" si="70"/>
        <v>73.333333333333329</v>
      </c>
      <c r="I455" s="7" cm="1">
        <f t="array" ref="I455">CurrentCapacity(K$10,K$6,K$7,H455)</f>
        <v>35662.770000000004</v>
      </c>
      <c r="J455" s="48">
        <f t="shared" si="71"/>
        <v>4.6351058776542026E-2</v>
      </c>
      <c r="K455" s="5" cm="1">
        <f t="array" ref="K455">UseableCapacity(I455,$K$8,$K$9)</f>
        <v>26747.077500000003</v>
      </c>
      <c r="L455" s="59">
        <f t="shared" si="72"/>
        <v>34009.762851595704</v>
      </c>
      <c r="M455" s="7">
        <f t="shared" si="73"/>
        <v>25094.070351595703</v>
      </c>
      <c r="N455" s="7">
        <f t="shared" si="74"/>
        <v>2587.2299999999959</v>
      </c>
      <c r="O455" t="str">
        <f t="shared" si="77"/>
        <v>no</v>
      </c>
      <c r="P455" t="str">
        <f t="shared" si="78"/>
        <v>no</v>
      </c>
    </row>
    <row r="456" spans="2:16" x14ac:dyDescent="0.35">
      <c r="B456">
        <f t="shared" si="75"/>
        <v>441</v>
      </c>
      <c r="C456" s="7">
        <f t="shared" si="69"/>
        <v>441</v>
      </c>
      <c r="D456" s="1" cm="1">
        <f t="array" ref="D456">estimatedTripEnergy(C456,G$5,G$6,C$12,C$7,C$9,C$8,FALSE)/1000</f>
        <v>1505.9738275649001</v>
      </c>
      <c r="E456" s="1" cm="1">
        <f t="array" ref="E456">estimatedTripEnergy(C456,G$5,G$6,C$12,C$7,C$9,C$8)/1000</f>
        <v>1653.9338275649</v>
      </c>
      <c r="F456" s="59" cm="1">
        <f t="array" ref="F456">estimatedTripDuration(C456,$C$8,$C$7)/60</f>
        <v>16.447152676766009</v>
      </c>
      <c r="G456">
        <f t="shared" si="76"/>
        <v>441</v>
      </c>
      <c r="H456" s="50">
        <f t="shared" si="70"/>
        <v>73.5</v>
      </c>
      <c r="I456" s="7" cm="1">
        <f t="array" ref="I456">CurrentCapacity(K$10,K$6,K$7,H456)</f>
        <v>35662.540500000003</v>
      </c>
      <c r="J456" s="48">
        <f t="shared" si="71"/>
        <v>4.637734172541353E-2</v>
      </c>
      <c r="K456" s="5" cm="1">
        <f t="array" ref="K456">UseableCapacity(I456,$K$8,$K$9)</f>
        <v>26746.905375000002</v>
      </c>
      <c r="L456" s="59">
        <f t="shared" si="72"/>
        <v>34008.606672435104</v>
      </c>
      <c r="M456" s="7">
        <f t="shared" si="73"/>
        <v>25092.971547435103</v>
      </c>
      <c r="N456" s="7">
        <f t="shared" si="74"/>
        <v>2587.4594999999972</v>
      </c>
      <c r="O456" t="str">
        <f t="shared" si="77"/>
        <v>no</v>
      </c>
      <c r="P456" t="str">
        <f t="shared" si="78"/>
        <v>no</v>
      </c>
    </row>
    <row r="457" spans="2:16" x14ac:dyDescent="0.35">
      <c r="B457">
        <f t="shared" si="75"/>
        <v>442</v>
      </c>
      <c r="C457" s="7">
        <f t="shared" si="69"/>
        <v>442</v>
      </c>
      <c r="D457" s="1" cm="1">
        <f t="array" ref="D457">estimatedTripEnergy(C457,G$5,G$6,C$12,C$7,C$9,C$8,FALSE)/1000</f>
        <v>1506.9005067254998</v>
      </c>
      <c r="E457" s="1" cm="1">
        <f t="array" ref="E457">estimatedTripEnergy(C457,G$5,G$6,C$12,C$7,C$9,C$8)/1000</f>
        <v>1654.8605067254998</v>
      </c>
      <c r="F457" s="59" cm="1">
        <f t="array" ref="F457">estimatedTripDuration(C457,$C$8,$C$7)/60</f>
        <v>16.480486010099341</v>
      </c>
      <c r="G457">
        <f t="shared" si="76"/>
        <v>442</v>
      </c>
      <c r="H457" s="50">
        <f t="shared" si="70"/>
        <v>73.666666666666671</v>
      </c>
      <c r="I457" s="7" cm="1">
        <f t="array" ref="I457">CurrentCapacity(K$10,K$6,K$7,H457)</f>
        <v>35662.311000000002</v>
      </c>
      <c r="J457" s="48">
        <f t="shared" si="71"/>
        <v>4.6403625012565779E-2</v>
      </c>
      <c r="K457" s="5" cm="1">
        <f t="array" ref="K457">UseableCapacity(I457,$K$8,$K$9)</f>
        <v>26746.733250000001</v>
      </c>
      <c r="L457" s="59">
        <f t="shared" si="72"/>
        <v>34007.450493274504</v>
      </c>
      <c r="M457" s="7">
        <f t="shared" si="73"/>
        <v>25091.8727432745</v>
      </c>
      <c r="N457" s="7">
        <f t="shared" si="74"/>
        <v>2587.6889999999985</v>
      </c>
      <c r="O457" t="str">
        <f t="shared" si="77"/>
        <v>no</v>
      </c>
      <c r="P457" t="str">
        <f t="shared" si="78"/>
        <v>no</v>
      </c>
    </row>
    <row r="458" spans="2:16" x14ac:dyDescent="0.35">
      <c r="B458">
        <f t="shared" si="75"/>
        <v>443</v>
      </c>
      <c r="C458" s="7">
        <f t="shared" si="69"/>
        <v>443</v>
      </c>
      <c r="D458" s="1" cm="1">
        <f t="array" ref="D458">estimatedTripEnergy(C458,G$5,G$6,C$12,C$7,C$9,C$8,FALSE)/1000</f>
        <v>1507.8271858860999</v>
      </c>
      <c r="E458" s="1" cm="1">
        <f t="array" ref="E458">estimatedTripEnergy(C458,G$5,G$6,C$12,C$7,C$9,C$8)/1000</f>
        <v>1655.7871858860999</v>
      </c>
      <c r="F458" s="59" cm="1">
        <f t="array" ref="F458">estimatedTripDuration(C458,$C$8,$C$7)/60</f>
        <v>16.513819343432676</v>
      </c>
      <c r="G458">
        <f t="shared" si="76"/>
        <v>443</v>
      </c>
      <c r="H458" s="50">
        <f t="shared" si="70"/>
        <v>73.833333333333329</v>
      </c>
      <c r="I458" s="7" cm="1">
        <f t="array" ref="I458">CurrentCapacity(K$10,K$6,K$7,H458)</f>
        <v>35662.0815</v>
      </c>
      <c r="J458" s="48">
        <f t="shared" si="71"/>
        <v>4.6429908638005328E-2</v>
      </c>
      <c r="K458" s="5" cm="1">
        <f t="array" ref="K458">UseableCapacity(I458,$K$8,$K$9)</f>
        <v>26746.561125</v>
      </c>
      <c r="L458" s="59">
        <f t="shared" si="72"/>
        <v>34006.294314113897</v>
      </c>
      <c r="M458" s="7">
        <f t="shared" si="73"/>
        <v>25090.7739391139</v>
      </c>
      <c r="N458" s="7">
        <f t="shared" si="74"/>
        <v>2587.9184999999998</v>
      </c>
      <c r="O458" t="str">
        <f t="shared" si="77"/>
        <v>no</v>
      </c>
      <c r="P458" t="str">
        <f t="shared" si="78"/>
        <v>no</v>
      </c>
    </row>
    <row r="459" spans="2:16" x14ac:dyDescent="0.35">
      <c r="B459">
        <f t="shared" si="75"/>
        <v>444</v>
      </c>
      <c r="C459" s="7">
        <f t="shared" si="69"/>
        <v>444</v>
      </c>
      <c r="D459" s="1" cm="1">
        <f t="array" ref="D459">estimatedTripEnergy(C459,G$5,G$6,C$12,C$7,C$9,C$8,FALSE)/1000</f>
        <v>1508.7538650467</v>
      </c>
      <c r="E459" s="1" cm="1">
        <f t="array" ref="E459">estimatedTripEnergy(C459,G$5,G$6,C$12,C$7,C$9,C$8)/1000</f>
        <v>1656.7138650467</v>
      </c>
      <c r="F459" s="59" cm="1">
        <f t="array" ref="F459">estimatedTripDuration(C459,$C$8,$C$7)/60</f>
        <v>16.547152676766007</v>
      </c>
      <c r="G459">
        <f t="shared" si="76"/>
        <v>444</v>
      </c>
      <c r="H459" s="50">
        <f t="shared" si="70"/>
        <v>74</v>
      </c>
      <c r="I459" s="7" cm="1">
        <f t="array" ref="I459">CurrentCapacity(K$10,K$6,K$7,H459)</f>
        <v>35661.851999999999</v>
      </c>
      <c r="J459" s="48">
        <f t="shared" si="71"/>
        <v>4.6456192601738687E-2</v>
      </c>
      <c r="K459" s="5" cm="1">
        <f t="array" ref="K459">UseableCapacity(I459,$K$8,$K$9)</f>
        <v>26746.388999999999</v>
      </c>
      <c r="L459" s="59">
        <f t="shared" si="72"/>
        <v>34005.138134953297</v>
      </c>
      <c r="M459" s="7">
        <f t="shared" si="73"/>
        <v>25089.675134953301</v>
      </c>
      <c r="N459" s="7">
        <f t="shared" si="74"/>
        <v>2588.148000000001</v>
      </c>
      <c r="O459" t="str">
        <f t="shared" si="77"/>
        <v>no</v>
      </c>
      <c r="P459" t="str">
        <f t="shared" si="78"/>
        <v>no</v>
      </c>
    </row>
    <row r="460" spans="2:16" x14ac:dyDescent="0.35">
      <c r="B460">
        <f t="shared" si="75"/>
        <v>445</v>
      </c>
      <c r="C460" s="7">
        <f t="shared" si="69"/>
        <v>445</v>
      </c>
      <c r="D460" s="1" cm="1">
        <f t="array" ref="D460">estimatedTripEnergy(C460,G$5,G$6,C$12,C$7,C$9,C$8,FALSE)/1000</f>
        <v>1509.6805442073</v>
      </c>
      <c r="E460" s="1" cm="1">
        <f t="array" ref="E460">estimatedTripEnergy(C460,G$5,G$6,C$12,C$7,C$9,C$8)/1000</f>
        <v>1657.6405442073001</v>
      </c>
      <c r="F460" s="59" cm="1">
        <f t="array" ref="F460">estimatedTripDuration(C460,$C$8,$C$7)/60</f>
        <v>16.580486010099342</v>
      </c>
      <c r="G460">
        <f t="shared" si="76"/>
        <v>445</v>
      </c>
      <c r="H460" s="50">
        <f t="shared" si="70"/>
        <v>74.166666666666671</v>
      </c>
      <c r="I460" s="7" cm="1">
        <f t="array" ref="I460">CurrentCapacity(K$10,K$6,K$7,H460)</f>
        <v>35661.622500000005</v>
      </c>
      <c r="J460" s="48">
        <f t="shared" si="71"/>
        <v>4.6482476903772392E-2</v>
      </c>
      <c r="K460" s="5" cm="1">
        <f t="array" ref="K460">UseableCapacity(I460,$K$8,$K$9)</f>
        <v>26746.216875000006</v>
      </c>
      <c r="L460" s="59">
        <f t="shared" si="72"/>
        <v>34003.981955792704</v>
      </c>
      <c r="M460" s="7">
        <f t="shared" si="73"/>
        <v>25088.576330792705</v>
      </c>
      <c r="N460" s="7">
        <f t="shared" si="74"/>
        <v>2588.3774999999951</v>
      </c>
      <c r="O460" t="str">
        <f t="shared" si="77"/>
        <v>no</v>
      </c>
      <c r="P460" t="str">
        <f t="shared" si="78"/>
        <v>no</v>
      </c>
    </row>
    <row r="461" spans="2:16" x14ac:dyDescent="0.35">
      <c r="B461">
        <f t="shared" si="75"/>
        <v>446</v>
      </c>
      <c r="C461" s="7">
        <f t="shared" si="69"/>
        <v>446</v>
      </c>
      <c r="D461" s="1" cm="1">
        <f t="array" ref="D461">estimatedTripEnergy(C461,G$5,G$6,C$12,C$7,C$9,C$8,FALSE)/1000</f>
        <v>1510.6072233679001</v>
      </c>
      <c r="E461" s="1" cm="1">
        <f t="array" ref="E461">estimatedTripEnergy(C461,G$5,G$6,C$12,C$7,C$9,C$8)/1000</f>
        <v>1658.5672233679002</v>
      </c>
      <c r="F461" s="59" cm="1">
        <f t="array" ref="F461">estimatedTripDuration(C461,$C$8,$C$7)/60</f>
        <v>16.613819343432674</v>
      </c>
      <c r="G461">
        <f t="shared" si="76"/>
        <v>446</v>
      </c>
      <c r="H461" s="50">
        <f t="shared" si="70"/>
        <v>74.333333333333329</v>
      </c>
      <c r="I461" s="7" cm="1">
        <f t="array" ref="I461">CurrentCapacity(K$10,K$6,K$7,H461)</f>
        <v>35661.393000000004</v>
      </c>
      <c r="J461" s="48">
        <f t="shared" si="71"/>
        <v>4.6508761544112986E-2</v>
      </c>
      <c r="K461" s="5" cm="1">
        <f t="array" ref="K461">UseableCapacity(I461,$K$8,$K$9)</f>
        <v>26746.044750000001</v>
      </c>
      <c r="L461" s="59">
        <f t="shared" si="72"/>
        <v>34002.825776632104</v>
      </c>
      <c r="M461" s="7">
        <f t="shared" si="73"/>
        <v>25087.477526632101</v>
      </c>
      <c r="N461" s="7">
        <f t="shared" si="74"/>
        <v>2588.6069999999963</v>
      </c>
      <c r="O461" t="str">
        <f t="shared" si="77"/>
        <v>no</v>
      </c>
      <c r="P461" t="str">
        <f t="shared" si="78"/>
        <v>no</v>
      </c>
    </row>
    <row r="462" spans="2:16" x14ac:dyDescent="0.35">
      <c r="B462">
        <f t="shared" si="75"/>
        <v>447</v>
      </c>
      <c r="C462" s="7">
        <f t="shared" si="69"/>
        <v>447</v>
      </c>
      <c r="D462" s="1" cm="1">
        <f t="array" ref="D462">estimatedTripEnergy(C462,G$5,G$6,C$12,C$7,C$9,C$8,FALSE)/1000</f>
        <v>1511.5339025285</v>
      </c>
      <c r="E462" s="1" cm="1">
        <f t="array" ref="E462">estimatedTripEnergy(C462,G$5,G$6,C$12,C$7,C$9,C$8)/1000</f>
        <v>1659.4939025285</v>
      </c>
      <c r="F462" s="59" cm="1">
        <f t="array" ref="F462">estimatedTripDuration(C462,$C$8,$C$7)/60</f>
        <v>16.647152676766009</v>
      </c>
      <c r="G462">
        <f t="shared" si="76"/>
        <v>447</v>
      </c>
      <c r="H462" s="50">
        <f t="shared" si="70"/>
        <v>74.5</v>
      </c>
      <c r="I462" s="7" cm="1">
        <f t="array" ref="I462">CurrentCapacity(K$10,K$6,K$7,H462)</f>
        <v>35661.163500000002</v>
      </c>
      <c r="J462" s="48">
        <f t="shared" si="71"/>
        <v>4.6535046522766986E-2</v>
      </c>
      <c r="K462" s="5" cm="1">
        <f t="array" ref="K462">UseableCapacity(I462,$K$8,$K$9)</f>
        <v>26745.872625000004</v>
      </c>
      <c r="L462" s="59">
        <f t="shared" si="72"/>
        <v>34001.669597471504</v>
      </c>
      <c r="M462" s="7">
        <f t="shared" si="73"/>
        <v>25086.378722471505</v>
      </c>
      <c r="N462" s="7">
        <f t="shared" si="74"/>
        <v>2588.8364999999976</v>
      </c>
      <c r="O462" t="str">
        <f t="shared" si="77"/>
        <v>no</v>
      </c>
      <c r="P462" t="str">
        <f t="shared" si="78"/>
        <v>no</v>
      </c>
    </row>
    <row r="463" spans="2:16" x14ac:dyDescent="0.35">
      <c r="B463">
        <f t="shared" si="75"/>
        <v>448</v>
      </c>
      <c r="C463" s="7">
        <f t="shared" si="69"/>
        <v>448</v>
      </c>
      <c r="D463" s="1" cm="1">
        <f t="array" ref="D463">estimatedTripEnergy(C463,G$5,G$6,C$12,C$7,C$9,C$8,FALSE)/1000</f>
        <v>1512.4605816891001</v>
      </c>
      <c r="E463" s="1" cm="1">
        <f t="array" ref="E463">estimatedTripEnergy(C463,G$5,G$6,C$12,C$7,C$9,C$8)/1000</f>
        <v>1660.4205816891001</v>
      </c>
      <c r="F463" s="59" cm="1">
        <f t="array" ref="F463">estimatedTripDuration(C463,$C$8,$C$7)/60</f>
        <v>16.68048601009934</v>
      </c>
      <c r="G463">
        <f t="shared" si="76"/>
        <v>448</v>
      </c>
      <c r="H463" s="50">
        <f t="shared" si="70"/>
        <v>74.666666666666671</v>
      </c>
      <c r="I463" s="7" cm="1">
        <f t="array" ref="I463">CurrentCapacity(K$10,K$6,K$7,H463)</f>
        <v>35660.934000000001</v>
      </c>
      <c r="J463" s="48">
        <f t="shared" si="71"/>
        <v>4.6561331839740934E-2</v>
      </c>
      <c r="K463" s="5" cm="1">
        <f t="array" ref="K463">UseableCapacity(I463,$K$8,$K$9)</f>
        <v>26745.700499999999</v>
      </c>
      <c r="L463" s="59">
        <f t="shared" si="72"/>
        <v>34000.513418310904</v>
      </c>
      <c r="M463" s="7">
        <f t="shared" si="73"/>
        <v>25085.279918310898</v>
      </c>
      <c r="N463" s="7">
        <f t="shared" si="74"/>
        <v>2589.0659999999989</v>
      </c>
      <c r="O463" t="str">
        <f t="shared" si="77"/>
        <v>no</v>
      </c>
      <c r="P463" t="str">
        <f t="shared" si="78"/>
        <v>no</v>
      </c>
    </row>
    <row r="464" spans="2:16" x14ac:dyDescent="0.35">
      <c r="B464">
        <f t="shared" si="75"/>
        <v>449</v>
      </c>
      <c r="C464" s="7">
        <f t="shared" ref="C464:C527" si="79">$C$8*B464</f>
        <v>449</v>
      </c>
      <c r="D464" s="1" cm="1">
        <f t="array" ref="D464">estimatedTripEnergy(C464,G$5,G$6,C$12,C$7,C$9,C$8,FALSE)/1000</f>
        <v>1513.3872608497002</v>
      </c>
      <c r="E464" s="1" cm="1">
        <f t="array" ref="E464">estimatedTripEnergy(C464,G$5,G$6,C$12,C$7,C$9,C$8)/1000</f>
        <v>1661.3472608497</v>
      </c>
      <c r="F464" s="59" cm="1">
        <f t="array" ref="F464">estimatedTripDuration(C464,$C$8,$C$7)/60</f>
        <v>16.713819343432675</v>
      </c>
      <c r="G464">
        <f t="shared" si="76"/>
        <v>449</v>
      </c>
      <c r="H464" s="50">
        <f t="shared" ref="H464:H527" si="80">G464/$G$4</f>
        <v>74.833333333333329</v>
      </c>
      <c r="I464" s="7" cm="1">
        <f t="array" ref="I464">CurrentCapacity(K$10,K$6,K$7,H464)</f>
        <v>35660.7045</v>
      </c>
      <c r="J464" s="48">
        <f t="shared" ref="J464:J527" si="81">E464/I464</f>
        <v>4.6587617495041353E-2</v>
      </c>
      <c r="K464" s="5" cm="1">
        <f t="array" ref="K464">UseableCapacity(I464,$K$8,$K$9)</f>
        <v>26745.528375000002</v>
      </c>
      <c r="L464" s="59">
        <f t="shared" ref="L464:L527" si="82">(K$8*I464)-E464</f>
        <v>33999.357239150297</v>
      </c>
      <c r="M464" s="7">
        <f t="shared" ref="M464:M527" si="83">K464-E464</f>
        <v>25084.181114150302</v>
      </c>
      <c r="N464" s="7">
        <f t="shared" ref="N464:N527" si="84">$K$10-I464</f>
        <v>2589.2955000000002</v>
      </c>
      <c r="O464" t="str">
        <f t="shared" si="77"/>
        <v>no</v>
      </c>
      <c r="P464" t="str">
        <f t="shared" si="78"/>
        <v>no</v>
      </c>
    </row>
    <row r="465" spans="2:16" x14ac:dyDescent="0.35">
      <c r="B465">
        <f t="shared" ref="B465:B528" si="85">B464+$G$12</f>
        <v>450</v>
      </c>
      <c r="C465" s="7">
        <f t="shared" si="79"/>
        <v>450</v>
      </c>
      <c r="D465" s="1" cm="1">
        <f t="array" ref="D465">estimatedTripEnergy(C465,G$5,G$6,C$12,C$7,C$9,C$8,FALSE)/1000</f>
        <v>1514.3139400102998</v>
      </c>
      <c r="E465" s="1" cm="1">
        <f t="array" ref="E465">estimatedTripEnergy(C465,G$5,G$6,C$12,C$7,C$9,C$8)/1000</f>
        <v>1662.2739400102998</v>
      </c>
      <c r="F465" s="59" cm="1">
        <f t="array" ref="F465">estimatedTripDuration(C465,$C$8,$C$7)/60</f>
        <v>16.74715267676601</v>
      </c>
      <c r="G465">
        <f t="shared" si="76"/>
        <v>450</v>
      </c>
      <c r="H465" s="50">
        <f t="shared" si="80"/>
        <v>75</v>
      </c>
      <c r="I465" s="7" cm="1">
        <f t="array" ref="I465">CurrentCapacity(K$10,K$6,K$7,H465)</f>
        <v>35660.474999999999</v>
      </c>
      <c r="J465" s="48">
        <f t="shared" si="81"/>
        <v>4.6613903488674786E-2</v>
      </c>
      <c r="K465" s="5" cm="1">
        <f t="array" ref="K465">UseableCapacity(I465,$K$8,$K$9)</f>
        <v>26745.356249999997</v>
      </c>
      <c r="L465" s="59">
        <f t="shared" si="82"/>
        <v>33998.201059989697</v>
      </c>
      <c r="M465" s="7">
        <f t="shared" si="83"/>
        <v>25083.082309989699</v>
      </c>
      <c r="N465" s="7">
        <f t="shared" si="84"/>
        <v>2589.5250000000015</v>
      </c>
      <c r="O465" t="str">
        <f t="shared" si="77"/>
        <v>no</v>
      </c>
      <c r="P465" t="str">
        <f t="shared" si="78"/>
        <v>no</v>
      </c>
    </row>
    <row r="466" spans="2:16" x14ac:dyDescent="0.35">
      <c r="B466">
        <f t="shared" si="85"/>
        <v>451</v>
      </c>
      <c r="C466" s="7">
        <f t="shared" si="79"/>
        <v>451</v>
      </c>
      <c r="D466" s="1" cm="1">
        <f t="array" ref="D466">estimatedTripEnergy(C466,G$5,G$6,C$12,C$7,C$9,C$8,FALSE)/1000</f>
        <v>1515.2406191708999</v>
      </c>
      <c r="E466" s="1" cm="1">
        <f t="array" ref="E466">estimatedTripEnergy(C466,G$5,G$6,C$12,C$7,C$9,C$8)/1000</f>
        <v>1663.2006191708999</v>
      </c>
      <c r="F466" s="59" cm="1">
        <f t="array" ref="F466">estimatedTripDuration(C466,$C$8,$C$7)/60</f>
        <v>16.780486010099342</v>
      </c>
      <c r="G466">
        <f t="shared" si="76"/>
        <v>451</v>
      </c>
      <c r="H466" s="50">
        <f t="shared" si="80"/>
        <v>75.166666666666671</v>
      </c>
      <c r="I466" s="7" cm="1">
        <f t="array" ref="I466">CurrentCapacity(K$10,K$6,K$7,H466)</f>
        <v>35660.245500000005</v>
      </c>
      <c r="J466" s="48">
        <f t="shared" si="81"/>
        <v>4.664018982064775E-2</v>
      </c>
      <c r="K466" s="5" cm="1">
        <f t="array" ref="K466">UseableCapacity(I466,$K$8,$K$9)</f>
        <v>26745.184125000003</v>
      </c>
      <c r="L466" s="59">
        <f t="shared" si="82"/>
        <v>33997.044880829104</v>
      </c>
      <c r="M466" s="7">
        <f t="shared" si="83"/>
        <v>25081.983505829103</v>
      </c>
      <c r="N466" s="7">
        <f t="shared" si="84"/>
        <v>2589.7544999999955</v>
      </c>
      <c r="O466" t="str">
        <f t="shared" si="77"/>
        <v>no</v>
      </c>
      <c r="P466" t="str">
        <f t="shared" si="78"/>
        <v>no</v>
      </c>
    </row>
    <row r="467" spans="2:16" x14ac:dyDescent="0.35">
      <c r="B467">
        <f t="shared" si="85"/>
        <v>452</v>
      </c>
      <c r="C467" s="7">
        <f t="shared" si="79"/>
        <v>452</v>
      </c>
      <c r="D467" s="1" cm="1">
        <f t="array" ref="D467">estimatedTripEnergy(C467,G$5,G$6,C$12,C$7,C$9,C$8,FALSE)/1000</f>
        <v>1516.1672983315</v>
      </c>
      <c r="E467" s="1" cm="1">
        <f t="array" ref="E467">estimatedTripEnergy(C467,G$5,G$6,C$12,C$7,C$9,C$8)/1000</f>
        <v>1664.1272983315</v>
      </c>
      <c r="F467" s="59" cm="1">
        <f t="array" ref="F467">estimatedTripDuration(C467,$C$8,$C$7)/60</f>
        <v>16.813819343432677</v>
      </c>
      <c r="G467">
        <f t="shared" si="76"/>
        <v>452</v>
      </c>
      <c r="H467" s="50">
        <f t="shared" si="80"/>
        <v>75.333333333333329</v>
      </c>
      <c r="I467" s="7" cm="1">
        <f t="array" ref="I467">CurrentCapacity(K$10,K$6,K$7,H467)</f>
        <v>35660.016000000003</v>
      </c>
      <c r="J467" s="48">
        <f t="shared" si="81"/>
        <v>4.66664764909668E-2</v>
      </c>
      <c r="K467" s="5" cm="1">
        <f t="array" ref="K467">UseableCapacity(I467,$K$8,$K$9)</f>
        <v>26745.012000000002</v>
      </c>
      <c r="L467" s="59">
        <f t="shared" si="82"/>
        <v>33995.888701668504</v>
      </c>
      <c r="M467" s="7">
        <f t="shared" si="83"/>
        <v>25080.884701668503</v>
      </c>
      <c r="N467" s="7">
        <f t="shared" si="84"/>
        <v>2589.9839999999967</v>
      </c>
      <c r="O467" t="str">
        <f t="shared" si="77"/>
        <v>no</v>
      </c>
      <c r="P467" t="str">
        <f t="shared" si="78"/>
        <v>no</v>
      </c>
    </row>
    <row r="468" spans="2:16" x14ac:dyDescent="0.35">
      <c r="B468">
        <f t="shared" si="85"/>
        <v>453</v>
      </c>
      <c r="C468" s="7">
        <f t="shared" si="79"/>
        <v>453</v>
      </c>
      <c r="D468" s="1" cm="1">
        <f t="array" ref="D468">estimatedTripEnergy(C468,G$5,G$6,C$12,C$7,C$9,C$8,FALSE)/1000</f>
        <v>1517.0939774921001</v>
      </c>
      <c r="E468" s="1" cm="1">
        <f t="array" ref="E468">estimatedTripEnergy(C468,G$5,G$6,C$12,C$7,C$9,C$8)/1000</f>
        <v>1665.0539774921001</v>
      </c>
      <c r="F468" s="59" cm="1">
        <f t="array" ref="F468">estimatedTripDuration(C468,$C$8,$C$7)/60</f>
        <v>16.847152676766008</v>
      </c>
      <c r="G468">
        <f t="shared" si="76"/>
        <v>453</v>
      </c>
      <c r="H468" s="50">
        <f t="shared" si="80"/>
        <v>75.5</v>
      </c>
      <c r="I468" s="7" cm="1">
        <f t="array" ref="I468">CurrentCapacity(K$10,K$6,K$7,H468)</f>
        <v>35659.786500000002</v>
      </c>
      <c r="J468" s="48">
        <f t="shared" si="81"/>
        <v>4.6692763499638454E-2</v>
      </c>
      <c r="K468" s="5" cm="1">
        <f t="array" ref="K468">UseableCapacity(I468,$K$8,$K$9)</f>
        <v>26744.839875000001</v>
      </c>
      <c r="L468" s="59">
        <f t="shared" si="82"/>
        <v>33994.732522507904</v>
      </c>
      <c r="M468" s="7">
        <f t="shared" si="83"/>
        <v>25079.7858975079</v>
      </c>
      <c r="N468" s="7">
        <f t="shared" si="84"/>
        <v>2590.213499999998</v>
      </c>
      <c r="O468" t="str">
        <f t="shared" si="77"/>
        <v>no</v>
      </c>
      <c r="P468" t="str">
        <f t="shared" si="78"/>
        <v>no</v>
      </c>
    </row>
    <row r="469" spans="2:16" x14ac:dyDescent="0.35">
      <c r="B469">
        <f t="shared" si="85"/>
        <v>454</v>
      </c>
      <c r="C469" s="7">
        <f t="shared" si="79"/>
        <v>454</v>
      </c>
      <c r="D469" s="1" cm="1">
        <f t="array" ref="D469">estimatedTripEnergy(C469,G$5,G$6,C$12,C$7,C$9,C$8,FALSE)/1000</f>
        <v>1518.0206566527002</v>
      </c>
      <c r="E469" s="1" cm="1">
        <f t="array" ref="E469">estimatedTripEnergy(C469,G$5,G$6,C$12,C$7,C$9,C$8)/1000</f>
        <v>1665.9806566527002</v>
      </c>
      <c r="F469" s="59" cm="1">
        <f t="array" ref="F469">estimatedTripDuration(C469,$C$8,$C$7)/60</f>
        <v>16.880486010099343</v>
      </c>
      <c r="G469">
        <f t="shared" si="76"/>
        <v>454</v>
      </c>
      <c r="H469" s="50">
        <f t="shared" si="80"/>
        <v>75.666666666666671</v>
      </c>
      <c r="I469" s="7" cm="1">
        <f t="array" ref="I469">CurrentCapacity(K$10,K$6,K$7,H469)</f>
        <v>35659.557000000001</v>
      </c>
      <c r="J469" s="48">
        <f t="shared" si="81"/>
        <v>4.6719050846669247E-2</v>
      </c>
      <c r="K469" s="5" cm="1">
        <f t="array" ref="K469">UseableCapacity(I469,$K$8,$K$9)</f>
        <v>26744.667750000001</v>
      </c>
      <c r="L469" s="59">
        <f t="shared" si="82"/>
        <v>33993.576343347304</v>
      </c>
      <c r="M469" s="7">
        <f t="shared" si="83"/>
        <v>25078.6870933473</v>
      </c>
      <c r="N469" s="7">
        <f t="shared" si="84"/>
        <v>2590.4429999999993</v>
      </c>
      <c r="O469" t="str">
        <f t="shared" si="77"/>
        <v>no</v>
      </c>
      <c r="P469" t="str">
        <f t="shared" si="78"/>
        <v>no</v>
      </c>
    </row>
    <row r="470" spans="2:16" x14ac:dyDescent="0.35">
      <c r="B470">
        <f t="shared" si="85"/>
        <v>455</v>
      </c>
      <c r="C470" s="7">
        <f t="shared" si="79"/>
        <v>455</v>
      </c>
      <c r="D470" s="1" cm="1">
        <f t="array" ref="D470">estimatedTripEnergy(C470,G$5,G$6,C$12,C$7,C$9,C$8,FALSE)/1000</f>
        <v>1518.9473358133</v>
      </c>
      <c r="E470" s="1" cm="1">
        <f t="array" ref="E470">estimatedTripEnergy(C470,G$5,G$6,C$12,C$7,C$9,C$8)/1000</f>
        <v>1666.9073358133001</v>
      </c>
      <c r="F470" s="59" cm="1">
        <f t="array" ref="F470">estimatedTripDuration(C470,$C$8,$C$7)/60</f>
        <v>16.913819343432674</v>
      </c>
      <c r="G470">
        <f t="shared" si="76"/>
        <v>455</v>
      </c>
      <c r="H470" s="50">
        <f t="shared" si="80"/>
        <v>75.833333333333329</v>
      </c>
      <c r="I470" s="7" cm="1">
        <f t="array" ref="I470">CurrentCapacity(K$10,K$6,K$7,H470)</f>
        <v>35659.327499999999</v>
      </c>
      <c r="J470" s="48">
        <f t="shared" si="81"/>
        <v>4.6745338532065701E-2</v>
      </c>
      <c r="K470" s="5" cm="1">
        <f t="array" ref="K470">UseableCapacity(I470,$K$8,$K$9)</f>
        <v>26744.495625</v>
      </c>
      <c r="L470" s="59">
        <f t="shared" si="82"/>
        <v>33992.420164186697</v>
      </c>
      <c r="M470" s="7">
        <f t="shared" si="83"/>
        <v>25077.5882891867</v>
      </c>
      <c r="N470" s="7">
        <f t="shared" si="84"/>
        <v>2590.6725000000006</v>
      </c>
      <c r="O470" t="str">
        <f t="shared" si="77"/>
        <v>no</v>
      </c>
      <c r="P470" t="str">
        <f t="shared" si="78"/>
        <v>no</v>
      </c>
    </row>
    <row r="471" spans="2:16" x14ac:dyDescent="0.35">
      <c r="B471">
        <f t="shared" si="85"/>
        <v>456</v>
      </c>
      <c r="C471" s="7">
        <f t="shared" si="79"/>
        <v>456</v>
      </c>
      <c r="D471" s="1" cm="1">
        <f t="array" ref="D471">estimatedTripEnergy(C471,G$5,G$6,C$12,C$7,C$9,C$8,FALSE)/1000</f>
        <v>1519.8740149739001</v>
      </c>
      <c r="E471" s="1" cm="1">
        <f t="array" ref="E471">estimatedTripEnergy(C471,G$5,G$6,C$12,C$7,C$9,C$8)/1000</f>
        <v>1667.8340149739001</v>
      </c>
      <c r="F471" s="59" cm="1">
        <f t="array" ref="F471">estimatedTripDuration(C471,$C$8,$C$7)/60</f>
        <v>16.947152676766009</v>
      </c>
      <c r="G471">
        <f t="shared" si="76"/>
        <v>456</v>
      </c>
      <c r="H471" s="50">
        <f t="shared" si="80"/>
        <v>76</v>
      </c>
      <c r="I471" s="7" cm="1">
        <f t="array" ref="I471">CurrentCapacity(K$10,K$6,K$7,H471)</f>
        <v>35659.098000000005</v>
      </c>
      <c r="J471" s="48">
        <f t="shared" si="81"/>
        <v>4.6771626555834361E-2</v>
      </c>
      <c r="K471" s="5" cm="1">
        <f t="array" ref="K471">UseableCapacity(I471,$K$8,$K$9)</f>
        <v>26744.323500000006</v>
      </c>
      <c r="L471" s="59">
        <f t="shared" si="82"/>
        <v>33991.263985026104</v>
      </c>
      <c r="M471" s="7">
        <f t="shared" si="83"/>
        <v>25076.489485026104</v>
      </c>
      <c r="N471" s="7">
        <f t="shared" si="84"/>
        <v>2590.9019999999946</v>
      </c>
      <c r="O471" t="str">
        <f t="shared" si="77"/>
        <v>no</v>
      </c>
      <c r="P471" t="str">
        <f t="shared" si="78"/>
        <v>no</v>
      </c>
    </row>
    <row r="472" spans="2:16" x14ac:dyDescent="0.35">
      <c r="B472">
        <f t="shared" si="85"/>
        <v>457</v>
      </c>
      <c r="C472" s="7">
        <f t="shared" si="79"/>
        <v>457</v>
      </c>
      <c r="D472" s="1" cm="1">
        <f t="array" ref="D472">estimatedTripEnergy(C472,G$5,G$6,C$12,C$7,C$9,C$8,FALSE)/1000</f>
        <v>1520.8006941345</v>
      </c>
      <c r="E472" s="1" cm="1">
        <f t="array" ref="E472">estimatedTripEnergy(C472,G$5,G$6,C$12,C$7,C$9,C$8)/1000</f>
        <v>1668.7606941344998</v>
      </c>
      <c r="F472" s="59" cm="1">
        <f t="array" ref="F472">estimatedTripDuration(C472,$C$8,$C$7)/60</f>
        <v>16.980486010099341</v>
      </c>
      <c r="G472">
        <f t="shared" si="76"/>
        <v>457</v>
      </c>
      <c r="H472" s="50">
        <f t="shared" si="80"/>
        <v>76.166666666666671</v>
      </c>
      <c r="I472" s="7" cm="1">
        <f t="array" ref="I472">CurrentCapacity(K$10,K$6,K$7,H472)</f>
        <v>35658.868500000004</v>
      </c>
      <c r="J472" s="48">
        <f t="shared" si="81"/>
        <v>4.6797914917981749E-2</v>
      </c>
      <c r="K472" s="5" cm="1">
        <f t="array" ref="K472">UseableCapacity(I472,$K$8,$K$9)</f>
        <v>26744.151375000001</v>
      </c>
      <c r="L472" s="59">
        <f t="shared" si="82"/>
        <v>33990.107805865504</v>
      </c>
      <c r="M472" s="7">
        <f t="shared" si="83"/>
        <v>25075.390680865501</v>
      </c>
      <c r="N472" s="7">
        <f t="shared" si="84"/>
        <v>2591.1314999999959</v>
      </c>
      <c r="O472" t="str">
        <f t="shared" si="77"/>
        <v>no</v>
      </c>
      <c r="P472" t="str">
        <f t="shared" si="78"/>
        <v>no</v>
      </c>
    </row>
    <row r="473" spans="2:16" x14ac:dyDescent="0.35">
      <c r="B473">
        <f t="shared" si="85"/>
        <v>458</v>
      </c>
      <c r="C473" s="7">
        <f t="shared" si="79"/>
        <v>458</v>
      </c>
      <c r="D473" s="1" cm="1">
        <f t="array" ref="D473">estimatedTripEnergy(C473,G$5,G$6,C$12,C$7,C$9,C$8,FALSE)/1000</f>
        <v>1521.7273732951001</v>
      </c>
      <c r="E473" s="1" cm="1">
        <f t="array" ref="E473">estimatedTripEnergy(C473,G$5,G$6,C$12,C$7,C$9,C$8)/1000</f>
        <v>1669.6873732950999</v>
      </c>
      <c r="F473" s="59" cm="1">
        <f t="array" ref="F473">estimatedTripDuration(C473,$C$8,$C$7)/60</f>
        <v>17.013819343432676</v>
      </c>
      <c r="G473">
        <f t="shared" si="76"/>
        <v>458</v>
      </c>
      <c r="H473" s="50">
        <f t="shared" si="80"/>
        <v>76.333333333333329</v>
      </c>
      <c r="I473" s="7" cm="1">
        <f t="array" ref="I473">CurrentCapacity(K$10,K$6,K$7,H473)</f>
        <v>35658.639000000003</v>
      </c>
      <c r="J473" s="48">
        <f t="shared" si="81"/>
        <v>4.6824203618514429E-2</v>
      </c>
      <c r="K473" s="5" cm="1">
        <f t="array" ref="K473">UseableCapacity(I473,$K$8,$K$9)</f>
        <v>26743.979250000004</v>
      </c>
      <c r="L473" s="59">
        <f t="shared" si="82"/>
        <v>33988.951626704904</v>
      </c>
      <c r="M473" s="7">
        <f t="shared" si="83"/>
        <v>25074.291876704905</v>
      </c>
      <c r="N473" s="7">
        <f t="shared" si="84"/>
        <v>2591.3609999999971</v>
      </c>
      <c r="O473" t="str">
        <f t="shared" si="77"/>
        <v>no</v>
      </c>
      <c r="P473" t="str">
        <f t="shared" si="78"/>
        <v>no</v>
      </c>
    </row>
    <row r="474" spans="2:16" x14ac:dyDescent="0.35">
      <c r="B474">
        <f t="shared" si="85"/>
        <v>459</v>
      </c>
      <c r="C474" s="7">
        <f t="shared" si="79"/>
        <v>459</v>
      </c>
      <c r="D474" s="1" cm="1">
        <f t="array" ref="D474">estimatedTripEnergy(C474,G$5,G$6,C$12,C$7,C$9,C$8,FALSE)/1000</f>
        <v>1522.6540524556999</v>
      </c>
      <c r="E474" s="1" cm="1">
        <f t="array" ref="E474">estimatedTripEnergy(C474,G$5,G$6,C$12,C$7,C$9,C$8)/1000</f>
        <v>1670.6140524556999</v>
      </c>
      <c r="F474" s="59" cm="1">
        <f t="array" ref="F474">estimatedTripDuration(C474,$C$8,$C$7)/60</f>
        <v>17.047152676766007</v>
      </c>
      <c r="G474">
        <f t="shared" si="76"/>
        <v>459</v>
      </c>
      <c r="H474" s="50">
        <f t="shared" si="80"/>
        <v>76.5</v>
      </c>
      <c r="I474" s="7" cm="1">
        <f t="array" ref="I474">CurrentCapacity(K$10,K$6,K$7,H474)</f>
        <v>35658.409500000002</v>
      </c>
      <c r="J474" s="48">
        <f t="shared" si="81"/>
        <v>4.6850492657438909E-2</v>
      </c>
      <c r="K474" s="5" cm="1">
        <f t="array" ref="K474">UseableCapacity(I474,$K$8,$K$9)</f>
        <v>26743.807124999999</v>
      </c>
      <c r="L474" s="59">
        <f t="shared" si="82"/>
        <v>33987.795447544304</v>
      </c>
      <c r="M474" s="7">
        <f t="shared" si="83"/>
        <v>25073.193072544298</v>
      </c>
      <c r="N474" s="7">
        <f t="shared" si="84"/>
        <v>2591.5904999999984</v>
      </c>
      <c r="O474" t="str">
        <f t="shared" si="77"/>
        <v>no</v>
      </c>
      <c r="P474" t="str">
        <f t="shared" si="78"/>
        <v>no</v>
      </c>
    </row>
    <row r="475" spans="2:16" x14ac:dyDescent="0.35">
      <c r="B475">
        <f t="shared" si="85"/>
        <v>460</v>
      </c>
      <c r="C475" s="7">
        <f t="shared" si="79"/>
        <v>460</v>
      </c>
      <c r="D475" s="1" cm="1">
        <f t="array" ref="D475">estimatedTripEnergy(C475,G$5,G$6,C$12,C$7,C$9,C$8,FALSE)/1000</f>
        <v>1523.5807316163</v>
      </c>
      <c r="E475" s="1" cm="1">
        <f t="array" ref="E475">estimatedTripEnergy(C475,G$5,G$6,C$12,C$7,C$9,C$8)/1000</f>
        <v>1671.5407316163</v>
      </c>
      <c r="F475" s="59" cm="1">
        <f t="array" ref="F475">estimatedTripDuration(C475,$C$8,$C$7)/60</f>
        <v>17.080486010099339</v>
      </c>
      <c r="G475">
        <f t="shared" si="76"/>
        <v>460</v>
      </c>
      <c r="H475" s="50">
        <f t="shared" si="80"/>
        <v>76.666666666666671</v>
      </c>
      <c r="I475" s="7" cm="1">
        <f t="array" ref="I475">CurrentCapacity(K$10,K$6,K$7,H475)</f>
        <v>35658.18</v>
      </c>
      <c r="J475" s="48">
        <f t="shared" si="81"/>
        <v>4.6876782034761727E-2</v>
      </c>
      <c r="K475" s="5" cm="1">
        <f t="array" ref="K475">UseableCapacity(I475,$K$8,$K$9)</f>
        <v>26743.635000000002</v>
      </c>
      <c r="L475" s="59">
        <f t="shared" si="82"/>
        <v>33986.639268383704</v>
      </c>
      <c r="M475" s="7">
        <f t="shared" si="83"/>
        <v>25072.094268383702</v>
      </c>
      <c r="N475" s="7">
        <f t="shared" si="84"/>
        <v>2591.8199999999997</v>
      </c>
      <c r="O475" t="str">
        <f t="shared" si="77"/>
        <v>no</v>
      </c>
      <c r="P475" t="str">
        <f t="shared" si="78"/>
        <v>no</v>
      </c>
    </row>
    <row r="476" spans="2:16" x14ac:dyDescent="0.35">
      <c r="B476">
        <f t="shared" si="85"/>
        <v>461</v>
      </c>
      <c r="C476" s="7">
        <f t="shared" si="79"/>
        <v>461</v>
      </c>
      <c r="D476" s="1" cm="1">
        <f t="array" ref="D476">estimatedTripEnergy(C476,G$5,G$6,C$12,C$7,C$9,C$8,FALSE)/1000</f>
        <v>1524.5074107769001</v>
      </c>
      <c r="E476" s="1" cm="1">
        <f t="array" ref="E476">estimatedTripEnergy(C476,G$5,G$6,C$12,C$7,C$9,C$8)/1000</f>
        <v>1672.4674107769001</v>
      </c>
      <c r="F476" s="59" cm="1">
        <f t="array" ref="F476">estimatedTripDuration(C476,$C$8,$C$7)/60</f>
        <v>17.113819343432674</v>
      </c>
      <c r="G476">
        <f t="shared" si="76"/>
        <v>461</v>
      </c>
      <c r="H476" s="50">
        <f t="shared" si="80"/>
        <v>76.833333333333329</v>
      </c>
      <c r="I476" s="7" cm="1">
        <f t="array" ref="I476">CurrentCapacity(K$10,K$6,K$7,H476)</f>
        <v>35657.950499999999</v>
      </c>
      <c r="J476" s="48">
        <f t="shared" si="81"/>
        <v>4.6903071750489425E-2</v>
      </c>
      <c r="K476" s="5" cm="1">
        <f t="array" ref="K476">UseableCapacity(I476,$K$8,$K$9)</f>
        <v>26743.462874999997</v>
      </c>
      <c r="L476" s="59">
        <f t="shared" si="82"/>
        <v>33985.483089223097</v>
      </c>
      <c r="M476" s="7">
        <f t="shared" si="83"/>
        <v>25070.995464223099</v>
      </c>
      <c r="N476" s="7">
        <f t="shared" si="84"/>
        <v>2592.049500000001</v>
      </c>
      <c r="O476" t="str">
        <f t="shared" si="77"/>
        <v>no</v>
      </c>
      <c r="P476" t="str">
        <f t="shared" si="78"/>
        <v>no</v>
      </c>
    </row>
    <row r="477" spans="2:16" x14ac:dyDescent="0.35">
      <c r="B477">
        <f t="shared" si="85"/>
        <v>462</v>
      </c>
      <c r="C477" s="7">
        <f t="shared" si="79"/>
        <v>462</v>
      </c>
      <c r="D477" s="1" cm="1">
        <f t="array" ref="D477">estimatedTripEnergy(C477,G$5,G$6,C$12,C$7,C$9,C$8,FALSE)/1000</f>
        <v>1525.4340899374999</v>
      </c>
      <c r="E477" s="1" cm="1">
        <f t="array" ref="E477">estimatedTripEnergy(C477,G$5,G$6,C$12,C$7,C$9,C$8)/1000</f>
        <v>1673.3940899375</v>
      </c>
      <c r="F477" s="59" cm="1">
        <f t="array" ref="F477">estimatedTripDuration(C477,$C$8,$C$7)/60</f>
        <v>17.147152676766005</v>
      </c>
      <c r="G477">
        <f t="shared" si="76"/>
        <v>462</v>
      </c>
      <c r="H477" s="50">
        <f t="shared" si="80"/>
        <v>77</v>
      </c>
      <c r="I477" s="7" cm="1">
        <f t="array" ref="I477">CurrentCapacity(K$10,K$6,K$7,H477)</f>
        <v>35657.721000000005</v>
      </c>
      <c r="J477" s="48">
        <f t="shared" si="81"/>
        <v>4.6929361804628505E-2</v>
      </c>
      <c r="K477" s="5" cm="1">
        <f t="array" ref="K477">UseableCapacity(I477,$K$8,$K$9)</f>
        <v>26743.290750000004</v>
      </c>
      <c r="L477" s="59">
        <f t="shared" si="82"/>
        <v>33984.326910062504</v>
      </c>
      <c r="M477" s="7">
        <f t="shared" si="83"/>
        <v>25069.896660062503</v>
      </c>
      <c r="N477" s="7">
        <f t="shared" si="84"/>
        <v>2592.278999999995</v>
      </c>
      <c r="O477" t="str">
        <f t="shared" si="77"/>
        <v>no</v>
      </c>
      <c r="P477" t="str">
        <f t="shared" si="78"/>
        <v>no</v>
      </c>
    </row>
    <row r="478" spans="2:16" x14ac:dyDescent="0.35">
      <c r="B478">
        <f t="shared" si="85"/>
        <v>463</v>
      </c>
      <c r="C478" s="7">
        <f t="shared" si="79"/>
        <v>463</v>
      </c>
      <c r="D478" s="1" cm="1">
        <f t="array" ref="D478">estimatedTripEnergy(C478,G$5,G$6,C$12,C$7,C$9,C$8,FALSE)/1000</f>
        <v>1526.3607690981</v>
      </c>
      <c r="E478" s="1" cm="1">
        <f t="array" ref="E478">estimatedTripEnergy(C478,G$5,G$6,C$12,C$7,C$9,C$8)/1000</f>
        <v>1674.3207690981001</v>
      </c>
      <c r="F478" s="59" cm="1">
        <f t="array" ref="F478">estimatedTripDuration(C478,$C$8,$C$7)/60</f>
        <v>17.18048601009934</v>
      </c>
      <c r="G478">
        <f t="shared" si="76"/>
        <v>463</v>
      </c>
      <c r="H478" s="50">
        <f t="shared" si="80"/>
        <v>77.166666666666671</v>
      </c>
      <c r="I478" s="7" cm="1">
        <f t="array" ref="I478">CurrentCapacity(K$10,K$6,K$7,H478)</f>
        <v>35657.491500000004</v>
      </c>
      <c r="J478" s="48">
        <f t="shared" si="81"/>
        <v>4.6955652197185546E-2</v>
      </c>
      <c r="K478" s="5" cm="1">
        <f t="array" ref="K478">UseableCapacity(I478,$K$8,$K$9)</f>
        <v>26743.118625000003</v>
      </c>
      <c r="L478" s="59">
        <f t="shared" si="82"/>
        <v>33983.170730901904</v>
      </c>
      <c r="M478" s="7">
        <f t="shared" si="83"/>
        <v>25068.797855901903</v>
      </c>
      <c r="N478" s="7">
        <f t="shared" si="84"/>
        <v>2592.5084999999963</v>
      </c>
      <c r="O478" t="str">
        <f t="shared" si="77"/>
        <v>no</v>
      </c>
      <c r="P478" t="str">
        <f t="shared" si="78"/>
        <v>no</v>
      </c>
    </row>
    <row r="479" spans="2:16" x14ac:dyDescent="0.35">
      <c r="B479">
        <f t="shared" si="85"/>
        <v>464</v>
      </c>
      <c r="C479" s="7">
        <f t="shared" si="79"/>
        <v>464</v>
      </c>
      <c r="D479" s="1" cm="1">
        <f t="array" ref="D479">estimatedTripEnergy(C479,G$5,G$6,C$12,C$7,C$9,C$8,FALSE)/1000</f>
        <v>1527.2874482587001</v>
      </c>
      <c r="E479" s="1" cm="1">
        <f t="array" ref="E479">estimatedTripEnergy(C479,G$5,G$6,C$12,C$7,C$9,C$8)/1000</f>
        <v>1675.2474482587002</v>
      </c>
      <c r="F479" s="59" cm="1">
        <f t="array" ref="F479">estimatedTripDuration(C479,$C$8,$C$7)/60</f>
        <v>17.213819343432672</v>
      </c>
      <c r="G479">
        <f t="shared" si="76"/>
        <v>464</v>
      </c>
      <c r="H479" s="50">
        <f t="shared" si="80"/>
        <v>77.333333333333329</v>
      </c>
      <c r="I479" s="7" cm="1">
        <f t="array" ref="I479">CurrentCapacity(K$10,K$6,K$7,H479)</f>
        <v>35657.262000000002</v>
      </c>
      <c r="J479" s="48">
        <f t="shared" si="81"/>
        <v>4.6981942928167063E-2</v>
      </c>
      <c r="K479" s="5" cm="1">
        <f t="array" ref="K479">UseableCapacity(I479,$K$8,$K$9)</f>
        <v>26742.946500000002</v>
      </c>
      <c r="L479" s="59">
        <f t="shared" si="82"/>
        <v>33982.014551741304</v>
      </c>
      <c r="M479" s="7">
        <f t="shared" si="83"/>
        <v>25067.699051741303</v>
      </c>
      <c r="N479" s="7">
        <f t="shared" si="84"/>
        <v>2592.7379999999976</v>
      </c>
      <c r="O479" t="str">
        <f t="shared" si="77"/>
        <v>no</v>
      </c>
      <c r="P479" t="str">
        <f t="shared" si="78"/>
        <v>no</v>
      </c>
    </row>
    <row r="480" spans="2:16" x14ac:dyDescent="0.35">
      <c r="B480">
        <f t="shared" si="85"/>
        <v>465</v>
      </c>
      <c r="C480" s="7">
        <f t="shared" si="79"/>
        <v>465</v>
      </c>
      <c r="D480" s="1" cm="1">
        <f t="array" ref="D480">estimatedTripEnergy(C480,G$5,G$6,C$12,C$7,C$9,C$8,FALSE)/1000</f>
        <v>1528.2141274193</v>
      </c>
      <c r="E480" s="1" cm="1">
        <f t="array" ref="E480">estimatedTripEnergy(C480,G$5,G$6,C$12,C$7,C$9,C$8)/1000</f>
        <v>1676.1741274193</v>
      </c>
      <c r="F480" s="59" cm="1">
        <f t="array" ref="F480">estimatedTripDuration(C480,$C$8,$C$7)/60</f>
        <v>17.247152676766007</v>
      </c>
      <c r="G480">
        <f t="shared" ref="G480:G543" si="86">B480</f>
        <v>465</v>
      </c>
      <c r="H480" s="50">
        <f t="shared" si="80"/>
        <v>77.5</v>
      </c>
      <c r="I480" s="7" cm="1">
        <f t="array" ref="I480">CurrentCapacity(K$10,K$6,K$7,H480)</f>
        <v>35657.032500000001</v>
      </c>
      <c r="J480" s="48">
        <f t="shared" si="81"/>
        <v>4.7008233997579578E-2</v>
      </c>
      <c r="K480" s="5" cm="1">
        <f t="array" ref="K480">UseableCapacity(I480,$K$8,$K$9)</f>
        <v>26742.774375000001</v>
      </c>
      <c r="L480" s="59">
        <f t="shared" si="82"/>
        <v>33980.858372580704</v>
      </c>
      <c r="M480" s="7">
        <f t="shared" si="83"/>
        <v>25066.6002475807</v>
      </c>
      <c r="N480" s="7">
        <f t="shared" si="84"/>
        <v>2592.9674999999988</v>
      </c>
      <c r="O480" t="str">
        <f t="shared" ref="O480:O543" si="87">IF(M480&lt;0,"yes","no")</f>
        <v>no</v>
      </c>
      <c r="P480" t="str">
        <f t="shared" ref="P480:P543" si="88">IF(L480&lt;0,"yes","no")</f>
        <v>no</v>
      </c>
    </row>
    <row r="481" spans="2:16" x14ac:dyDescent="0.35">
      <c r="B481">
        <f t="shared" si="85"/>
        <v>466</v>
      </c>
      <c r="C481" s="7">
        <f t="shared" si="79"/>
        <v>466</v>
      </c>
      <c r="D481" s="1" cm="1">
        <f t="array" ref="D481">estimatedTripEnergy(C481,G$5,G$6,C$12,C$7,C$9,C$8,FALSE)/1000</f>
        <v>1529.1408065799001</v>
      </c>
      <c r="E481" s="1" cm="1">
        <f t="array" ref="E481">estimatedTripEnergy(C481,G$5,G$6,C$12,C$7,C$9,C$8)/1000</f>
        <v>1677.1008065798999</v>
      </c>
      <c r="F481" s="59" cm="1">
        <f t="array" ref="F481">estimatedTripDuration(C481,$C$8,$C$7)/60</f>
        <v>17.280486010099342</v>
      </c>
      <c r="G481">
        <f t="shared" si="86"/>
        <v>466</v>
      </c>
      <c r="H481" s="50">
        <f t="shared" si="80"/>
        <v>77.666666666666671</v>
      </c>
      <c r="I481" s="7" cm="1">
        <f t="array" ref="I481">CurrentCapacity(K$10,K$6,K$7,H481)</f>
        <v>35656.803</v>
      </c>
      <c r="J481" s="48">
        <f t="shared" si="81"/>
        <v>4.7034525405429642E-2</v>
      </c>
      <c r="K481" s="5" cm="1">
        <f t="array" ref="K481">UseableCapacity(I481,$K$8,$K$9)</f>
        <v>26742.60225</v>
      </c>
      <c r="L481" s="59">
        <f t="shared" si="82"/>
        <v>33979.702193420097</v>
      </c>
      <c r="M481" s="7">
        <f t="shared" si="83"/>
        <v>25065.5014434201</v>
      </c>
      <c r="N481" s="7">
        <f t="shared" si="84"/>
        <v>2593.1970000000001</v>
      </c>
      <c r="O481" t="str">
        <f t="shared" si="87"/>
        <v>no</v>
      </c>
      <c r="P481" t="str">
        <f t="shared" si="88"/>
        <v>no</v>
      </c>
    </row>
    <row r="482" spans="2:16" x14ac:dyDescent="0.35">
      <c r="B482">
        <f t="shared" si="85"/>
        <v>467</v>
      </c>
      <c r="C482" s="7">
        <f t="shared" si="79"/>
        <v>467</v>
      </c>
      <c r="D482" s="1" cm="1">
        <f t="array" ref="D482">estimatedTripEnergy(C482,G$5,G$6,C$12,C$7,C$9,C$8,FALSE)/1000</f>
        <v>1530.0674857404999</v>
      </c>
      <c r="E482" s="1" cm="1">
        <f t="array" ref="E482">estimatedTripEnergy(C482,G$5,G$6,C$12,C$7,C$9,C$8)/1000</f>
        <v>1678.0274857405</v>
      </c>
      <c r="F482" s="59" cm="1">
        <f t="array" ref="F482">estimatedTripDuration(C482,$C$8,$C$7)/60</f>
        <v>17.313819343432673</v>
      </c>
      <c r="G482">
        <f t="shared" si="86"/>
        <v>467</v>
      </c>
      <c r="H482" s="50">
        <f t="shared" si="80"/>
        <v>77.833333333333329</v>
      </c>
      <c r="I482" s="7" cm="1">
        <f t="array" ref="I482">CurrentCapacity(K$10,K$6,K$7,H482)</f>
        <v>35656.573500000006</v>
      </c>
      <c r="J482" s="48">
        <f t="shared" si="81"/>
        <v>4.7060817151723784E-2</v>
      </c>
      <c r="K482" s="5" cm="1">
        <f t="array" ref="K482">UseableCapacity(I482,$K$8,$K$9)</f>
        <v>26742.430125000006</v>
      </c>
      <c r="L482" s="59">
        <f t="shared" si="82"/>
        <v>33978.546014259504</v>
      </c>
      <c r="M482" s="7">
        <f t="shared" si="83"/>
        <v>25064.402639259508</v>
      </c>
      <c r="N482" s="7">
        <f t="shared" si="84"/>
        <v>2593.4264999999941</v>
      </c>
      <c r="O482" t="str">
        <f t="shared" si="87"/>
        <v>no</v>
      </c>
      <c r="P482" t="str">
        <f t="shared" si="88"/>
        <v>no</v>
      </c>
    </row>
    <row r="483" spans="2:16" x14ac:dyDescent="0.35">
      <c r="B483">
        <f t="shared" si="85"/>
        <v>468</v>
      </c>
      <c r="C483" s="7">
        <f t="shared" si="79"/>
        <v>468</v>
      </c>
      <c r="D483" s="1" cm="1">
        <f t="array" ref="D483">estimatedTripEnergy(C483,G$5,G$6,C$12,C$7,C$9,C$8,FALSE)/1000</f>
        <v>1530.9941649011</v>
      </c>
      <c r="E483" s="1" cm="1">
        <f t="array" ref="E483">estimatedTripEnergy(C483,G$5,G$6,C$12,C$7,C$9,C$8)/1000</f>
        <v>1678.9541649011001</v>
      </c>
      <c r="F483" s="59" cm="1">
        <f t="array" ref="F483">estimatedTripDuration(C483,$C$8,$C$7)/60</f>
        <v>17.347152676766008</v>
      </c>
      <c r="G483">
        <f t="shared" si="86"/>
        <v>468</v>
      </c>
      <c r="H483" s="50">
        <f t="shared" si="80"/>
        <v>78</v>
      </c>
      <c r="I483" s="7" cm="1">
        <f t="array" ref="I483">CurrentCapacity(K$10,K$6,K$7,H483)</f>
        <v>35656.343999999997</v>
      </c>
      <c r="J483" s="48">
        <f t="shared" si="81"/>
        <v>4.7087109236468555E-2</v>
      </c>
      <c r="K483" s="5" cm="1">
        <f t="array" ref="K483">UseableCapacity(I483,$K$8,$K$9)</f>
        <v>26742.257999999998</v>
      </c>
      <c r="L483" s="59">
        <f t="shared" si="82"/>
        <v>33977.389835098897</v>
      </c>
      <c r="M483" s="7">
        <f t="shared" si="83"/>
        <v>25063.303835098897</v>
      </c>
      <c r="N483" s="7">
        <f t="shared" si="84"/>
        <v>2593.6560000000027</v>
      </c>
      <c r="O483" t="str">
        <f t="shared" si="87"/>
        <v>no</v>
      </c>
      <c r="P483" t="str">
        <f t="shared" si="88"/>
        <v>no</v>
      </c>
    </row>
    <row r="484" spans="2:16" x14ac:dyDescent="0.35">
      <c r="B484">
        <f t="shared" si="85"/>
        <v>469</v>
      </c>
      <c r="C484" s="7">
        <f t="shared" si="79"/>
        <v>469</v>
      </c>
      <c r="D484" s="1" cm="1">
        <f t="array" ref="D484">estimatedTripEnergy(C484,G$5,G$6,C$12,C$7,C$9,C$8,FALSE)/1000</f>
        <v>1531.9208440616999</v>
      </c>
      <c r="E484" s="1" cm="1">
        <f t="array" ref="E484">estimatedTripEnergy(C484,G$5,G$6,C$12,C$7,C$9,C$8)/1000</f>
        <v>1679.8808440616999</v>
      </c>
      <c r="F484" s="59" cm="1">
        <f t="array" ref="F484">estimatedTripDuration(C484,$C$8,$C$7)/60</f>
        <v>17.380486010099339</v>
      </c>
      <c r="G484">
        <f t="shared" si="86"/>
        <v>469</v>
      </c>
      <c r="H484" s="50">
        <f t="shared" si="80"/>
        <v>78.166666666666671</v>
      </c>
      <c r="I484" s="7" cm="1">
        <f t="array" ref="I484">CurrentCapacity(K$10,K$6,K$7,H484)</f>
        <v>35656.114500000003</v>
      </c>
      <c r="J484" s="48">
        <f t="shared" si="81"/>
        <v>4.7113401659670456E-2</v>
      </c>
      <c r="K484" s="5" cm="1">
        <f t="array" ref="K484">UseableCapacity(I484,$K$8,$K$9)</f>
        <v>26742.085875000004</v>
      </c>
      <c r="L484" s="59">
        <f t="shared" si="82"/>
        <v>33976.233655938304</v>
      </c>
      <c r="M484" s="7">
        <f t="shared" si="83"/>
        <v>25062.205030938305</v>
      </c>
      <c r="N484" s="7">
        <f t="shared" si="84"/>
        <v>2593.8854999999967</v>
      </c>
      <c r="O484" t="str">
        <f t="shared" si="87"/>
        <v>no</v>
      </c>
      <c r="P484" t="str">
        <f t="shared" si="88"/>
        <v>no</v>
      </c>
    </row>
    <row r="485" spans="2:16" x14ac:dyDescent="0.35">
      <c r="B485">
        <f t="shared" si="85"/>
        <v>470</v>
      </c>
      <c r="C485" s="7">
        <f t="shared" si="79"/>
        <v>470</v>
      </c>
      <c r="D485" s="1" cm="1">
        <f t="array" ref="D485">estimatedTripEnergy(C485,G$5,G$6,C$12,C$7,C$9,C$8,FALSE)/1000</f>
        <v>1532.8475232223</v>
      </c>
      <c r="E485" s="1" cm="1">
        <f t="array" ref="E485">estimatedTripEnergy(C485,G$5,G$6,C$12,C$7,C$9,C$8)/1000</f>
        <v>1680.8075232223</v>
      </c>
      <c r="F485" s="59" cm="1">
        <f t="array" ref="F485">estimatedTripDuration(C485,$C$8,$C$7)/60</f>
        <v>17.413819343432674</v>
      </c>
      <c r="G485">
        <f t="shared" si="86"/>
        <v>470</v>
      </c>
      <c r="H485" s="50">
        <f t="shared" si="80"/>
        <v>78.333333333333329</v>
      </c>
      <c r="I485" s="7" cm="1">
        <f t="array" ref="I485">CurrentCapacity(K$10,K$6,K$7,H485)</f>
        <v>35655.885000000002</v>
      </c>
      <c r="J485" s="48">
        <f t="shared" si="81"/>
        <v>4.7139694421336052E-2</v>
      </c>
      <c r="K485" s="5" cm="1">
        <f t="array" ref="K485">UseableCapacity(I485,$K$8,$K$9)</f>
        <v>26741.91375</v>
      </c>
      <c r="L485" s="59">
        <f t="shared" si="82"/>
        <v>33975.077476777704</v>
      </c>
      <c r="M485" s="7">
        <f t="shared" si="83"/>
        <v>25061.106226777702</v>
      </c>
      <c r="N485" s="7">
        <f t="shared" si="84"/>
        <v>2594.114999999998</v>
      </c>
      <c r="O485" t="str">
        <f t="shared" si="87"/>
        <v>no</v>
      </c>
      <c r="P485" t="str">
        <f t="shared" si="88"/>
        <v>no</v>
      </c>
    </row>
    <row r="486" spans="2:16" x14ac:dyDescent="0.35">
      <c r="B486">
        <f t="shared" si="85"/>
        <v>471</v>
      </c>
      <c r="C486" s="7">
        <f t="shared" si="79"/>
        <v>471</v>
      </c>
      <c r="D486" s="1" cm="1">
        <f t="array" ref="D486">estimatedTripEnergy(C486,G$5,G$6,C$12,C$7,C$9,C$8,FALSE)/1000</f>
        <v>1533.7742023829001</v>
      </c>
      <c r="E486" s="1" cm="1">
        <f t="array" ref="E486">estimatedTripEnergy(C486,G$5,G$6,C$12,C$7,C$9,C$8)/1000</f>
        <v>1681.7342023829001</v>
      </c>
      <c r="F486" s="59" cm="1">
        <f t="array" ref="F486">estimatedTripDuration(C486,$C$8,$C$7)/60</f>
        <v>17.447152676766006</v>
      </c>
      <c r="G486">
        <f t="shared" si="86"/>
        <v>471</v>
      </c>
      <c r="H486" s="50">
        <f t="shared" si="80"/>
        <v>78.5</v>
      </c>
      <c r="I486" s="7" cm="1">
        <f t="array" ref="I486">CurrentCapacity(K$10,K$6,K$7,H486)</f>
        <v>35655.655500000001</v>
      </c>
      <c r="J486" s="48">
        <f t="shared" si="81"/>
        <v>4.7165987521471879E-2</v>
      </c>
      <c r="K486" s="5" cm="1">
        <f t="array" ref="K486">UseableCapacity(I486,$K$8,$K$9)</f>
        <v>26741.741625000002</v>
      </c>
      <c r="L486" s="59">
        <f t="shared" si="82"/>
        <v>33973.921297617104</v>
      </c>
      <c r="M486" s="7">
        <f t="shared" si="83"/>
        <v>25060.007422617102</v>
      </c>
      <c r="N486" s="7">
        <f t="shared" si="84"/>
        <v>2594.3444999999992</v>
      </c>
      <c r="O486" t="str">
        <f t="shared" si="87"/>
        <v>no</v>
      </c>
      <c r="P486" t="str">
        <f t="shared" si="88"/>
        <v>no</v>
      </c>
    </row>
    <row r="487" spans="2:16" x14ac:dyDescent="0.35">
      <c r="B487">
        <f t="shared" si="85"/>
        <v>472</v>
      </c>
      <c r="C487" s="7">
        <f t="shared" si="79"/>
        <v>472</v>
      </c>
      <c r="D487" s="1" cm="1">
        <f t="array" ref="D487">estimatedTripEnergy(C487,G$5,G$6,C$12,C$7,C$9,C$8,FALSE)/1000</f>
        <v>1534.7008815434999</v>
      </c>
      <c r="E487" s="1" cm="1">
        <f t="array" ref="E487">estimatedTripEnergy(C487,G$5,G$6,C$12,C$7,C$9,C$8)/1000</f>
        <v>1682.6608815435</v>
      </c>
      <c r="F487" s="59" cm="1">
        <f t="array" ref="F487">estimatedTripDuration(C487,$C$8,$C$7)/60</f>
        <v>17.480486010099341</v>
      </c>
      <c r="G487">
        <f t="shared" si="86"/>
        <v>472</v>
      </c>
      <c r="H487" s="50">
        <f t="shared" si="80"/>
        <v>78.666666666666671</v>
      </c>
      <c r="I487" s="7" cm="1">
        <f t="array" ref="I487">CurrentCapacity(K$10,K$6,K$7,H487)</f>
        <v>35655.426000000007</v>
      </c>
      <c r="J487" s="48">
        <f t="shared" si="81"/>
        <v>4.7192280960084439E-2</v>
      </c>
      <c r="K487" s="5" cm="1">
        <f t="array" ref="K487">UseableCapacity(I487,$K$8,$K$9)</f>
        <v>26741.569500000005</v>
      </c>
      <c r="L487" s="59">
        <f t="shared" si="82"/>
        <v>33972.765118456504</v>
      </c>
      <c r="M487" s="7">
        <f t="shared" si="83"/>
        <v>25058.908618456506</v>
      </c>
      <c r="N487" s="7">
        <f t="shared" si="84"/>
        <v>2594.5739999999932</v>
      </c>
      <c r="O487" t="str">
        <f t="shared" si="87"/>
        <v>no</v>
      </c>
      <c r="P487" t="str">
        <f t="shared" si="88"/>
        <v>no</v>
      </c>
    </row>
    <row r="488" spans="2:16" x14ac:dyDescent="0.35">
      <c r="B488">
        <f t="shared" si="85"/>
        <v>473</v>
      </c>
      <c r="C488" s="7">
        <f t="shared" si="79"/>
        <v>473</v>
      </c>
      <c r="D488" s="1" cm="1">
        <f t="array" ref="D488">estimatedTripEnergy(C488,G$5,G$6,C$12,C$7,C$9,C$8,FALSE)/1000</f>
        <v>1535.6275607041</v>
      </c>
      <c r="E488" s="1" cm="1">
        <f t="array" ref="E488">estimatedTripEnergy(C488,G$5,G$6,C$12,C$7,C$9,C$8)/1000</f>
        <v>1683.5875607041</v>
      </c>
      <c r="F488" s="59" cm="1">
        <f t="array" ref="F488">estimatedTripDuration(C488,$C$8,$C$7)/60</f>
        <v>17.513819343432672</v>
      </c>
      <c r="G488">
        <f t="shared" si="86"/>
        <v>473</v>
      </c>
      <c r="H488" s="50">
        <f t="shared" si="80"/>
        <v>78.833333333333329</v>
      </c>
      <c r="I488" s="7" cm="1">
        <f t="array" ref="I488">CurrentCapacity(K$10,K$6,K$7,H488)</f>
        <v>35655.196499999998</v>
      </c>
      <c r="J488" s="48">
        <f t="shared" si="81"/>
        <v>4.7218574737180316E-2</v>
      </c>
      <c r="K488" s="5" cm="1">
        <f t="array" ref="K488">UseableCapacity(I488,$K$8,$K$9)</f>
        <v>26741.397375</v>
      </c>
      <c r="L488" s="59">
        <f t="shared" si="82"/>
        <v>33971.608939295897</v>
      </c>
      <c r="M488" s="7">
        <f t="shared" si="83"/>
        <v>25057.809814295899</v>
      </c>
      <c r="N488" s="7">
        <f t="shared" si="84"/>
        <v>2594.8035000000018</v>
      </c>
      <c r="O488" t="str">
        <f t="shared" si="87"/>
        <v>no</v>
      </c>
      <c r="P488" t="str">
        <f t="shared" si="88"/>
        <v>no</v>
      </c>
    </row>
    <row r="489" spans="2:16" x14ac:dyDescent="0.35">
      <c r="B489">
        <f t="shared" si="85"/>
        <v>474</v>
      </c>
      <c r="C489" s="7">
        <f t="shared" si="79"/>
        <v>474</v>
      </c>
      <c r="D489" s="1" cm="1">
        <f t="array" ref="D489">estimatedTripEnergy(C489,G$5,G$6,C$12,C$7,C$9,C$8,FALSE)/1000</f>
        <v>1536.5542398647001</v>
      </c>
      <c r="E489" s="1" cm="1">
        <f t="array" ref="E489">estimatedTripEnergy(C489,G$5,G$6,C$12,C$7,C$9,C$8)/1000</f>
        <v>1684.5142398646999</v>
      </c>
      <c r="F489" s="59" cm="1">
        <f t="array" ref="F489">estimatedTripDuration(C489,$C$8,$C$7)/60</f>
        <v>17.547152676766007</v>
      </c>
      <c r="G489">
        <f t="shared" si="86"/>
        <v>474</v>
      </c>
      <c r="H489" s="50">
        <f t="shared" si="80"/>
        <v>79</v>
      </c>
      <c r="I489" s="7" cm="1">
        <f t="array" ref="I489">CurrentCapacity(K$10,K$6,K$7,H489)</f>
        <v>35654.967000000004</v>
      </c>
      <c r="J489" s="48">
        <f t="shared" si="81"/>
        <v>4.7244868852766006E-2</v>
      </c>
      <c r="K489" s="5" cm="1">
        <f t="array" ref="K489">UseableCapacity(I489,$K$8,$K$9)</f>
        <v>26741.225250000003</v>
      </c>
      <c r="L489" s="59">
        <f t="shared" si="82"/>
        <v>33970.452760135304</v>
      </c>
      <c r="M489" s="7">
        <f t="shared" si="83"/>
        <v>25056.711010135303</v>
      </c>
      <c r="N489" s="7">
        <f t="shared" si="84"/>
        <v>2595.0329999999958</v>
      </c>
      <c r="O489" t="str">
        <f t="shared" si="87"/>
        <v>no</v>
      </c>
      <c r="P489" t="str">
        <f t="shared" si="88"/>
        <v>no</v>
      </c>
    </row>
    <row r="490" spans="2:16" x14ac:dyDescent="0.35">
      <c r="B490">
        <f t="shared" si="85"/>
        <v>475</v>
      </c>
      <c r="C490" s="7">
        <f t="shared" si="79"/>
        <v>475</v>
      </c>
      <c r="D490" s="1" cm="1">
        <f t="array" ref="D490">estimatedTripEnergy(C490,G$5,G$6,C$12,C$7,C$9,C$8,FALSE)/1000</f>
        <v>1537.4809190253002</v>
      </c>
      <c r="E490" s="1" cm="1">
        <f t="array" ref="E490">estimatedTripEnergy(C490,G$5,G$6,C$12,C$7,C$9,C$8)/1000</f>
        <v>1685.4409190253</v>
      </c>
      <c r="F490" s="59" cm="1">
        <f t="array" ref="F490">estimatedTripDuration(C490,$C$8,$C$7)/60</f>
        <v>17.580486010099339</v>
      </c>
      <c r="G490">
        <f t="shared" si="86"/>
        <v>475</v>
      </c>
      <c r="H490" s="50">
        <f t="shared" si="80"/>
        <v>79.166666666666671</v>
      </c>
      <c r="I490" s="7" cm="1">
        <f t="array" ref="I490">CurrentCapacity(K$10,K$6,K$7,H490)</f>
        <v>35654.737500000003</v>
      </c>
      <c r="J490" s="48">
        <f t="shared" si="81"/>
        <v>4.7271163306848066E-2</v>
      </c>
      <c r="K490" s="5" cm="1">
        <f t="array" ref="K490">UseableCapacity(I490,$K$8,$K$9)</f>
        <v>26741.053125000002</v>
      </c>
      <c r="L490" s="59">
        <f t="shared" si="82"/>
        <v>33969.296580974704</v>
      </c>
      <c r="M490" s="7">
        <f t="shared" si="83"/>
        <v>25055.612205974703</v>
      </c>
      <c r="N490" s="7">
        <f t="shared" si="84"/>
        <v>2595.2624999999971</v>
      </c>
      <c r="O490" t="str">
        <f t="shared" si="87"/>
        <v>no</v>
      </c>
      <c r="P490" t="str">
        <f t="shared" si="88"/>
        <v>no</v>
      </c>
    </row>
    <row r="491" spans="2:16" x14ac:dyDescent="0.35">
      <c r="B491">
        <f t="shared" si="85"/>
        <v>476</v>
      </c>
      <c r="C491" s="7">
        <f t="shared" si="79"/>
        <v>476</v>
      </c>
      <c r="D491" s="1" cm="1">
        <f t="array" ref="D491">estimatedTripEnergy(C491,G$5,G$6,C$12,C$7,C$9,C$8,FALSE)/1000</f>
        <v>1538.4075981859</v>
      </c>
      <c r="E491" s="1" cm="1">
        <f t="array" ref="E491">estimatedTripEnergy(C491,G$5,G$6,C$12,C$7,C$9,C$8)/1000</f>
        <v>1686.3675981859001</v>
      </c>
      <c r="F491" s="59" cm="1">
        <f t="array" ref="F491">estimatedTripDuration(C491,$C$8,$C$7)/60</f>
        <v>17.613819343432674</v>
      </c>
      <c r="G491">
        <f t="shared" si="86"/>
        <v>476</v>
      </c>
      <c r="H491" s="50">
        <f t="shared" si="80"/>
        <v>79.333333333333329</v>
      </c>
      <c r="I491" s="7" cm="1">
        <f t="array" ref="I491">CurrentCapacity(K$10,K$6,K$7,H491)</f>
        <v>35654.508000000002</v>
      </c>
      <c r="J491" s="48">
        <f t="shared" si="81"/>
        <v>4.7297458099433039E-2</v>
      </c>
      <c r="K491" s="5" cm="1">
        <f t="array" ref="K491">UseableCapacity(I491,$K$8,$K$9)</f>
        <v>26740.881000000001</v>
      </c>
      <c r="L491" s="59">
        <f t="shared" si="82"/>
        <v>33968.140401814104</v>
      </c>
      <c r="M491" s="7">
        <f t="shared" si="83"/>
        <v>25054.5134018141</v>
      </c>
      <c r="N491" s="7">
        <f t="shared" si="84"/>
        <v>2595.4919999999984</v>
      </c>
      <c r="O491" t="str">
        <f t="shared" si="87"/>
        <v>no</v>
      </c>
      <c r="P491" t="str">
        <f t="shared" si="88"/>
        <v>no</v>
      </c>
    </row>
    <row r="492" spans="2:16" x14ac:dyDescent="0.35">
      <c r="B492">
        <f t="shared" si="85"/>
        <v>477</v>
      </c>
      <c r="C492" s="7">
        <f t="shared" si="79"/>
        <v>477</v>
      </c>
      <c r="D492" s="1" cm="1">
        <f t="array" ref="D492">estimatedTripEnergy(C492,G$5,G$6,C$12,C$7,C$9,C$8,FALSE)/1000</f>
        <v>1539.3342773464999</v>
      </c>
      <c r="E492" s="1" cm="1">
        <f t="array" ref="E492">estimatedTripEnergy(C492,G$5,G$6,C$12,C$7,C$9,C$8)/1000</f>
        <v>1687.2942773464999</v>
      </c>
      <c r="F492" s="59" cm="1">
        <f t="array" ref="F492">estimatedTripDuration(C492,$C$8,$C$7)/60</f>
        <v>17.647152676766005</v>
      </c>
      <c r="G492">
        <f t="shared" si="86"/>
        <v>477</v>
      </c>
      <c r="H492" s="50">
        <f t="shared" si="80"/>
        <v>79.5</v>
      </c>
      <c r="I492" s="7" cm="1">
        <f t="array" ref="I492">CurrentCapacity(K$10,K$6,K$7,H492)</f>
        <v>35654.2785</v>
      </c>
      <c r="J492" s="48">
        <f t="shared" si="81"/>
        <v>4.7323753230527434E-2</v>
      </c>
      <c r="K492" s="5" cm="1">
        <f t="array" ref="K492">UseableCapacity(I492,$K$8,$K$9)</f>
        <v>26740.708875</v>
      </c>
      <c r="L492" s="59">
        <f t="shared" si="82"/>
        <v>33966.984222653504</v>
      </c>
      <c r="M492" s="7">
        <f t="shared" si="83"/>
        <v>25053.4145976535</v>
      </c>
      <c r="N492" s="7">
        <f t="shared" si="84"/>
        <v>2595.7214999999997</v>
      </c>
      <c r="O492" t="str">
        <f t="shared" si="87"/>
        <v>no</v>
      </c>
      <c r="P492" t="str">
        <f t="shared" si="88"/>
        <v>no</v>
      </c>
    </row>
    <row r="493" spans="2:16" x14ac:dyDescent="0.35">
      <c r="B493">
        <f t="shared" si="85"/>
        <v>478</v>
      </c>
      <c r="C493" s="7">
        <f t="shared" si="79"/>
        <v>478</v>
      </c>
      <c r="D493" s="1" cm="1">
        <f t="array" ref="D493">estimatedTripEnergy(C493,G$5,G$6,C$12,C$7,C$9,C$8,FALSE)/1000</f>
        <v>1540.2609565071</v>
      </c>
      <c r="E493" s="1" cm="1">
        <f t="array" ref="E493">estimatedTripEnergy(C493,G$5,G$6,C$12,C$7,C$9,C$8)/1000</f>
        <v>1688.2209565071</v>
      </c>
      <c r="F493" s="59" cm="1">
        <f t="array" ref="F493">estimatedTripDuration(C493,$C$8,$C$7)/60</f>
        <v>17.68048601009934</v>
      </c>
      <c r="G493">
        <f t="shared" si="86"/>
        <v>478</v>
      </c>
      <c r="H493" s="50">
        <f t="shared" si="80"/>
        <v>79.666666666666671</v>
      </c>
      <c r="I493" s="7" cm="1">
        <f t="array" ref="I493">CurrentCapacity(K$10,K$6,K$7,H493)</f>
        <v>35654.049000000006</v>
      </c>
      <c r="J493" s="48">
        <f t="shared" si="81"/>
        <v>4.7350048700137808E-2</v>
      </c>
      <c r="K493" s="5" cm="1">
        <f t="array" ref="K493">UseableCapacity(I493,$K$8,$K$9)</f>
        <v>26740.536750000007</v>
      </c>
      <c r="L493" s="59">
        <f t="shared" si="82"/>
        <v>33965.828043492904</v>
      </c>
      <c r="M493" s="7">
        <f t="shared" si="83"/>
        <v>25052.315793492908</v>
      </c>
      <c r="N493" s="7">
        <f t="shared" si="84"/>
        <v>2595.9509999999937</v>
      </c>
      <c r="O493" t="str">
        <f t="shared" si="87"/>
        <v>no</v>
      </c>
      <c r="P493" t="str">
        <f t="shared" si="88"/>
        <v>no</v>
      </c>
    </row>
    <row r="494" spans="2:16" x14ac:dyDescent="0.35">
      <c r="B494">
        <f t="shared" si="85"/>
        <v>479</v>
      </c>
      <c r="C494" s="7">
        <f t="shared" si="79"/>
        <v>479</v>
      </c>
      <c r="D494" s="1" cm="1">
        <f t="array" ref="D494">estimatedTripEnergy(C494,G$5,G$6,C$12,C$7,C$9,C$8,FALSE)/1000</f>
        <v>1541.1876356677001</v>
      </c>
      <c r="E494" s="1" cm="1">
        <f t="array" ref="E494">estimatedTripEnergy(C494,G$5,G$6,C$12,C$7,C$9,C$8)/1000</f>
        <v>1689.1476356677001</v>
      </c>
      <c r="F494" s="59" cm="1">
        <f t="array" ref="F494">estimatedTripDuration(C494,$C$8,$C$7)/60</f>
        <v>17.713819343432672</v>
      </c>
      <c r="G494">
        <f t="shared" si="86"/>
        <v>479</v>
      </c>
      <c r="H494" s="50">
        <f t="shared" si="80"/>
        <v>79.833333333333329</v>
      </c>
      <c r="I494" s="7" cm="1">
        <f t="array" ref="I494">CurrentCapacity(K$10,K$6,K$7,H494)</f>
        <v>35653.819499999998</v>
      </c>
      <c r="J494" s="48">
        <f t="shared" si="81"/>
        <v>4.7376344508270711E-2</v>
      </c>
      <c r="K494" s="5" cm="1">
        <f t="array" ref="K494">UseableCapacity(I494,$K$8,$K$9)</f>
        <v>26740.364624999998</v>
      </c>
      <c r="L494" s="59">
        <f t="shared" si="82"/>
        <v>33964.671864332297</v>
      </c>
      <c r="M494" s="7">
        <f t="shared" si="83"/>
        <v>25051.216989332297</v>
      </c>
      <c r="N494" s="7">
        <f t="shared" si="84"/>
        <v>2596.1805000000022</v>
      </c>
      <c r="O494" t="str">
        <f t="shared" si="87"/>
        <v>no</v>
      </c>
      <c r="P494" t="str">
        <f t="shared" si="88"/>
        <v>no</v>
      </c>
    </row>
    <row r="495" spans="2:16" x14ac:dyDescent="0.35">
      <c r="B495">
        <f t="shared" si="85"/>
        <v>480</v>
      </c>
      <c r="C495" s="7">
        <f t="shared" si="79"/>
        <v>480</v>
      </c>
      <c r="D495" s="1" cm="1">
        <f t="array" ref="D495">estimatedTripEnergy(C495,G$5,G$6,C$12,C$7,C$9,C$8,FALSE)/1000</f>
        <v>1542.1143148282999</v>
      </c>
      <c r="E495" s="1" cm="1">
        <f t="array" ref="E495">estimatedTripEnergy(C495,G$5,G$6,C$12,C$7,C$9,C$8)/1000</f>
        <v>1690.0743148283</v>
      </c>
      <c r="F495" s="59" cm="1">
        <f t="array" ref="F495">estimatedTripDuration(C495,$C$8,$C$7)/60</f>
        <v>17.747152676766007</v>
      </c>
      <c r="G495">
        <f t="shared" si="86"/>
        <v>480</v>
      </c>
      <c r="H495" s="50">
        <f t="shared" si="80"/>
        <v>80</v>
      </c>
      <c r="I495" s="7" cm="1">
        <f t="array" ref="I495">CurrentCapacity(K$10,K$6,K$7,H495)</f>
        <v>35653.590000000004</v>
      </c>
      <c r="J495" s="48">
        <f t="shared" si="81"/>
        <v>4.7402640654932639E-2</v>
      </c>
      <c r="K495" s="5" cm="1">
        <f t="array" ref="K495">UseableCapacity(I495,$K$8,$K$9)</f>
        <v>26740.192500000005</v>
      </c>
      <c r="L495" s="59">
        <f t="shared" si="82"/>
        <v>33963.515685171704</v>
      </c>
      <c r="M495" s="7">
        <f t="shared" si="83"/>
        <v>25050.118185171705</v>
      </c>
      <c r="N495" s="7">
        <f t="shared" si="84"/>
        <v>2596.4099999999962</v>
      </c>
      <c r="O495" t="str">
        <f t="shared" si="87"/>
        <v>no</v>
      </c>
      <c r="P495" t="str">
        <f t="shared" si="88"/>
        <v>no</v>
      </c>
    </row>
    <row r="496" spans="2:16" x14ac:dyDescent="0.35">
      <c r="B496">
        <f t="shared" si="85"/>
        <v>481</v>
      </c>
      <c r="C496" s="7">
        <f t="shared" si="79"/>
        <v>481</v>
      </c>
      <c r="D496" s="1" cm="1">
        <f t="array" ref="D496">estimatedTripEnergy(C496,G$5,G$6,C$12,C$7,C$9,C$8,FALSE)/1000</f>
        <v>1543.0409939889</v>
      </c>
      <c r="E496" s="1" cm="1">
        <f t="array" ref="E496">estimatedTripEnergy(C496,G$5,G$6,C$12,C$7,C$9,C$8)/1000</f>
        <v>1691.0009939889001</v>
      </c>
      <c r="F496" s="59" cm="1">
        <f t="array" ref="F496">estimatedTripDuration(C496,$C$8,$C$7)/60</f>
        <v>17.780486010099342</v>
      </c>
      <c r="G496">
        <f t="shared" si="86"/>
        <v>481</v>
      </c>
      <c r="H496" s="50">
        <f t="shared" si="80"/>
        <v>80.166666666666671</v>
      </c>
      <c r="I496" s="7" cm="1">
        <f t="array" ref="I496">CurrentCapacity(K$10,K$6,K$7,H496)</f>
        <v>35653.360500000003</v>
      </c>
      <c r="J496" s="48">
        <f t="shared" si="81"/>
        <v>4.7428937140130169E-2</v>
      </c>
      <c r="K496" s="5" cm="1">
        <f t="array" ref="K496">UseableCapacity(I496,$K$8,$K$9)</f>
        <v>26740.020375</v>
      </c>
      <c r="L496" s="59">
        <f t="shared" si="82"/>
        <v>33962.359506011104</v>
      </c>
      <c r="M496" s="7">
        <f t="shared" si="83"/>
        <v>25049.019381011101</v>
      </c>
      <c r="N496" s="7">
        <f t="shared" si="84"/>
        <v>2596.6394999999975</v>
      </c>
      <c r="O496" t="str">
        <f t="shared" si="87"/>
        <v>no</v>
      </c>
      <c r="P496" t="str">
        <f t="shared" si="88"/>
        <v>no</v>
      </c>
    </row>
    <row r="497" spans="2:16" x14ac:dyDescent="0.35">
      <c r="B497">
        <f t="shared" si="85"/>
        <v>482</v>
      </c>
      <c r="C497" s="7">
        <f t="shared" si="79"/>
        <v>482</v>
      </c>
      <c r="D497" s="1" cm="1">
        <f t="array" ref="D497">estimatedTripEnergy(C497,G$5,G$6,C$12,C$7,C$9,C$8,FALSE)/1000</f>
        <v>1543.9676731495001</v>
      </c>
      <c r="E497" s="1" cm="1">
        <f t="array" ref="E497">estimatedTripEnergy(C497,G$5,G$6,C$12,C$7,C$9,C$8)/1000</f>
        <v>1691.9276731495002</v>
      </c>
      <c r="F497" s="59" cm="1">
        <f t="array" ref="F497">estimatedTripDuration(C497,$C$8,$C$7)/60</f>
        <v>17.813819343432673</v>
      </c>
      <c r="G497">
        <f t="shared" si="86"/>
        <v>482</v>
      </c>
      <c r="H497" s="50">
        <f t="shared" si="80"/>
        <v>80.333333333333329</v>
      </c>
      <c r="I497" s="7" cm="1">
        <f t="array" ref="I497">CurrentCapacity(K$10,K$6,K$7,H497)</f>
        <v>35653.131000000001</v>
      </c>
      <c r="J497" s="48">
        <f t="shared" si="81"/>
        <v>4.7455233963869824E-2</v>
      </c>
      <c r="K497" s="5" cm="1">
        <f t="array" ref="K497">UseableCapacity(I497,$K$8,$K$9)</f>
        <v>26739.848250000003</v>
      </c>
      <c r="L497" s="59">
        <f t="shared" si="82"/>
        <v>33961.203326850504</v>
      </c>
      <c r="M497" s="7">
        <f t="shared" si="83"/>
        <v>25047.920576850502</v>
      </c>
      <c r="N497" s="7">
        <f t="shared" si="84"/>
        <v>2596.8689999999988</v>
      </c>
      <c r="O497" t="str">
        <f t="shared" si="87"/>
        <v>no</v>
      </c>
      <c r="P497" t="str">
        <f t="shared" si="88"/>
        <v>no</v>
      </c>
    </row>
    <row r="498" spans="2:16" x14ac:dyDescent="0.35">
      <c r="B498">
        <f t="shared" si="85"/>
        <v>483</v>
      </c>
      <c r="C498" s="7">
        <f t="shared" si="79"/>
        <v>483</v>
      </c>
      <c r="D498" s="1" cm="1">
        <f t="array" ref="D498">estimatedTripEnergy(C498,G$5,G$6,C$12,C$7,C$9,C$8,FALSE)/1000</f>
        <v>1544.8943523101002</v>
      </c>
      <c r="E498" s="1" cm="1">
        <f t="array" ref="E498">estimatedTripEnergy(C498,G$5,G$6,C$12,C$7,C$9,C$8)/1000</f>
        <v>1692.8543523101</v>
      </c>
      <c r="F498" s="59" cm="1">
        <f t="array" ref="F498">estimatedTripDuration(C498,$C$8,$C$7)/60</f>
        <v>17.847152676766008</v>
      </c>
      <c r="G498">
        <f t="shared" si="86"/>
        <v>483</v>
      </c>
      <c r="H498" s="50">
        <f t="shared" si="80"/>
        <v>80.5</v>
      </c>
      <c r="I498" s="7" cm="1">
        <f t="array" ref="I498">CurrentCapacity(K$10,K$6,K$7,H498)</f>
        <v>35652.901500000007</v>
      </c>
      <c r="J498" s="48">
        <f t="shared" si="81"/>
        <v>4.7481531126158126E-2</v>
      </c>
      <c r="K498" s="5" cm="1">
        <f t="array" ref="K498">UseableCapacity(I498,$K$8,$K$9)</f>
        <v>26739.676125000005</v>
      </c>
      <c r="L498" s="59">
        <f t="shared" si="82"/>
        <v>33960.047147689904</v>
      </c>
      <c r="M498" s="7">
        <f t="shared" si="83"/>
        <v>25046.821772689906</v>
      </c>
      <c r="N498" s="7">
        <f t="shared" si="84"/>
        <v>2597.0984999999928</v>
      </c>
      <c r="O498" t="str">
        <f t="shared" si="87"/>
        <v>no</v>
      </c>
      <c r="P498" t="str">
        <f t="shared" si="88"/>
        <v>no</v>
      </c>
    </row>
    <row r="499" spans="2:16" x14ac:dyDescent="0.35">
      <c r="B499">
        <f t="shared" si="85"/>
        <v>484</v>
      </c>
      <c r="C499" s="7">
        <f t="shared" si="79"/>
        <v>484</v>
      </c>
      <c r="D499" s="1" cm="1">
        <f t="array" ref="D499">estimatedTripEnergy(C499,G$5,G$6,C$12,C$7,C$9,C$8,FALSE)/1000</f>
        <v>1545.8210314706998</v>
      </c>
      <c r="E499" s="1" cm="1">
        <f t="array" ref="E499">estimatedTripEnergy(C499,G$5,G$6,C$12,C$7,C$9,C$8)/1000</f>
        <v>1693.7810314706999</v>
      </c>
      <c r="F499" s="59" cm="1">
        <f t="array" ref="F499">estimatedTripDuration(C499,$C$8,$C$7)/60</f>
        <v>17.880486010099339</v>
      </c>
      <c r="G499">
        <f t="shared" si="86"/>
        <v>484</v>
      </c>
      <c r="H499" s="50">
        <f t="shared" si="80"/>
        <v>80.666666666666671</v>
      </c>
      <c r="I499" s="7" cm="1">
        <f t="array" ref="I499">CurrentCapacity(K$10,K$6,K$7,H499)</f>
        <v>35652.671999999999</v>
      </c>
      <c r="J499" s="48">
        <f t="shared" si="81"/>
        <v>4.750782862700164E-2</v>
      </c>
      <c r="K499" s="5" cm="1">
        <f t="array" ref="K499">UseableCapacity(I499,$K$8,$K$9)</f>
        <v>26739.504000000001</v>
      </c>
      <c r="L499" s="59">
        <f t="shared" si="82"/>
        <v>33958.890968529297</v>
      </c>
      <c r="M499" s="7">
        <f t="shared" si="83"/>
        <v>25045.722968529302</v>
      </c>
      <c r="N499" s="7">
        <f t="shared" si="84"/>
        <v>2597.3280000000013</v>
      </c>
      <c r="O499" t="str">
        <f t="shared" si="87"/>
        <v>no</v>
      </c>
      <c r="P499" t="str">
        <f t="shared" si="88"/>
        <v>no</v>
      </c>
    </row>
    <row r="500" spans="2:16" x14ac:dyDescent="0.35">
      <c r="B500">
        <f t="shared" si="85"/>
        <v>485</v>
      </c>
      <c r="C500" s="7">
        <f t="shared" si="79"/>
        <v>485</v>
      </c>
      <c r="D500" s="1" cm="1">
        <f t="array" ref="D500">estimatedTripEnergy(C500,G$5,G$6,C$12,C$7,C$9,C$8,FALSE)/1000</f>
        <v>1546.7477106312999</v>
      </c>
      <c r="E500" s="1" cm="1">
        <f t="array" ref="E500">estimatedTripEnergy(C500,G$5,G$6,C$12,C$7,C$9,C$8)/1000</f>
        <v>1694.7077106313</v>
      </c>
      <c r="F500" s="59" cm="1">
        <f t="array" ref="F500">estimatedTripDuration(C500,$C$8,$C$7)/60</f>
        <v>17.913819343432674</v>
      </c>
      <c r="G500">
        <f t="shared" si="86"/>
        <v>485</v>
      </c>
      <c r="H500" s="50">
        <f t="shared" si="80"/>
        <v>80.833333333333329</v>
      </c>
      <c r="I500" s="7" cm="1">
        <f t="array" ref="I500">CurrentCapacity(K$10,K$6,K$7,H500)</f>
        <v>35652.442500000005</v>
      </c>
      <c r="J500" s="48">
        <f t="shared" si="81"/>
        <v>4.7534126466406888E-2</v>
      </c>
      <c r="K500" s="5" cm="1">
        <f t="array" ref="K500">UseableCapacity(I500,$K$8,$K$9)</f>
        <v>26739.331875000003</v>
      </c>
      <c r="L500" s="59">
        <f t="shared" si="82"/>
        <v>33957.734789368704</v>
      </c>
      <c r="M500" s="7">
        <f t="shared" si="83"/>
        <v>25044.624164368703</v>
      </c>
      <c r="N500" s="7">
        <f t="shared" si="84"/>
        <v>2597.5574999999953</v>
      </c>
      <c r="O500" t="str">
        <f t="shared" si="87"/>
        <v>no</v>
      </c>
      <c r="P500" t="str">
        <f t="shared" si="88"/>
        <v>no</v>
      </c>
    </row>
    <row r="501" spans="2:16" x14ac:dyDescent="0.35">
      <c r="B501">
        <f t="shared" si="85"/>
        <v>486</v>
      </c>
      <c r="C501" s="7">
        <f t="shared" si="79"/>
        <v>486</v>
      </c>
      <c r="D501" s="1" cm="1">
        <f t="array" ref="D501">estimatedTripEnergy(C501,G$5,G$6,C$12,C$7,C$9,C$8,FALSE)/1000</f>
        <v>1547.6743897919</v>
      </c>
      <c r="E501" s="1" cm="1">
        <f t="array" ref="E501">estimatedTripEnergy(C501,G$5,G$6,C$12,C$7,C$9,C$8)/1000</f>
        <v>1695.6343897919</v>
      </c>
      <c r="F501" s="59" cm="1">
        <f t="array" ref="F501">estimatedTripDuration(C501,$C$8,$C$7)/60</f>
        <v>17.947152676766006</v>
      </c>
      <c r="G501">
        <f t="shared" si="86"/>
        <v>486</v>
      </c>
      <c r="H501" s="50">
        <f t="shared" si="80"/>
        <v>81</v>
      </c>
      <c r="I501" s="7" cm="1">
        <f t="array" ref="I501">CurrentCapacity(K$10,K$6,K$7,H501)</f>
        <v>35652.213000000003</v>
      </c>
      <c r="J501" s="48">
        <f t="shared" si="81"/>
        <v>4.7560424644380414E-2</v>
      </c>
      <c r="K501" s="5" cm="1">
        <f t="array" ref="K501">UseableCapacity(I501,$K$8,$K$9)</f>
        <v>26739.159750000003</v>
      </c>
      <c r="L501" s="59">
        <f t="shared" si="82"/>
        <v>33956.578610208104</v>
      </c>
      <c r="M501" s="7">
        <f t="shared" si="83"/>
        <v>25043.525360208103</v>
      </c>
      <c r="N501" s="7">
        <f t="shared" si="84"/>
        <v>2597.7869999999966</v>
      </c>
      <c r="O501" t="str">
        <f t="shared" si="87"/>
        <v>no</v>
      </c>
      <c r="P501" t="str">
        <f t="shared" si="88"/>
        <v>no</v>
      </c>
    </row>
    <row r="502" spans="2:16" x14ac:dyDescent="0.35">
      <c r="B502">
        <f t="shared" si="85"/>
        <v>487</v>
      </c>
      <c r="C502" s="7">
        <f t="shared" si="79"/>
        <v>487</v>
      </c>
      <c r="D502" s="1" cm="1">
        <f t="array" ref="D502">estimatedTripEnergy(C502,G$5,G$6,C$12,C$7,C$9,C$8,FALSE)/1000</f>
        <v>1548.6010689524999</v>
      </c>
      <c r="E502" s="1" cm="1">
        <f t="array" ref="E502">estimatedTripEnergy(C502,G$5,G$6,C$12,C$7,C$9,C$8)/1000</f>
        <v>1696.5610689524999</v>
      </c>
      <c r="F502" s="59" cm="1">
        <f t="array" ref="F502">estimatedTripDuration(C502,$C$8,$C$7)/60</f>
        <v>17.980486010099341</v>
      </c>
      <c r="G502">
        <f t="shared" si="86"/>
        <v>487</v>
      </c>
      <c r="H502" s="50">
        <f t="shared" si="80"/>
        <v>81.166666666666671</v>
      </c>
      <c r="I502" s="7" cm="1">
        <f t="array" ref="I502">CurrentCapacity(K$10,K$6,K$7,H502)</f>
        <v>35651.983500000002</v>
      </c>
      <c r="J502" s="48">
        <f t="shared" si="81"/>
        <v>4.7586723160928754E-2</v>
      </c>
      <c r="K502" s="5" cm="1">
        <f t="array" ref="K502">UseableCapacity(I502,$K$8,$K$9)</f>
        <v>26738.987625000002</v>
      </c>
      <c r="L502" s="59">
        <f t="shared" si="82"/>
        <v>33955.422431047504</v>
      </c>
      <c r="M502" s="7">
        <f t="shared" si="83"/>
        <v>25042.426556047503</v>
      </c>
      <c r="N502" s="7">
        <f t="shared" si="84"/>
        <v>2598.0164999999979</v>
      </c>
      <c r="O502" t="str">
        <f t="shared" si="87"/>
        <v>no</v>
      </c>
      <c r="P502" t="str">
        <f t="shared" si="88"/>
        <v>no</v>
      </c>
    </row>
    <row r="503" spans="2:16" x14ac:dyDescent="0.35">
      <c r="B503">
        <f t="shared" si="85"/>
        <v>488</v>
      </c>
      <c r="C503" s="7">
        <f t="shared" si="79"/>
        <v>488</v>
      </c>
      <c r="D503" s="1" cm="1">
        <f t="array" ref="D503">estimatedTripEnergy(C503,G$5,G$6,C$12,C$7,C$9,C$8,FALSE)/1000</f>
        <v>1549.5277481131</v>
      </c>
      <c r="E503" s="1" cm="1">
        <f t="array" ref="E503">estimatedTripEnergy(C503,G$5,G$6,C$12,C$7,C$9,C$8)/1000</f>
        <v>1697.4877481131</v>
      </c>
      <c r="F503" s="59" cm="1">
        <f t="array" ref="F503">estimatedTripDuration(C503,$C$8,$C$7)/60</f>
        <v>18.013819343432672</v>
      </c>
      <c r="G503">
        <f t="shared" si="86"/>
        <v>488</v>
      </c>
      <c r="H503" s="50">
        <f t="shared" si="80"/>
        <v>81.333333333333329</v>
      </c>
      <c r="I503" s="7" cm="1">
        <f t="array" ref="I503">CurrentCapacity(K$10,K$6,K$7,H503)</f>
        <v>35651.754000000001</v>
      </c>
      <c r="J503" s="48">
        <f t="shared" si="81"/>
        <v>4.7613022016058451E-2</v>
      </c>
      <c r="K503" s="5" cm="1">
        <f t="array" ref="K503">UseableCapacity(I503,$K$8,$K$9)</f>
        <v>26738.815500000001</v>
      </c>
      <c r="L503" s="59">
        <f t="shared" si="82"/>
        <v>33954.266251886904</v>
      </c>
      <c r="M503" s="7">
        <f t="shared" si="83"/>
        <v>25041.3277518869</v>
      </c>
      <c r="N503" s="7">
        <f t="shared" si="84"/>
        <v>2598.2459999999992</v>
      </c>
      <c r="O503" t="str">
        <f t="shared" si="87"/>
        <v>no</v>
      </c>
      <c r="P503" t="str">
        <f t="shared" si="88"/>
        <v>no</v>
      </c>
    </row>
    <row r="504" spans="2:16" x14ac:dyDescent="0.35">
      <c r="B504">
        <f t="shared" si="85"/>
        <v>489</v>
      </c>
      <c r="C504" s="7">
        <f t="shared" si="79"/>
        <v>489</v>
      </c>
      <c r="D504" s="1" cm="1">
        <f t="array" ref="D504">estimatedTripEnergy(C504,G$5,G$6,C$12,C$7,C$9,C$8,FALSE)/1000</f>
        <v>1550.4544272737</v>
      </c>
      <c r="E504" s="1" cm="1">
        <f t="array" ref="E504">estimatedTripEnergy(C504,G$5,G$6,C$12,C$7,C$9,C$8)/1000</f>
        <v>1698.4144272737001</v>
      </c>
      <c r="F504" s="59" cm="1">
        <f t="array" ref="F504">estimatedTripDuration(C504,$C$8,$C$7)/60</f>
        <v>18.047152676766007</v>
      </c>
      <c r="G504">
        <f t="shared" si="86"/>
        <v>489</v>
      </c>
      <c r="H504" s="50">
        <f t="shared" si="80"/>
        <v>81.5</v>
      </c>
      <c r="I504" s="7" cm="1">
        <f t="array" ref="I504">CurrentCapacity(K$10,K$6,K$7,H504)</f>
        <v>35651.5245</v>
      </c>
      <c r="J504" s="48">
        <f t="shared" si="81"/>
        <v>4.7639321209776042E-2</v>
      </c>
      <c r="K504" s="5" cm="1">
        <f t="array" ref="K504">UseableCapacity(I504,$K$8,$K$9)</f>
        <v>26738.643375</v>
      </c>
      <c r="L504" s="59">
        <f t="shared" si="82"/>
        <v>33953.110072726296</v>
      </c>
      <c r="M504" s="7">
        <f t="shared" si="83"/>
        <v>25040.2289477263</v>
      </c>
      <c r="N504" s="7">
        <f t="shared" si="84"/>
        <v>2598.4755000000005</v>
      </c>
      <c r="O504" t="str">
        <f t="shared" si="87"/>
        <v>no</v>
      </c>
      <c r="P504" t="str">
        <f t="shared" si="88"/>
        <v>no</v>
      </c>
    </row>
    <row r="505" spans="2:16" x14ac:dyDescent="0.35">
      <c r="B505">
        <f t="shared" si="85"/>
        <v>490</v>
      </c>
      <c r="C505" s="7">
        <f t="shared" si="79"/>
        <v>490</v>
      </c>
      <c r="D505" s="1" cm="1">
        <f t="array" ref="D505">estimatedTripEnergy(C505,G$5,G$6,C$12,C$7,C$9,C$8,FALSE)/1000</f>
        <v>1551.3811064343001</v>
      </c>
      <c r="E505" s="1" cm="1">
        <f t="array" ref="E505">estimatedTripEnergy(C505,G$5,G$6,C$12,C$7,C$9,C$8)/1000</f>
        <v>1699.3411064343002</v>
      </c>
      <c r="F505" s="59" cm="1">
        <f t="array" ref="F505">estimatedTripDuration(C505,$C$8,$C$7)/60</f>
        <v>18.080486010099339</v>
      </c>
      <c r="G505">
        <f t="shared" si="86"/>
        <v>490</v>
      </c>
      <c r="H505" s="50">
        <f t="shared" si="80"/>
        <v>81.666666666666671</v>
      </c>
      <c r="I505" s="7" cm="1">
        <f t="array" ref="I505">CurrentCapacity(K$10,K$6,K$7,H505)</f>
        <v>35651.294999999998</v>
      </c>
      <c r="J505" s="48">
        <f t="shared" si="81"/>
        <v>4.7665620742088056E-2</v>
      </c>
      <c r="K505" s="5" cm="1">
        <f t="array" ref="K505">UseableCapacity(I505,$K$8,$K$9)</f>
        <v>26738.471249999999</v>
      </c>
      <c r="L505" s="59">
        <f t="shared" si="82"/>
        <v>33951.953893565696</v>
      </c>
      <c r="M505" s="7">
        <f t="shared" si="83"/>
        <v>25039.130143565697</v>
      </c>
      <c r="N505" s="7">
        <f t="shared" si="84"/>
        <v>2598.7050000000017</v>
      </c>
      <c r="O505" t="str">
        <f t="shared" si="87"/>
        <v>no</v>
      </c>
      <c r="P505" t="str">
        <f t="shared" si="88"/>
        <v>no</v>
      </c>
    </row>
    <row r="506" spans="2:16" x14ac:dyDescent="0.35">
      <c r="B506">
        <f t="shared" si="85"/>
        <v>491</v>
      </c>
      <c r="C506" s="7">
        <f t="shared" si="79"/>
        <v>491</v>
      </c>
      <c r="D506" s="1" cm="1">
        <f t="array" ref="D506">estimatedTripEnergy(C506,G$5,G$6,C$12,C$7,C$9,C$8,FALSE)/1000</f>
        <v>1552.3077855949002</v>
      </c>
      <c r="E506" s="1" cm="1">
        <f t="array" ref="E506">estimatedTripEnergy(C506,G$5,G$6,C$12,C$7,C$9,C$8)/1000</f>
        <v>1700.2677855949</v>
      </c>
      <c r="F506" s="59" cm="1">
        <f t="array" ref="F506">estimatedTripDuration(C506,$C$8,$C$7)/60</f>
        <v>18.113819343432674</v>
      </c>
      <c r="G506">
        <f t="shared" si="86"/>
        <v>491</v>
      </c>
      <c r="H506" s="50">
        <f t="shared" si="80"/>
        <v>81.833333333333329</v>
      </c>
      <c r="I506" s="7" cm="1">
        <f t="array" ref="I506">CurrentCapacity(K$10,K$6,K$7,H506)</f>
        <v>35651.065500000004</v>
      </c>
      <c r="J506" s="48">
        <f t="shared" si="81"/>
        <v>4.7691920613001031E-2</v>
      </c>
      <c r="K506" s="5" cm="1">
        <f t="array" ref="K506">UseableCapacity(I506,$K$8,$K$9)</f>
        <v>26738.299125000005</v>
      </c>
      <c r="L506" s="59">
        <f t="shared" si="82"/>
        <v>33950.797714405104</v>
      </c>
      <c r="M506" s="7">
        <f t="shared" si="83"/>
        <v>25038.031339405105</v>
      </c>
      <c r="N506" s="7">
        <f t="shared" si="84"/>
        <v>2598.9344999999958</v>
      </c>
      <c r="O506" t="str">
        <f t="shared" si="87"/>
        <v>no</v>
      </c>
      <c r="P506" t="str">
        <f t="shared" si="88"/>
        <v>no</v>
      </c>
    </row>
    <row r="507" spans="2:16" x14ac:dyDescent="0.35">
      <c r="B507">
        <f t="shared" si="85"/>
        <v>492</v>
      </c>
      <c r="C507" s="7">
        <f t="shared" si="79"/>
        <v>492</v>
      </c>
      <c r="D507" s="1" cm="1">
        <f t="array" ref="D507">estimatedTripEnergy(C507,G$5,G$6,C$12,C$7,C$9,C$8,FALSE)/1000</f>
        <v>1553.2344647554999</v>
      </c>
      <c r="E507" s="1" cm="1">
        <f t="array" ref="E507">estimatedTripEnergy(C507,G$5,G$6,C$12,C$7,C$9,C$8)/1000</f>
        <v>1701.1944647554999</v>
      </c>
      <c r="F507" s="59" cm="1">
        <f t="array" ref="F507">estimatedTripDuration(C507,$C$8,$C$7)/60</f>
        <v>18.147152676766005</v>
      </c>
      <c r="G507">
        <f t="shared" si="86"/>
        <v>492</v>
      </c>
      <c r="H507" s="50">
        <f t="shared" si="80"/>
        <v>82</v>
      </c>
      <c r="I507" s="7" cm="1">
        <f t="array" ref="I507">CurrentCapacity(K$10,K$6,K$7,H507)</f>
        <v>35650.836000000003</v>
      </c>
      <c r="J507" s="48">
        <f t="shared" si="81"/>
        <v>4.7718220822521515E-2</v>
      </c>
      <c r="K507" s="5" cm="1">
        <f t="array" ref="K507">UseableCapacity(I507,$K$8,$K$9)</f>
        <v>26738.127</v>
      </c>
      <c r="L507" s="59">
        <f t="shared" si="82"/>
        <v>33949.641535244504</v>
      </c>
      <c r="M507" s="7">
        <f t="shared" si="83"/>
        <v>25036.932535244501</v>
      </c>
      <c r="N507" s="7">
        <f t="shared" si="84"/>
        <v>2599.163999999997</v>
      </c>
      <c r="O507" t="str">
        <f t="shared" si="87"/>
        <v>no</v>
      </c>
      <c r="P507" t="str">
        <f t="shared" si="88"/>
        <v>no</v>
      </c>
    </row>
    <row r="508" spans="2:16" x14ac:dyDescent="0.35">
      <c r="B508">
        <f t="shared" si="85"/>
        <v>493</v>
      </c>
      <c r="C508" s="7">
        <f t="shared" si="79"/>
        <v>493</v>
      </c>
      <c r="D508" s="1" cm="1">
        <f t="array" ref="D508">estimatedTripEnergy(C508,G$5,G$6,C$12,C$7,C$9,C$8,FALSE)/1000</f>
        <v>1554.1611439160999</v>
      </c>
      <c r="E508" s="1" cm="1">
        <f t="array" ref="E508">estimatedTripEnergy(C508,G$5,G$6,C$12,C$7,C$9,C$8)/1000</f>
        <v>1702.1211439161</v>
      </c>
      <c r="F508" s="59" cm="1">
        <f t="array" ref="F508">estimatedTripDuration(C508,$C$8,$C$7)/60</f>
        <v>18.18048601009934</v>
      </c>
      <c r="G508">
        <f t="shared" si="86"/>
        <v>493</v>
      </c>
      <c r="H508" s="50">
        <f t="shared" si="80"/>
        <v>82.166666666666671</v>
      </c>
      <c r="I508" s="7" cm="1">
        <f t="array" ref="I508">CurrentCapacity(K$10,K$6,K$7,H508)</f>
        <v>35650.606500000002</v>
      </c>
      <c r="J508" s="48">
        <f t="shared" si="81"/>
        <v>4.774452137065606E-2</v>
      </c>
      <c r="K508" s="5" cm="1">
        <f t="array" ref="K508">UseableCapacity(I508,$K$8,$K$9)</f>
        <v>26737.954875000003</v>
      </c>
      <c r="L508" s="59">
        <f t="shared" si="82"/>
        <v>33948.485356083904</v>
      </c>
      <c r="M508" s="7">
        <f t="shared" si="83"/>
        <v>25035.833731083902</v>
      </c>
      <c r="N508" s="7">
        <f t="shared" si="84"/>
        <v>2599.3934999999983</v>
      </c>
      <c r="O508" t="str">
        <f t="shared" si="87"/>
        <v>no</v>
      </c>
      <c r="P508" t="str">
        <f t="shared" si="88"/>
        <v>no</v>
      </c>
    </row>
    <row r="509" spans="2:16" x14ac:dyDescent="0.35">
      <c r="B509">
        <f t="shared" si="85"/>
        <v>494</v>
      </c>
      <c r="C509" s="7">
        <f t="shared" si="79"/>
        <v>494</v>
      </c>
      <c r="D509" s="1" cm="1">
        <f t="array" ref="D509">estimatedTripEnergy(C509,G$5,G$6,C$12,C$7,C$9,C$8,FALSE)/1000</f>
        <v>1555.0878230767</v>
      </c>
      <c r="E509" s="1" cm="1">
        <f t="array" ref="E509">estimatedTripEnergy(C509,G$5,G$6,C$12,C$7,C$9,C$8)/1000</f>
        <v>1703.0478230767001</v>
      </c>
      <c r="F509" s="59" cm="1">
        <f t="array" ref="F509">estimatedTripDuration(C509,$C$8,$C$7)/60</f>
        <v>18.213819343432672</v>
      </c>
      <c r="G509">
        <f t="shared" si="86"/>
        <v>494</v>
      </c>
      <c r="H509" s="50">
        <f t="shared" si="80"/>
        <v>82.333333333333329</v>
      </c>
      <c r="I509" s="7" cm="1">
        <f t="array" ref="I509">CurrentCapacity(K$10,K$6,K$7,H509)</f>
        <v>35650.377</v>
      </c>
      <c r="J509" s="48">
        <f t="shared" si="81"/>
        <v>4.7770822257411194E-2</v>
      </c>
      <c r="K509" s="5" cm="1">
        <f t="array" ref="K509">UseableCapacity(I509,$K$8,$K$9)</f>
        <v>26737.782749999998</v>
      </c>
      <c r="L509" s="59">
        <f t="shared" si="82"/>
        <v>33947.329176923304</v>
      </c>
      <c r="M509" s="7">
        <f t="shared" si="83"/>
        <v>25034.734926923298</v>
      </c>
      <c r="N509" s="7">
        <f t="shared" si="84"/>
        <v>2599.6229999999996</v>
      </c>
      <c r="O509" t="str">
        <f t="shared" si="87"/>
        <v>no</v>
      </c>
      <c r="P509" t="str">
        <f t="shared" si="88"/>
        <v>no</v>
      </c>
    </row>
    <row r="510" spans="2:16" x14ac:dyDescent="0.35">
      <c r="B510">
        <f t="shared" si="85"/>
        <v>495</v>
      </c>
      <c r="C510" s="7">
        <f t="shared" si="79"/>
        <v>495</v>
      </c>
      <c r="D510" s="1" cm="1">
        <f t="array" ref="D510">estimatedTripEnergy(C510,G$5,G$6,C$12,C$7,C$9,C$8,FALSE)/1000</f>
        <v>1556.0145022372999</v>
      </c>
      <c r="E510" s="1" cm="1">
        <f t="array" ref="E510">estimatedTripEnergy(C510,G$5,G$6,C$12,C$7,C$9,C$8)/1000</f>
        <v>1703.9745022372999</v>
      </c>
      <c r="F510" s="59" cm="1">
        <f t="array" ref="F510">estimatedTripDuration(C510,$C$8,$C$7)/60</f>
        <v>18.247152676766007</v>
      </c>
      <c r="G510">
        <f t="shared" si="86"/>
        <v>495</v>
      </c>
      <c r="H510" s="50">
        <f t="shared" si="80"/>
        <v>82.5</v>
      </c>
      <c r="I510" s="7" cm="1">
        <f t="array" ref="I510">CurrentCapacity(K$10,K$6,K$7,H510)</f>
        <v>35650.147499999999</v>
      </c>
      <c r="J510" s="48">
        <f t="shared" si="81"/>
        <v>4.7797123482793441E-2</v>
      </c>
      <c r="K510" s="5" cm="1">
        <f t="array" ref="K510">UseableCapacity(I510,$K$8,$K$9)</f>
        <v>26737.610625000001</v>
      </c>
      <c r="L510" s="59">
        <f t="shared" si="82"/>
        <v>33946.172997762696</v>
      </c>
      <c r="M510" s="7">
        <f t="shared" si="83"/>
        <v>25033.636122762702</v>
      </c>
      <c r="N510" s="7">
        <f t="shared" si="84"/>
        <v>2599.8525000000009</v>
      </c>
      <c r="O510" t="str">
        <f t="shared" si="87"/>
        <v>no</v>
      </c>
      <c r="P510" t="str">
        <f t="shared" si="88"/>
        <v>no</v>
      </c>
    </row>
    <row r="511" spans="2:16" x14ac:dyDescent="0.35">
      <c r="B511">
        <f t="shared" si="85"/>
        <v>496</v>
      </c>
      <c r="C511" s="7">
        <f t="shared" si="79"/>
        <v>496</v>
      </c>
      <c r="D511" s="1" cm="1">
        <f t="array" ref="D511">estimatedTripEnergy(C511,G$5,G$6,C$12,C$7,C$9,C$8,FALSE)/1000</f>
        <v>1556.9411813979</v>
      </c>
      <c r="E511" s="1" cm="1">
        <f t="array" ref="E511">estimatedTripEnergy(C511,G$5,G$6,C$12,C$7,C$9,C$8)/1000</f>
        <v>1704.9011813979</v>
      </c>
      <c r="F511" s="59" cm="1">
        <f t="array" ref="F511">estimatedTripDuration(C511,$C$8,$C$7)/60</f>
        <v>18.280486010099342</v>
      </c>
      <c r="G511">
        <f t="shared" si="86"/>
        <v>496</v>
      </c>
      <c r="H511" s="50">
        <f t="shared" si="80"/>
        <v>82.666666666666671</v>
      </c>
      <c r="I511" s="7" cm="1">
        <f t="array" ref="I511">CurrentCapacity(K$10,K$6,K$7,H511)</f>
        <v>35649.918000000005</v>
      </c>
      <c r="J511" s="48">
        <f t="shared" si="81"/>
        <v>4.7823425046809358E-2</v>
      </c>
      <c r="K511" s="5" cm="1">
        <f t="array" ref="K511">UseableCapacity(I511,$K$8,$K$9)</f>
        <v>26737.438500000004</v>
      </c>
      <c r="L511" s="59">
        <f t="shared" si="82"/>
        <v>33945.016818602104</v>
      </c>
      <c r="M511" s="7">
        <f t="shared" si="83"/>
        <v>25032.537318602102</v>
      </c>
      <c r="N511" s="7">
        <f t="shared" si="84"/>
        <v>2600.0819999999949</v>
      </c>
      <c r="O511" t="str">
        <f t="shared" si="87"/>
        <v>no</v>
      </c>
      <c r="P511" t="str">
        <f t="shared" si="88"/>
        <v>no</v>
      </c>
    </row>
    <row r="512" spans="2:16" x14ac:dyDescent="0.35">
      <c r="B512">
        <f t="shared" si="85"/>
        <v>497</v>
      </c>
      <c r="C512" s="7">
        <f t="shared" si="79"/>
        <v>497</v>
      </c>
      <c r="D512" s="1" cm="1">
        <f t="array" ref="D512">estimatedTripEnergy(C512,G$5,G$6,C$12,C$7,C$9,C$8,FALSE)/1000</f>
        <v>1557.8678605585001</v>
      </c>
      <c r="E512" s="1" cm="1">
        <f t="array" ref="E512">estimatedTripEnergy(C512,G$5,G$6,C$12,C$7,C$9,C$8)/1000</f>
        <v>1705.8278605585001</v>
      </c>
      <c r="F512" s="59" cm="1">
        <f t="array" ref="F512">estimatedTripDuration(C512,$C$8,$C$7)/60</f>
        <v>18.313819343432673</v>
      </c>
      <c r="G512">
        <f t="shared" si="86"/>
        <v>497</v>
      </c>
      <c r="H512" s="50">
        <f t="shared" si="80"/>
        <v>82.833333333333329</v>
      </c>
      <c r="I512" s="7" cm="1">
        <f t="array" ref="I512">CurrentCapacity(K$10,K$6,K$7,H512)</f>
        <v>35649.688500000004</v>
      </c>
      <c r="J512" s="48">
        <f t="shared" si="81"/>
        <v>4.7849726949465488E-2</v>
      </c>
      <c r="K512" s="5" cm="1">
        <f t="array" ref="K512">UseableCapacity(I512,$K$8,$K$9)</f>
        <v>26737.266375000003</v>
      </c>
      <c r="L512" s="59">
        <f t="shared" si="82"/>
        <v>33943.860639441504</v>
      </c>
      <c r="M512" s="7">
        <f t="shared" si="83"/>
        <v>25031.438514441503</v>
      </c>
      <c r="N512" s="7">
        <f t="shared" si="84"/>
        <v>2600.3114999999962</v>
      </c>
      <c r="O512" t="str">
        <f t="shared" si="87"/>
        <v>no</v>
      </c>
      <c r="P512" t="str">
        <f t="shared" si="88"/>
        <v>no</v>
      </c>
    </row>
    <row r="513" spans="2:16" x14ac:dyDescent="0.35">
      <c r="B513">
        <f t="shared" si="85"/>
        <v>498</v>
      </c>
      <c r="C513" s="7">
        <f t="shared" si="79"/>
        <v>498</v>
      </c>
      <c r="D513" s="1" cm="1">
        <f t="array" ref="D513">estimatedTripEnergy(C513,G$5,G$6,C$12,C$7,C$9,C$8,FALSE)/1000</f>
        <v>1558.7945397191002</v>
      </c>
      <c r="E513" s="1" cm="1">
        <f t="array" ref="E513">estimatedTripEnergy(C513,G$5,G$6,C$12,C$7,C$9,C$8)/1000</f>
        <v>1706.7545397191002</v>
      </c>
      <c r="F513" s="59" cm="1">
        <f t="array" ref="F513">estimatedTripDuration(C513,$C$8,$C$7)/60</f>
        <v>18.347152676766008</v>
      </c>
      <c r="G513">
        <f t="shared" si="86"/>
        <v>498</v>
      </c>
      <c r="H513" s="50">
        <f t="shared" si="80"/>
        <v>83</v>
      </c>
      <c r="I513" s="7" cm="1">
        <f t="array" ref="I513">CurrentCapacity(K$10,K$6,K$7,H513)</f>
        <v>35649.459000000003</v>
      </c>
      <c r="J513" s="48">
        <f t="shared" si="81"/>
        <v>4.7876029190768367E-2</v>
      </c>
      <c r="K513" s="5" cm="1">
        <f t="array" ref="K513">UseableCapacity(I513,$K$8,$K$9)</f>
        <v>26737.094250000002</v>
      </c>
      <c r="L513" s="59">
        <f t="shared" si="82"/>
        <v>33942.704460280904</v>
      </c>
      <c r="M513" s="7">
        <f t="shared" si="83"/>
        <v>25030.339710280903</v>
      </c>
      <c r="N513" s="7">
        <f t="shared" si="84"/>
        <v>2600.5409999999974</v>
      </c>
      <c r="O513" t="str">
        <f t="shared" si="87"/>
        <v>no</v>
      </c>
      <c r="P513" t="str">
        <f t="shared" si="88"/>
        <v>no</v>
      </c>
    </row>
    <row r="514" spans="2:16" x14ac:dyDescent="0.35">
      <c r="B514">
        <f t="shared" si="85"/>
        <v>499</v>
      </c>
      <c r="C514" s="7">
        <f t="shared" si="79"/>
        <v>499</v>
      </c>
      <c r="D514" s="1" cm="1">
        <f t="array" ref="D514">estimatedTripEnergy(C514,G$5,G$6,C$12,C$7,C$9,C$8,FALSE)/1000</f>
        <v>1559.7212188797</v>
      </c>
      <c r="E514" s="1" cm="1">
        <f t="array" ref="E514">estimatedTripEnergy(C514,G$5,G$6,C$12,C$7,C$9,C$8)/1000</f>
        <v>1707.6812188796998</v>
      </c>
      <c r="F514" s="59" cm="1">
        <f t="array" ref="F514">estimatedTripDuration(C514,$C$8,$C$7)/60</f>
        <v>18.380486010099339</v>
      </c>
      <c r="G514">
        <f t="shared" si="86"/>
        <v>499</v>
      </c>
      <c r="H514" s="50">
        <f t="shared" si="80"/>
        <v>83.166666666666671</v>
      </c>
      <c r="I514" s="7" cm="1">
        <f t="array" ref="I514">CurrentCapacity(K$10,K$6,K$7,H514)</f>
        <v>35649.229500000001</v>
      </c>
      <c r="J514" s="48">
        <f t="shared" si="81"/>
        <v>4.7902331770724518E-2</v>
      </c>
      <c r="K514" s="5" cm="1">
        <f t="array" ref="K514">UseableCapacity(I514,$K$8,$K$9)</f>
        <v>26736.922125000001</v>
      </c>
      <c r="L514" s="59">
        <f t="shared" si="82"/>
        <v>33941.548281120304</v>
      </c>
      <c r="M514" s="7">
        <f t="shared" si="83"/>
        <v>25029.2409061203</v>
      </c>
      <c r="N514" s="7">
        <f t="shared" si="84"/>
        <v>2600.7704999999987</v>
      </c>
      <c r="O514" t="str">
        <f t="shared" si="87"/>
        <v>no</v>
      </c>
      <c r="P514" t="str">
        <f t="shared" si="88"/>
        <v>no</v>
      </c>
    </row>
    <row r="515" spans="2:16" x14ac:dyDescent="0.35">
      <c r="B515">
        <f t="shared" si="85"/>
        <v>500</v>
      </c>
      <c r="C515" s="7">
        <f t="shared" si="79"/>
        <v>500</v>
      </c>
      <c r="D515" s="1" cm="1">
        <f t="array" ref="D515">estimatedTripEnergy(C515,G$5,G$6,C$12,C$7,C$9,C$8,FALSE)/1000</f>
        <v>1560.6478980403001</v>
      </c>
      <c r="E515" s="1" cm="1">
        <f t="array" ref="E515">estimatedTripEnergy(C515,G$5,G$6,C$12,C$7,C$9,C$8)/1000</f>
        <v>1708.6078980402999</v>
      </c>
      <c r="F515" s="59" cm="1">
        <f t="array" ref="F515">estimatedTripDuration(C515,$C$8,$C$7)/60</f>
        <v>18.413819343432674</v>
      </c>
      <c r="G515">
        <f t="shared" si="86"/>
        <v>500</v>
      </c>
      <c r="H515" s="50">
        <f t="shared" si="80"/>
        <v>83.333333333333329</v>
      </c>
      <c r="I515" s="7" cm="1">
        <f t="array" ref="I515">CurrentCapacity(K$10,K$6,K$7,H515)</f>
        <v>35649</v>
      </c>
      <c r="J515" s="48">
        <f t="shared" si="81"/>
        <v>4.7928634689340513E-2</v>
      </c>
      <c r="K515" s="5" cm="1">
        <f t="array" ref="K515">UseableCapacity(I515,$K$8,$K$9)</f>
        <v>26736.75</v>
      </c>
      <c r="L515" s="59">
        <f t="shared" si="82"/>
        <v>33940.392101959704</v>
      </c>
      <c r="M515" s="7">
        <f t="shared" si="83"/>
        <v>25028.1421019597</v>
      </c>
      <c r="N515" s="7">
        <f t="shared" si="84"/>
        <v>2601</v>
      </c>
      <c r="O515" t="str">
        <f t="shared" si="87"/>
        <v>no</v>
      </c>
      <c r="P515" t="str">
        <f t="shared" si="88"/>
        <v>no</v>
      </c>
    </row>
    <row r="516" spans="2:16" x14ac:dyDescent="0.35">
      <c r="B516">
        <f t="shared" si="85"/>
        <v>501</v>
      </c>
      <c r="C516" s="7">
        <f t="shared" si="79"/>
        <v>501</v>
      </c>
      <c r="D516" s="1" cm="1">
        <f t="array" ref="D516">estimatedTripEnergy(C516,G$5,G$6,C$12,C$7,C$9,C$8,FALSE)/1000</f>
        <v>1561.5745772009</v>
      </c>
      <c r="E516" s="1" cm="1">
        <f t="array" ref="E516">estimatedTripEnergy(C516,G$5,G$6,C$12,C$7,C$9,C$8)/1000</f>
        <v>1709.5345772009</v>
      </c>
      <c r="F516" s="59" cm="1">
        <f t="array" ref="F516">estimatedTripDuration(C516,$C$8,$C$7)/60</f>
        <v>18.447152676766006</v>
      </c>
      <c r="G516">
        <f t="shared" si="86"/>
        <v>501</v>
      </c>
      <c r="H516" s="50">
        <f t="shared" si="80"/>
        <v>83.5</v>
      </c>
      <c r="I516" s="7" cm="1">
        <f t="array" ref="I516">CurrentCapacity(K$10,K$6,K$7,H516)</f>
        <v>35648.770500000006</v>
      </c>
      <c r="J516" s="48">
        <f t="shared" si="81"/>
        <v>4.7954937946622866E-2</v>
      </c>
      <c r="K516" s="5" cm="1">
        <f t="array" ref="K516">UseableCapacity(I516,$K$8,$K$9)</f>
        <v>26736.577875000003</v>
      </c>
      <c r="L516" s="59">
        <f t="shared" si="82"/>
        <v>33939.235922799104</v>
      </c>
      <c r="M516" s="7">
        <f t="shared" si="83"/>
        <v>25027.043297799104</v>
      </c>
      <c r="N516" s="7">
        <f t="shared" si="84"/>
        <v>2601.229499999994</v>
      </c>
      <c r="O516" t="str">
        <f t="shared" si="87"/>
        <v>no</v>
      </c>
      <c r="P516" t="str">
        <f t="shared" si="88"/>
        <v>no</v>
      </c>
    </row>
    <row r="517" spans="2:16" x14ac:dyDescent="0.35">
      <c r="B517">
        <f t="shared" si="85"/>
        <v>502</v>
      </c>
      <c r="C517" s="7">
        <f t="shared" si="79"/>
        <v>502</v>
      </c>
      <c r="D517" s="1" cm="1">
        <f t="array" ref="D517">estimatedTripEnergy(C517,G$5,G$6,C$12,C$7,C$9,C$8,FALSE)/1000</f>
        <v>1562.5012563614998</v>
      </c>
      <c r="E517" s="1" cm="1">
        <f t="array" ref="E517">estimatedTripEnergy(C517,G$5,G$6,C$12,C$7,C$9,C$8)/1000</f>
        <v>1710.4612563614999</v>
      </c>
      <c r="F517" s="59" cm="1">
        <f t="array" ref="F517">estimatedTripDuration(C517,$C$8,$C$7)/60</f>
        <v>18.480486010099341</v>
      </c>
      <c r="G517">
        <f t="shared" si="86"/>
        <v>502</v>
      </c>
      <c r="H517" s="50">
        <f t="shared" si="80"/>
        <v>83.666666666666671</v>
      </c>
      <c r="I517" s="7" cm="1">
        <f t="array" ref="I517">CurrentCapacity(K$10,K$6,K$7,H517)</f>
        <v>35648.541000000005</v>
      </c>
      <c r="J517" s="48">
        <f t="shared" si="81"/>
        <v>4.7981241542578129E-2</v>
      </c>
      <c r="K517" s="5" cm="1">
        <f t="array" ref="K517">UseableCapacity(I517,$K$8,$K$9)</f>
        <v>26736.405750000005</v>
      </c>
      <c r="L517" s="59">
        <f t="shared" si="82"/>
        <v>33938.079743638504</v>
      </c>
      <c r="M517" s="7">
        <f t="shared" si="83"/>
        <v>25025.944493638504</v>
      </c>
      <c r="N517" s="7">
        <f t="shared" si="84"/>
        <v>2601.4589999999953</v>
      </c>
      <c r="O517" t="str">
        <f t="shared" si="87"/>
        <v>no</v>
      </c>
      <c r="P517" t="str">
        <f t="shared" si="88"/>
        <v>no</v>
      </c>
    </row>
    <row r="518" spans="2:16" x14ac:dyDescent="0.35">
      <c r="B518">
        <f t="shared" si="85"/>
        <v>503</v>
      </c>
      <c r="C518" s="7">
        <f t="shared" si="79"/>
        <v>503</v>
      </c>
      <c r="D518" s="1" cm="1">
        <f t="array" ref="D518">estimatedTripEnergy(C518,G$5,G$6,C$12,C$7,C$9,C$8,FALSE)/1000</f>
        <v>1563.4279355220999</v>
      </c>
      <c r="E518" s="1" cm="1">
        <f t="array" ref="E518">estimatedTripEnergy(C518,G$5,G$6,C$12,C$7,C$9,C$8)/1000</f>
        <v>1711.3879355221</v>
      </c>
      <c r="F518" s="59" cm="1">
        <f t="array" ref="F518">estimatedTripDuration(C518,$C$8,$C$7)/60</f>
        <v>18.513819343432672</v>
      </c>
      <c r="G518">
        <f t="shared" si="86"/>
        <v>503</v>
      </c>
      <c r="H518" s="50">
        <f t="shared" si="80"/>
        <v>83.833333333333329</v>
      </c>
      <c r="I518" s="7" cm="1">
        <f t="array" ref="I518">CurrentCapacity(K$10,K$6,K$7,H518)</f>
        <v>35648.311500000003</v>
      </c>
      <c r="J518" s="48">
        <f t="shared" si="81"/>
        <v>4.8007545477212851E-2</v>
      </c>
      <c r="K518" s="5" cm="1">
        <f t="array" ref="K518">UseableCapacity(I518,$K$8,$K$9)</f>
        <v>26736.233625000001</v>
      </c>
      <c r="L518" s="59">
        <f t="shared" si="82"/>
        <v>33936.923564477904</v>
      </c>
      <c r="M518" s="7">
        <f t="shared" si="83"/>
        <v>25024.845689477901</v>
      </c>
      <c r="N518" s="7">
        <f t="shared" si="84"/>
        <v>2601.6884999999966</v>
      </c>
      <c r="O518" t="str">
        <f t="shared" si="87"/>
        <v>no</v>
      </c>
      <c r="P518" t="str">
        <f t="shared" si="88"/>
        <v>no</v>
      </c>
    </row>
    <row r="519" spans="2:16" x14ac:dyDescent="0.35">
      <c r="B519">
        <f t="shared" si="85"/>
        <v>504</v>
      </c>
      <c r="C519" s="7">
        <f t="shared" si="79"/>
        <v>504</v>
      </c>
      <c r="D519" s="1" cm="1">
        <f t="array" ref="D519">estimatedTripEnergy(C519,G$5,G$6,C$12,C$7,C$9,C$8,FALSE)/1000</f>
        <v>1564.3546146827</v>
      </c>
      <c r="E519" s="1" cm="1">
        <f t="array" ref="E519">estimatedTripEnergy(C519,G$5,G$6,C$12,C$7,C$9,C$8)/1000</f>
        <v>1712.3146146827</v>
      </c>
      <c r="F519" s="59" cm="1">
        <f t="array" ref="F519">estimatedTripDuration(C519,$C$8,$C$7)/60</f>
        <v>18.547152676766007</v>
      </c>
      <c r="G519">
        <f t="shared" si="86"/>
        <v>504</v>
      </c>
      <c r="H519" s="50">
        <f t="shared" si="80"/>
        <v>84</v>
      </c>
      <c r="I519" s="7" cm="1">
        <f t="array" ref="I519">CurrentCapacity(K$10,K$6,K$7,H519)</f>
        <v>35648.082000000002</v>
      </c>
      <c r="J519" s="48">
        <f t="shared" si="81"/>
        <v>4.8033849750533562E-2</v>
      </c>
      <c r="K519" s="5" cm="1">
        <f t="array" ref="K519">UseableCapacity(I519,$K$8,$K$9)</f>
        <v>26736.061500000003</v>
      </c>
      <c r="L519" s="59">
        <f t="shared" si="82"/>
        <v>33935.767385317304</v>
      </c>
      <c r="M519" s="7">
        <f t="shared" si="83"/>
        <v>25023.746885317305</v>
      </c>
      <c r="N519" s="7">
        <f t="shared" si="84"/>
        <v>2601.9179999999978</v>
      </c>
      <c r="O519" t="str">
        <f t="shared" si="87"/>
        <v>no</v>
      </c>
      <c r="P519" t="str">
        <f t="shared" si="88"/>
        <v>no</v>
      </c>
    </row>
    <row r="520" spans="2:16" x14ac:dyDescent="0.35">
      <c r="B520">
        <f t="shared" si="85"/>
        <v>505</v>
      </c>
      <c r="C520" s="7">
        <f t="shared" si="79"/>
        <v>505</v>
      </c>
      <c r="D520" s="1" cm="1">
        <f t="array" ref="D520">estimatedTripEnergy(C520,G$5,G$6,C$12,C$7,C$9,C$8,FALSE)/1000</f>
        <v>1565.2812938433001</v>
      </c>
      <c r="E520" s="1" cm="1">
        <f t="array" ref="E520">estimatedTripEnergy(C520,G$5,G$6,C$12,C$7,C$9,C$8)/1000</f>
        <v>1713.2412938433001</v>
      </c>
      <c r="F520" s="59" cm="1">
        <f t="array" ref="F520">estimatedTripDuration(C520,$C$8,$C$7)/60</f>
        <v>18.580486010099339</v>
      </c>
      <c r="G520">
        <f t="shared" si="86"/>
        <v>505</v>
      </c>
      <c r="H520" s="50">
        <f t="shared" si="80"/>
        <v>84.166666666666671</v>
      </c>
      <c r="I520" s="7" cm="1">
        <f t="array" ref="I520">CurrentCapacity(K$10,K$6,K$7,H520)</f>
        <v>35647.852500000001</v>
      </c>
      <c r="J520" s="48">
        <f t="shared" si="81"/>
        <v>4.8060154362546806E-2</v>
      </c>
      <c r="K520" s="5" cm="1">
        <f t="array" ref="K520">UseableCapacity(I520,$K$8,$K$9)</f>
        <v>26735.889374999999</v>
      </c>
      <c r="L520" s="59">
        <f t="shared" si="82"/>
        <v>33934.611206156704</v>
      </c>
      <c r="M520" s="7">
        <f t="shared" si="83"/>
        <v>25022.648081156698</v>
      </c>
      <c r="N520" s="7">
        <f t="shared" si="84"/>
        <v>2602.1474999999991</v>
      </c>
      <c r="O520" t="str">
        <f t="shared" si="87"/>
        <v>no</v>
      </c>
      <c r="P520" t="str">
        <f t="shared" si="88"/>
        <v>no</v>
      </c>
    </row>
    <row r="521" spans="2:16" x14ac:dyDescent="0.35">
      <c r="B521">
        <f t="shared" si="85"/>
        <v>506</v>
      </c>
      <c r="C521" s="7">
        <f t="shared" si="79"/>
        <v>506</v>
      </c>
      <c r="D521" s="1" cm="1">
        <f t="array" ref="D521">estimatedTripEnergy(C521,G$5,G$6,C$12,C$7,C$9,C$8,FALSE)/1000</f>
        <v>1566.2079730039002</v>
      </c>
      <c r="E521" s="1" cm="1">
        <f t="array" ref="E521">estimatedTripEnergy(C521,G$5,G$6,C$12,C$7,C$9,C$8)/1000</f>
        <v>1714.1679730039002</v>
      </c>
      <c r="F521" s="59" cm="1">
        <f t="array" ref="F521">estimatedTripDuration(C521,$C$8,$C$7)/60</f>
        <v>18.613819343432674</v>
      </c>
      <c r="G521">
        <f t="shared" si="86"/>
        <v>506</v>
      </c>
      <c r="H521" s="50">
        <f t="shared" si="80"/>
        <v>84.333333333333329</v>
      </c>
      <c r="I521" s="7" cm="1">
        <f t="array" ref="I521">CurrentCapacity(K$10,K$6,K$7,H521)</f>
        <v>35647.623</v>
      </c>
      <c r="J521" s="48">
        <f t="shared" si="81"/>
        <v>4.8086459313259125E-2</v>
      </c>
      <c r="K521" s="5" cm="1">
        <f t="array" ref="K521">UseableCapacity(I521,$K$8,$K$9)</f>
        <v>26735.717250000002</v>
      </c>
      <c r="L521" s="59">
        <f t="shared" si="82"/>
        <v>33933.455026996096</v>
      </c>
      <c r="M521" s="7">
        <f t="shared" si="83"/>
        <v>25021.549276996102</v>
      </c>
      <c r="N521" s="7">
        <f t="shared" si="84"/>
        <v>2602.3770000000004</v>
      </c>
      <c r="O521" t="str">
        <f t="shared" si="87"/>
        <v>no</v>
      </c>
      <c r="P521" t="str">
        <f t="shared" si="88"/>
        <v>no</v>
      </c>
    </row>
    <row r="522" spans="2:16" x14ac:dyDescent="0.35">
      <c r="B522">
        <f t="shared" si="85"/>
        <v>507</v>
      </c>
      <c r="C522" s="7">
        <f t="shared" si="79"/>
        <v>507</v>
      </c>
      <c r="D522" s="1" cm="1">
        <f t="array" ref="D522">estimatedTripEnergy(C522,G$5,G$6,C$12,C$7,C$9,C$8,FALSE)/1000</f>
        <v>1567.1346521645</v>
      </c>
      <c r="E522" s="1" cm="1">
        <f t="array" ref="E522">estimatedTripEnergy(C522,G$5,G$6,C$12,C$7,C$9,C$8)/1000</f>
        <v>1715.0946521645001</v>
      </c>
      <c r="F522" s="59" cm="1">
        <f t="array" ref="F522">estimatedTripDuration(C522,$C$8,$C$7)/60</f>
        <v>18.647152676766005</v>
      </c>
      <c r="G522">
        <f t="shared" si="86"/>
        <v>507</v>
      </c>
      <c r="H522" s="50">
        <f t="shared" si="80"/>
        <v>84.5</v>
      </c>
      <c r="I522" s="7" cm="1">
        <f t="array" ref="I522">CurrentCapacity(K$10,K$6,K$7,H522)</f>
        <v>35647.393500000006</v>
      </c>
      <c r="J522" s="48">
        <f t="shared" si="81"/>
        <v>4.8112764602677043E-2</v>
      </c>
      <c r="K522" s="5" cm="1">
        <f t="array" ref="K522">UseableCapacity(I522,$K$8,$K$9)</f>
        <v>26735.545125000004</v>
      </c>
      <c r="L522" s="59">
        <f t="shared" si="82"/>
        <v>33932.298847835504</v>
      </c>
      <c r="M522" s="7">
        <f t="shared" si="83"/>
        <v>25020.450472835502</v>
      </c>
      <c r="N522" s="7">
        <f t="shared" si="84"/>
        <v>2602.6064999999944</v>
      </c>
      <c r="O522" t="str">
        <f t="shared" si="87"/>
        <v>no</v>
      </c>
      <c r="P522" t="str">
        <f t="shared" si="88"/>
        <v>no</v>
      </c>
    </row>
    <row r="523" spans="2:16" x14ac:dyDescent="0.35">
      <c r="B523">
        <f t="shared" si="85"/>
        <v>508</v>
      </c>
      <c r="C523" s="7">
        <f t="shared" si="79"/>
        <v>508</v>
      </c>
      <c r="D523" s="1" cm="1">
        <f t="array" ref="D523">estimatedTripEnergy(C523,G$5,G$6,C$12,C$7,C$9,C$8,FALSE)/1000</f>
        <v>1568.0613313251001</v>
      </c>
      <c r="E523" s="1" cm="1">
        <f t="array" ref="E523">estimatedTripEnergy(C523,G$5,G$6,C$12,C$7,C$9,C$8)/1000</f>
        <v>1716.0213313250999</v>
      </c>
      <c r="F523" s="59" cm="1">
        <f t="array" ref="F523">estimatedTripDuration(C523,$C$8,$C$7)/60</f>
        <v>18.68048601009934</v>
      </c>
      <c r="G523">
        <f t="shared" si="86"/>
        <v>508</v>
      </c>
      <c r="H523" s="50">
        <f t="shared" si="80"/>
        <v>84.666666666666671</v>
      </c>
      <c r="I523" s="7" cm="1">
        <f t="array" ref="I523">CurrentCapacity(K$10,K$6,K$7,H523)</f>
        <v>35647.163999999997</v>
      </c>
      <c r="J523" s="48">
        <f t="shared" si="81"/>
        <v>4.8139070230807143E-2</v>
      </c>
      <c r="K523" s="5" cm="1">
        <f t="array" ref="K523">UseableCapacity(I523,$K$8,$K$9)</f>
        <v>26735.373</v>
      </c>
      <c r="L523" s="59">
        <f t="shared" si="82"/>
        <v>33931.142668674896</v>
      </c>
      <c r="M523" s="7">
        <f t="shared" si="83"/>
        <v>25019.351668674899</v>
      </c>
      <c r="N523" s="7">
        <f t="shared" si="84"/>
        <v>2602.836000000003</v>
      </c>
      <c r="O523" t="str">
        <f t="shared" si="87"/>
        <v>no</v>
      </c>
      <c r="P523" t="str">
        <f t="shared" si="88"/>
        <v>no</v>
      </c>
    </row>
    <row r="524" spans="2:16" x14ac:dyDescent="0.35">
      <c r="B524">
        <f t="shared" si="85"/>
        <v>509</v>
      </c>
      <c r="C524" s="7">
        <f t="shared" si="79"/>
        <v>509</v>
      </c>
      <c r="D524" s="1" cm="1">
        <f t="array" ref="D524">estimatedTripEnergy(C524,G$5,G$6,C$12,C$7,C$9,C$8,FALSE)/1000</f>
        <v>1568.9880104857</v>
      </c>
      <c r="E524" s="1" cm="1">
        <f t="array" ref="E524">estimatedTripEnergy(C524,G$5,G$6,C$12,C$7,C$9,C$8)/1000</f>
        <v>1716.9480104857</v>
      </c>
      <c r="F524" s="59" cm="1">
        <f t="array" ref="F524">estimatedTripDuration(C524,$C$8,$C$7)/60</f>
        <v>18.713819343432672</v>
      </c>
      <c r="G524">
        <f t="shared" si="86"/>
        <v>509</v>
      </c>
      <c r="H524" s="50">
        <f t="shared" si="80"/>
        <v>84.833333333333329</v>
      </c>
      <c r="I524" s="7" cm="1">
        <f t="array" ref="I524">CurrentCapacity(K$10,K$6,K$7,H524)</f>
        <v>35646.934500000003</v>
      </c>
      <c r="J524" s="48">
        <f t="shared" si="81"/>
        <v>4.8165376197655929E-2</v>
      </c>
      <c r="K524" s="5" cm="1">
        <f t="array" ref="K524">UseableCapacity(I524,$K$8,$K$9)</f>
        <v>26735.200875000002</v>
      </c>
      <c r="L524" s="59">
        <f t="shared" si="82"/>
        <v>33929.986489514304</v>
      </c>
      <c r="M524" s="7">
        <f t="shared" si="83"/>
        <v>25018.252864514303</v>
      </c>
      <c r="N524" s="7">
        <f t="shared" si="84"/>
        <v>2603.065499999997</v>
      </c>
      <c r="O524" t="str">
        <f t="shared" si="87"/>
        <v>no</v>
      </c>
      <c r="P524" t="str">
        <f t="shared" si="88"/>
        <v>no</v>
      </c>
    </row>
    <row r="525" spans="2:16" x14ac:dyDescent="0.35">
      <c r="B525">
        <f t="shared" si="85"/>
        <v>510</v>
      </c>
      <c r="C525" s="7">
        <f t="shared" si="79"/>
        <v>510</v>
      </c>
      <c r="D525" s="1" cm="1">
        <f t="array" ref="D525">estimatedTripEnergy(C525,G$5,G$6,C$12,C$7,C$9,C$8,FALSE)/1000</f>
        <v>1569.9146896462998</v>
      </c>
      <c r="E525" s="1" cm="1">
        <f t="array" ref="E525">estimatedTripEnergy(C525,G$5,G$6,C$12,C$7,C$9,C$8)/1000</f>
        <v>1717.8746896462999</v>
      </c>
      <c r="F525" s="59" cm="1">
        <f t="array" ref="F525">estimatedTripDuration(C525,$C$8,$C$7)/60</f>
        <v>18.747152676766007</v>
      </c>
      <c r="G525">
        <f t="shared" si="86"/>
        <v>510</v>
      </c>
      <c r="H525" s="50">
        <f t="shared" si="80"/>
        <v>85</v>
      </c>
      <c r="I525" s="7" cm="1">
        <f t="array" ref="I525">CurrentCapacity(K$10,K$6,K$7,H525)</f>
        <v>35646.705000000002</v>
      </c>
      <c r="J525" s="48">
        <f t="shared" si="81"/>
        <v>4.8191682503229957E-2</v>
      </c>
      <c r="K525" s="5" cm="1">
        <f t="array" ref="K525">UseableCapacity(I525,$K$8,$K$9)</f>
        <v>26735.028750000001</v>
      </c>
      <c r="L525" s="59">
        <f t="shared" si="82"/>
        <v>33928.830310353704</v>
      </c>
      <c r="M525" s="7">
        <f t="shared" si="83"/>
        <v>25017.1540603537</v>
      </c>
      <c r="N525" s="7">
        <f t="shared" si="84"/>
        <v>2603.2949999999983</v>
      </c>
      <c r="O525" t="str">
        <f t="shared" si="87"/>
        <v>no</v>
      </c>
      <c r="P525" t="str">
        <f t="shared" si="88"/>
        <v>no</v>
      </c>
    </row>
    <row r="526" spans="2:16" x14ac:dyDescent="0.35">
      <c r="B526">
        <f t="shared" si="85"/>
        <v>511</v>
      </c>
      <c r="C526" s="7">
        <f t="shared" si="79"/>
        <v>511</v>
      </c>
      <c r="D526" s="1" cm="1">
        <f t="array" ref="D526">estimatedTripEnergy(C526,G$5,G$6,C$12,C$7,C$9,C$8,FALSE)/1000</f>
        <v>1570.8413688068999</v>
      </c>
      <c r="E526" s="1" cm="1">
        <f t="array" ref="E526">estimatedTripEnergy(C526,G$5,G$6,C$12,C$7,C$9,C$8)/1000</f>
        <v>1718.8013688069</v>
      </c>
      <c r="F526" s="59" cm="1">
        <f t="array" ref="F526">estimatedTripDuration(C526,$C$8,$C$7)/60</f>
        <v>18.780486010099342</v>
      </c>
      <c r="G526">
        <f t="shared" si="86"/>
        <v>511</v>
      </c>
      <c r="H526" s="50">
        <f t="shared" si="80"/>
        <v>85.166666666666671</v>
      </c>
      <c r="I526" s="7" cm="1">
        <f t="array" ref="I526">CurrentCapacity(K$10,K$6,K$7,H526)</f>
        <v>35646.4755</v>
      </c>
      <c r="J526" s="48">
        <f t="shared" si="81"/>
        <v>4.8217989147535778E-2</v>
      </c>
      <c r="K526" s="5" cm="1">
        <f t="array" ref="K526">UseableCapacity(I526,$K$8,$K$9)</f>
        <v>26734.856625</v>
      </c>
      <c r="L526" s="59">
        <f t="shared" si="82"/>
        <v>33927.674131193104</v>
      </c>
      <c r="M526" s="7">
        <f t="shared" si="83"/>
        <v>25016.0552561931</v>
      </c>
      <c r="N526" s="7">
        <f t="shared" si="84"/>
        <v>2603.5244999999995</v>
      </c>
      <c r="O526" t="str">
        <f t="shared" si="87"/>
        <v>no</v>
      </c>
      <c r="P526" t="str">
        <f t="shared" si="88"/>
        <v>no</v>
      </c>
    </row>
    <row r="527" spans="2:16" x14ac:dyDescent="0.35">
      <c r="B527">
        <f t="shared" si="85"/>
        <v>512</v>
      </c>
      <c r="C527" s="7">
        <f t="shared" si="79"/>
        <v>512</v>
      </c>
      <c r="D527" s="1" cm="1">
        <f t="array" ref="D527">estimatedTripEnergy(C527,G$5,G$6,C$12,C$7,C$9,C$8,FALSE)/1000</f>
        <v>1571.7680479675</v>
      </c>
      <c r="E527" s="1" cm="1">
        <f t="array" ref="E527">estimatedTripEnergy(C527,G$5,G$6,C$12,C$7,C$9,C$8)/1000</f>
        <v>1719.7280479675001</v>
      </c>
      <c r="F527" s="59" cm="1">
        <f t="array" ref="F527">estimatedTripDuration(C527,$C$8,$C$7)/60</f>
        <v>18.813819343432673</v>
      </c>
      <c r="G527">
        <f t="shared" si="86"/>
        <v>512</v>
      </c>
      <c r="H527" s="50">
        <f t="shared" si="80"/>
        <v>85.333333333333329</v>
      </c>
      <c r="I527" s="7" cm="1">
        <f t="array" ref="I527">CurrentCapacity(K$10,K$6,K$7,H527)</f>
        <v>35646.246000000006</v>
      </c>
      <c r="J527" s="48">
        <f t="shared" si="81"/>
        <v>4.8244296130579914E-2</v>
      </c>
      <c r="K527" s="5" cm="1">
        <f t="array" ref="K527">UseableCapacity(I527,$K$8,$K$9)</f>
        <v>26734.684500000003</v>
      </c>
      <c r="L527" s="59">
        <f t="shared" si="82"/>
        <v>33926.517952032504</v>
      </c>
      <c r="M527" s="7">
        <f t="shared" si="83"/>
        <v>25014.956452032504</v>
      </c>
      <c r="N527" s="7">
        <f t="shared" si="84"/>
        <v>2603.7539999999935</v>
      </c>
      <c r="O527" t="str">
        <f t="shared" si="87"/>
        <v>no</v>
      </c>
      <c r="P527" t="str">
        <f t="shared" si="88"/>
        <v>no</v>
      </c>
    </row>
    <row r="528" spans="2:16" x14ac:dyDescent="0.35">
      <c r="B528">
        <f t="shared" si="85"/>
        <v>513</v>
      </c>
      <c r="C528" s="7">
        <f t="shared" ref="C528:C591" si="89">$C$8*B528</f>
        <v>513</v>
      </c>
      <c r="D528" s="1" cm="1">
        <f t="array" ref="D528">estimatedTripEnergy(C528,G$5,G$6,C$12,C$7,C$9,C$8,FALSE)/1000</f>
        <v>1572.6947271281001</v>
      </c>
      <c r="E528" s="1" cm="1">
        <f t="array" ref="E528">estimatedTripEnergy(C528,G$5,G$6,C$12,C$7,C$9,C$8)/1000</f>
        <v>1720.6547271281001</v>
      </c>
      <c r="F528" s="59" cm="1">
        <f t="array" ref="F528">estimatedTripDuration(C528,$C$8,$C$7)/60</f>
        <v>18.847152676766008</v>
      </c>
      <c r="G528">
        <f t="shared" si="86"/>
        <v>513</v>
      </c>
      <c r="H528" s="50">
        <f t="shared" ref="H528:H591" si="90">G528/$G$4</f>
        <v>85.5</v>
      </c>
      <c r="I528" s="7" cm="1">
        <f t="array" ref="I528">CurrentCapacity(K$10,K$6,K$7,H528)</f>
        <v>35646.016499999998</v>
      </c>
      <c r="J528" s="48">
        <f t="shared" ref="J528:J591" si="91">E528/I528</f>
        <v>4.8270603452368943E-2</v>
      </c>
      <c r="K528" s="5" cm="1">
        <f t="array" ref="K528">UseableCapacity(I528,$K$8,$K$9)</f>
        <v>26734.512374999998</v>
      </c>
      <c r="L528" s="59">
        <f t="shared" ref="L528:L591" si="92">(K$8*I528)-E528</f>
        <v>33925.361772871896</v>
      </c>
      <c r="M528" s="7">
        <f t="shared" ref="M528:M591" si="93">K528-E528</f>
        <v>25013.857647871897</v>
      </c>
      <c r="N528" s="7">
        <f t="shared" ref="N528:N591" si="94">$K$10-I528</f>
        <v>2603.9835000000021</v>
      </c>
      <c r="O528" t="str">
        <f t="shared" si="87"/>
        <v>no</v>
      </c>
      <c r="P528" t="str">
        <f t="shared" si="88"/>
        <v>no</v>
      </c>
    </row>
    <row r="529" spans="2:16" x14ac:dyDescent="0.35">
      <c r="B529">
        <f t="shared" ref="B529:B592" si="95">B528+$G$12</f>
        <v>514</v>
      </c>
      <c r="C529" s="7">
        <f t="shared" si="89"/>
        <v>514</v>
      </c>
      <c r="D529" s="1" cm="1">
        <f t="array" ref="D529">estimatedTripEnergy(C529,G$5,G$6,C$12,C$7,C$9,C$8,FALSE)/1000</f>
        <v>1573.6214062887</v>
      </c>
      <c r="E529" s="1" cm="1">
        <f t="array" ref="E529">estimatedTripEnergy(C529,G$5,G$6,C$12,C$7,C$9,C$8)/1000</f>
        <v>1721.5814062887</v>
      </c>
      <c r="F529" s="59" cm="1">
        <f t="array" ref="F529">estimatedTripDuration(C529,$C$8,$C$7)/60</f>
        <v>18.880486010099339</v>
      </c>
      <c r="G529">
        <f t="shared" si="86"/>
        <v>514</v>
      </c>
      <c r="H529" s="50">
        <f t="shared" si="90"/>
        <v>85.666666666666671</v>
      </c>
      <c r="I529" s="7" cm="1">
        <f t="array" ref="I529">CurrentCapacity(K$10,K$6,K$7,H529)</f>
        <v>35645.787000000004</v>
      </c>
      <c r="J529" s="48">
        <f t="shared" si="91"/>
        <v>4.8296911112909353E-2</v>
      </c>
      <c r="K529" s="5" cm="1">
        <f t="array" ref="K529">UseableCapacity(I529,$K$8,$K$9)</f>
        <v>26734.340250000001</v>
      </c>
      <c r="L529" s="59">
        <f t="shared" si="92"/>
        <v>33924.205593711304</v>
      </c>
      <c r="M529" s="7">
        <f t="shared" si="93"/>
        <v>25012.758843711301</v>
      </c>
      <c r="N529" s="7">
        <f t="shared" si="94"/>
        <v>2604.2129999999961</v>
      </c>
      <c r="O529" t="str">
        <f t="shared" si="87"/>
        <v>no</v>
      </c>
      <c r="P529" t="str">
        <f t="shared" si="88"/>
        <v>no</v>
      </c>
    </row>
    <row r="530" spans="2:16" x14ac:dyDescent="0.35">
      <c r="B530">
        <f t="shared" si="95"/>
        <v>515</v>
      </c>
      <c r="C530" s="7">
        <f t="shared" si="89"/>
        <v>515</v>
      </c>
      <c r="D530" s="1" cm="1">
        <f t="array" ref="D530">estimatedTripEnergy(C530,G$5,G$6,C$12,C$7,C$9,C$8,FALSE)/1000</f>
        <v>1574.5480854493001</v>
      </c>
      <c r="E530" s="1" cm="1">
        <f t="array" ref="E530">estimatedTripEnergy(C530,G$5,G$6,C$12,C$7,C$9,C$8)/1000</f>
        <v>1722.5080854493001</v>
      </c>
      <c r="F530" s="59" cm="1">
        <f t="array" ref="F530">estimatedTripDuration(C530,$C$8,$C$7)/60</f>
        <v>18.913819343432674</v>
      </c>
      <c r="G530">
        <f t="shared" si="86"/>
        <v>515</v>
      </c>
      <c r="H530" s="50">
        <f t="shared" si="90"/>
        <v>85.833333333333329</v>
      </c>
      <c r="I530" s="7" cm="1">
        <f t="array" ref="I530">CurrentCapacity(K$10,K$6,K$7,H530)</f>
        <v>35645.557500000003</v>
      </c>
      <c r="J530" s="48">
        <f t="shared" si="91"/>
        <v>4.8323219112207744E-2</v>
      </c>
      <c r="K530" s="5" cm="1">
        <f t="array" ref="K530">UseableCapacity(I530,$K$8,$K$9)</f>
        <v>26734.168125000004</v>
      </c>
      <c r="L530" s="59">
        <f t="shared" si="92"/>
        <v>33923.049414550704</v>
      </c>
      <c r="M530" s="7">
        <f t="shared" si="93"/>
        <v>25011.660039550705</v>
      </c>
      <c r="N530" s="7">
        <f t="shared" si="94"/>
        <v>2604.4424999999974</v>
      </c>
      <c r="O530" t="str">
        <f t="shared" si="87"/>
        <v>no</v>
      </c>
      <c r="P530" t="str">
        <f t="shared" si="88"/>
        <v>no</v>
      </c>
    </row>
    <row r="531" spans="2:16" x14ac:dyDescent="0.35">
      <c r="B531">
        <f t="shared" si="95"/>
        <v>516</v>
      </c>
      <c r="C531" s="7">
        <f t="shared" si="89"/>
        <v>516</v>
      </c>
      <c r="D531" s="1" cm="1">
        <f t="array" ref="D531">estimatedTripEnergy(C531,G$5,G$6,C$12,C$7,C$9,C$8,FALSE)/1000</f>
        <v>1575.4747646099001</v>
      </c>
      <c r="E531" s="1" cm="1">
        <f t="array" ref="E531">estimatedTripEnergy(C531,G$5,G$6,C$12,C$7,C$9,C$8)/1000</f>
        <v>1723.4347646099</v>
      </c>
      <c r="F531" s="59" cm="1">
        <f t="array" ref="F531">estimatedTripDuration(C531,$C$8,$C$7)/60</f>
        <v>18.947152676766006</v>
      </c>
      <c r="G531">
        <f t="shared" si="86"/>
        <v>516</v>
      </c>
      <c r="H531" s="50">
        <f t="shared" si="90"/>
        <v>86</v>
      </c>
      <c r="I531" s="7" cm="1">
        <f t="array" ref="I531">CurrentCapacity(K$10,K$6,K$7,H531)</f>
        <v>35645.328000000001</v>
      </c>
      <c r="J531" s="48">
        <f t="shared" si="91"/>
        <v>4.8349527450270616E-2</v>
      </c>
      <c r="K531" s="5" cm="1">
        <f t="array" ref="K531">UseableCapacity(I531,$K$8,$K$9)</f>
        <v>26733.995999999999</v>
      </c>
      <c r="L531" s="59">
        <f t="shared" si="92"/>
        <v>33921.893235390104</v>
      </c>
      <c r="M531" s="7">
        <f t="shared" si="93"/>
        <v>25010.561235390098</v>
      </c>
      <c r="N531" s="7">
        <f t="shared" si="94"/>
        <v>2604.6719999999987</v>
      </c>
      <c r="O531" t="str">
        <f t="shared" si="87"/>
        <v>no</v>
      </c>
      <c r="P531" t="str">
        <f t="shared" si="88"/>
        <v>no</v>
      </c>
    </row>
    <row r="532" spans="2:16" x14ac:dyDescent="0.35">
      <c r="B532">
        <f t="shared" si="95"/>
        <v>517</v>
      </c>
      <c r="C532" s="7">
        <f t="shared" si="89"/>
        <v>517</v>
      </c>
      <c r="D532" s="1" cm="1">
        <f t="array" ref="D532">estimatedTripEnergy(C532,G$5,G$6,C$12,C$7,C$9,C$8,FALSE)/1000</f>
        <v>1576.4014437705</v>
      </c>
      <c r="E532" s="1" cm="1">
        <f t="array" ref="E532">estimatedTripEnergy(C532,G$5,G$6,C$12,C$7,C$9,C$8)/1000</f>
        <v>1724.3614437704998</v>
      </c>
      <c r="F532" s="59" cm="1">
        <f t="array" ref="F532">estimatedTripDuration(C532,$C$8,$C$7)/60</f>
        <v>18.980486010099341</v>
      </c>
      <c r="G532">
        <f t="shared" si="86"/>
        <v>517</v>
      </c>
      <c r="H532" s="50">
        <f t="shared" si="90"/>
        <v>86.166666666666671</v>
      </c>
      <c r="I532" s="7" cm="1">
        <f t="array" ref="I532">CurrentCapacity(K$10,K$6,K$7,H532)</f>
        <v>35645.0985</v>
      </c>
      <c r="J532" s="48">
        <f t="shared" si="91"/>
        <v>4.8375836127104541E-2</v>
      </c>
      <c r="K532" s="5" cm="1">
        <f t="array" ref="K532">UseableCapacity(I532,$K$8,$K$9)</f>
        <v>26733.823875000002</v>
      </c>
      <c r="L532" s="59">
        <f t="shared" si="92"/>
        <v>33920.737056229504</v>
      </c>
      <c r="M532" s="7">
        <f t="shared" si="93"/>
        <v>25009.462431229502</v>
      </c>
      <c r="N532" s="7">
        <f t="shared" si="94"/>
        <v>2604.9014999999999</v>
      </c>
      <c r="O532" t="str">
        <f t="shared" si="87"/>
        <v>no</v>
      </c>
      <c r="P532" t="str">
        <f t="shared" si="88"/>
        <v>no</v>
      </c>
    </row>
    <row r="533" spans="2:16" x14ac:dyDescent="0.35">
      <c r="B533">
        <f t="shared" si="95"/>
        <v>518</v>
      </c>
      <c r="C533" s="7">
        <f t="shared" si="89"/>
        <v>518</v>
      </c>
      <c r="D533" s="1" cm="1">
        <f t="array" ref="D533">estimatedTripEnergy(C533,G$5,G$6,C$12,C$7,C$9,C$8,FALSE)/1000</f>
        <v>1577.3281229310999</v>
      </c>
      <c r="E533" s="1" cm="1">
        <f t="array" ref="E533">estimatedTripEnergy(C533,G$5,G$6,C$12,C$7,C$9,C$8)/1000</f>
        <v>1725.2881229310999</v>
      </c>
      <c r="F533" s="59" cm="1">
        <f t="array" ref="F533">estimatedTripDuration(C533,$C$8,$C$7)/60</f>
        <v>19.013819343432672</v>
      </c>
      <c r="G533">
        <f t="shared" si="86"/>
        <v>518</v>
      </c>
      <c r="H533" s="50">
        <f t="shared" si="90"/>
        <v>86.333333333333329</v>
      </c>
      <c r="I533" s="7" cm="1">
        <f t="array" ref="I533">CurrentCapacity(K$10,K$6,K$7,H533)</f>
        <v>35644.868999999999</v>
      </c>
      <c r="J533" s="48">
        <f t="shared" si="91"/>
        <v>4.8402145142716055E-2</v>
      </c>
      <c r="K533" s="5" cm="1">
        <f t="array" ref="K533">UseableCapacity(I533,$K$8,$K$9)</f>
        <v>26733.651749999997</v>
      </c>
      <c r="L533" s="59">
        <f t="shared" si="92"/>
        <v>33919.580877068896</v>
      </c>
      <c r="M533" s="7">
        <f t="shared" si="93"/>
        <v>25008.363627068898</v>
      </c>
      <c r="N533" s="7">
        <f t="shared" si="94"/>
        <v>2605.1310000000012</v>
      </c>
      <c r="O533" t="str">
        <f t="shared" si="87"/>
        <v>no</v>
      </c>
      <c r="P533" t="str">
        <f t="shared" si="88"/>
        <v>no</v>
      </c>
    </row>
    <row r="534" spans="2:16" x14ac:dyDescent="0.35">
      <c r="B534">
        <f t="shared" si="95"/>
        <v>519</v>
      </c>
      <c r="C534" s="7">
        <f t="shared" si="89"/>
        <v>519</v>
      </c>
      <c r="D534" s="1" cm="1">
        <f t="array" ref="D534">estimatedTripEnergy(C534,G$5,G$6,C$12,C$7,C$9,C$8,FALSE)/1000</f>
        <v>1578.2548020917</v>
      </c>
      <c r="E534" s="1" cm="1">
        <f t="array" ref="E534">estimatedTripEnergy(C534,G$5,G$6,C$12,C$7,C$9,C$8)/1000</f>
        <v>1726.2148020917</v>
      </c>
      <c r="F534" s="59" cm="1">
        <f t="array" ref="F534">estimatedTripDuration(C534,$C$8,$C$7)/60</f>
        <v>19.047152676766007</v>
      </c>
      <c r="G534">
        <f t="shared" si="86"/>
        <v>519</v>
      </c>
      <c r="H534" s="50">
        <f t="shared" si="90"/>
        <v>86.5</v>
      </c>
      <c r="I534" s="7" cm="1">
        <f t="array" ref="I534">CurrentCapacity(K$10,K$6,K$7,H534)</f>
        <v>35644.639500000005</v>
      </c>
      <c r="J534" s="48">
        <f t="shared" si="91"/>
        <v>4.8428454497111681E-2</v>
      </c>
      <c r="K534" s="5" cm="1">
        <f t="array" ref="K534">UseableCapacity(I534,$K$8,$K$9)</f>
        <v>26733.479625000004</v>
      </c>
      <c r="L534" s="59">
        <f t="shared" si="92"/>
        <v>33918.424697908304</v>
      </c>
      <c r="M534" s="7">
        <f t="shared" si="93"/>
        <v>25007.264822908302</v>
      </c>
      <c r="N534" s="7">
        <f t="shared" si="94"/>
        <v>2605.3604999999952</v>
      </c>
      <c r="O534" t="str">
        <f t="shared" si="87"/>
        <v>no</v>
      </c>
      <c r="P534" t="str">
        <f t="shared" si="88"/>
        <v>no</v>
      </c>
    </row>
    <row r="535" spans="2:16" x14ac:dyDescent="0.35">
      <c r="B535">
        <f t="shared" si="95"/>
        <v>520</v>
      </c>
      <c r="C535" s="7">
        <f t="shared" si="89"/>
        <v>520</v>
      </c>
      <c r="D535" s="1" cm="1">
        <f t="array" ref="D535">estimatedTripEnergy(C535,G$5,G$6,C$12,C$7,C$9,C$8,FALSE)/1000</f>
        <v>1579.1814812523</v>
      </c>
      <c r="E535" s="1" cm="1">
        <f t="array" ref="E535">estimatedTripEnergy(C535,G$5,G$6,C$12,C$7,C$9,C$8)/1000</f>
        <v>1727.1414812523001</v>
      </c>
      <c r="F535" s="59" cm="1">
        <f t="array" ref="F535">estimatedTripDuration(C535,$C$8,$C$7)/60</f>
        <v>19.080486010099339</v>
      </c>
      <c r="G535">
        <f t="shared" si="86"/>
        <v>520</v>
      </c>
      <c r="H535" s="50">
        <f t="shared" si="90"/>
        <v>86.666666666666671</v>
      </c>
      <c r="I535" s="7" cm="1">
        <f t="array" ref="I535">CurrentCapacity(K$10,K$6,K$7,H535)</f>
        <v>35644.410000000003</v>
      </c>
      <c r="J535" s="48">
        <f t="shared" si="91"/>
        <v>4.8454764190297997E-2</v>
      </c>
      <c r="K535" s="5" cm="1">
        <f t="array" ref="K535">UseableCapacity(I535,$K$8,$K$9)</f>
        <v>26733.307500000003</v>
      </c>
      <c r="L535" s="59">
        <f t="shared" si="92"/>
        <v>33917.268518747704</v>
      </c>
      <c r="M535" s="7">
        <f t="shared" si="93"/>
        <v>25006.166018747703</v>
      </c>
      <c r="N535" s="7">
        <f t="shared" si="94"/>
        <v>2605.5899999999965</v>
      </c>
      <c r="O535" t="str">
        <f t="shared" si="87"/>
        <v>no</v>
      </c>
      <c r="P535" t="str">
        <f t="shared" si="88"/>
        <v>no</v>
      </c>
    </row>
    <row r="536" spans="2:16" x14ac:dyDescent="0.35">
      <c r="B536">
        <f t="shared" si="95"/>
        <v>521</v>
      </c>
      <c r="C536" s="7">
        <f t="shared" si="89"/>
        <v>521</v>
      </c>
      <c r="D536" s="1" cm="1">
        <f t="array" ref="D536">estimatedTripEnergy(C536,G$5,G$6,C$12,C$7,C$9,C$8,FALSE)/1000</f>
        <v>1580.1081604129001</v>
      </c>
      <c r="E536" s="1" cm="1">
        <f t="array" ref="E536">estimatedTripEnergy(C536,G$5,G$6,C$12,C$7,C$9,C$8)/1000</f>
        <v>1728.0681604129002</v>
      </c>
      <c r="F536" s="59" cm="1">
        <f t="array" ref="F536">estimatedTripDuration(C536,$C$8,$C$7)/60</f>
        <v>19.113819343432674</v>
      </c>
      <c r="G536">
        <f t="shared" si="86"/>
        <v>521</v>
      </c>
      <c r="H536" s="50">
        <f t="shared" si="90"/>
        <v>86.833333333333329</v>
      </c>
      <c r="I536" s="7" cm="1">
        <f t="array" ref="I536">CurrentCapacity(K$10,K$6,K$7,H536)</f>
        <v>35644.180500000002</v>
      </c>
      <c r="J536" s="48">
        <f t="shared" si="91"/>
        <v>4.8481074222281532E-2</v>
      </c>
      <c r="K536" s="5" cm="1">
        <f t="array" ref="K536">UseableCapacity(I536,$K$8,$K$9)</f>
        <v>26733.135375000002</v>
      </c>
      <c r="L536" s="59">
        <f t="shared" si="92"/>
        <v>33916.112339587104</v>
      </c>
      <c r="M536" s="7">
        <f t="shared" si="93"/>
        <v>25005.067214587103</v>
      </c>
      <c r="N536" s="7">
        <f t="shared" si="94"/>
        <v>2605.8194999999978</v>
      </c>
      <c r="O536" t="str">
        <f t="shared" si="87"/>
        <v>no</v>
      </c>
      <c r="P536" t="str">
        <f t="shared" si="88"/>
        <v>no</v>
      </c>
    </row>
    <row r="537" spans="2:16" x14ac:dyDescent="0.35">
      <c r="B537">
        <f t="shared" si="95"/>
        <v>522</v>
      </c>
      <c r="C537" s="7">
        <f t="shared" si="89"/>
        <v>522</v>
      </c>
      <c r="D537" s="1" cm="1">
        <f t="array" ref="D537">estimatedTripEnergy(C537,G$5,G$6,C$12,C$7,C$9,C$8,FALSE)/1000</f>
        <v>1581.0348395735</v>
      </c>
      <c r="E537" s="1" cm="1">
        <f t="array" ref="E537">estimatedTripEnergy(C537,G$5,G$6,C$12,C$7,C$9,C$8)/1000</f>
        <v>1728.9948395735</v>
      </c>
      <c r="F537" s="59" cm="1">
        <f t="array" ref="F537">estimatedTripDuration(C537,$C$8,$C$7)/60</f>
        <v>19.147152676766005</v>
      </c>
      <c r="G537">
        <f t="shared" si="86"/>
        <v>522</v>
      </c>
      <c r="H537" s="50">
        <f t="shared" si="90"/>
        <v>87</v>
      </c>
      <c r="I537" s="7" cm="1">
        <f t="array" ref="I537">CurrentCapacity(K$10,K$6,K$7,H537)</f>
        <v>35643.951000000001</v>
      </c>
      <c r="J537" s="48">
        <f t="shared" si="91"/>
        <v>4.8507384593068824E-2</v>
      </c>
      <c r="K537" s="5" cm="1">
        <f t="array" ref="K537">UseableCapacity(I537,$K$8,$K$9)</f>
        <v>26732.963250000001</v>
      </c>
      <c r="L537" s="59">
        <f t="shared" si="92"/>
        <v>33914.956160426504</v>
      </c>
      <c r="M537" s="7">
        <f t="shared" si="93"/>
        <v>25003.9684104265</v>
      </c>
      <c r="N537" s="7">
        <f t="shared" si="94"/>
        <v>2606.0489999999991</v>
      </c>
      <c r="O537" t="str">
        <f t="shared" si="87"/>
        <v>no</v>
      </c>
      <c r="P537" t="str">
        <f t="shared" si="88"/>
        <v>no</v>
      </c>
    </row>
    <row r="538" spans="2:16" x14ac:dyDescent="0.35">
      <c r="B538">
        <f t="shared" si="95"/>
        <v>523</v>
      </c>
      <c r="C538" s="7">
        <f t="shared" si="89"/>
        <v>523</v>
      </c>
      <c r="D538" s="1" cm="1">
        <f t="array" ref="D538">estimatedTripEnergy(C538,G$5,G$6,C$12,C$7,C$9,C$8,FALSE)/1000</f>
        <v>1581.9615187341001</v>
      </c>
      <c r="E538" s="1" cm="1">
        <f t="array" ref="E538">estimatedTripEnergy(C538,G$5,G$6,C$12,C$7,C$9,C$8)/1000</f>
        <v>1729.9215187341001</v>
      </c>
      <c r="F538" s="59" cm="1">
        <f t="array" ref="F538">estimatedTripDuration(C538,$C$8,$C$7)/60</f>
        <v>19.18048601009934</v>
      </c>
      <c r="G538">
        <f t="shared" si="86"/>
        <v>523</v>
      </c>
      <c r="H538" s="50">
        <f t="shared" si="90"/>
        <v>87.166666666666671</v>
      </c>
      <c r="I538" s="7" cm="1">
        <f t="array" ref="I538">CurrentCapacity(K$10,K$6,K$7,H538)</f>
        <v>35643.7215</v>
      </c>
      <c r="J538" s="48">
        <f t="shared" si="91"/>
        <v>4.8533695302666421E-2</v>
      </c>
      <c r="K538" s="5" cm="1">
        <f t="array" ref="K538">UseableCapacity(I538,$K$8,$K$9)</f>
        <v>26732.791125</v>
      </c>
      <c r="L538" s="59">
        <f t="shared" si="92"/>
        <v>33913.799981265896</v>
      </c>
      <c r="M538" s="7">
        <f t="shared" si="93"/>
        <v>25002.8696062659</v>
      </c>
      <c r="N538" s="7">
        <f t="shared" si="94"/>
        <v>2606.2785000000003</v>
      </c>
      <c r="O538" t="str">
        <f t="shared" si="87"/>
        <v>no</v>
      </c>
      <c r="P538" t="str">
        <f t="shared" si="88"/>
        <v>no</v>
      </c>
    </row>
    <row r="539" spans="2:16" x14ac:dyDescent="0.35">
      <c r="B539">
        <f t="shared" si="95"/>
        <v>524</v>
      </c>
      <c r="C539" s="7">
        <f t="shared" si="89"/>
        <v>524</v>
      </c>
      <c r="D539" s="1" cm="1">
        <f t="array" ref="D539">estimatedTripEnergy(C539,G$5,G$6,C$12,C$7,C$9,C$8,FALSE)/1000</f>
        <v>1582.8881978946999</v>
      </c>
      <c r="E539" s="1" cm="1">
        <f t="array" ref="E539">estimatedTripEnergy(C539,G$5,G$6,C$12,C$7,C$9,C$8)/1000</f>
        <v>1730.8481978947</v>
      </c>
      <c r="F539" s="59" cm="1">
        <f t="array" ref="F539">estimatedTripDuration(C539,$C$8,$C$7)/60</f>
        <v>19.213819343432672</v>
      </c>
      <c r="G539">
        <f t="shared" si="86"/>
        <v>524</v>
      </c>
      <c r="H539" s="50">
        <f t="shared" si="90"/>
        <v>87.333333333333329</v>
      </c>
      <c r="I539" s="7" cm="1">
        <f t="array" ref="I539">CurrentCapacity(K$10,K$6,K$7,H539)</f>
        <v>35643.491999999998</v>
      </c>
      <c r="J539" s="48">
        <f t="shared" si="91"/>
        <v>4.8560006351080869E-2</v>
      </c>
      <c r="K539" s="5" cm="1">
        <f t="array" ref="K539">UseableCapacity(I539,$K$8,$K$9)</f>
        <v>26732.618999999999</v>
      </c>
      <c r="L539" s="59">
        <f t="shared" si="92"/>
        <v>33912.643802105296</v>
      </c>
      <c r="M539" s="7">
        <f t="shared" si="93"/>
        <v>25001.7708021053</v>
      </c>
      <c r="N539" s="7">
        <f t="shared" si="94"/>
        <v>2606.5080000000016</v>
      </c>
      <c r="O539" t="str">
        <f t="shared" si="87"/>
        <v>no</v>
      </c>
      <c r="P539" t="str">
        <f t="shared" si="88"/>
        <v>no</v>
      </c>
    </row>
    <row r="540" spans="2:16" x14ac:dyDescent="0.35">
      <c r="B540">
        <f t="shared" si="95"/>
        <v>525</v>
      </c>
      <c r="C540" s="7">
        <f t="shared" si="89"/>
        <v>525</v>
      </c>
      <c r="D540" s="1" cm="1">
        <f t="array" ref="D540">estimatedTripEnergy(C540,G$5,G$6,C$12,C$7,C$9,C$8,FALSE)/1000</f>
        <v>1583.8148770553</v>
      </c>
      <c r="E540" s="1" cm="1">
        <f t="array" ref="E540">estimatedTripEnergy(C540,G$5,G$6,C$12,C$7,C$9,C$8)/1000</f>
        <v>1731.7748770552998</v>
      </c>
      <c r="F540" s="59" cm="1">
        <f t="array" ref="F540">estimatedTripDuration(C540,$C$8,$C$7)/60</f>
        <v>19.247152676766007</v>
      </c>
      <c r="G540">
        <f t="shared" si="86"/>
        <v>525</v>
      </c>
      <c r="H540" s="50">
        <f t="shared" si="90"/>
        <v>87.5</v>
      </c>
      <c r="I540" s="7" cm="1">
        <f t="array" ref="I540">CurrentCapacity(K$10,K$6,K$7,H540)</f>
        <v>35643.262500000004</v>
      </c>
      <c r="J540" s="48">
        <f t="shared" si="91"/>
        <v>4.8586317738318695E-2</v>
      </c>
      <c r="K540" s="5" cm="1">
        <f t="array" ref="K540">UseableCapacity(I540,$K$8,$K$9)</f>
        <v>26732.446875000001</v>
      </c>
      <c r="L540" s="59">
        <f t="shared" si="92"/>
        <v>33911.487622944704</v>
      </c>
      <c r="M540" s="7">
        <f t="shared" si="93"/>
        <v>25000.671997944701</v>
      </c>
      <c r="N540" s="7">
        <f t="shared" si="94"/>
        <v>2606.7374999999956</v>
      </c>
      <c r="O540" t="str">
        <f t="shared" si="87"/>
        <v>no</v>
      </c>
      <c r="P540" t="str">
        <f t="shared" si="88"/>
        <v>no</v>
      </c>
    </row>
    <row r="541" spans="2:16" x14ac:dyDescent="0.35">
      <c r="B541">
        <f t="shared" si="95"/>
        <v>526</v>
      </c>
      <c r="C541" s="7">
        <f t="shared" si="89"/>
        <v>526</v>
      </c>
      <c r="D541" s="1" cm="1">
        <f t="array" ref="D541">estimatedTripEnergy(C541,G$5,G$6,C$12,C$7,C$9,C$8,FALSE)/1000</f>
        <v>1584.7415562158999</v>
      </c>
      <c r="E541" s="1" cm="1">
        <f t="array" ref="E541">estimatedTripEnergy(C541,G$5,G$6,C$12,C$7,C$9,C$8)/1000</f>
        <v>1732.7015562158999</v>
      </c>
      <c r="F541" s="59" cm="1">
        <f t="array" ref="F541">estimatedTripDuration(C541,$C$8,$C$7)/60</f>
        <v>19.280486010099342</v>
      </c>
      <c r="G541">
        <f t="shared" si="86"/>
        <v>526</v>
      </c>
      <c r="H541" s="50">
        <f t="shared" si="90"/>
        <v>87.666666666666671</v>
      </c>
      <c r="I541" s="7" cm="1">
        <f t="array" ref="I541">CurrentCapacity(K$10,K$6,K$7,H541)</f>
        <v>35643.033000000003</v>
      </c>
      <c r="J541" s="48">
        <f t="shared" si="91"/>
        <v>4.8612629464386485E-2</v>
      </c>
      <c r="K541" s="5" cm="1">
        <f t="array" ref="K541">UseableCapacity(I541,$K$8,$K$9)</f>
        <v>26732.274750000004</v>
      </c>
      <c r="L541" s="59">
        <f t="shared" si="92"/>
        <v>33910.331443784104</v>
      </c>
      <c r="M541" s="7">
        <f t="shared" si="93"/>
        <v>24999.573193784105</v>
      </c>
      <c r="N541" s="7">
        <f t="shared" si="94"/>
        <v>2606.9669999999969</v>
      </c>
      <c r="O541" t="str">
        <f t="shared" si="87"/>
        <v>no</v>
      </c>
      <c r="P541" t="str">
        <f t="shared" si="88"/>
        <v>no</v>
      </c>
    </row>
    <row r="542" spans="2:16" x14ac:dyDescent="0.35">
      <c r="B542">
        <f t="shared" si="95"/>
        <v>527</v>
      </c>
      <c r="C542" s="7">
        <f t="shared" si="89"/>
        <v>527</v>
      </c>
      <c r="D542" s="1" cm="1">
        <f t="array" ref="D542">estimatedTripEnergy(C542,G$5,G$6,C$12,C$7,C$9,C$8,FALSE)/1000</f>
        <v>1585.6682353765</v>
      </c>
      <c r="E542" s="1" cm="1">
        <f t="array" ref="E542">estimatedTripEnergy(C542,G$5,G$6,C$12,C$7,C$9,C$8)/1000</f>
        <v>1733.6282353765</v>
      </c>
      <c r="F542" s="59" cm="1">
        <f t="array" ref="F542">estimatedTripDuration(C542,$C$8,$C$7)/60</f>
        <v>19.313819343432673</v>
      </c>
      <c r="G542">
        <f t="shared" si="86"/>
        <v>527</v>
      </c>
      <c r="H542" s="50">
        <f t="shared" si="90"/>
        <v>87.833333333333329</v>
      </c>
      <c r="I542" s="7" cm="1">
        <f t="array" ref="I542">CurrentCapacity(K$10,K$6,K$7,H542)</f>
        <v>35642.803500000002</v>
      </c>
      <c r="J542" s="48">
        <f t="shared" si="91"/>
        <v>4.8638941529290755E-2</v>
      </c>
      <c r="K542" s="5" cm="1">
        <f t="array" ref="K542">UseableCapacity(I542,$K$8,$K$9)</f>
        <v>26732.102625</v>
      </c>
      <c r="L542" s="59">
        <f t="shared" si="92"/>
        <v>33909.175264623504</v>
      </c>
      <c r="M542" s="7">
        <f t="shared" si="93"/>
        <v>24998.474389623501</v>
      </c>
      <c r="N542" s="7">
        <f t="shared" si="94"/>
        <v>2607.1964999999982</v>
      </c>
      <c r="O542" t="str">
        <f t="shared" si="87"/>
        <v>no</v>
      </c>
      <c r="P542" t="str">
        <f t="shared" si="88"/>
        <v>no</v>
      </c>
    </row>
    <row r="543" spans="2:16" x14ac:dyDescent="0.35">
      <c r="B543">
        <f t="shared" si="95"/>
        <v>528</v>
      </c>
      <c r="C543" s="7">
        <f t="shared" si="89"/>
        <v>528</v>
      </c>
      <c r="D543" s="1" cm="1">
        <f t="array" ref="D543">estimatedTripEnergy(C543,G$5,G$6,C$12,C$7,C$9,C$8,FALSE)/1000</f>
        <v>1586.5949145371001</v>
      </c>
      <c r="E543" s="1" cm="1">
        <f t="array" ref="E543">estimatedTripEnergy(C543,G$5,G$6,C$12,C$7,C$9,C$8)/1000</f>
        <v>1734.5549145371001</v>
      </c>
      <c r="F543" s="59" cm="1">
        <f t="array" ref="F543">estimatedTripDuration(C543,$C$8,$C$7)/60</f>
        <v>19.347152676766008</v>
      </c>
      <c r="G543">
        <f t="shared" si="86"/>
        <v>528</v>
      </c>
      <c r="H543" s="50">
        <f t="shared" si="90"/>
        <v>88</v>
      </c>
      <c r="I543" s="7" cm="1">
        <f t="array" ref="I543">CurrentCapacity(K$10,K$6,K$7,H543)</f>
        <v>35642.574000000001</v>
      </c>
      <c r="J543" s="48">
        <f t="shared" si="91"/>
        <v>4.8665253933038062E-2</v>
      </c>
      <c r="K543" s="5" cm="1">
        <f t="array" ref="K543">UseableCapacity(I543,$K$8,$K$9)</f>
        <v>26731.930500000002</v>
      </c>
      <c r="L543" s="59">
        <f t="shared" si="92"/>
        <v>33908.019085462904</v>
      </c>
      <c r="M543" s="7">
        <f t="shared" si="93"/>
        <v>24997.375585462902</v>
      </c>
      <c r="N543" s="7">
        <f t="shared" si="94"/>
        <v>2607.4259999999995</v>
      </c>
      <c r="O543" t="str">
        <f t="shared" si="87"/>
        <v>no</v>
      </c>
      <c r="P543" t="str">
        <f t="shared" si="88"/>
        <v>no</v>
      </c>
    </row>
    <row r="544" spans="2:16" x14ac:dyDescent="0.35">
      <c r="B544">
        <f t="shared" si="95"/>
        <v>529</v>
      </c>
      <c r="C544" s="7">
        <f t="shared" si="89"/>
        <v>529</v>
      </c>
      <c r="D544" s="1" cm="1">
        <f t="array" ref="D544">estimatedTripEnergy(C544,G$5,G$6,C$12,C$7,C$9,C$8,FALSE)/1000</f>
        <v>1587.5215936976999</v>
      </c>
      <c r="E544" s="1" cm="1">
        <f t="array" ref="E544">estimatedTripEnergy(C544,G$5,G$6,C$12,C$7,C$9,C$8)/1000</f>
        <v>1735.4815936977</v>
      </c>
      <c r="F544" s="59" cm="1">
        <f t="array" ref="F544">estimatedTripDuration(C544,$C$8,$C$7)/60</f>
        <v>19.380486010099339</v>
      </c>
      <c r="G544">
        <f t="shared" ref="G544:G607" si="96">B544</f>
        <v>529</v>
      </c>
      <c r="H544" s="50">
        <f t="shared" si="90"/>
        <v>88.166666666666671</v>
      </c>
      <c r="I544" s="7" cm="1">
        <f t="array" ref="I544">CurrentCapacity(K$10,K$6,K$7,H544)</f>
        <v>35642.344499999999</v>
      </c>
      <c r="J544" s="48">
        <f t="shared" si="91"/>
        <v>4.8691566675634929E-2</v>
      </c>
      <c r="K544" s="5" cm="1">
        <f t="array" ref="K544">UseableCapacity(I544,$K$8,$K$9)</f>
        <v>26731.758374999998</v>
      </c>
      <c r="L544" s="59">
        <f t="shared" si="92"/>
        <v>33906.862906302296</v>
      </c>
      <c r="M544" s="7">
        <f t="shared" si="93"/>
        <v>24996.276781302298</v>
      </c>
      <c r="N544" s="7">
        <f t="shared" si="94"/>
        <v>2607.6555000000008</v>
      </c>
      <c r="O544" t="str">
        <f t="shared" ref="O544:O607" si="97">IF(M544&lt;0,"yes","no")</f>
        <v>no</v>
      </c>
      <c r="P544" t="str">
        <f t="shared" ref="P544:P607" si="98">IF(L544&lt;0,"yes","no")</f>
        <v>no</v>
      </c>
    </row>
    <row r="545" spans="2:16" x14ac:dyDescent="0.35">
      <c r="B545">
        <f t="shared" si="95"/>
        <v>530</v>
      </c>
      <c r="C545" s="7">
        <f t="shared" si="89"/>
        <v>530</v>
      </c>
      <c r="D545" s="1" cm="1">
        <f t="array" ref="D545">estimatedTripEnergy(C545,G$5,G$6,C$12,C$7,C$9,C$8,FALSE)/1000</f>
        <v>1588.4482728583</v>
      </c>
      <c r="E545" s="1" cm="1">
        <f t="array" ref="E545">estimatedTripEnergy(C545,G$5,G$6,C$12,C$7,C$9,C$8)/1000</f>
        <v>1736.4082728583001</v>
      </c>
      <c r="F545" s="59" cm="1">
        <f t="array" ref="F545">estimatedTripDuration(C545,$C$8,$C$7)/60</f>
        <v>19.413819343432674</v>
      </c>
      <c r="G545">
        <f t="shared" si="96"/>
        <v>530</v>
      </c>
      <c r="H545" s="50">
        <f t="shared" si="90"/>
        <v>88.333333333333329</v>
      </c>
      <c r="I545" s="7" cm="1">
        <f t="array" ref="I545">CurrentCapacity(K$10,K$6,K$7,H545)</f>
        <v>35642.115000000005</v>
      </c>
      <c r="J545" s="48">
        <f t="shared" si="91"/>
        <v>4.8717879757087926E-2</v>
      </c>
      <c r="K545" s="5" cm="1">
        <f t="array" ref="K545">UseableCapacity(I545,$K$8,$K$9)</f>
        <v>26731.586250000004</v>
      </c>
      <c r="L545" s="59">
        <f t="shared" si="92"/>
        <v>33905.706727141704</v>
      </c>
      <c r="M545" s="7">
        <f t="shared" si="93"/>
        <v>24995.177977141702</v>
      </c>
      <c r="N545" s="7">
        <f t="shared" si="94"/>
        <v>2607.8849999999948</v>
      </c>
      <c r="O545" t="str">
        <f t="shared" si="97"/>
        <v>no</v>
      </c>
      <c r="P545" t="str">
        <f t="shared" si="98"/>
        <v>no</v>
      </c>
    </row>
    <row r="546" spans="2:16" x14ac:dyDescent="0.35">
      <c r="B546">
        <f t="shared" si="95"/>
        <v>531</v>
      </c>
      <c r="C546" s="7">
        <f t="shared" si="89"/>
        <v>531</v>
      </c>
      <c r="D546" s="1" cm="1">
        <f t="array" ref="D546">estimatedTripEnergy(C546,G$5,G$6,C$12,C$7,C$9,C$8,FALSE)/1000</f>
        <v>1589.3749520189001</v>
      </c>
      <c r="E546" s="1" cm="1">
        <f t="array" ref="E546">estimatedTripEnergy(C546,G$5,G$6,C$12,C$7,C$9,C$8)/1000</f>
        <v>1737.3349520189001</v>
      </c>
      <c r="F546" s="59" cm="1">
        <f t="array" ref="F546">estimatedTripDuration(C546,$C$8,$C$7)/60</f>
        <v>19.447152676766006</v>
      </c>
      <c r="G546">
        <f t="shared" si="96"/>
        <v>531</v>
      </c>
      <c r="H546" s="50">
        <f t="shared" si="90"/>
        <v>88.5</v>
      </c>
      <c r="I546" s="7" cm="1">
        <f t="array" ref="I546">CurrentCapacity(K$10,K$6,K$7,H546)</f>
        <v>35641.885500000004</v>
      </c>
      <c r="J546" s="48">
        <f t="shared" si="91"/>
        <v>4.874419317740359E-2</v>
      </c>
      <c r="K546" s="5" cm="1">
        <f t="array" ref="K546">UseableCapacity(I546,$K$8,$K$9)</f>
        <v>26731.414125000003</v>
      </c>
      <c r="L546" s="59">
        <f t="shared" si="92"/>
        <v>33904.550547981104</v>
      </c>
      <c r="M546" s="7">
        <f t="shared" si="93"/>
        <v>24994.079172981103</v>
      </c>
      <c r="N546" s="7">
        <f t="shared" si="94"/>
        <v>2608.114499999996</v>
      </c>
      <c r="O546" t="str">
        <f t="shared" si="97"/>
        <v>no</v>
      </c>
      <c r="P546" t="str">
        <f t="shared" si="98"/>
        <v>no</v>
      </c>
    </row>
    <row r="547" spans="2:16" x14ac:dyDescent="0.35">
      <c r="B547">
        <f t="shared" si="95"/>
        <v>532</v>
      </c>
      <c r="C547" s="7">
        <f t="shared" si="89"/>
        <v>532</v>
      </c>
      <c r="D547" s="1" cm="1">
        <f t="array" ref="D547">estimatedTripEnergy(C547,G$5,G$6,C$12,C$7,C$9,C$8,FALSE)/1000</f>
        <v>1590.3016311795</v>
      </c>
      <c r="E547" s="1" cm="1">
        <f t="array" ref="E547">estimatedTripEnergy(C547,G$5,G$6,C$12,C$7,C$9,C$8)/1000</f>
        <v>1738.2616311795</v>
      </c>
      <c r="F547" s="59" cm="1">
        <f t="array" ref="F547">estimatedTripDuration(C547,$C$8,$C$7)/60</f>
        <v>19.480486010099341</v>
      </c>
      <c r="G547">
        <f t="shared" si="96"/>
        <v>532</v>
      </c>
      <c r="H547" s="50">
        <f t="shared" si="90"/>
        <v>88.666666666666671</v>
      </c>
      <c r="I547" s="7" cm="1">
        <f t="array" ref="I547">CurrentCapacity(K$10,K$6,K$7,H547)</f>
        <v>35641.656000000003</v>
      </c>
      <c r="J547" s="48">
        <f t="shared" si="91"/>
        <v>4.8770506936588465E-2</v>
      </c>
      <c r="K547" s="5" cm="1">
        <f t="array" ref="K547">UseableCapacity(I547,$K$8,$K$9)</f>
        <v>26731.242000000002</v>
      </c>
      <c r="L547" s="59">
        <f t="shared" si="92"/>
        <v>33903.394368820504</v>
      </c>
      <c r="M547" s="7">
        <f t="shared" si="93"/>
        <v>24992.980368820503</v>
      </c>
      <c r="N547" s="7">
        <f t="shared" si="94"/>
        <v>2608.3439999999973</v>
      </c>
      <c r="O547" t="str">
        <f t="shared" si="97"/>
        <v>no</v>
      </c>
      <c r="P547" t="str">
        <f t="shared" si="98"/>
        <v>no</v>
      </c>
    </row>
    <row r="548" spans="2:16" x14ac:dyDescent="0.35">
      <c r="B548">
        <f t="shared" si="95"/>
        <v>533</v>
      </c>
      <c r="C548" s="7">
        <f t="shared" si="89"/>
        <v>533</v>
      </c>
      <c r="D548" s="1" cm="1">
        <f t="array" ref="D548">estimatedTripEnergy(C548,G$5,G$6,C$12,C$7,C$9,C$8,FALSE)/1000</f>
        <v>1591.2283103401001</v>
      </c>
      <c r="E548" s="1" cm="1">
        <f t="array" ref="E548">estimatedTripEnergy(C548,G$5,G$6,C$12,C$7,C$9,C$8)/1000</f>
        <v>1739.1883103400999</v>
      </c>
      <c r="F548" s="59" cm="1">
        <f t="array" ref="F548">estimatedTripDuration(C548,$C$8,$C$7)/60</f>
        <v>19.513819343432672</v>
      </c>
      <c r="G548">
        <f t="shared" si="96"/>
        <v>533</v>
      </c>
      <c r="H548" s="50">
        <f t="shared" si="90"/>
        <v>88.833333333333329</v>
      </c>
      <c r="I548" s="7" cm="1">
        <f t="array" ref="I548">CurrentCapacity(K$10,K$6,K$7,H548)</f>
        <v>35641.426500000001</v>
      </c>
      <c r="J548" s="48">
        <f t="shared" si="91"/>
        <v>4.87968210346491E-2</v>
      </c>
      <c r="K548" s="5" cm="1">
        <f t="array" ref="K548">UseableCapacity(I548,$K$8,$K$9)</f>
        <v>26731.069875000001</v>
      </c>
      <c r="L548" s="59">
        <f t="shared" si="92"/>
        <v>33902.238189659904</v>
      </c>
      <c r="M548" s="7">
        <f t="shared" si="93"/>
        <v>24991.8815646599</v>
      </c>
      <c r="N548" s="7">
        <f t="shared" si="94"/>
        <v>2608.5734999999986</v>
      </c>
      <c r="O548" t="str">
        <f t="shared" si="97"/>
        <v>no</v>
      </c>
      <c r="P548" t="str">
        <f t="shared" si="98"/>
        <v>no</v>
      </c>
    </row>
    <row r="549" spans="2:16" x14ac:dyDescent="0.35">
      <c r="B549">
        <f t="shared" si="95"/>
        <v>534</v>
      </c>
      <c r="C549" s="7">
        <f t="shared" si="89"/>
        <v>534</v>
      </c>
      <c r="D549" s="1" cm="1">
        <f t="array" ref="D549">estimatedTripEnergy(C549,G$5,G$6,C$12,C$7,C$9,C$8,FALSE)/1000</f>
        <v>1592.1549895007001</v>
      </c>
      <c r="E549" s="1" cm="1">
        <f t="array" ref="E549">estimatedTripEnergy(C549,G$5,G$6,C$12,C$7,C$9,C$8)/1000</f>
        <v>1740.1149895006999</v>
      </c>
      <c r="F549" s="59" cm="1">
        <f t="array" ref="F549">estimatedTripDuration(C549,$C$8,$C$7)/60</f>
        <v>19.547152676766007</v>
      </c>
      <c r="G549">
        <f t="shared" si="96"/>
        <v>534</v>
      </c>
      <c r="H549" s="50">
        <f t="shared" si="90"/>
        <v>89</v>
      </c>
      <c r="I549" s="7" cm="1">
        <f t="array" ref="I549">CurrentCapacity(K$10,K$6,K$7,H549)</f>
        <v>35641.197</v>
      </c>
      <c r="J549" s="48">
        <f t="shared" si="91"/>
        <v>4.8823135471592047E-2</v>
      </c>
      <c r="K549" s="5" cm="1">
        <f t="array" ref="K549">UseableCapacity(I549,$K$8,$K$9)</f>
        <v>26730.89775</v>
      </c>
      <c r="L549" s="59">
        <f t="shared" si="92"/>
        <v>33901.082010499304</v>
      </c>
      <c r="M549" s="7">
        <f t="shared" si="93"/>
        <v>24990.7827604993</v>
      </c>
      <c r="N549" s="7">
        <f t="shared" si="94"/>
        <v>2608.8029999999999</v>
      </c>
      <c r="O549" t="str">
        <f t="shared" si="97"/>
        <v>no</v>
      </c>
      <c r="P549" t="str">
        <f t="shared" si="98"/>
        <v>no</v>
      </c>
    </row>
    <row r="550" spans="2:16" x14ac:dyDescent="0.35">
      <c r="B550">
        <f t="shared" si="95"/>
        <v>535</v>
      </c>
      <c r="C550" s="7">
        <f t="shared" si="89"/>
        <v>535</v>
      </c>
      <c r="D550" s="1" cm="1">
        <f t="array" ref="D550">estimatedTripEnergy(C550,G$5,G$6,C$12,C$7,C$9,C$8,FALSE)/1000</f>
        <v>1593.0816686613</v>
      </c>
      <c r="E550" s="1" cm="1">
        <f t="array" ref="E550">estimatedTripEnergy(C550,G$5,G$6,C$12,C$7,C$9,C$8)/1000</f>
        <v>1741.0416686613</v>
      </c>
      <c r="F550" s="59" cm="1">
        <f t="array" ref="F550">estimatedTripDuration(C550,$C$8,$C$7)/60</f>
        <v>19.580486010099339</v>
      </c>
      <c r="G550">
        <f t="shared" si="96"/>
        <v>535</v>
      </c>
      <c r="H550" s="50">
        <f t="shared" si="90"/>
        <v>89.166666666666671</v>
      </c>
      <c r="I550" s="7" cm="1">
        <f t="array" ref="I550">CurrentCapacity(K$10,K$6,K$7,H550)</f>
        <v>35640.967499999999</v>
      </c>
      <c r="J550" s="48">
        <f t="shared" si="91"/>
        <v>4.8849450247423841E-2</v>
      </c>
      <c r="K550" s="5" cm="1">
        <f t="array" ref="K550">UseableCapacity(I550,$K$8,$K$9)</f>
        <v>26730.725624999999</v>
      </c>
      <c r="L550" s="59">
        <f t="shared" si="92"/>
        <v>33899.925831338696</v>
      </c>
      <c r="M550" s="7">
        <f t="shared" si="93"/>
        <v>24989.6839563387</v>
      </c>
      <c r="N550" s="7">
        <f t="shared" si="94"/>
        <v>2609.0325000000012</v>
      </c>
      <c r="O550" t="str">
        <f t="shared" si="97"/>
        <v>no</v>
      </c>
      <c r="P550" t="str">
        <f t="shared" si="98"/>
        <v>no</v>
      </c>
    </row>
    <row r="551" spans="2:16" x14ac:dyDescent="0.35">
      <c r="B551">
        <f t="shared" si="95"/>
        <v>536</v>
      </c>
      <c r="C551" s="7">
        <f t="shared" si="89"/>
        <v>536</v>
      </c>
      <c r="D551" s="1" cm="1">
        <f t="array" ref="D551">estimatedTripEnergy(C551,G$5,G$6,C$12,C$7,C$9,C$8,FALSE)/1000</f>
        <v>1594.0083478219001</v>
      </c>
      <c r="E551" s="1" cm="1">
        <f t="array" ref="E551">estimatedTripEnergy(C551,G$5,G$6,C$12,C$7,C$9,C$8)/1000</f>
        <v>1741.9683478219001</v>
      </c>
      <c r="F551" s="59" cm="1">
        <f t="array" ref="F551">estimatedTripDuration(C551,$C$8,$C$7)/60</f>
        <v>19.613819343432674</v>
      </c>
      <c r="G551">
        <f t="shared" si="96"/>
        <v>536</v>
      </c>
      <c r="H551" s="50">
        <f t="shared" si="90"/>
        <v>89.333333333333329</v>
      </c>
      <c r="I551" s="7" cm="1">
        <f t="array" ref="I551">CurrentCapacity(K$10,K$6,K$7,H551)</f>
        <v>35640.738000000005</v>
      </c>
      <c r="J551" s="48">
        <f t="shared" si="91"/>
        <v>4.8875765362151026E-2</v>
      </c>
      <c r="K551" s="5" cm="1">
        <f t="array" ref="K551">UseableCapacity(I551,$K$8,$K$9)</f>
        <v>26730.553500000002</v>
      </c>
      <c r="L551" s="59">
        <f t="shared" si="92"/>
        <v>33898.769652178104</v>
      </c>
      <c r="M551" s="7">
        <f t="shared" si="93"/>
        <v>24988.585152178101</v>
      </c>
      <c r="N551" s="7">
        <f t="shared" si="94"/>
        <v>2609.2619999999952</v>
      </c>
      <c r="O551" t="str">
        <f t="shared" si="97"/>
        <v>no</v>
      </c>
      <c r="P551" t="str">
        <f t="shared" si="98"/>
        <v>no</v>
      </c>
    </row>
    <row r="552" spans="2:16" x14ac:dyDescent="0.35">
      <c r="B552">
        <f t="shared" si="95"/>
        <v>537</v>
      </c>
      <c r="C552" s="7">
        <f t="shared" si="89"/>
        <v>537</v>
      </c>
      <c r="D552" s="1" cm="1">
        <f t="array" ref="D552">estimatedTripEnergy(C552,G$5,G$6,C$12,C$7,C$9,C$8,FALSE)/1000</f>
        <v>1594.9350269824999</v>
      </c>
      <c r="E552" s="1" cm="1">
        <f t="array" ref="E552">estimatedTripEnergy(C552,G$5,G$6,C$12,C$7,C$9,C$8)/1000</f>
        <v>1742.8950269825</v>
      </c>
      <c r="F552" s="59" cm="1">
        <f t="array" ref="F552">estimatedTripDuration(C552,$C$8,$C$7)/60</f>
        <v>19.647152676766005</v>
      </c>
      <c r="G552">
        <f t="shared" si="96"/>
        <v>537</v>
      </c>
      <c r="H552" s="50">
        <f t="shared" si="90"/>
        <v>89.5</v>
      </c>
      <c r="I552" s="7" cm="1">
        <f t="array" ref="I552">CurrentCapacity(K$10,K$6,K$7,H552)</f>
        <v>35640.508500000004</v>
      </c>
      <c r="J552" s="48">
        <f t="shared" si="91"/>
        <v>4.8902080815780159E-2</v>
      </c>
      <c r="K552" s="5" cm="1">
        <f t="array" ref="K552">UseableCapacity(I552,$K$8,$K$9)</f>
        <v>26730.381375000004</v>
      </c>
      <c r="L552" s="59">
        <f t="shared" si="92"/>
        <v>33897.613473017504</v>
      </c>
      <c r="M552" s="7">
        <f t="shared" si="93"/>
        <v>24987.486348017504</v>
      </c>
      <c r="N552" s="7">
        <f t="shared" si="94"/>
        <v>2609.4914999999964</v>
      </c>
      <c r="O552" t="str">
        <f t="shared" si="97"/>
        <v>no</v>
      </c>
      <c r="P552" t="str">
        <f t="shared" si="98"/>
        <v>no</v>
      </c>
    </row>
    <row r="553" spans="2:16" x14ac:dyDescent="0.35">
      <c r="B553">
        <f t="shared" si="95"/>
        <v>538</v>
      </c>
      <c r="C553" s="7">
        <f t="shared" si="89"/>
        <v>538</v>
      </c>
      <c r="D553" s="1" cm="1">
        <f t="array" ref="D553">estimatedTripEnergy(C553,G$5,G$6,C$12,C$7,C$9,C$8,FALSE)/1000</f>
        <v>1595.8617061431</v>
      </c>
      <c r="E553" s="1" cm="1">
        <f t="array" ref="E553">estimatedTripEnergy(C553,G$5,G$6,C$12,C$7,C$9,C$8)/1000</f>
        <v>1743.8217061431001</v>
      </c>
      <c r="F553" s="59" cm="1">
        <f t="array" ref="F553">estimatedTripDuration(C553,$C$8,$C$7)/60</f>
        <v>19.68048601009934</v>
      </c>
      <c r="G553">
        <f t="shared" si="96"/>
        <v>538</v>
      </c>
      <c r="H553" s="50">
        <f t="shared" si="90"/>
        <v>89.666666666666671</v>
      </c>
      <c r="I553" s="7" cm="1">
        <f t="array" ref="I553">CurrentCapacity(K$10,K$6,K$7,H553)</f>
        <v>35640.279000000002</v>
      </c>
      <c r="J553" s="48">
        <f t="shared" si="91"/>
        <v>4.8928396608317798E-2</v>
      </c>
      <c r="K553" s="5" cm="1">
        <f t="array" ref="K553">UseableCapacity(I553,$K$8,$K$9)</f>
        <v>26730.20925</v>
      </c>
      <c r="L553" s="59">
        <f t="shared" si="92"/>
        <v>33896.457293856904</v>
      </c>
      <c r="M553" s="7">
        <f t="shared" si="93"/>
        <v>24986.387543856901</v>
      </c>
      <c r="N553" s="7">
        <f t="shared" si="94"/>
        <v>2609.7209999999977</v>
      </c>
      <c r="O553" t="str">
        <f t="shared" si="97"/>
        <v>no</v>
      </c>
      <c r="P553" t="str">
        <f t="shared" si="98"/>
        <v>no</v>
      </c>
    </row>
    <row r="554" spans="2:16" x14ac:dyDescent="0.35">
      <c r="B554">
        <f t="shared" si="95"/>
        <v>539</v>
      </c>
      <c r="C554" s="7">
        <f t="shared" si="89"/>
        <v>539</v>
      </c>
      <c r="D554" s="1" cm="1">
        <f t="array" ref="D554">estimatedTripEnergy(C554,G$5,G$6,C$12,C$7,C$9,C$8,FALSE)/1000</f>
        <v>1596.7883853036999</v>
      </c>
      <c r="E554" s="1" cm="1">
        <f t="array" ref="E554">estimatedTripEnergy(C554,G$5,G$6,C$12,C$7,C$9,C$8)/1000</f>
        <v>1744.7483853036999</v>
      </c>
      <c r="F554" s="59" cm="1">
        <f t="array" ref="F554">estimatedTripDuration(C554,$C$8,$C$7)/60</f>
        <v>19.713819343432672</v>
      </c>
      <c r="G554">
        <f t="shared" si="96"/>
        <v>539</v>
      </c>
      <c r="H554" s="50">
        <f t="shared" si="90"/>
        <v>89.833333333333329</v>
      </c>
      <c r="I554" s="7" cm="1">
        <f t="array" ref="I554">CurrentCapacity(K$10,K$6,K$7,H554)</f>
        <v>35640.049500000001</v>
      </c>
      <c r="J554" s="48">
        <f t="shared" si="91"/>
        <v>4.8954712739770465E-2</v>
      </c>
      <c r="K554" s="5" cm="1">
        <f t="array" ref="K554">UseableCapacity(I554,$K$8,$K$9)</f>
        <v>26730.037125000003</v>
      </c>
      <c r="L554" s="59">
        <f t="shared" si="92"/>
        <v>33895.301114696304</v>
      </c>
      <c r="M554" s="7">
        <f t="shared" si="93"/>
        <v>24985.288739696301</v>
      </c>
      <c r="N554" s="7">
        <f t="shared" si="94"/>
        <v>2609.950499999999</v>
      </c>
      <c r="O554" t="str">
        <f t="shared" si="97"/>
        <v>no</v>
      </c>
      <c r="P554" t="str">
        <f t="shared" si="98"/>
        <v>no</v>
      </c>
    </row>
    <row r="555" spans="2:16" x14ac:dyDescent="0.35">
      <c r="B555">
        <f t="shared" si="95"/>
        <v>540</v>
      </c>
      <c r="C555" s="7">
        <f t="shared" si="89"/>
        <v>540</v>
      </c>
      <c r="D555" s="1" cm="1">
        <f t="array" ref="D555">estimatedTripEnergy(C555,G$5,G$6,C$12,C$7,C$9,C$8,FALSE)/1000</f>
        <v>1597.7150644643</v>
      </c>
      <c r="E555" s="1" cm="1">
        <f t="array" ref="E555">estimatedTripEnergy(C555,G$5,G$6,C$12,C$7,C$9,C$8)/1000</f>
        <v>1745.6750644643</v>
      </c>
      <c r="F555" s="59" cm="1">
        <f t="array" ref="F555">estimatedTripDuration(C555,$C$8,$C$7)/60</f>
        <v>19.747152676766007</v>
      </c>
      <c r="G555">
        <f t="shared" si="96"/>
        <v>540</v>
      </c>
      <c r="H555" s="50">
        <f t="shared" si="90"/>
        <v>90</v>
      </c>
      <c r="I555" s="7" cm="1">
        <f t="array" ref="I555">CurrentCapacity(K$10,K$6,K$7,H555)</f>
        <v>35639.82</v>
      </c>
      <c r="J555" s="48">
        <f t="shared" si="91"/>
        <v>4.8981029210144723E-2</v>
      </c>
      <c r="K555" s="5" cm="1">
        <f t="array" ref="K555">UseableCapacity(I555,$K$8,$K$9)</f>
        <v>26729.864999999998</v>
      </c>
      <c r="L555" s="59">
        <f t="shared" si="92"/>
        <v>33894.144935535696</v>
      </c>
      <c r="M555" s="7">
        <f t="shared" si="93"/>
        <v>24984.189935535698</v>
      </c>
      <c r="N555" s="7">
        <f t="shared" si="94"/>
        <v>2610.1800000000003</v>
      </c>
      <c r="O555" t="str">
        <f t="shared" si="97"/>
        <v>no</v>
      </c>
      <c r="P555" t="str">
        <f t="shared" si="98"/>
        <v>no</v>
      </c>
    </row>
    <row r="556" spans="2:16" x14ac:dyDescent="0.35">
      <c r="B556">
        <f t="shared" si="95"/>
        <v>541</v>
      </c>
      <c r="C556" s="7">
        <f t="shared" si="89"/>
        <v>541</v>
      </c>
      <c r="D556" s="1" cm="1">
        <f t="array" ref="D556">estimatedTripEnergy(C556,G$5,G$6,C$12,C$7,C$9,C$8,FALSE)/1000</f>
        <v>1598.6417436249001</v>
      </c>
      <c r="E556" s="1" cm="1">
        <f t="array" ref="E556">estimatedTripEnergy(C556,G$5,G$6,C$12,C$7,C$9,C$8)/1000</f>
        <v>1746.6017436249001</v>
      </c>
      <c r="F556" s="59" cm="1">
        <f t="array" ref="F556">estimatedTripDuration(C556,$C$8,$C$7)/60</f>
        <v>19.780486010099342</v>
      </c>
      <c r="G556">
        <f t="shared" si="96"/>
        <v>541</v>
      </c>
      <c r="H556" s="50">
        <f t="shared" si="90"/>
        <v>90.166666666666671</v>
      </c>
      <c r="I556" s="7" cm="1">
        <f t="array" ref="I556">CurrentCapacity(K$10,K$6,K$7,H556)</f>
        <v>35639.590500000006</v>
      </c>
      <c r="J556" s="48">
        <f t="shared" si="91"/>
        <v>4.9007346019447104E-2</v>
      </c>
      <c r="K556" s="5" cm="1">
        <f t="array" ref="K556">UseableCapacity(I556,$K$8,$K$9)</f>
        <v>26729.692875000004</v>
      </c>
      <c r="L556" s="59">
        <f t="shared" si="92"/>
        <v>33892.988756375104</v>
      </c>
      <c r="M556" s="7">
        <f t="shared" si="93"/>
        <v>24983.091131375106</v>
      </c>
      <c r="N556" s="7">
        <f t="shared" si="94"/>
        <v>2610.4094999999943</v>
      </c>
      <c r="O556" t="str">
        <f t="shared" si="97"/>
        <v>no</v>
      </c>
      <c r="P556" t="str">
        <f t="shared" si="98"/>
        <v>no</v>
      </c>
    </row>
    <row r="557" spans="2:16" x14ac:dyDescent="0.35">
      <c r="B557">
        <f t="shared" si="95"/>
        <v>542</v>
      </c>
      <c r="C557" s="7">
        <f t="shared" si="89"/>
        <v>542</v>
      </c>
      <c r="D557" s="1" cm="1">
        <f t="array" ref="D557">estimatedTripEnergy(C557,G$5,G$6,C$12,C$7,C$9,C$8,FALSE)/1000</f>
        <v>1599.5684227855002</v>
      </c>
      <c r="E557" s="1" cm="1">
        <f t="array" ref="E557">estimatedTripEnergy(C557,G$5,G$6,C$12,C$7,C$9,C$8)/1000</f>
        <v>1747.5284227855</v>
      </c>
      <c r="F557" s="59" cm="1">
        <f t="array" ref="F557">estimatedTripDuration(C557,$C$8,$C$7)/60</f>
        <v>19.813819343432673</v>
      </c>
      <c r="G557">
        <f t="shared" si="96"/>
        <v>542</v>
      </c>
      <c r="H557" s="50">
        <f t="shared" si="90"/>
        <v>90.333333333333329</v>
      </c>
      <c r="I557" s="7" cm="1">
        <f t="array" ref="I557">CurrentCapacity(K$10,K$6,K$7,H557)</f>
        <v>35639.361000000004</v>
      </c>
      <c r="J557" s="48">
        <f t="shared" si="91"/>
        <v>4.903366316768417E-2</v>
      </c>
      <c r="K557" s="5" cm="1">
        <f t="array" ref="K557">UseableCapacity(I557,$K$8,$K$9)</f>
        <v>26729.520750000003</v>
      </c>
      <c r="L557" s="59">
        <f t="shared" si="92"/>
        <v>33891.832577214504</v>
      </c>
      <c r="M557" s="7">
        <f t="shared" si="93"/>
        <v>24981.992327214502</v>
      </c>
      <c r="N557" s="7">
        <f t="shared" si="94"/>
        <v>2610.6389999999956</v>
      </c>
      <c r="O557" t="str">
        <f t="shared" si="97"/>
        <v>no</v>
      </c>
      <c r="P557" t="str">
        <f t="shared" si="98"/>
        <v>no</v>
      </c>
    </row>
    <row r="558" spans="2:16" x14ac:dyDescent="0.35">
      <c r="B558">
        <f t="shared" si="95"/>
        <v>543</v>
      </c>
      <c r="C558" s="7">
        <f t="shared" si="89"/>
        <v>543</v>
      </c>
      <c r="D558" s="1" cm="1">
        <f t="array" ref="D558">estimatedTripEnergy(C558,G$5,G$6,C$12,C$7,C$9,C$8,FALSE)/1000</f>
        <v>1600.4951019461</v>
      </c>
      <c r="E558" s="1" cm="1">
        <f t="array" ref="E558">estimatedTripEnergy(C558,G$5,G$6,C$12,C$7,C$9,C$8)/1000</f>
        <v>1748.4551019461001</v>
      </c>
      <c r="F558" s="59" cm="1">
        <f t="array" ref="F558">estimatedTripDuration(C558,$C$8,$C$7)/60</f>
        <v>19.847152676766008</v>
      </c>
      <c r="G558">
        <f t="shared" si="96"/>
        <v>543</v>
      </c>
      <c r="H558" s="50">
        <f t="shared" si="90"/>
        <v>90.5</v>
      </c>
      <c r="I558" s="7" cm="1">
        <f t="array" ref="I558">CurrentCapacity(K$10,K$6,K$7,H558)</f>
        <v>35639.131500000003</v>
      </c>
      <c r="J558" s="48">
        <f t="shared" si="91"/>
        <v>4.9059980654862473E-2</v>
      </c>
      <c r="K558" s="5" cm="1">
        <f t="array" ref="K558">UseableCapacity(I558,$K$8,$K$9)</f>
        <v>26729.348625000002</v>
      </c>
      <c r="L558" s="59">
        <f t="shared" si="92"/>
        <v>33890.676398053904</v>
      </c>
      <c r="M558" s="7">
        <f t="shared" si="93"/>
        <v>24980.893523053903</v>
      </c>
      <c r="N558" s="7">
        <f t="shared" si="94"/>
        <v>2610.8684999999969</v>
      </c>
      <c r="O558" t="str">
        <f t="shared" si="97"/>
        <v>no</v>
      </c>
      <c r="P558" t="str">
        <f t="shared" si="98"/>
        <v>no</v>
      </c>
    </row>
    <row r="559" spans="2:16" x14ac:dyDescent="0.35">
      <c r="B559">
        <f t="shared" si="95"/>
        <v>544</v>
      </c>
      <c r="C559" s="7">
        <f t="shared" si="89"/>
        <v>544</v>
      </c>
      <c r="D559" s="1" cm="1">
        <f t="array" ref="D559">estimatedTripEnergy(C559,G$5,G$6,C$12,C$7,C$9,C$8,FALSE)/1000</f>
        <v>1601.4217811066999</v>
      </c>
      <c r="E559" s="1" cm="1">
        <f t="array" ref="E559">estimatedTripEnergy(C559,G$5,G$6,C$12,C$7,C$9,C$8)/1000</f>
        <v>1749.3817811066999</v>
      </c>
      <c r="F559" s="59" cm="1">
        <f t="array" ref="F559">estimatedTripDuration(C559,$C$8,$C$7)/60</f>
        <v>19.880486010099339</v>
      </c>
      <c r="G559">
        <f t="shared" si="96"/>
        <v>544</v>
      </c>
      <c r="H559" s="50">
        <f t="shared" si="90"/>
        <v>90.666666666666671</v>
      </c>
      <c r="I559" s="7" cm="1">
        <f t="array" ref="I559">CurrentCapacity(K$10,K$6,K$7,H559)</f>
        <v>35638.902000000002</v>
      </c>
      <c r="J559" s="48">
        <f t="shared" si="91"/>
        <v>4.9086298480988548E-2</v>
      </c>
      <c r="K559" s="5" cm="1">
        <f t="array" ref="K559">UseableCapacity(I559,$K$8,$K$9)</f>
        <v>26729.176500000001</v>
      </c>
      <c r="L559" s="59">
        <f t="shared" si="92"/>
        <v>33889.520218893304</v>
      </c>
      <c r="M559" s="7">
        <f t="shared" si="93"/>
        <v>24979.794718893303</v>
      </c>
      <c r="N559" s="7">
        <f t="shared" si="94"/>
        <v>2611.0979999999981</v>
      </c>
      <c r="O559" t="str">
        <f t="shared" si="97"/>
        <v>no</v>
      </c>
      <c r="P559" t="str">
        <f t="shared" si="98"/>
        <v>no</v>
      </c>
    </row>
    <row r="560" spans="2:16" x14ac:dyDescent="0.35">
      <c r="B560">
        <f t="shared" si="95"/>
        <v>545</v>
      </c>
      <c r="C560" s="7">
        <f t="shared" si="89"/>
        <v>545</v>
      </c>
      <c r="D560" s="1" cm="1">
        <f t="array" ref="D560">estimatedTripEnergy(C560,G$5,G$6,C$12,C$7,C$9,C$8,FALSE)/1000</f>
        <v>1602.3484602673</v>
      </c>
      <c r="E560" s="1" cm="1">
        <f t="array" ref="E560">estimatedTripEnergy(C560,G$5,G$6,C$12,C$7,C$9,C$8)/1000</f>
        <v>1750.3084602673</v>
      </c>
      <c r="F560" s="59" cm="1">
        <f t="array" ref="F560">estimatedTripDuration(C560,$C$8,$C$7)/60</f>
        <v>19.913819343432674</v>
      </c>
      <c r="G560">
        <f t="shared" si="96"/>
        <v>545</v>
      </c>
      <c r="H560" s="50">
        <f t="shared" si="90"/>
        <v>90.833333333333329</v>
      </c>
      <c r="I560" s="7" cm="1">
        <f t="array" ref="I560">CurrentCapacity(K$10,K$6,K$7,H560)</f>
        <v>35638.672500000001</v>
      </c>
      <c r="J560" s="48">
        <f t="shared" si="91"/>
        <v>4.911261664606896E-2</v>
      </c>
      <c r="K560" s="5" cm="1">
        <f t="array" ref="K560">UseableCapacity(I560,$K$8,$K$9)</f>
        <v>26729.004375</v>
      </c>
      <c r="L560" s="59">
        <f t="shared" si="92"/>
        <v>33888.364039732704</v>
      </c>
      <c r="M560" s="7">
        <f t="shared" si="93"/>
        <v>24978.6959147327</v>
      </c>
      <c r="N560" s="7">
        <f t="shared" si="94"/>
        <v>2611.3274999999994</v>
      </c>
      <c r="O560" t="str">
        <f t="shared" si="97"/>
        <v>no</v>
      </c>
      <c r="P560" t="str">
        <f t="shared" si="98"/>
        <v>no</v>
      </c>
    </row>
    <row r="561" spans="2:16" x14ac:dyDescent="0.35">
      <c r="B561">
        <f t="shared" si="95"/>
        <v>546</v>
      </c>
      <c r="C561" s="7">
        <f t="shared" si="89"/>
        <v>546</v>
      </c>
      <c r="D561" s="1" cm="1">
        <f t="array" ref="D561">estimatedTripEnergy(C561,G$5,G$6,C$12,C$7,C$9,C$8,FALSE)/1000</f>
        <v>1603.2751394279001</v>
      </c>
      <c r="E561" s="1" cm="1">
        <f t="array" ref="E561">estimatedTripEnergy(C561,G$5,G$6,C$12,C$7,C$9,C$8)/1000</f>
        <v>1751.2351394279001</v>
      </c>
      <c r="F561" s="59" cm="1">
        <f t="array" ref="F561">estimatedTripDuration(C561,$C$8,$C$7)/60</f>
        <v>19.947152676766006</v>
      </c>
      <c r="G561">
        <f t="shared" si="96"/>
        <v>546</v>
      </c>
      <c r="H561" s="50">
        <f t="shared" si="90"/>
        <v>91</v>
      </c>
      <c r="I561" s="7" cm="1">
        <f t="array" ref="I561">CurrentCapacity(K$10,K$6,K$7,H561)</f>
        <v>35638.443000000007</v>
      </c>
      <c r="J561" s="48">
        <f t="shared" si="91"/>
        <v>4.9138935150110225E-2</v>
      </c>
      <c r="K561" s="5" cm="1">
        <f t="array" ref="K561">UseableCapacity(I561,$K$8,$K$9)</f>
        <v>26728.832250000007</v>
      </c>
      <c r="L561" s="59">
        <f t="shared" si="92"/>
        <v>33887.207860572104</v>
      </c>
      <c r="M561" s="7">
        <f t="shared" si="93"/>
        <v>24977.597110572107</v>
      </c>
      <c r="N561" s="7">
        <f t="shared" si="94"/>
        <v>2611.5569999999934</v>
      </c>
      <c r="O561" t="str">
        <f t="shared" si="97"/>
        <v>no</v>
      </c>
      <c r="P561" t="str">
        <f t="shared" si="98"/>
        <v>no</v>
      </c>
    </row>
    <row r="562" spans="2:16" x14ac:dyDescent="0.35">
      <c r="B562">
        <f t="shared" si="95"/>
        <v>547</v>
      </c>
      <c r="C562" s="7">
        <f t="shared" si="89"/>
        <v>547</v>
      </c>
      <c r="D562" s="1" cm="1">
        <f t="array" ref="D562">estimatedTripEnergy(C562,G$5,G$6,C$12,C$7,C$9,C$8,FALSE)/1000</f>
        <v>1604.2018185884999</v>
      </c>
      <c r="E562" s="1" cm="1">
        <f t="array" ref="E562">estimatedTripEnergy(C562,G$5,G$6,C$12,C$7,C$9,C$8)/1000</f>
        <v>1752.1618185885</v>
      </c>
      <c r="F562" s="59" cm="1">
        <f t="array" ref="F562">estimatedTripDuration(C562,$C$8,$C$7)/60</f>
        <v>19.980486010099341</v>
      </c>
      <c r="G562">
        <f t="shared" si="96"/>
        <v>547</v>
      </c>
      <c r="H562" s="50">
        <f t="shared" si="90"/>
        <v>91.166666666666671</v>
      </c>
      <c r="I562" s="7" cm="1">
        <f t="array" ref="I562">CurrentCapacity(K$10,K$6,K$7,H562)</f>
        <v>35638.213500000005</v>
      </c>
      <c r="J562" s="48">
        <f t="shared" si="91"/>
        <v>4.9165253993118919E-2</v>
      </c>
      <c r="K562" s="5" cm="1">
        <f t="array" ref="K562">UseableCapacity(I562,$K$8,$K$9)</f>
        <v>26728.660125000002</v>
      </c>
      <c r="L562" s="59">
        <f t="shared" si="92"/>
        <v>33886.051681411504</v>
      </c>
      <c r="M562" s="7">
        <f t="shared" si="93"/>
        <v>24976.4983064115</v>
      </c>
      <c r="N562" s="7">
        <f t="shared" si="94"/>
        <v>2611.7864999999947</v>
      </c>
      <c r="O562" t="str">
        <f t="shared" si="97"/>
        <v>no</v>
      </c>
      <c r="P562" t="str">
        <f t="shared" si="98"/>
        <v>no</v>
      </c>
    </row>
    <row r="563" spans="2:16" x14ac:dyDescent="0.35">
      <c r="B563">
        <f t="shared" si="95"/>
        <v>548</v>
      </c>
      <c r="C563" s="7">
        <f t="shared" si="89"/>
        <v>548</v>
      </c>
      <c r="D563" s="1" cm="1">
        <f t="array" ref="D563">estimatedTripEnergy(C563,G$5,G$6,C$12,C$7,C$9,C$8,FALSE)/1000</f>
        <v>1605.1284977491</v>
      </c>
      <c r="E563" s="1" cm="1">
        <f t="array" ref="E563">estimatedTripEnergy(C563,G$5,G$6,C$12,C$7,C$9,C$8)/1000</f>
        <v>1753.0884977491</v>
      </c>
      <c r="F563" s="59" cm="1">
        <f t="array" ref="F563">estimatedTripDuration(C563,$C$8,$C$7)/60</f>
        <v>20.013819343432672</v>
      </c>
      <c r="G563">
        <f t="shared" si="96"/>
        <v>548</v>
      </c>
      <c r="H563" s="50">
        <f t="shared" si="90"/>
        <v>91.333333333333329</v>
      </c>
      <c r="I563" s="7" cm="1">
        <f t="array" ref="I563">CurrentCapacity(K$10,K$6,K$7,H563)</f>
        <v>35637.984000000004</v>
      </c>
      <c r="J563" s="48">
        <f t="shared" si="91"/>
        <v>4.9191573175101595E-2</v>
      </c>
      <c r="K563" s="5" cm="1">
        <f t="array" ref="K563">UseableCapacity(I563,$K$8,$K$9)</f>
        <v>26728.488000000005</v>
      </c>
      <c r="L563" s="59">
        <f t="shared" si="92"/>
        <v>33884.895502250904</v>
      </c>
      <c r="M563" s="7">
        <f t="shared" si="93"/>
        <v>24975.399502250904</v>
      </c>
      <c r="N563" s="7">
        <f t="shared" si="94"/>
        <v>2612.015999999996</v>
      </c>
      <c r="O563" t="str">
        <f t="shared" si="97"/>
        <v>no</v>
      </c>
      <c r="P563" t="str">
        <f t="shared" si="98"/>
        <v>no</v>
      </c>
    </row>
    <row r="564" spans="2:16" x14ac:dyDescent="0.35">
      <c r="B564">
        <f t="shared" si="95"/>
        <v>549</v>
      </c>
      <c r="C564" s="7">
        <f t="shared" si="89"/>
        <v>549</v>
      </c>
      <c r="D564" s="1" cm="1">
        <f t="array" ref="D564">estimatedTripEnergy(C564,G$5,G$6,C$12,C$7,C$9,C$8,FALSE)/1000</f>
        <v>1606.0551769097001</v>
      </c>
      <c r="E564" s="1" cm="1">
        <f t="array" ref="E564">estimatedTripEnergy(C564,G$5,G$6,C$12,C$7,C$9,C$8)/1000</f>
        <v>1754.0151769097001</v>
      </c>
      <c r="F564" s="59" cm="1">
        <f t="array" ref="F564">estimatedTripDuration(C564,$C$8,$C$7)/60</f>
        <v>20.047152676766007</v>
      </c>
      <c r="G564">
        <f t="shared" si="96"/>
        <v>549</v>
      </c>
      <c r="H564" s="50">
        <f t="shared" si="90"/>
        <v>91.5</v>
      </c>
      <c r="I564" s="7" cm="1">
        <f t="array" ref="I564">CurrentCapacity(K$10,K$6,K$7,H564)</f>
        <v>35637.754500000003</v>
      </c>
      <c r="J564" s="48">
        <f t="shared" si="91"/>
        <v>4.9217892696064788E-2</v>
      </c>
      <c r="K564" s="5" cm="1">
        <f t="array" ref="K564">UseableCapacity(I564,$K$8,$K$9)</f>
        <v>26728.315875</v>
      </c>
      <c r="L564" s="59">
        <f t="shared" si="92"/>
        <v>33883.739323090304</v>
      </c>
      <c r="M564" s="7">
        <f t="shared" si="93"/>
        <v>24974.300698090301</v>
      </c>
      <c r="N564" s="7">
        <f t="shared" si="94"/>
        <v>2612.2454999999973</v>
      </c>
      <c r="O564" t="str">
        <f t="shared" si="97"/>
        <v>no</v>
      </c>
      <c r="P564" t="str">
        <f t="shared" si="98"/>
        <v>no</v>
      </c>
    </row>
    <row r="565" spans="2:16" x14ac:dyDescent="0.35">
      <c r="B565">
        <f t="shared" si="95"/>
        <v>550</v>
      </c>
      <c r="C565" s="7">
        <f t="shared" si="89"/>
        <v>550</v>
      </c>
      <c r="D565" s="1" cm="1">
        <f t="array" ref="D565">estimatedTripEnergy(C565,G$5,G$6,C$12,C$7,C$9,C$8,FALSE)/1000</f>
        <v>1606.9818560703002</v>
      </c>
      <c r="E565" s="1" cm="1">
        <f t="array" ref="E565">estimatedTripEnergy(C565,G$5,G$6,C$12,C$7,C$9,C$8)/1000</f>
        <v>1754.9418560703</v>
      </c>
      <c r="F565" s="59" cm="1">
        <f t="array" ref="F565">estimatedTripDuration(C565,$C$8,$C$7)/60</f>
        <v>20.080486010099339</v>
      </c>
      <c r="G565">
        <f t="shared" si="96"/>
        <v>550</v>
      </c>
      <c r="H565" s="50">
        <f t="shared" si="90"/>
        <v>91.666666666666671</v>
      </c>
      <c r="I565" s="7" cm="1">
        <f t="array" ref="I565">CurrentCapacity(K$10,K$6,K$7,H565)</f>
        <v>35637.525000000001</v>
      </c>
      <c r="J565" s="48">
        <f t="shared" si="91"/>
        <v>4.9244212556015042E-2</v>
      </c>
      <c r="K565" s="5" cm="1">
        <f t="array" ref="K565">UseableCapacity(I565,$K$8,$K$9)</f>
        <v>26728.143750000003</v>
      </c>
      <c r="L565" s="59">
        <f t="shared" si="92"/>
        <v>33882.583143929704</v>
      </c>
      <c r="M565" s="7">
        <f t="shared" si="93"/>
        <v>24973.201893929701</v>
      </c>
      <c r="N565" s="7">
        <f t="shared" si="94"/>
        <v>2612.4749999999985</v>
      </c>
      <c r="O565" t="str">
        <f t="shared" si="97"/>
        <v>no</v>
      </c>
      <c r="P565" t="str">
        <f t="shared" si="98"/>
        <v>no</v>
      </c>
    </row>
    <row r="566" spans="2:16" x14ac:dyDescent="0.35">
      <c r="B566">
        <f t="shared" si="95"/>
        <v>551</v>
      </c>
      <c r="C566" s="7">
        <f t="shared" si="89"/>
        <v>551</v>
      </c>
      <c r="D566" s="1" cm="1">
        <f t="array" ref="D566">estimatedTripEnergy(C566,G$5,G$6,C$12,C$7,C$9,C$8,FALSE)/1000</f>
        <v>1607.9085352308998</v>
      </c>
      <c r="E566" s="1" cm="1">
        <f t="array" ref="E566">estimatedTripEnergy(C566,G$5,G$6,C$12,C$7,C$9,C$8)/1000</f>
        <v>1755.8685352308999</v>
      </c>
      <c r="F566" s="59" cm="1">
        <f t="array" ref="F566">estimatedTripDuration(C566,$C$8,$C$7)/60</f>
        <v>20.113819343432674</v>
      </c>
      <c r="G566">
        <f t="shared" si="96"/>
        <v>551</v>
      </c>
      <c r="H566" s="50">
        <f t="shared" si="90"/>
        <v>91.833333333333329</v>
      </c>
      <c r="I566" s="7" cm="1">
        <f t="array" ref="I566">CurrentCapacity(K$10,K$6,K$7,H566)</f>
        <v>35637.2955</v>
      </c>
      <c r="J566" s="48">
        <f t="shared" si="91"/>
        <v>4.9270532754958914E-2</v>
      </c>
      <c r="K566" s="5" cm="1">
        <f t="array" ref="K566">UseableCapacity(I566,$K$8,$K$9)</f>
        <v>26727.971624999998</v>
      </c>
      <c r="L566" s="59">
        <f t="shared" si="92"/>
        <v>33881.426964769104</v>
      </c>
      <c r="M566" s="7">
        <f t="shared" si="93"/>
        <v>24972.103089769098</v>
      </c>
      <c r="N566" s="7">
        <f t="shared" si="94"/>
        <v>2612.7044999999998</v>
      </c>
      <c r="O566" t="str">
        <f t="shared" si="97"/>
        <v>no</v>
      </c>
      <c r="P566" t="str">
        <f t="shared" si="98"/>
        <v>no</v>
      </c>
    </row>
    <row r="567" spans="2:16" x14ac:dyDescent="0.35">
      <c r="B567">
        <f t="shared" si="95"/>
        <v>552</v>
      </c>
      <c r="C567" s="7">
        <f t="shared" si="89"/>
        <v>552</v>
      </c>
      <c r="D567" s="1" cm="1">
        <f t="array" ref="D567">estimatedTripEnergy(C567,G$5,G$6,C$12,C$7,C$9,C$8,FALSE)/1000</f>
        <v>1608.8352143914999</v>
      </c>
      <c r="E567" s="1" cm="1">
        <f t="array" ref="E567">estimatedTripEnergy(C567,G$5,G$6,C$12,C$7,C$9,C$8)/1000</f>
        <v>1756.7952143914999</v>
      </c>
      <c r="F567" s="59" cm="1">
        <f t="array" ref="F567">estimatedTripDuration(C567,$C$8,$C$7)/60</f>
        <v>20.147152676766005</v>
      </c>
      <c r="G567">
        <f t="shared" si="96"/>
        <v>552</v>
      </c>
      <c r="H567" s="50">
        <f t="shared" si="90"/>
        <v>92</v>
      </c>
      <c r="I567" s="7" cm="1">
        <f t="array" ref="I567">CurrentCapacity(K$10,K$6,K$7,H567)</f>
        <v>35637.066000000006</v>
      </c>
      <c r="J567" s="48">
        <f t="shared" si="91"/>
        <v>4.9296853292902947E-2</v>
      </c>
      <c r="K567" s="5" cm="1">
        <f t="array" ref="K567">UseableCapacity(I567,$K$8,$K$9)</f>
        <v>26727.799500000005</v>
      </c>
      <c r="L567" s="59">
        <f t="shared" si="92"/>
        <v>33880.270785608504</v>
      </c>
      <c r="M567" s="7">
        <f t="shared" si="93"/>
        <v>24971.004285608506</v>
      </c>
      <c r="N567" s="7">
        <f t="shared" si="94"/>
        <v>2612.9339999999938</v>
      </c>
      <c r="O567" t="str">
        <f t="shared" si="97"/>
        <v>no</v>
      </c>
      <c r="P567" t="str">
        <f t="shared" si="98"/>
        <v>no</v>
      </c>
    </row>
    <row r="568" spans="2:16" x14ac:dyDescent="0.35">
      <c r="B568">
        <f t="shared" si="95"/>
        <v>553</v>
      </c>
      <c r="C568" s="7">
        <f t="shared" si="89"/>
        <v>553</v>
      </c>
      <c r="D568" s="1" cm="1">
        <f t="array" ref="D568">estimatedTripEnergy(C568,G$5,G$6,C$12,C$7,C$9,C$8,FALSE)/1000</f>
        <v>1609.7618935521</v>
      </c>
      <c r="E568" s="1" cm="1">
        <f t="array" ref="E568">estimatedTripEnergy(C568,G$5,G$6,C$12,C$7,C$9,C$8)/1000</f>
        <v>1757.7218935521</v>
      </c>
      <c r="F568" s="59" cm="1">
        <f t="array" ref="F568">estimatedTripDuration(C568,$C$8,$C$7)/60</f>
        <v>20.18048601009934</v>
      </c>
      <c r="G568">
        <f t="shared" si="96"/>
        <v>553</v>
      </c>
      <c r="H568" s="50">
        <f t="shared" si="90"/>
        <v>92.166666666666671</v>
      </c>
      <c r="I568" s="7" cm="1">
        <f t="array" ref="I568">CurrentCapacity(K$10,K$6,K$7,H568)</f>
        <v>35636.836499999998</v>
      </c>
      <c r="J568" s="48">
        <f t="shared" si="91"/>
        <v>4.9323174169853719E-2</v>
      </c>
      <c r="K568" s="5" cm="1">
        <f t="array" ref="K568">UseableCapacity(I568,$K$8,$K$9)</f>
        <v>26727.627374999996</v>
      </c>
      <c r="L568" s="59">
        <f t="shared" si="92"/>
        <v>33879.114606447896</v>
      </c>
      <c r="M568" s="7">
        <f t="shared" si="93"/>
        <v>24969.905481447895</v>
      </c>
      <c r="N568" s="7">
        <f t="shared" si="94"/>
        <v>2613.1635000000024</v>
      </c>
      <c r="O568" t="str">
        <f t="shared" si="97"/>
        <v>no</v>
      </c>
      <c r="P568" t="str">
        <f t="shared" si="98"/>
        <v>no</v>
      </c>
    </row>
    <row r="569" spans="2:16" x14ac:dyDescent="0.35">
      <c r="B569">
        <f t="shared" si="95"/>
        <v>554</v>
      </c>
      <c r="C569" s="7">
        <f t="shared" si="89"/>
        <v>554</v>
      </c>
      <c r="D569" s="1" cm="1">
        <f t="array" ref="D569">estimatedTripEnergy(C569,G$5,G$6,C$12,C$7,C$9,C$8,FALSE)/1000</f>
        <v>1610.6885727126999</v>
      </c>
      <c r="E569" s="1" cm="1">
        <f t="array" ref="E569">estimatedTripEnergy(C569,G$5,G$6,C$12,C$7,C$9,C$8)/1000</f>
        <v>1758.6485727126999</v>
      </c>
      <c r="F569" s="59" cm="1">
        <f t="array" ref="F569">estimatedTripDuration(C569,$C$8,$C$7)/60</f>
        <v>20.213819343432672</v>
      </c>
      <c r="G569">
        <f t="shared" si="96"/>
        <v>554</v>
      </c>
      <c r="H569" s="50">
        <f t="shared" si="90"/>
        <v>92.333333333333329</v>
      </c>
      <c r="I569" s="7" cm="1">
        <f t="array" ref="I569">CurrentCapacity(K$10,K$6,K$7,H569)</f>
        <v>35636.607000000004</v>
      </c>
      <c r="J569" s="48">
        <f t="shared" si="91"/>
        <v>4.9349495385817725E-2</v>
      </c>
      <c r="K569" s="5" cm="1">
        <f t="array" ref="K569">UseableCapacity(I569,$K$8,$K$9)</f>
        <v>26727.455250000003</v>
      </c>
      <c r="L569" s="59">
        <f t="shared" si="92"/>
        <v>33877.958427287303</v>
      </c>
      <c r="M569" s="7">
        <f t="shared" si="93"/>
        <v>24968.806677287303</v>
      </c>
      <c r="N569" s="7">
        <f t="shared" si="94"/>
        <v>2613.3929999999964</v>
      </c>
      <c r="O569" t="str">
        <f t="shared" si="97"/>
        <v>no</v>
      </c>
      <c r="P569" t="str">
        <f t="shared" si="98"/>
        <v>no</v>
      </c>
    </row>
    <row r="570" spans="2:16" x14ac:dyDescent="0.35">
      <c r="B570">
        <f t="shared" si="95"/>
        <v>555</v>
      </c>
      <c r="C570" s="7">
        <f t="shared" si="89"/>
        <v>555</v>
      </c>
      <c r="D570" s="1" cm="1">
        <f t="array" ref="D570">estimatedTripEnergy(C570,G$5,G$6,C$12,C$7,C$9,C$8,FALSE)/1000</f>
        <v>1611.6152518732999</v>
      </c>
      <c r="E570" s="1" cm="1">
        <f t="array" ref="E570">estimatedTripEnergy(C570,G$5,G$6,C$12,C$7,C$9,C$8)/1000</f>
        <v>1759.5752518733</v>
      </c>
      <c r="F570" s="59" cm="1">
        <f t="array" ref="F570">estimatedTripDuration(C570,$C$8,$C$7)/60</f>
        <v>20.247152676766007</v>
      </c>
      <c r="G570">
        <f t="shared" si="96"/>
        <v>555</v>
      </c>
      <c r="H570" s="50">
        <f t="shared" si="90"/>
        <v>92.5</v>
      </c>
      <c r="I570" s="7" cm="1">
        <f t="array" ref="I570">CurrentCapacity(K$10,K$6,K$7,H570)</f>
        <v>35636.377500000002</v>
      </c>
      <c r="J570" s="48">
        <f t="shared" si="91"/>
        <v>4.9375816940801572E-2</v>
      </c>
      <c r="K570" s="5" cm="1">
        <f t="array" ref="K570">UseableCapacity(I570,$K$8,$K$9)</f>
        <v>26727.283125000002</v>
      </c>
      <c r="L570" s="59">
        <f t="shared" si="92"/>
        <v>33876.802248126703</v>
      </c>
      <c r="M570" s="7">
        <f t="shared" si="93"/>
        <v>24967.707873126703</v>
      </c>
      <c r="N570" s="7">
        <f t="shared" si="94"/>
        <v>2613.6224999999977</v>
      </c>
      <c r="O570" t="str">
        <f t="shared" si="97"/>
        <v>no</v>
      </c>
      <c r="P570" t="str">
        <f t="shared" si="98"/>
        <v>no</v>
      </c>
    </row>
    <row r="571" spans="2:16" x14ac:dyDescent="0.35">
      <c r="B571">
        <f t="shared" si="95"/>
        <v>556</v>
      </c>
      <c r="C571" s="7">
        <f t="shared" si="89"/>
        <v>556</v>
      </c>
      <c r="D571" s="1" cm="1">
        <f t="array" ref="D571">estimatedTripEnergy(C571,G$5,G$6,C$12,C$7,C$9,C$8,FALSE)/1000</f>
        <v>1612.5419310339</v>
      </c>
      <c r="E571" s="1" cm="1">
        <f t="array" ref="E571">estimatedTripEnergy(C571,G$5,G$6,C$12,C$7,C$9,C$8)/1000</f>
        <v>1760.5019310339001</v>
      </c>
      <c r="F571" s="59" cm="1">
        <f t="array" ref="F571">estimatedTripDuration(C571,$C$8,$C$7)/60</f>
        <v>20.280486010099342</v>
      </c>
      <c r="G571">
        <f t="shared" si="96"/>
        <v>556</v>
      </c>
      <c r="H571" s="50">
        <f t="shared" si="90"/>
        <v>92.666666666666671</v>
      </c>
      <c r="I571" s="7" cm="1">
        <f t="array" ref="I571">CurrentCapacity(K$10,K$6,K$7,H571)</f>
        <v>35636.148000000001</v>
      </c>
      <c r="J571" s="48">
        <f t="shared" si="91"/>
        <v>4.9402138834811773E-2</v>
      </c>
      <c r="K571" s="5" cm="1">
        <f t="array" ref="K571">UseableCapacity(I571,$K$8,$K$9)</f>
        <v>26727.111000000001</v>
      </c>
      <c r="L571" s="59">
        <f t="shared" si="92"/>
        <v>33875.646068966103</v>
      </c>
      <c r="M571" s="7">
        <f t="shared" si="93"/>
        <v>24966.6090689661</v>
      </c>
      <c r="N571" s="7">
        <f t="shared" si="94"/>
        <v>2613.851999999999</v>
      </c>
      <c r="O571" t="str">
        <f t="shared" si="97"/>
        <v>no</v>
      </c>
      <c r="P571" t="str">
        <f t="shared" si="98"/>
        <v>no</v>
      </c>
    </row>
    <row r="572" spans="2:16" x14ac:dyDescent="0.35">
      <c r="B572">
        <f t="shared" si="95"/>
        <v>557</v>
      </c>
      <c r="C572" s="7">
        <f t="shared" si="89"/>
        <v>557</v>
      </c>
      <c r="D572" s="1" cm="1">
        <f t="array" ref="D572">estimatedTripEnergy(C572,G$5,G$6,C$12,C$7,C$9,C$8,FALSE)/1000</f>
        <v>1613.4686101945001</v>
      </c>
      <c r="E572" s="1" cm="1">
        <f t="array" ref="E572">estimatedTripEnergy(C572,G$5,G$6,C$12,C$7,C$9,C$8)/1000</f>
        <v>1761.4286101945002</v>
      </c>
      <c r="F572" s="59" cm="1">
        <f t="array" ref="F572">estimatedTripDuration(C572,$C$8,$C$7)/60</f>
        <v>20.313819343432673</v>
      </c>
      <c r="G572">
        <f t="shared" si="96"/>
        <v>557</v>
      </c>
      <c r="H572" s="50">
        <f t="shared" si="90"/>
        <v>92.833333333333329</v>
      </c>
      <c r="I572" s="7" cm="1">
        <f t="array" ref="I572">CurrentCapacity(K$10,K$6,K$7,H572)</f>
        <v>35635.918500000007</v>
      </c>
      <c r="J572" s="48">
        <f t="shared" si="91"/>
        <v>4.9428461067854888E-2</v>
      </c>
      <c r="K572" s="5" cm="1">
        <f t="array" ref="K572">UseableCapacity(I572,$K$8,$K$9)</f>
        <v>26726.938875000007</v>
      </c>
      <c r="L572" s="59">
        <f t="shared" si="92"/>
        <v>33874.489889805503</v>
      </c>
      <c r="M572" s="7">
        <f t="shared" si="93"/>
        <v>24965.510264805507</v>
      </c>
      <c r="N572" s="7">
        <f t="shared" si="94"/>
        <v>2614.081499999993</v>
      </c>
      <c r="O572" t="str">
        <f t="shared" si="97"/>
        <v>no</v>
      </c>
      <c r="P572" t="str">
        <f t="shared" si="98"/>
        <v>no</v>
      </c>
    </row>
    <row r="573" spans="2:16" x14ac:dyDescent="0.35">
      <c r="B573">
        <f t="shared" si="95"/>
        <v>558</v>
      </c>
      <c r="C573" s="7">
        <f t="shared" si="89"/>
        <v>558</v>
      </c>
      <c r="D573" s="1" cm="1">
        <f t="array" ref="D573">estimatedTripEnergy(C573,G$5,G$6,C$12,C$7,C$9,C$8,FALSE)/1000</f>
        <v>1614.3952893551002</v>
      </c>
      <c r="E573" s="1" cm="1">
        <f t="array" ref="E573">estimatedTripEnergy(C573,G$5,G$6,C$12,C$7,C$9,C$8)/1000</f>
        <v>1762.3552893551002</v>
      </c>
      <c r="F573" s="59" cm="1">
        <f t="array" ref="F573">estimatedTripDuration(C573,$C$8,$C$7)/60</f>
        <v>20.347152676766008</v>
      </c>
      <c r="G573">
        <f t="shared" si="96"/>
        <v>558</v>
      </c>
      <c r="H573" s="50">
        <f t="shared" si="90"/>
        <v>93</v>
      </c>
      <c r="I573" s="7" cm="1">
        <f t="array" ref="I573">CurrentCapacity(K$10,K$6,K$7,H573)</f>
        <v>35635.688999999998</v>
      </c>
      <c r="J573" s="48">
        <f t="shared" si="91"/>
        <v>4.9454783639937487E-2</v>
      </c>
      <c r="K573" s="5" cm="1">
        <f t="array" ref="K573">UseableCapacity(I573,$K$8,$K$9)</f>
        <v>26726.766749999999</v>
      </c>
      <c r="L573" s="59">
        <f t="shared" si="92"/>
        <v>33873.333710644896</v>
      </c>
      <c r="M573" s="7">
        <f t="shared" si="93"/>
        <v>24964.4114606449</v>
      </c>
      <c r="N573" s="7">
        <f t="shared" si="94"/>
        <v>2614.3110000000015</v>
      </c>
      <c r="O573" t="str">
        <f t="shared" si="97"/>
        <v>no</v>
      </c>
      <c r="P573" t="str">
        <f t="shared" si="98"/>
        <v>no</v>
      </c>
    </row>
    <row r="574" spans="2:16" x14ac:dyDescent="0.35">
      <c r="B574">
        <f t="shared" si="95"/>
        <v>559</v>
      </c>
      <c r="C574" s="7">
        <f t="shared" si="89"/>
        <v>559</v>
      </c>
      <c r="D574" s="1" cm="1">
        <f t="array" ref="D574">estimatedTripEnergy(C574,G$5,G$6,C$12,C$7,C$9,C$8,FALSE)/1000</f>
        <v>1615.3219685157001</v>
      </c>
      <c r="E574" s="1" cm="1">
        <f t="array" ref="E574">estimatedTripEnergy(C574,G$5,G$6,C$12,C$7,C$9,C$8)/1000</f>
        <v>1763.2819685156999</v>
      </c>
      <c r="F574" s="59" cm="1">
        <f t="array" ref="F574">estimatedTripDuration(C574,$C$8,$C$7)/60</f>
        <v>20.380486010099339</v>
      </c>
      <c r="G574">
        <f t="shared" si="96"/>
        <v>559</v>
      </c>
      <c r="H574" s="50">
        <f t="shared" si="90"/>
        <v>93.166666666666671</v>
      </c>
      <c r="I574" s="7" cm="1">
        <f t="array" ref="I574">CurrentCapacity(K$10,K$6,K$7,H574)</f>
        <v>35635.459500000004</v>
      </c>
      <c r="J574" s="48">
        <f t="shared" si="91"/>
        <v>4.9481106551066072E-2</v>
      </c>
      <c r="K574" s="5" cm="1">
        <f t="array" ref="K574">UseableCapacity(I574,$K$8,$K$9)</f>
        <v>26726.594625000005</v>
      </c>
      <c r="L574" s="59">
        <f t="shared" si="92"/>
        <v>33872.177531484303</v>
      </c>
      <c r="M574" s="7">
        <f t="shared" si="93"/>
        <v>24963.312656484304</v>
      </c>
      <c r="N574" s="7">
        <f t="shared" si="94"/>
        <v>2614.5404999999955</v>
      </c>
      <c r="O574" t="str">
        <f t="shared" si="97"/>
        <v>no</v>
      </c>
      <c r="P574" t="str">
        <f t="shared" si="98"/>
        <v>no</v>
      </c>
    </row>
    <row r="575" spans="2:16" x14ac:dyDescent="0.35">
      <c r="B575">
        <f t="shared" si="95"/>
        <v>560</v>
      </c>
      <c r="C575" s="7">
        <f t="shared" si="89"/>
        <v>560</v>
      </c>
      <c r="D575" s="1" cm="1">
        <f t="array" ref="D575">estimatedTripEnergy(C575,G$5,G$6,C$12,C$7,C$9,C$8,FALSE)/1000</f>
        <v>1616.2486476762999</v>
      </c>
      <c r="E575" s="1" cm="1">
        <f t="array" ref="E575">estimatedTripEnergy(C575,G$5,G$6,C$12,C$7,C$9,C$8)/1000</f>
        <v>1764.2086476763</v>
      </c>
      <c r="F575" s="59" cm="1">
        <f t="array" ref="F575">estimatedTripDuration(C575,$C$8,$C$7)/60</f>
        <v>20.413819343432674</v>
      </c>
      <c r="G575">
        <f t="shared" si="96"/>
        <v>560</v>
      </c>
      <c r="H575" s="50">
        <f t="shared" si="90"/>
        <v>93.333333333333329</v>
      </c>
      <c r="I575" s="7" cm="1">
        <f t="array" ref="I575">CurrentCapacity(K$10,K$6,K$7,H575)</f>
        <v>35635.230000000003</v>
      </c>
      <c r="J575" s="48">
        <f t="shared" si="91"/>
        <v>4.9507429801247241E-2</v>
      </c>
      <c r="K575" s="5" cm="1">
        <f t="array" ref="K575">UseableCapacity(I575,$K$8,$K$9)</f>
        <v>26726.422500000001</v>
      </c>
      <c r="L575" s="59">
        <f t="shared" si="92"/>
        <v>33871.021352323703</v>
      </c>
      <c r="M575" s="7">
        <f t="shared" si="93"/>
        <v>24962.213852323701</v>
      </c>
      <c r="N575" s="7">
        <f t="shared" si="94"/>
        <v>2614.7699999999968</v>
      </c>
      <c r="O575" t="str">
        <f t="shared" si="97"/>
        <v>no</v>
      </c>
      <c r="P575" t="str">
        <f t="shared" si="98"/>
        <v>no</v>
      </c>
    </row>
    <row r="576" spans="2:16" x14ac:dyDescent="0.35">
      <c r="B576">
        <f t="shared" si="95"/>
        <v>561</v>
      </c>
      <c r="C576" s="7">
        <f t="shared" si="89"/>
        <v>561</v>
      </c>
      <c r="D576" s="1" cm="1">
        <f t="array" ref="D576">estimatedTripEnergy(C576,G$5,G$6,C$12,C$7,C$9,C$8,FALSE)/1000</f>
        <v>1617.1753268369</v>
      </c>
      <c r="E576" s="1" cm="1">
        <f t="array" ref="E576">estimatedTripEnergy(C576,G$5,G$6,C$12,C$7,C$9,C$8)/1000</f>
        <v>1765.1353268369</v>
      </c>
      <c r="F576" s="59" cm="1">
        <f t="array" ref="F576">estimatedTripDuration(C576,$C$8,$C$7)/60</f>
        <v>20.447152676766006</v>
      </c>
      <c r="G576">
        <f t="shared" si="96"/>
        <v>561</v>
      </c>
      <c r="H576" s="50">
        <f t="shared" si="90"/>
        <v>93.5</v>
      </c>
      <c r="I576" s="7" cm="1">
        <f t="array" ref="I576">CurrentCapacity(K$10,K$6,K$7,H576)</f>
        <v>35635.000500000002</v>
      </c>
      <c r="J576" s="48">
        <f t="shared" si="91"/>
        <v>4.9533753390487531E-2</v>
      </c>
      <c r="K576" s="5" cm="1">
        <f t="array" ref="K576">UseableCapacity(I576,$K$8,$K$9)</f>
        <v>26726.250375000003</v>
      </c>
      <c r="L576" s="59">
        <f t="shared" si="92"/>
        <v>33869.865173163103</v>
      </c>
      <c r="M576" s="7">
        <f t="shared" si="93"/>
        <v>24961.115048163105</v>
      </c>
      <c r="N576" s="7">
        <f t="shared" si="94"/>
        <v>2614.9994999999981</v>
      </c>
      <c r="O576" t="str">
        <f t="shared" si="97"/>
        <v>no</v>
      </c>
      <c r="P576" t="str">
        <f t="shared" si="98"/>
        <v>no</v>
      </c>
    </row>
    <row r="577" spans="2:16" x14ac:dyDescent="0.35">
      <c r="B577">
        <f t="shared" si="95"/>
        <v>562</v>
      </c>
      <c r="C577" s="7">
        <f t="shared" si="89"/>
        <v>562</v>
      </c>
      <c r="D577" s="1" cm="1">
        <f t="array" ref="D577">estimatedTripEnergy(C577,G$5,G$6,C$12,C$7,C$9,C$8,FALSE)/1000</f>
        <v>1618.1020059974999</v>
      </c>
      <c r="E577" s="1" cm="1">
        <f t="array" ref="E577">estimatedTripEnergy(C577,G$5,G$6,C$12,C$7,C$9,C$8)/1000</f>
        <v>1766.0620059974999</v>
      </c>
      <c r="F577" s="59" cm="1">
        <f t="array" ref="F577">estimatedTripDuration(C577,$C$8,$C$7)/60</f>
        <v>20.480486010099341</v>
      </c>
      <c r="G577">
        <f t="shared" si="96"/>
        <v>562</v>
      </c>
      <c r="H577" s="50">
        <f t="shared" si="90"/>
        <v>93.666666666666671</v>
      </c>
      <c r="I577" s="7" cm="1">
        <f t="array" ref="I577">CurrentCapacity(K$10,K$6,K$7,H577)</f>
        <v>35634.771000000001</v>
      </c>
      <c r="J577" s="48">
        <f t="shared" si="91"/>
        <v>4.9560077318793486E-2</v>
      </c>
      <c r="K577" s="5" cm="1">
        <f t="array" ref="K577">UseableCapacity(I577,$K$8,$K$9)</f>
        <v>26726.078249999999</v>
      </c>
      <c r="L577" s="59">
        <f t="shared" si="92"/>
        <v>33868.708994002503</v>
      </c>
      <c r="M577" s="7">
        <f t="shared" si="93"/>
        <v>24960.016244002498</v>
      </c>
      <c r="N577" s="7">
        <f t="shared" si="94"/>
        <v>2615.2289999999994</v>
      </c>
      <c r="O577" t="str">
        <f t="shared" si="97"/>
        <v>no</v>
      </c>
      <c r="P577" t="str">
        <f t="shared" si="98"/>
        <v>no</v>
      </c>
    </row>
    <row r="578" spans="2:16" x14ac:dyDescent="0.35">
      <c r="B578">
        <f t="shared" si="95"/>
        <v>563</v>
      </c>
      <c r="C578" s="7">
        <f t="shared" si="89"/>
        <v>563</v>
      </c>
      <c r="D578" s="1" cm="1">
        <f t="array" ref="D578">estimatedTripEnergy(C578,G$5,G$6,C$12,C$7,C$9,C$8,FALSE)/1000</f>
        <v>1619.0286851581</v>
      </c>
      <c r="E578" s="1" cm="1">
        <f t="array" ref="E578">estimatedTripEnergy(C578,G$5,G$6,C$12,C$7,C$9,C$8)/1000</f>
        <v>1766.9886851581</v>
      </c>
      <c r="F578" s="59" cm="1">
        <f t="array" ref="F578">estimatedTripDuration(C578,$C$8,$C$7)/60</f>
        <v>20.513819343432672</v>
      </c>
      <c r="G578">
        <f t="shared" si="96"/>
        <v>563</v>
      </c>
      <c r="H578" s="50">
        <f t="shared" si="90"/>
        <v>93.833333333333329</v>
      </c>
      <c r="I578" s="7" cm="1">
        <f t="array" ref="I578">CurrentCapacity(K$10,K$6,K$7,H578)</f>
        <v>35634.541499999999</v>
      </c>
      <c r="J578" s="48">
        <f t="shared" si="91"/>
        <v>4.9586401586171662E-2</v>
      </c>
      <c r="K578" s="5" cm="1">
        <f t="array" ref="K578">UseableCapacity(I578,$K$8,$K$9)</f>
        <v>26725.906125000001</v>
      </c>
      <c r="L578" s="59">
        <f t="shared" si="92"/>
        <v>33867.552814841896</v>
      </c>
      <c r="M578" s="7">
        <f t="shared" si="93"/>
        <v>24958.917439841902</v>
      </c>
      <c r="N578" s="7">
        <f t="shared" si="94"/>
        <v>2615.4585000000006</v>
      </c>
      <c r="O578" t="str">
        <f t="shared" si="97"/>
        <v>no</v>
      </c>
      <c r="P578" t="str">
        <f t="shared" si="98"/>
        <v>no</v>
      </c>
    </row>
    <row r="579" spans="2:16" x14ac:dyDescent="0.35">
      <c r="B579">
        <f t="shared" si="95"/>
        <v>564</v>
      </c>
      <c r="C579" s="7">
        <f t="shared" si="89"/>
        <v>564</v>
      </c>
      <c r="D579" s="1" cm="1">
        <f t="array" ref="D579">estimatedTripEnergy(C579,G$5,G$6,C$12,C$7,C$9,C$8,FALSE)/1000</f>
        <v>1619.9553643187</v>
      </c>
      <c r="E579" s="1" cm="1">
        <f t="array" ref="E579">estimatedTripEnergy(C579,G$5,G$6,C$12,C$7,C$9,C$8)/1000</f>
        <v>1767.9153643187001</v>
      </c>
      <c r="F579" s="59" cm="1">
        <f t="array" ref="F579">estimatedTripDuration(C579,$C$8,$C$7)/60</f>
        <v>20.547152676766007</v>
      </c>
      <c r="G579">
        <f t="shared" si="96"/>
        <v>564</v>
      </c>
      <c r="H579" s="50">
        <f t="shared" si="90"/>
        <v>94</v>
      </c>
      <c r="I579" s="7" cm="1">
        <f t="array" ref="I579">CurrentCapacity(K$10,K$6,K$7,H579)</f>
        <v>35634.311999999998</v>
      </c>
      <c r="J579" s="48">
        <f t="shared" si="91"/>
        <v>4.9612726192628617E-2</v>
      </c>
      <c r="K579" s="5" cm="1">
        <f t="array" ref="K579">UseableCapacity(I579,$K$8,$K$9)</f>
        <v>26725.733999999997</v>
      </c>
      <c r="L579" s="59">
        <f t="shared" si="92"/>
        <v>33866.396635681296</v>
      </c>
      <c r="M579" s="7">
        <f t="shared" si="93"/>
        <v>24957.818635681295</v>
      </c>
      <c r="N579" s="7">
        <f t="shared" si="94"/>
        <v>2615.6880000000019</v>
      </c>
      <c r="O579" t="str">
        <f t="shared" si="97"/>
        <v>no</v>
      </c>
      <c r="P579" t="str">
        <f t="shared" si="98"/>
        <v>no</v>
      </c>
    </row>
    <row r="580" spans="2:16" x14ac:dyDescent="0.35">
      <c r="B580">
        <f t="shared" si="95"/>
        <v>565</v>
      </c>
      <c r="C580" s="7">
        <f t="shared" si="89"/>
        <v>565</v>
      </c>
      <c r="D580" s="1" cm="1">
        <f t="array" ref="D580">estimatedTripEnergy(C580,G$5,G$6,C$12,C$7,C$9,C$8,FALSE)/1000</f>
        <v>1620.8820434793001</v>
      </c>
      <c r="E580" s="1" cm="1">
        <f t="array" ref="E580">estimatedTripEnergy(C580,G$5,G$6,C$12,C$7,C$9,C$8)/1000</f>
        <v>1768.8420434793002</v>
      </c>
      <c r="F580" s="59" cm="1">
        <f t="array" ref="F580">estimatedTripDuration(C580,$C$8,$C$7)/60</f>
        <v>20.580486010099339</v>
      </c>
      <c r="G580">
        <f t="shared" si="96"/>
        <v>565</v>
      </c>
      <c r="H580" s="50">
        <f t="shared" si="90"/>
        <v>94.166666666666671</v>
      </c>
      <c r="I580" s="7" cm="1">
        <f t="array" ref="I580">CurrentCapacity(K$10,K$6,K$7,H580)</f>
        <v>35634.082500000004</v>
      </c>
      <c r="J580" s="48">
        <f t="shared" si="91"/>
        <v>4.9639051138170881E-2</v>
      </c>
      <c r="K580" s="5" cm="1">
        <f t="array" ref="K580">UseableCapacity(I580,$K$8,$K$9)</f>
        <v>26725.561875000003</v>
      </c>
      <c r="L580" s="59">
        <f t="shared" si="92"/>
        <v>33865.240456520703</v>
      </c>
      <c r="M580" s="7">
        <f t="shared" si="93"/>
        <v>24956.719831520702</v>
      </c>
      <c r="N580" s="7">
        <f t="shared" si="94"/>
        <v>2615.9174999999959</v>
      </c>
      <c r="O580" t="str">
        <f t="shared" si="97"/>
        <v>no</v>
      </c>
      <c r="P580" t="str">
        <f t="shared" si="98"/>
        <v>no</v>
      </c>
    </row>
    <row r="581" spans="2:16" x14ac:dyDescent="0.35">
      <c r="B581">
        <f t="shared" si="95"/>
        <v>566</v>
      </c>
      <c r="C581" s="7">
        <f t="shared" si="89"/>
        <v>566</v>
      </c>
      <c r="D581" s="1" cm="1">
        <f t="array" ref="D581">estimatedTripEnergy(C581,G$5,G$6,C$12,C$7,C$9,C$8,FALSE)/1000</f>
        <v>1621.8087226399</v>
      </c>
      <c r="E581" s="1" cm="1">
        <f t="array" ref="E581">estimatedTripEnergy(C581,G$5,G$6,C$12,C$7,C$9,C$8)/1000</f>
        <v>1769.7687226399</v>
      </c>
      <c r="F581" s="59" cm="1">
        <f t="array" ref="F581">estimatedTripDuration(C581,$C$8,$C$7)/60</f>
        <v>20.613819343432674</v>
      </c>
      <c r="G581">
        <f t="shared" si="96"/>
        <v>566</v>
      </c>
      <c r="H581" s="50">
        <f t="shared" si="90"/>
        <v>94.333333333333329</v>
      </c>
      <c r="I581" s="7" cm="1">
        <f t="array" ref="I581">CurrentCapacity(K$10,K$6,K$7,H581)</f>
        <v>35633.853000000003</v>
      </c>
      <c r="J581" s="48">
        <f t="shared" si="91"/>
        <v>4.9665376422805017E-2</v>
      </c>
      <c r="K581" s="5" cm="1">
        <f t="array" ref="K581">UseableCapacity(I581,$K$8,$K$9)</f>
        <v>26725.389750000002</v>
      </c>
      <c r="L581" s="59">
        <f t="shared" si="92"/>
        <v>33864.084277360103</v>
      </c>
      <c r="M581" s="7">
        <f t="shared" si="93"/>
        <v>24955.621027360103</v>
      </c>
      <c r="N581" s="7">
        <f t="shared" si="94"/>
        <v>2616.1469999999972</v>
      </c>
      <c r="O581" t="str">
        <f t="shared" si="97"/>
        <v>no</v>
      </c>
      <c r="P581" t="str">
        <f t="shared" si="98"/>
        <v>no</v>
      </c>
    </row>
    <row r="582" spans="2:16" x14ac:dyDescent="0.35">
      <c r="B582">
        <f t="shared" si="95"/>
        <v>567</v>
      </c>
      <c r="C582" s="7">
        <f t="shared" si="89"/>
        <v>567</v>
      </c>
      <c r="D582" s="1" cm="1">
        <f t="array" ref="D582">estimatedTripEnergy(C582,G$5,G$6,C$12,C$7,C$9,C$8,FALSE)/1000</f>
        <v>1622.7354018005001</v>
      </c>
      <c r="E582" s="1" cm="1">
        <f t="array" ref="E582">estimatedTripEnergy(C582,G$5,G$6,C$12,C$7,C$9,C$8)/1000</f>
        <v>1770.6954018004999</v>
      </c>
      <c r="F582" s="59" cm="1">
        <f t="array" ref="F582">estimatedTripDuration(C582,$C$8,$C$7)/60</f>
        <v>20.647152676766005</v>
      </c>
      <c r="G582">
        <f t="shared" si="96"/>
        <v>567</v>
      </c>
      <c r="H582" s="50">
        <f t="shared" si="90"/>
        <v>94.5</v>
      </c>
      <c r="I582" s="7" cm="1">
        <f t="array" ref="I582">CurrentCapacity(K$10,K$6,K$7,H582)</f>
        <v>35633.623500000002</v>
      </c>
      <c r="J582" s="48">
        <f t="shared" si="91"/>
        <v>4.9691702046537584E-2</v>
      </c>
      <c r="K582" s="5" cm="1">
        <f t="array" ref="K582">UseableCapacity(I582,$K$8,$K$9)</f>
        <v>26725.217625000001</v>
      </c>
      <c r="L582" s="59">
        <f t="shared" si="92"/>
        <v>33862.928098199503</v>
      </c>
      <c r="M582" s="7">
        <f t="shared" si="93"/>
        <v>24954.522223199499</v>
      </c>
      <c r="N582" s="7">
        <f t="shared" si="94"/>
        <v>2616.3764999999985</v>
      </c>
      <c r="O582" t="str">
        <f t="shared" si="97"/>
        <v>no</v>
      </c>
      <c r="P582" t="str">
        <f t="shared" si="98"/>
        <v>no</v>
      </c>
    </row>
    <row r="583" spans="2:16" x14ac:dyDescent="0.35">
      <c r="B583">
        <f t="shared" si="95"/>
        <v>568</v>
      </c>
      <c r="C583" s="7">
        <f t="shared" si="89"/>
        <v>568</v>
      </c>
      <c r="D583" s="1" cm="1">
        <f t="array" ref="D583">estimatedTripEnergy(C583,G$5,G$6,C$12,C$7,C$9,C$8,FALSE)/1000</f>
        <v>1623.6620809610999</v>
      </c>
      <c r="E583" s="1" cm="1">
        <f t="array" ref="E583">estimatedTripEnergy(C583,G$5,G$6,C$12,C$7,C$9,C$8)/1000</f>
        <v>1771.6220809611</v>
      </c>
      <c r="F583" s="59" cm="1">
        <f t="array" ref="F583">estimatedTripDuration(C583,$C$8,$C$7)/60</f>
        <v>20.68048601009934</v>
      </c>
      <c r="G583">
        <f t="shared" si="96"/>
        <v>568</v>
      </c>
      <c r="H583" s="50">
        <f t="shared" si="90"/>
        <v>94.666666666666671</v>
      </c>
      <c r="I583" s="7" cm="1">
        <f t="array" ref="I583">CurrentCapacity(K$10,K$6,K$7,H583)</f>
        <v>35633.394</v>
      </c>
      <c r="J583" s="48">
        <f t="shared" si="91"/>
        <v>4.9718028009375137E-2</v>
      </c>
      <c r="K583" s="5" cm="1">
        <f t="array" ref="K583">UseableCapacity(I583,$K$8,$K$9)</f>
        <v>26725.0455</v>
      </c>
      <c r="L583" s="59">
        <f t="shared" si="92"/>
        <v>33861.771919038903</v>
      </c>
      <c r="M583" s="7">
        <f t="shared" si="93"/>
        <v>24953.4234190389</v>
      </c>
      <c r="N583" s="7">
        <f t="shared" si="94"/>
        <v>2616.6059999999998</v>
      </c>
      <c r="O583" t="str">
        <f t="shared" si="97"/>
        <v>no</v>
      </c>
      <c r="P583" t="str">
        <f t="shared" si="98"/>
        <v>no</v>
      </c>
    </row>
    <row r="584" spans="2:16" x14ac:dyDescent="0.35">
      <c r="B584">
        <f t="shared" si="95"/>
        <v>569</v>
      </c>
      <c r="C584" s="7">
        <f t="shared" si="89"/>
        <v>569</v>
      </c>
      <c r="D584" s="1" cm="1">
        <f t="array" ref="D584">estimatedTripEnergy(C584,G$5,G$6,C$12,C$7,C$9,C$8,FALSE)/1000</f>
        <v>1624.5887601216998</v>
      </c>
      <c r="E584" s="1" cm="1">
        <f t="array" ref="E584">estimatedTripEnergy(C584,G$5,G$6,C$12,C$7,C$9,C$8)/1000</f>
        <v>1772.5487601216998</v>
      </c>
      <c r="F584" s="59" cm="1">
        <f t="array" ref="F584">estimatedTripDuration(C584,$C$8,$C$7)/60</f>
        <v>20.713819343432672</v>
      </c>
      <c r="G584">
        <f t="shared" si="96"/>
        <v>569</v>
      </c>
      <c r="H584" s="50">
        <f t="shared" si="90"/>
        <v>94.833333333333329</v>
      </c>
      <c r="I584" s="7" cm="1">
        <f t="array" ref="I584">CurrentCapacity(K$10,K$6,K$7,H584)</f>
        <v>35633.164499999999</v>
      </c>
      <c r="J584" s="48">
        <f t="shared" si="91"/>
        <v>4.9744354311324214E-2</v>
      </c>
      <c r="K584" s="5" cm="1">
        <f t="array" ref="K584">UseableCapacity(I584,$K$8,$K$9)</f>
        <v>26724.873374999999</v>
      </c>
      <c r="L584" s="59">
        <f t="shared" si="92"/>
        <v>33860.615739878296</v>
      </c>
      <c r="M584" s="7">
        <f t="shared" si="93"/>
        <v>24952.3246148783</v>
      </c>
      <c r="N584" s="7">
        <f t="shared" si="94"/>
        <v>2616.835500000001</v>
      </c>
      <c r="O584" t="str">
        <f t="shared" si="97"/>
        <v>no</v>
      </c>
      <c r="P584" t="str">
        <f t="shared" si="98"/>
        <v>no</v>
      </c>
    </row>
    <row r="585" spans="2:16" x14ac:dyDescent="0.35">
      <c r="B585">
        <f t="shared" si="95"/>
        <v>570</v>
      </c>
      <c r="C585" s="7">
        <f t="shared" si="89"/>
        <v>570</v>
      </c>
      <c r="D585" s="1" cm="1">
        <f t="array" ref="D585">estimatedTripEnergy(C585,G$5,G$6,C$12,C$7,C$9,C$8,FALSE)/1000</f>
        <v>1625.5154392822999</v>
      </c>
      <c r="E585" s="1" cm="1">
        <f t="array" ref="E585">estimatedTripEnergy(C585,G$5,G$6,C$12,C$7,C$9,C$8)/1000</f>
        <v>1773.4754392822999</v>
      </c>
      <c r="F585" s="59" cm="1">
        <f t="array" ref="F585">estimatedTripDuration(C585,$C$8,$C$7)/60</f>
        <v>20.747152676766007</v>
      </c>
      <c r="G585">
        <f t="shared" si="96"/>
        <v>570</v>
      </c>
      <c r="H585" s="50">
        <f t="shared" si="90"/>
        <v>95</v>
      </c>
      <c r="I585" s="7" cm="1">
        <f t="array" ref="I585">CurrentCapacity(K$10,K$6,K$7,H585)</f>
        <v>35632.935000000005</v>
      </c>
      <c r="J585" s="48">
        <f t="shared" si="91"/>
        <v>4.9770680952391365E-2</v>
      </c>
      <c r="K585" s="5" cm="1">
        <f t="array" ref="K585">UseableCapacity(I585,$K$8,$K$9)</f>
        <v>26724.701250000006</v>
      </c>
      <c r="L585" s="59">
        <f t="shared" si="92"/>
        <v>33859.459560717703</v>
      </c>
      <c r="M585" s="7">
        <f t="shared" si="93"/>
        <v>24951.225810717704</v>
      </c>
      <c r="N585" s="7">
        <f t="shared" si="94"/>
        <v>2617.0649999999951</v>
      </c>
      <c r="O585" t="str">
        <f t="shared" si="97"/>
        <v>no</v>
      </c>
      <c r="P585" t="str">
        <f t="shared" si="98"/>
        <v>no</v>
      </c>
    </row>
    <row r="586" spans="2:16" x14ac:dyDescent="0.35">
      <c r="B586">
        <f t="shared" si="95"/>
        <v>571</v>
      </c>
      <c r="C586" s="7">
        <f t="shared" si="89"/>
        <v>571</v>
      </c>
      <c r="D586" s="1" cm="1">
        <f t="array" ref="D586">estimatedTripEnergy(C586,G$5,G$6,C$12,C$7,C$9,C$8,FALSE)/1000</f>
        <v>1626.4421184429</v>
      </c>
      <c r="E586" s="1" cm="1">
        <f t="array" ref="E586">estimatedTripEnergy(C586,G$5,G$6,C$12,C$7,C$9,C$8)/1000</f>
        <v>1774.4021184429</v>
      </c>
      <c r="F586" s="59" cm="1">
        <f t="array" ref="F586">estimatedTripDuration(C586,$C$8,$C$7)/60</f>
        <v>20.780486010099342</v>
      </c>
      <c r="G586">
        <f t="shared" si="96"/>
        <v>571</v>
      </c>
      <c r="H586" s="50">
        <f t="shared" si="90"/>
        <v>95.166666666666671</v>
      </c>
      <c r="I586" s="7" cm="1">
        <f t="array" ref="I586">CurrentCapacity(K$10,K$6,K$7,H586)</f>
        <v>35632.705500000004</v>
      </c>
      <c r="J586" s="48">
        <f t="shared" si="91"/>
        <v>4.9797007932583168E-2</v>
      </c>
      <c r="K586" s="5" cm="1">
        <f t="array" ref="K586">UseableCapacity(I586,$K$8,$K$9)</f>
        <v>26724.529125000001</v>
      </c>
      <c r="L586" s="59">
        <f t="shared" si="92"/>
        <v>33858.303381557103</v>
      </c>
      <c r="M586" s="7">
        <f t="shared" si="93"/>
        <v>24950.127006557101</v>
      </c>
      <c r="N586" s="7">
        <f t="shared" si="94"/>
        <v>2617.2944999999963</v>
      </c>
      <c r="O586" t="str">
        <f t="shared" si="97"/>
        <v>no</v>
      </c>
      <c r="P586" t="str">
        <f t="shared" si="98"/>
        <v>no</v>
      </c>
    </row>
    <row r="587" spans="2:16" x14ac:dyDescent="0.35">
      <c r="B587">
        <f t="shared" si="95"/>
        <v>572</v>
      </c>
      <c r="C587" s="7">
        <f t="shared" si="89"/>
        <v>572</v>
      </c>
      <c r="D587" s="1" cm="1">
        <f t="array" ref="D587">estimatedTripEnergy(C587,G$5,G$6,C$12,C$7,C$9,C$8,FALSE)/1000</f>
        <v>1627.3687976035001</v>
      </c>
      <c r="E587" s="1" cm="1">
        <f t="array" ref="E587">estimatedTripEnergy(C587,G$5,G$6,C$12,C$7,C$9,C$8)/1000</f>
        <v>1775.3287976035001</v>
      </c>
      <c r="F587" s="59" cm="1">
        <f t="array" ref="F587">estimatedTripDuration(C587,$C$8,$C$7)/60</f>
        <v>20.813819343432673</v>
      </c>
      <c r="G587">
        <f t="shared" si="96"/>
        <v>572</v>
      </c>
      <c r="H587" s="50">
        <f t="shared" si="90"/>
        <v>95.333333333333329</v>
      </c>
      <c r="I587" s="7" cm="1">
        <f t="array" ref="I587">CurrentCapacity(K$10,K$6,K$7,H587)</f>
        <v>35632.476000000002</v>
      </c>
      <c r="J587" s="48">
        <f t="shared" si="91"/>
        <v>4.9823335251906152E-2</v>
      </c>
      <c r="K587" s="5" cm="1">
        <f t="array" ref="K587">UseableCapacity(I587,$K$8,$K$9)</f>
        <v>26724.357000000004</v>
      </c>
      <c r="L587" s="59">
        <f t="shared" si="92"/>
        <v>33857.147202396503</v>
      </c>
      <c r="M587" s="7">
        <f t="shared" si="93"/>
        <v>24949.028202396505</v>
      </c>
      <c r="N587" s="7">
        <f t="shared" si="94"/>
        <v>2617.5239999999976</v>
      </c>
      <c r="O587" t="str">
        <f t="shared" si="97"/>
        <v>no</v>
      </c>
      <c r="P587" t="str">
        <f t="shared" si="98"/>
        <v>no</v>
      </c>
    </row>
    <row r="588" spans="2:16" x14ac:dyDescent="0.35">
      <c r="B588">
        <f t="shared" si="95"/>
        <v>573</v>
      </c>
      <c r="C588" s="7">
        <f t="shared" si="89"/>
        <v>573</v>
      </c>
      <c r="D588" s="1" cm="1">
        <f t="array" ref="D588">estimatedTripEnergy(C588,G$5,G$6,C$12,C$7,C$9,C$8,FALSE)/1000</f>
        <v>1628.2954767641002</v>
      </c>
      <c r="E588" s="1" cm="1">
        <f t="array" ref="E588">estimatedTripEnergy(C588,G$5,G$6,C$12,C$7,C$9,C$8)/1000</f>
        <v>1776.2554767641002</v>
      </c>
      <c r="F588" s="59" cm="1">
        <f t="array" ref="F588">estimatedTripDuration(C588,$C$8,$C$7)/60</f>
        <v>20.847152676766008</v>
      </c>
      <c r="G588">
        <f t="shared" si="96"/>
        <v>573</v>
      </c>
      <c r="H588" s="50">
        <f t="shared" si="90"/>
        <v>95.5</v>
      </c>
      <c r="I588" s="7" cm="1">
        <f t="array" ref="I588">CurrentCapacity(K$10,K$6,K$7,H588)</f>
        <v>35632.246500000001</v>
      </c>
      <c r="J588" s="48">
        <f t="shared" si="91"/>
        <v>4.9849662910366882E-2</v>
      </c>
      <c r="K588" s="5" cm="1">
        <f t="array" ref="K588">UseableCapacity(I588,$K$8,$K$9)</f>
        <v>26724.184874999999</v>
      </c>
      <c r="L588" s="59">
        <f t="shared" si="92"/>
        <v>33855.991023235903</v>
      </c>
      <c r="M588" s="7">
        <f t="shared" si="93"/>
        <v>24947.929398235898</v>
      </c>
      <c r="N588" s="7">
        <f t="shared" si="94"/>
        <v>2617.7534999999989</v>
      </c>
      <c r="O588" t="str">
        <f t="shared" si="97"/>
        <v>no</v>
      </c>
      <c r="P588" t="str">
        <f t="shared" si="98"/>
        <v>no</v>
      </c>
    </row>
    <row r="589" spans="2:16" x14ac:dyDescent="0.35">
      <c r="B589">
        <f t="shared" si="95"/>
        <v>574</v>
      </c>
      <c r="C589" s="7">
        <f t="shared" si="89"/>
        <v>574</v>
      </c>
      <c r="D589" s="1" cm="1">
        <f t="array" ref="D589">estimatedTripEnergy(C589,G$5,G$6,C$12,C$7,C$9,C$8,FALSE)/1000</f>
        <v>1629.2221559247</v>
      </c>
      <c r="E589" s="1" cm="1">
        <f t="array" ref="E589">estimatedTripEnergy(C589,G$5,G$6,C$12,C$7,C$9,C$8)/1000</f>
        <v>1777.1821559247001</v>
      </c>
      <c r="F589" s="59" cm="1">
        <f t="array" ref="F589">estimatedTripDuration(C589,$C$8,$C$7)/60</f>
        <v>20.880486010099339</v>
      </c>
      <c r="G589">
        <f t="shared" si="96"/>
        <v>574</v>
      </c>
      <c r="H589" s="50">
        <f t="shared" si="90"/>
        <v>95.666666666666671</v>
      </c>
      <c r="I589" s="7" cm="1">
        <f t="array" ref="I589">CurrentCapacity(K$10,K$6,K$7,H589)</f>
        <v>35632.017</v>
      </c>
      <c r="J589" s="48">
        <f t="shared" si="91"/>
        <v>4.9875990907971894E-2</v>
      </c>
      <c r="K589" s="5" cm="1">
        <f t="array" ref="K589">UseableCapacity(I589,$K$8,$K$9)</f>
        <v>26724.012750000002</v>
      </c>
      <c r="L589" s="59">
        <f t="shared" si="92"/>
        <v>33854.834844075303</v>
      </c>
      <c r="M589" s="7">
        <f t="shared" si="93"/>
        <v>24946.830594075302</v>
      </c>
      <c r="N589" s="7">
        <f t="shared" si="94"/>
        <v>2617.9830000000002</v>
      </c>
      <c r="O589" t="str">
        <f t="shared" si="97"/>
        <v>no</v>
      </c>
      <c r="P589" t="str">
        <f t="shared" si="98"/>
        <v>no</v>
      </c>
    </row>
    <row r="590" spans="2:16" x14ac:dyDescent="0.35">
      <c r="B590">
        <f t="shared" si="95"/>
        <v>575</v>
      </c>
      <c r="C590" s="7">
        <f t="shared" si="89"/>
        <v>575</v>
      </c>
      <c r="D590" s="1" cm="1">
        <f t="array" ref="D590">estimatedTripEnergy(C590,G$5,G$6,C$12,C$7,C$9,C$8,FALSE)/1000</f>
        <v>1630.1488350853001</v>
      </c>
      <c r="E590" s="1" cm="1">
        <f t="array" ref="E590">estimatedTripEnergy(C590,G$5,G$6,C$12,C$7,C$9,C$8)/1000</f>
        <v>1778.1088350853001</v>
      </c>
      <c r="F590" s="59" cm="1">
        <f t="array" ref="F590">estimatedTripDuration(C590,$C$8,$C$7)/60</f>
        <v>20.913819343432674</v>
      </c>
      <c r="G590">
        <f t="shared" si="96"/>
        <v>575</v>
      </c>
      <c r="H590" s="50">
        <f t="shared" si="90"/>
        <v>95.833333333333329</v>
      </c>
      <c r="I590" s="7" cm="1">
        <f t="array" ref="I590">CurrentCapacity(K$10,K$6,K$7,H590)</f>
        <v>35631.787500000006</v>
      </c>
      <c r="J590" s="48">
        <f t="shared" si="91"/>
        <v>4.9902319244727752E-2</v>
      </c>
      <c r="K590" s="5" cm="1">
        <f t="array" ref="K590">UseableCapacity(I590,$K$8,$K$9)</f>
        <v>26723.840625000004</v>
      </c>
      <c r="L590" s="59">
        <f t="shared" si="92"/>
        <v>33853.678664914703</v>
      </c>
      <c r="M590" s="7">
        <f t="shared" si="93"/>
        <v>24945.731789914706</v>
      </c>
      <c r="N590" s="7">
        <f t="shared" si="94"/>
        <v>2618.2124999999942</v>
      </c>
      <c r="O590" t="str">
        <f t="shared" si="97"/>
        <v>no</v>
      </c>
      <c r="P590" t="str">
        <f t="shared" si="98"/>
        <v>no</v>
      </c>
    </row>
    <row r="591" spans="2:16" x14ac:dyDescent="0.35">
      <c r="B591">
        <f t="shared" si="95"/>
        <v>576</v>
      </c>
      <c r="C591" s="7">
        <f t="shared" si="89"/>
        <v>576</v>
      </c>
      <c r="D591" s="1" cm="1">
        <f t="array" ref="D591">estimatedTripEnergy(C591,G$5,G$6,C$12,C$7,C$9,C$8,FALSE)/1000</f>
        <v>1631.0755142459002</v>
      </c>
      <c r="E591" s="1" cm="1">
        <f t="array" ref="E591">estimatedTripEnergy(C591,G$5,G$6,C$12,C$7,C$9,C$8)/1000</f>
        <v>1779.0355142459</v>
      </c>
      <c r="F591" s="59" cm="1">
        <f t="array" ref="F591">estimatedTripDuration(C591,$C$8,$C$7)/60</f>
        <v>20.947152676766006</v>
      </c>
      <c r="G591">
        <f t="shared" si="96"/>
        <v>576</v>
      </c>
      <c r="H591" s="50">
        <f t="shared" si="90"/>
        <v>96</v>
      </c>
      <c r="I591" s="7" cm="1">
        <f t="array" ref="I591">CurrentCapacity(K$10,K$6,K$7,H591)</f>
        <v>35631.558000000005</v>
      </c>
      <c r="J591" s="48">
        <f t="shared" si="91"/>
        <v>4.9928647920641014E-2</v>
      </c>
      <c r="K591" s="5" cm="1">
        <f t="array" ref="K591">UseableCapacity(I591,$K$8,$K$9)</f>
        <v>26723.668500000003</v>
      </c>
      <c r="L591" s="59">
        <f t="shared" si="92"/>
        <v>33852.522485754103</v>
      </c>
      <c r="M591" s="7">
        <f t="shared" si="93"/>
        <v>24944.632985754102</v>
      </c>
      <c r="N591" s="7">
        <f t="shared" si="94"/>
        <v>2618.4419999999955</v>
      </c>
      <c r="O591" t="str">
        <f t="shared" si="97"/>
        <v>no</v>
      </c>
      <c r="P591" t="str">
        <f t="shared" si="98"/>
        <v>no</v>
      </c>
    </row>
    <row r="592" spans="2:16" x14ac:dyDescent="0.35">
      <c r="B592">
        <f t="shared" si="95"/>
        <v>577</v>
      </c>
      <c r="C592" s="7">
        <f t="shared" ref="C592:C637" si="99">$C$8*B592</f>
        <v>577</v>
      </c>
      <c r="D592" s="1" cm="1">
        <f t="array" ref="D592">estimatedTripEnergy(C592,G$5,G$6,C$12,C$7,C$9,C$8,FALSE)/1000</f>
        <v>1632.0021934064998</v>
      </c>
      <c r="E592" s="1" cm="1">
        <f t="array" ref="E592">estimatedTripEnergy(C592,G$5,G$6,C$12,C$7,C$9,C$8)/1000</f>
        <v>1779.9621934064999</v>
      </c>
      <c r="F592" s="59" cm="1">
        <f t="array" ref="F592">estimatedTripDuration(C592,$C$8,$C$7)/60</f>
        <v>20.980486010099341</v>
      </c>
      <c r="G592">
        <f t="shared" si="96"/>
        <v>577</v>
      </c>
      <c r="H592" s="50">
        <f t="shared" ref="H592:H637" si="100">G592/$G$4</f>
        <v>96.166666666666671</v>
      </c>
      <c r="I592" s="7" cm="1">
        <f t="array" ref="I592">CurrentCapacity(K$10,K$6,K$7,H592)</f>
        <v>35631.328500000003</v>
      </c>
      <c r="J592" s="48">
        <f t="shared" ref="J592:J637" si="101">E592/I592</f>
        <v>4.995497693571823E-2</v>
      </c>
      <c r="K592" s="5" cm="1">
        <f t="array" ref="K592">UseableCapacity(I592,$K$8,$K$9)</f>
        <v>26723.496375000002</v>
      </c>
      <c r="L592" s="59">
        <f t="shared" ref="L592:L637" si="102">(K$8*I592)-E592</f>
        <v>33851.366306593503</v>
      </c>
      <c r="M592" s="7">
        <f t="shared" ref="M592:M637" si="103">K592-E592</f>
        <v>24943.534181593503</v>
      </c>
      <c r="N592" s="7">
        <f t="shared" ref="N592:N637" si="104">$K$10-I592</f>
        <v>2618.6714999999967</v>
      </c>
      <c r="O592" t="str">
        <f t="shared" si="97"/>
        <v>no</v>
      </c>
      <c r="P592" t="str">
        <f t="shared" si="98"/>
        <v>no</v>
      </c>
    </row>
    <row r="593" spans="2:16" x14ac:dyDescent="0.35">
      <c r="B593">
        <f t="shared" ref="B593:B637" si="105">B592+$G$12</f>
        <v>578</v>
      </c>
      <c r="C593" s="7">
        <f t="shared" si="99"/>
        <v>578</v>
      </c>
      <c r="D593" s="1" cm="1">
        <f t="array" ref="D593">estimatedTripEnergy(C593,G$5,G$6,C$12,C$7,C$9,C$8,FALSE)/1000</f>
        <v>1632.9288725670999</v>
      </c>
      <c r="E593" s="1" cm="1">
        <f t="array" ref="E593">estimatedTripEnergy(C593,G$5,G$6,C$12,C$7,C$9,C$8)/1000</f>
        <v>1780.8888725671</v>
      </c>
      <c r="F593" s="59" cm="1">
        <f t="array" ref="F593">estimatedTripDuration(C593,$C$8,$C$7)/60</f>
        <v>21.013819343432672</v>
      </c>
      <c r="G593">
        <f t="shared" si="96"/>
        <v>578</v>
      </c>
      <c r="H593" s="50">
        <f t="shared" si="100"/>
        <v>96.333333333333329</v>
      </c>
      <c r="I593" s="7" cm="1">
        <f t="array" ref="I593">CurrentCapacity(K$10,K$6,K$7,H593)</f>
        <v>35631.099000000002</v>
      </c>
      <c r="J593" s="48">
        <f t="shared" si="101"/>
        <v>4.9981306289965964E-2</v>
      </c>
      <c r="K593" s="5" cm="1">
        <f t="array" ref="K593">UseableCapacity(I593,$K$8,$K$9)</f>
        <v>26723.324250000001</v>
      </c>
      <c r="L593" s="59">
        <f t="shared" si="102"/>
        <v>33850.210127432903</v>
      </c>
      <c r="M593" s="7">
        <f t="shared" si="103"/>
        <v>24942.435377432903</v>
      </c>
      <c r="N593" s="7">
        <f t="shared" si="104"/>
        <v>2618.900999999998</v>
      </c>
      <c r="O593" t="str">
        <f t="shared" si="97"/>
        <v>no</v>
      </c>
      <c r="P593" t="str">
        <f t="shared" si="98"/>
        <v>no</v>
      </c>
    </row>
    <row r="594" spans="2:16" x14ac:dyDescent="0.35">
      <c r="B594">
        <f t="shared" si="105"/>
        <v>579</v>
      </c>
      <c r="C594" s="7">
        <f t="shared" si="99"/>
        <v>579</v>
      </c>
      <c r="D594" s="1" cm="1">
        <f t="array" ref="D594">estimatedTripEnergy(C594,G$5,G$6,C$12,C$7,C$9,C$8,FALSE)/1000</f>
        <v>1633.8555517277</v>
      </c>
      <c r="E594" s="1" cm="1">
        <f t="array" ref="E594">estimatedTripEnergy(C594,G$5,G$6,C$12,C$7,C$9,C$8)/1000</f>
        <v>1781.8155517277</v>
      </c>
      <c r="F594" s="59" cm="1">
        <f t="array" ref="F594">estimatedTripDuration(C594,$C$8,$C$7)/60</f>
        <v>21.047152676766007</v>
      </c>
      <c r="G594">
        <f t="shared" si="96"/>
        <v>579</v>
      </c>
      <c r="H594" s="50">
        <f t="shared" si="100"/>
        <v>96.5</v>
      </c>
      <c r="I594" s="7" cm="1">
        <f t="array" ref="I594">CurrentCapacity(K$10,K$6,K$7,H594)</f>
        <v>35630.869500000001</v>
      </c>
      <c r="J594" s="48">
        <f t="shared" si="101"/>
        <v>5.0007635983390752E-2</v>
      </c>
      <c r="K594" s="5" cm="1">
        <f t="array" ref="K594">UseableCapacity(I594,$K$8,$K$9)</f>
        <v>26723.152125000001</v>
      </c>
      <c r="L594" s="59">
        <f t="shared" si="102"/>
        <v>33849.053948272303</v>
      </c>
      <c r="M594" s="7">
        <f t="shared" si="103"/>
        <v>24941.3365732723</v>
      </c>
      <c r="N594" s="7">
        <f t="shared" si="104"/>
        <v>2619.1304999999993</v>
      </c>
      <c r="O594" t="str">
        <f t="shared" si="97"/>
        <v>no</v>
      </c>
      <c r="P594" t="str">
        <f t="shared" si="98"/>
        <v>no</v>
      </c>
    </row>
    <row r="595" spans="2:16" x14ac:dyDescent="0.35">
      <c r="B595">
        <f t="shared" si="105"/>
        <v>580</v>
      </c>
      <c r="C595" s="7">
        <f t="shared" si="99"/>
        <v>580</v>
      </c>
      <c r="D595" s="1" cm="1">
        <f t="array" ref="D595">estimatedTripEnergy(C595,G$5,G$6,C$12,C$7,C$9,C$8,FALSE)/1000</f>
        <v>1634.7822308883001</v>
      </c>
      <c r="E595" s="1" cm="1">
        <f t="array" ref="E595">estimatedTripEnergy(C595,G$5,G$6,C$12,C$7,C$9,C$8)/1000</f>
        <v>1782.7422308883001</v>
      </c>
      <c r="F595" s="59" cm="1">
        <f t="array" ref="F595">estimatedTripDuration(C595,$C$8,$C$7)/60</f>
        <v>21.080486010099339</v>
      </c>
      <c r="G595">
        <f t="shared" si="96"/>
        <v>580</v>
      </c>
      <c r="H595" s="50">
        <f t="shared" si="100"/>
        <v>96.666666666666671</v>
      </c>
      <c r="I595" s="7" cm="1">
        <f t="array" ref="I595">CurrentCapacity(K$10,K$6,K$7,H595)</f>
        <v>35630.639999999999</v>
      </c>
      <c r="J595" s="48">
        <f t="shared" si="101"/>
        <v>5.0033966015999153E-2</v>
      </c>
      <c r="K595" s="5" cm="1">
        <f t="array" ref="K595">UseableCapacity(I595,$K$8,$K$9)</f>
        <v>26722.98</v>
      </c>
      <c r="L595" s="59">
        <f t="shared" si="102"/>
        <v>33847.897769111696</v>
      </c>
      <c r="M595" s="7">
        <f t="shared" si="103"/>
        <v>24940.2377691117</v>
      </c>
      <c r="N595" s="7">
        <f t="shared" si="104"/>
        <v>2619.3600000000006</v>
      </c>
      <c r="O595" t="str">
        <f t="shared" si="97"/>
        <v>no</v>
      </c>
      <c r="P595" t="str">
        <f t="shared" si="98"/>
        <v>no</v>
      </c>
    </row>
    <row r="596" spans="2:16" x14ac:dyDescent="0.35">
      <c r="B596">
        <f t="shared" si="105"/>
        <v>581</v>
      </c>
      <c r="C596" s="7">
        <f t="shared" si="99"/>
        <v>581</v>
      </c>
      <c r="D596" s="1" cm="1">
        <f t="array" ref="D596">estimatedTripEnergy(C596,G$5,G$6,C$12,C$7,C$9,C$8,FALSE)/1000</f>
        <v>1635.7089100489</v>
      </c>
      <c r="E596" s="1" cm="1">
        <f t="array" ref="E596">estimatedTripEnergy(C596,G$5,G$6,C$12,C$7,C$9,C$8)/1000</f>
        <v>1783.6689100489</v>
      </c>
      <c r="F596" s="59" cm="1">
        <f t="array" ref="F596">estimatedTripDuration(C596,$C$8,$C$7)/60</f>
        <v>21.113819343432674</v>
      </c>
      <c r="G596">
        <f t="shared" si="96"/>
        <v>581</v>
      </c>
      <c r="H596" s="50">
        <f t="shared" si="100"/>
        <v>96.833333333333329</v>
      </c>
      <c r="I596" s="7" cm="1">
        <f t="array" ref="I596">CurrentCapacity(K$10,K$6,K$7,H596)</f>
        <v>35630.410500000005</v>
      </c>
      <c r="J596" s="48">
        <f t="shared" si="101"/>
        <v>5.0060296387797715E-2</v>
      </c>
      <c r="K596" s="5" cm="1">
        <f t="array" ref="K596">UseableCapacity(I596,$K$8,$K$9)</f>
        <v>26722.807875000006</v>
      </c>
      <c r="L596" s="59">
        <f t="shared" si="102"/>
        <v>33846.741589951103</v>
      </c>
      <c r="M596" s="7">
        <f t="shared" si="103"/>
        <v>24939.138964951107</v>
      </c>
      <c r="N596" s="7">
        <f t="shared" si="104"/>
        <v>2619.5894999999946</v>
      </c>
      <c r="O596" t="str">
        <f t="shared" si="97"/>
        <v>no</v>
      </c>
      <c r="P596" t="str">
        <f t="shared" si="98"/>
        <v>no</v>
      </c>
    </row>
    <row r="597" spans="2:16" x14ac:dyDescent="0.35">
      <c r="B597">
        <f t="shared" si="105"/>
        <v>582</v>
      </c>
      <c r="C597" s="7">
        <f t="shared" si="99"/>
        <v>582</v>
      </c>
      <c r="D597" s="1" cm="1">
        <f t="array" ref="D597">estimatedTripEnergy(C597,G$5,G$6,C$12,C$7,C$9,C$8,FALSE)/1000</f>
        <v>1636.6355892095</v>
      </c>
      <c r="E597" s="1" cm="1">
        <f t="array" ref="E597">estimatedTripEnergy(C597,G$5,G$6,C$12,C$7,C$9,C$8)/1000</f>
        <v>1784.5955892095001</v>
      </c>
      <c r="F597" s="59" cm="1">
        <f t="array" ref="F597">estimatedTripDuration(C597,$C$8,$C$7)/60</f>
        <v>21.147152676766005</v>
      </c>
      <c r="G597">
        <f t="shared" si="96"/>
        <v>582</v>
      </c>
      <c r="H597" s="50">
        <f t="shared" si="100"/>
        <v>97</v>
      </c>
      <c r="I597" s="7" cm="1">
        <f t="array" ref="I597">CurrentCapacity(K$10,K$6,K$7,H597)</f>
        <v>35630.180999999997</v>
      </c>
      <c r="J597" s="48">
        <f t="shared" si="101"/>
        <v>5.0086627098793024E-2</v>
      </c>
      <c r="K597" s="5" cm="1">
        <f t="array" ref="K597">UseableCapacity(I597,$K$8,$K$9)</f>
        <v>26722.635749999998</v>
      </c>
      <c r="L597" s="59">
        <f t="shared" si="102"/>
        <v>33845.585410790496</v>
      </c>
      <c r="M597" s="7">
        <f t="shared" si="103"/>
        <v>24938.040160790497</v>
      </c>
      <c r="N597" s="7">
        <f t="shared" si="104"/>
        <v>2619.8190000000031</v>
      </c>
      <c r="O597" t="str">
        <f t="shared" si="97"/>
        <v>no</v>
      </c>
      <c r="P597" t="str">
        <f t="shared" si="98"/>
        <v>no</v>
      </c>
    </row>
    <row r="598" spans="2:16" x14ac:dyDescent="0.35">
      <c r="B598">
        <f t="shared" si="105"/>
        <v>583</v>
      </c>
      <c r="C598" s="7">
        <f t="shared" si="99"/>
        <v>583</v>
      </c>
      <c r="D598" s="1" cm="1">
        <f t="array" ref="D598">estimatedTripEnergy(C598,G$5,G$6,C$12,C$7,C$9,C$8,FALSE)/1000</f>
        <v>1637.5622683701001</v>
      </c>
      <c r="E598" s="1" cm="1">
        <f t="array" ref="E598">estimatedTripEnergy(C598,G$5,G$6,C$12,C$7,C$9,C$8)/1000</f>
        <v>1785.5222683701002</v>
      </c>
      <c r="F598" s="59" cm="1">
        <f t="array" ref="F598">estimatedTripDuration(C598,$C$8,$C$7)/60</f>
        <v>21.18048601009934</v>
      </c>
      <c r="G598">
        <f t="shared" si="96"/>
        <v>583</v>
      </c>
      <c r="H598" s="50">
        <f t="shared" si="100"/>
        <v>97.166666666666671</v>
      </c>
      <c r="I598" s="7" cm="1">
        <f t="array" ref="I598">CurrentCapacity(K$10,K$6,K$7,H598)</f>
        <v>35629.951500000003</v>
      </c>
      <c r="J598" s="48">
        <f t="shared" si="101"/>
        <v>5.0112958148991589E-2</v>
      </c>
      <c r="K598" s="5" cm="1">
        <f t="array" ref="K598">UseableCapacity(I598,$K$8,$K$9)</f>
        <v>26722.463625000004</v>
      </c>
      <c r="L598" s="59">
        <f t="shared" si="102"/>
        <v>33844.429231629903</v>
      </c>
      <c r="M598" s="7">
        <f t="shared" si="103"/>
        <v>24936.941356629904</v>
      </c>
      <c r="N598" s="7">
        <f t="shared" si="104"/>
        <v>2620.0484999999971</v>
      </c>
      <c r="O598" t="str">
        <f t="shared" si="97"/>
        <v>no</v>
      </c>
      <c r="P598" t="str">
        <f t="shared" si="98"/>
        <v>no</v>
      </c>
    </row>
    <row r="599" spans="2:16" x14ac:dyDescent="0.35">
      <c r="B599">
        <f t="shared" si="105"/>
        <v>584</v>
      </c>
      <c r="C599" s="7">
        <f t="shared" si="99"/>
        <v>584</v>
      </c>
      <c r="D599" s="1" cm="1">
        <f t="array" ref="D599">estimatedTripEnergy(C599,G$5,G$6,C$12,C$7,C$9,C$8,FALSE)/1000</f>
        <v>1638.4889475307</v>
      </c>
      <c r="E599" s="1" cm="1">
        <f t="array" ref="E599">estimatedTripEnergy(C599,G$5,G$6,C$12,C$7,C$9,C$8)/1000</f>
        <v>1786.4489475306998</v>
      </c>
      <c r="F599" s="59" cm="1">
        <f t="array" ref="F599">estimatedTripDuration(C599,$C$8,$C$7)/60</f>
        <v>21.213819343432672</v>
      </c>
      <c r="G599">
        <f t="shared" si="96"/>
        <v>584</v>
      </c>
      <c r="H599" s="50">
        <f t="shared" si="100"/>
        <v>97.333333333333329</v>
      </c>
      <c r="I599" s="7" cm="1">
        <f t="array" ref="I599">CurrentCapacity(K$10,K$6,K$7,H599)</f>
        <v>35629.722000000002</v>
      </c>
      <c r="J599" s="48">
        <f t="shared" si="101"/>
        <v>5.0139289538399981E-2</v>
      </c>
      <c r="K599" s="5" cm="1">
        <f t="array" ref="K599">UseableCapacity(I599,$K$8,$K$9)</f>
        <v>26722.291499999999</v>
      </c>
      <c r="L599" s="59">
        <f t="shared" si="102"/>
        <v>33843.273052469303</v>
      </c>
      <c r="M599" s="7">
        <f t="shared" si="103"/>
        <v>24935.842552469301</v>
      </c>
      <c r="N599" s="7">
        <f t="shared" si="104"/>
        <v>2620.2779999999984</v>
      </c>
      <c r="O599" t="str">
        <f t="shared" si="97"/>
        <v>no</v>
      </c>
      <c r="P599" t="str">
        <f t="shared" si="98"/>
        <v>no</v>
      </c>
    </row>
    <row r="600" spans="2:16" x14ac:dyDescent="0.35">
      <c r="B600">
        <f t="shared" si="105"/>
        <v>585</v>
      </c>
      <c r="C600" s="7">
        <f t="shared" si="99"/>
        <v>585</v>
      </c>
      <c r="D600" s="1" cm="1">
        <f t="array" ref="D600">estimatedTripEnergy(C600,G$5,G$6,C$12,C$7,C$9,C$8,FALSE)/1000</f>
        <v>1639.4156266912998</v>
      </c>
      <c r="E600" s="1" cm="1">
        <f t="array" ref="E600">estimatedTripEnergy(C600,G$5,G$6,C$12,C$7,C$9,C$8)/1000</f>
        <v>1787.3756266912999</v>
      </c>
      <c r="F600" s="59" cm="1">
        <f t="array" ref="F600">estimatedTripDuration(C600,$C$8,$C$7)/60</f>
        <v>21.247152676766007</v>
      </c>
      <c r="G600">
        <f t="shared" si="96"/>
        <v>585</v>
      </c>
      <c r="H600" s="50">
        <f t="shared" si="100"/>
        <v>97.5</v>
      </c>
      <c r="I600" s="7" cm="1">
        <f t="array" ref="I600">CurrentCapacity(K$10,K$6,K$7,H600)</f>
        <v>35629.4925</v>
      </c>
      <c r="J600" s="48">
        <f t="shared" si="101"/>
        <v>5.0165621267024778E-2</v>
      </c>
      <c r="K600" s="5" cm="1">
        <f t="array" ref="K600">UseableCapacity(I600,$K$8,$K$9)</f>
        <v>26722.119375000002</v>
      </c>
      <c r="L600" s="59">
        <f t="shared" si="102"/>
        <v>33842.116873308703</v>
      </c>
      <c r="M600" s="7">
        <f t="shared" si="103"/>
        <v>24934.743748308701</v>
      </c>
      <c r="N600" s="7">
        <f t="shared" si="104"/>
        <v>2620.5074999999997</v>
      </c>
      <c r="O600" t="str">
        <f t="shared" si="97"/>
        <v>no</v>
      </c>
      <c r="P600" t="str">
        <f t="shared" si="98"/>
        <v>no</v>
      </c>
    </row>
    <row r="601" spans="2:16" x14ac:dyDescent="0.35">
      <c r="B601">
        <f t="shared" si="105"/>
        <v>586</v>
      </c>
      <c r="C601" s="7">
        <f t="shared" si="99"/>
        <v>586</v>
      </c>
      <c r="D601" s="1" cm="1">
        <f t="array" ref="D601">estimatedTripEnergy(C601,G$5,G$6,C$12,C$7,C$9,C$8,FALSE)/1000</f>
        <v>1640.3423058518999</v>
      </c>
      <c r="E601" s="1" cm="1">
        <f t="array" ref="E601">estimatedTripEnergy(C601,G$5,G$6,C$12,C$7,C$9,C$8)/1000</f>
        <v>1788.3023058519</v>
      </c>
      <c r="F601" s="59" cm="1">
        <f t="array" ref="F601">estimatedTripDuration(C601,$C$8,$C$7)/60</f>
        <v>21.280486010099342</v>
      </c>
      <c r="G601">
        <f t="shared" si="96"/>
        <v>586</v>
      </c>
      <c r="H601" s="50">
        <f t="shared" si="100"/>
        <v>97.666666666666671</v>
      </c>
      <c r="I601" s="7" cm="1">
        <f t="array" ref="I601">CurrentCapacity(K$10,K$6,K$7,H601)</f>
        <v>35629.263000000006</v>
      </c>
      <c r="J601" s="48">
        <f t="shared" si="101"/>
        <v>5.0191953334872509E-2</v>
      </c>
      <c r="K601" s="5" cm="1">
        <f t="array" ref="K601">UseableCapacity(I601,$K$8,$K$9)</f>
        <v>26721.947250000005</v>
      </c>
      <c r="L601" s="59">
        <f t="shared" si="102"/>
        <v>33840.960694148103</v>
      </c>
      <c r="M601" s="7">
        <f t="shared" si="103"/>
        <v>24933.644944148105</v>
      </c>
      <c r="N601" s="7">
        <f t="shared" si="104"/>
        <v>2620.7369999999937</v>
      </c>
      <c r="O601" t="str">
        <f t="shared" si="97"/>
        <v>no</v>
      </c>
      <c r="P601" t="str">
        <f t="shared" si="98"/>
        <v>no</v>
      </c>
    </row>
    <row r="602" spans="2:16" x14ac:dyDescent="0.35">
      <c r="B602">
        <f t="shared" si="105"/>
        <v>587</v>
      </c>
      <c r="C602" s="7">
        <f t="shared" si="99"/>
        <v>587</v>
      </c>
      <c r="D602" s="1" cm="1">
        <f t="array" ref="D602">estimatedTripEnergy(C602,G$5,G$6,C$12,C$7,C$9,C$8,FALSE)/1000</f>
        <v>1641.2689850125</v>
      </c>
      <c r="E602" s="1" cm="1">
        <f t="array" ref="E602">estimatedTripEnergy(C602,G$5,G$6,C$12,C$7,C$9,C$8)/1000</f>
        <v>1789.2289850125001</v>
      </c>
      <c r="F602" s="59" cm="1">
        <f t="array" ref="F602">estimatedTripDuration(C602,$C$8,$C$7)/60</f>
        <v>21.313819343432673</v>
      </c>
      <c r="G602">
        <f t="shared" si="96"/>
        <v>587</v>
      </c>
      <c r="H602" s="50">
        <f t="shared" si="100"/>
        <v>97.833333333333329</v>
      </c>
      <c r="I602" s="7" cm="1">
        <f t="array" ref="I602">CurrentCapacity(K$10,K$6,K$7,H602)</f>
        <v>35629.033499999998</v>
      </c>
      <c r="J602" s="48">
        <f t="shared" si="101"/>
        <v>5.0218285741949753E-2</v>
      </c>
      <c r="K602" s="5" cm="1">
        <f t="array" ref="K602">UseableCapacity(I602,$K$8,$K$9)</f>
        <v>26721.775125</v>
      </c>
      <c r="L602" s="59">
        <f t="shared" si="102"/>
        <v>33839.804514987496</v>
      </c>
      <c r="M602" s="7">
        <f t="shared" si="103"/>
        <v>24932.546139987498</v>
      </c>
      <c r="N602" s="7">
        <f t="shared" si="104"/>
        <v>2620.9665000000023</v>
      </c>
      <c r="O602" t="str">
        <f t="shared" si="97"/>
        <v>no</v>
      </c>
      <c r="P602" t="str">
        <f t="shared" si="98"/>
        <v>no</v>
      </c>
    </row>
    <row r="603" spans="2:16" x14ac:dyDescent="0.35">
      <c r="B603">
        <f t="shared" si="105"/>
        <v>588</v>
      </c>
      <c r="C603" s="7">
        <f t="shared" si="99"/>
        <v>588</v>
      </c>
      <c r="D603" s="1" cm="1">
        <f t="array" ref="D603">estimatedTripEnergy(C603,G$5,G$6,C$12,C$7,C$9,C$8,FALSE)/1000</f>
        <v>1642.1956641731001</v>
      </c>
      <c r="E603" s="1" cm="1">
        <f t="array" ref="E603">estimatedTripEnergy(C603,G$5,G$6,C$12,C$7,C$9,C$8)/1000</f>
        <v>1790.1556641731001</v>
      </c>
      <c r="F603" s="59" cm="1">
        <f t="array" ref="F603">estimatedTripDuration(C603,$C$8,$C$7)/60</f>
        <v>21.347152676766008</v>
      </c>
      <c r="G603">
        <f t="shared" si="96"/>
        <v>588</v>
      </c>
      <c r="H603" s="50">
        <f t="shared" si="100"/>
        <v>98</v>
      </c>
      <c r="I603" s="7" cm="1">
        <f t="array" ref="I603">CurrentCapacity(K$10,K$6,K$7,H603)</f>
        <v>35628.804000000004</v>
      </c>
      <c r="J603" s="48">
        <f t="shared" si="101"/>
        <v>5.0244618488263032E-2</v>
      </c>
      <c r="K603" s="5" cm="1">
        <f t="array" ref="K603">UseableCapacity(I603,$K$8,$K$9)</f>
        <v>26721.603000000003</v>
      </c>
      <c r="L603" s="59">
        <f t="shared" si="102"/>
        <v>33838.648335826903</v>
      </c>
      <c r="M603" s="7">
        <f t="shared" si="103"/>
        <v>24931.447335826902</v>
      </c>
      <c r="N603" s="7">
        <f t="shared" si="104"/>
        <v>2621.1959999999963</v>
      </c>
      <c r="O603" t="str">
        <f t="shared" si="97"/>
        <v>no</v>
      </c>
      <c r="P603" t="str">
        <f t="shared" si="98"/>
        <v>no</v>
      </c>
    </row>
    <row r="604" spans="2:16" x14ac:dyDescent="0.35">
      <c r="B604">
        <f t="shared" si="105"/>
        <v>589</v>
      </c>
      <c r="C604" s="7">
        <f t="shared" si="99"/>
        <v>589</v>
      </c>
      <c r="D604" s="1" cm="1">
        <f t="array" ref="D604">estimatedTripEnergy(C604,G$5,G$6,C$12,C$7,C$9,C$8,FALSE)/1000</f>
        <v>1643.1223433337</v>
      </c>
      <c r="E604" s="1" cm="1">
        <f t="array" ref="E604">estimatedTripEnergy(C604,G$5,G$6,C$12,C$7,C$9,C$8)/1000</f>
        <v>1791.0823433337</v>
      </c>
      <c r="F604" s="59" cm="1">
        <f t="array" ref="F604">estimatedTripDuration(C604,$C$8,$C$7)/60</f>
        <v>21.380486010099339</v>
      </c>
      <c r="G604">
        <f t="shared" si="96"/>
        <v>589</v>
      </c>
      <c r="H604" s="50">
        <f t="shared" si="100"/>
        <v>98.166666666666671</v>
      </c>
      <c r="I604" s="7" cm="1">
        <f t="array" ref="I604">CurrentCapacity(K$10,K$6,K$7,H604)</f>
        <v>35628.574500000002</v>
      </c>
      <c r="J604" s="48">
        <f t="shared" si="101"/>
        <v>5.0270951573818924E-2</v>
      </c>
      <c r="K604" s="5" cm="1">
        <f t="array" ref="K604">UseableCapacity(I604,$K$8,$K$9)</f>
        <v>26721.430875000002</v>
      </c>
      <c r="L604" s="59">
        <f t="shared" si="102"/>
        <v>33837.492156666303</v>
      </c>
      <c r="M604" s="7">
        <f t="shared" si="103"/>
        <v>24930.348531666303</v>
      </c>
      <c r="N604" s="7">
        <f t="shared" si="104"/>
        <v>2621.4254999999976</v>
      </c>
      <c r="O604" t="str">
        <f t="shared" si="97"/>
        <v>no</v>
      </c>
      <c r="P604" t="str">
        <f t="shared" si="98"/>
        <v>no</v>
      </c>
    </row>
    <row r="605" spans="2:16" x14ac:dyDescent="0.35">
      <c r="B605">
        <f t="shared" si="105"/>
        <v>590</v>
      </c>
      <c r="C605" s="7">
        <f t="shared" si="99"/>
        <v>590</v>
      </c>
      <c r="D605" s="1" cm="1">
        <f t="array" ref="D605">estimatedTripEnergy(C605,G$5,G$6,C$12,C$7,C$9,C$8,FALSE)/1000</f>
        <v>1644.0490224943001</v>
      </c>
      <c r="E605" s="1" cm="1">
        <f t="array" ref="E605">estimatedTripEnergy(C605,G$5,G$6,C$12,C$7,C$9,C$8)/1000</f>
        <v>1792.0090224943001</v>
      </c>
      <c r="F605" s="59" cm="1">
        <f t="array" ref="F605">estimatedTripDuration(C605,$C$8,$C$7)/60</f>
        <v>21.413819343432674</v>
      </c>
      <c r="G605">
        <f t="shared" si="96"/>
        <v>590</v>
      </c>
      <c r="H605" s="50">
        <f t="shared" si="100"/>
        <v>98.333333333333329</v>
      </c>
      <c r="I605" s="7" cm="1">
        <f t="array" ref="I605">CurrentCapacity(K$10,K$6,K$7,H605)</f>
        <v>35628.345000000001</v>
      </c>
      <c r="J605" s="48">
        <f t="shared" si="101"/>
        <v>5.0297284998623987E-2</v>
      </c>
      <c r="K605" s="5" cm="1">
        <f t="array" ref="K605">UseableCapacity(I605,$K$8,$K$9)</f>
        <v>26721.258750000001</v>
      </c>
      <c r="L605" s="59">
        <f t="shared" si="102"/>
        <v>33836.335977505703</v>
      </c>
      <c r="M605" s="7">
        <f t="shared" si="103"/>
        <v>24929.249727505699</v>
      </c>
      <c r="N605" s="7">
        <f t="shared" si="104"/>
        <v>2621.6549999999988</v>
      </c>
      <c r="O605" t="str">
        <f t="shared" si="97"/>
        <v>no</v>
      </c>
      <c r="P605" t="str">
        <f t="shared" si="98"/>
        <v>no</v>
      </c>
    </row>
    <row r="606" spans="2:16" x14ac:dyDescent="0.35">
      <c r="B606">
        <f t="shared" si="105"/>
        <v>591</v>
      </c>
      <c r="C606" s="7">
        <f t="shared" si="99"/>
        <v>591</v>
      </c>
      <c r="D606" s="1" cm="1">
        <f t="array" ref="D606">estimatedTripEnergy(C606,G$5,G$6,C$12,C$7,C$9,C$8,FALSE)/1000</f>
        <v>1644.9757016549001</v>
      </c>
      <c r="E606" s="1" cm="1">
        <f t="array" ref="E606">estimatedTripEnergy(C606,G$5,G$6,C$12,C$7,C$9,C$8)/1000</f>
        <v>1792.9357016549002</v>
      </c>
      <c r="F606" s="59" cm="1">
        <f t="array" ref="F606">estimatedTripDuration(C606,$C$8,$C$7)/60</f>
        <v>21.447152676766006</v>
      </c>
      <c r="G606">
        <f t="shared" si="96"/>
        <v>591</v>
      </c>
      <c r="H606" s="50">
        <f t="shared" si="100"/>
        <v>98.5</v>
      </c>
      <c r="I606" s="7" cm="1">
        <f t="array" ref="I606">CurrentCapacity(K$10,K$6,K$7,H606)</f>
        <v>35628.1155</v>
      </c>
      <c r="J606" s="48">
        <f t="shared" si="101"/>
        <v>5.032361876268477E-2</v>
      </c>
      <c r="K606" s="5" cm="1">
        <f t="array" ref="K606">UseableCapacity(I606,$K$8,$K$9)</f>
        <v>26721.086625</v>
      </c>
      <c r="L606" s="59">
        <f t="shared" si="102"/>
        <v>33835.179798345096</v>
      </c>
      <c r="M606" s="7">
        <f t="shared" si="103"/>
        <v>24928.1509233451</v>
      </c>
      <c r="N606" s="7">
        <f t="shared" si="104"/>
        <v>2621.8845000000001</v>
      </c>
      <c r="O606" t="str">
        <f t="shared" si="97"/>
        <v>no</v>
      </c>
      <c r="P606" t="str">
        <f t="shared" si="98"/>
        <v>no</v>
      </c>
    </row>
    <row r="607" spans="2:16" x14ac:dyDescent="0.35">
      <c r="B607">
        <f t="shared" si="105"/>
        <v>592</v>
      </c>
      <c r="C607" s="7">
        <f t="shared" si="99"/>
        <v>592</v>
      </c>
      <c r="D607" s="1" cm="1">
        <f t="array" ref="D607">estimatedTripEnergy(C607,G$5,G$6,C$12,C$7,C$9,C$8,FALSE)/1000</f>
        <v>1645.9023808155</v>
      </c>
      <c r="E607" s="1" cm="1">
        <f t="array" ref="E607">estimatedTripEnergy(C607,G$5,G$6,C$12,C$7,C$9,C$8)/1000</f>
        <v>1793.8623808154998</v>
      </c>
      <c r="F607" s="59" cm="1">
        <f t="array" ref="F607">estimatedTripDuration(C607,$C$8,$C$7)/60</f>
        <v>21.480486010099341</v>
      </c>
      <c r="G607">
        <f t="shared" si="96"/>
        <v>592</v>
      </c>
      <c r="H607" s="50">
        <f t="shared" si="100"/>
        <v>98.666666666666671</v>
      </c>
      <c r="I607" s="7" cm="1">
        <f t="array" ref="I607">CurrentCapacity(K$10,K$6,K$7,H607)</f>
        <v>35627.885999999999</v>
      </c>
      <c r="J607" s="48">
        <f t="shared" si="101"/>
        <v>5.0349952866007817E-2</v>
      </c>
      <c r="K607" s="5" cm="1">
        <f t="array" ref="K607">UseableCapacity(I607,$K$8,$K$9)</f>
        <v>26720.914499999999</v>
      </c>
      <c r="L607" s="59">
        <f t="shared" si="102"/>
        <v>33834.023619184496</v>
      </c>
      <c r="M607" s="7">
        <f t="shared" si="103"/>
        <v>24927.0521191845</v>
      </c>
      <c r="N607" s="7">
        <f t="shared" si="104"/>
        <v>2622.1140000000014</v>
      </c>
      <c r="O607" t="str">
        <f t="shared" si="97"/>
        <v>no</v>
      </c>
      <c r="P607" t="str">
        <f t="shared" si="98"/>
        <v>no</v>
      </c>
    </row>
    <row r="608" spans="2:16" x14ac:dyDescent="0.35">
      <c r="B608">
        <f t="shared" si="105"/>
        <v>593</v>
      </c>
      <c r="C608" s="7">
        <f t="shared" si="99"/>
        <v>593</v>
      </c>
      <c r="D608" s="1" cm="1">
        <f t="array" ref="D608">estimatedTripEnergy(C608,G$5,G$6,C$12,C$7,C$9,C$8,FALSE)/1000</f>
        <v>1646.8290599761001</v>
      </c>
      <c r="E608" s="1" cm="1">
        <f t="array" ref="E608">estimatedTripEnergy(C608,G$5,G$6,C$12,C$7,C$9,C$8)/1000</f>
        <v>1794.7890599760999</v>
      </c>
      <c r="F608" s="59" cm="1">
        <f t="array" ref="F608">estimatedTripDuration(C608,$C$8,$C$7)/60</f>
        <v>21.513819343432672</v>
      </c>
      <c r="G608">
        <f t="shared" ref="G608:G637" si="106">B608</f>
        <v>593</v>
      </c>
      <c r="H608" s="50">
        <f t="shared" si="100"/>
        <v>98.833333333333329</v>
      </c>
      <c r="I608" s="7" cm="1">
        <f t="array" ref="I608">CurrentCapacity(K$10,K$6,K$7,H608)</f>
        <v>35627.656500000005</v>
      </c>
      <c r="J608" s="48">
        <f t="shared" si="101"/>
        <v>5.03762873085997E-2</v>
      </c>
      <c r="K608" s="5" cm="1">
        <f t="array" ref="K608">UseableCapacity(I608,$K$8,$K$9)</f>
        <v>26720.742375000002</v>
      </c>
      <c r="L608" s="59">
        <f t="shared" si="102"/>
        <v>33832.867440023903</v>
      </c>
      <c r="M608" s="7">
        <f t="shared" si="103"/>
        <v>24925.9533150239</v>
      </c>
      <c r="N608" s="7">
        <f t="shared" si="104"/>
        <v>2622.3434999999954</v>
      </c>
      <c r="O608" t="str">
        <f t="shared" ref="O608:O637" si="107">IF(M608&lt;0,"yes","no")</f>
        <v>no</v>
      </c>
      <c r="P608" t="str">
        <f t="shared" ref="P608:P637" si="108">IF(L608&lt;0,"yes","no")</f>
        <v>no</v>
      </c>
    </row>
    <row r="609" spans="2:16" x14ac:dyDescent="0.35">
      <c r="B609">
        <f t="shared" si="105"/>
        <v>594</v>
      </c>
      <c r="C609" s="7">
        <f t="shared" si="99"/>
        <v>594</v>
      </c>
      <c r="D609" s="1" cm="1">
        <f t="array" ref="D609">estimatedTripEnergy(C609,G$5,G$6,C$12,C$7,C$9,C$8,FALSE)/1000</f>
        <v>1647.7557391367</v>
      </c>
      <c r="E609" s="1" cm="1">
        <f t="array" ref="E609">estimatedTripEnergy(C609,G$5,G$6,C$12,C$7,C$9,C$8)/1000</f>
        <v>1795.7157391367</v>
      </c>
      <c r="F609" s="59" cm="1">
        <f t="array" ref="F609">estimatedTripDuration(C609,$C$8,$C$7)/60</f>
        <v>21.547152676766007</v>
      </c>
      <c r="G609">
        <f t="shared" si="106"/>
        <v>594</v>
      </c>
      <c r="H609" s="50">
        <f t="shared" si="100"/>
        <v>99</v>
      </c>
      <c r="I609" s="7" cm="1">
        <f t="array" ref="I609">CurrentCapacity(K$10,K$6,K$7,H609)</f>
        <v>35627.427000000003</v>
      </c>
      <c r="J609" s="48">
        <f t="shared" si="101"/>
        <v>5.0402622090466982E-2</v>
      </c>
      <c r="K609" s="5" cm="1">
        <f t="array" ref="K609">UseableCapacity(I609,$K$8,$K$9)</f>
        <v>26720.570250000004</v>
      </c>
      <c r="L609" s="59">
        <f t="shared" si="102"/>
        <v>33831.711260863303</v>
      </c>
      <c r="M609" s="7">
        <f t="shared" si="103"/>
        <v>24924.854510863304</v>
      </c>
      <c r="N609" s="7">
        <f t="shared" si="104"/>
        <v>2622.5729999999967</v>
      </c>
      <c r="O609" t="str">
        <f t="shared" si="107"/>
        <v>no</v>
      </c>
      <c r="P609" t="str">
        <f t="shared" si="108"/>
        <v>no</v>
      </c>
    </row>
    <row r="610" spans="2:16" x14ac:dyDescent="0.35">
      <c r="B610">
        <f t="shared" si="105"/>
        <v>595</v>
      </c>
      <c r="C610" s="7">
        <f t="shared" si="99"/>
        <v>595</v>
      </c>
      <c r="D610" s="1" cm="1">
        <f t="array" ref="D610">estimatedTripEnergy(C610,G$5,G$6,C$12,C$7,C$9,C$8,FALSE)/1000</f>
        <v>1648.6824182973</v>
      </c>
      <c r="E610" s="1" cm="1">
        <f t="array" ref="E610">estimatedTripEnergy(C610,G$5,G$6,C$12,C$7,C$9,C$8)/1000</f>
        <v>1796.6424182973001</v>
      </c>
      <c r="F610" s="59" cm="1">
        <f t="array" ref="F610">estimatedTripDuration(C610,$C$8,$C$7)/60</f>
        <v>21.580486010099339</v>
      </c>
      <c r="G610">
        <f t="shared" si="106"/>
        <v>595</v>
      </c>
      <c r="H610" s="50">
        <f t="shared" si="100"/>
        <v>99.166666666666671</v>
      </c>
      <c r="I610" s="7" cm="1">
        <f t="array" ref="I610">CurrentCapacity(K$10,K$6,K$7,H610)</f>
        <v>35627.197500000002</v>
      </c>
      <c r="J610" s="48">
        <f t="shared" si="101"/>
        <v>5.0428957211616207E-2</v>
      </c>
      <c r="K610" s="5" cm="1">
        <f t="array" ref="K610">UseableCapacity(I610,$K$8,$K$9)</f>
        <v>26720.398125</v>
      </c>
      <c r="L610" s="59">
        <f t="shared" si="102"/>
        <v>33830.555081702703</v>
      </c>
      <c r="M610" s="7">
        <f t="shared" si="103"/>
        <v>24923.755706702701</v>
      </c>
      <c r="N610" s="7">
        <f t="shared" si="104"/>
        <v>2622.802499999998</v>
      </c>
      <c r="O610" t="str">
        <f t="shared" si="107"/>
        <v>no</v>
      </c>
      <c r="P610" t="str">
        <f t="shared" si="108"/>
        <v>no</v>
      </c>
    </row>
    <row r="611" spans="2:16" x14ac:dyDescent="0.35">
      <c r="B611">
        <f t="shared" si="105"/>
        <v>596</v>
      </c>
      <c r="C611" s="7">
        <f t="shared" si="99"/>
        <v>596</v>
      </c>
      <c r="D611" s="1" cm="1">
        <f t="array" ref="D611">estimatedTripEnergy(C611,G$5,G$6,C$12,C$7,C$9,C$8,FALSE)/1000</f>
        <v>1649.6090974578999</v>
      </c>
      <c r="E611" s="1" cm="1">
        <f t="array" ref="E611">estimatedTripEnergy(C611,G$5,G$6,C$12,C$7,C$9,C$8)/1000</f>
        <v>1797.5690974578999</v>
      </c>
      <c r="F611" s="59" cm="1">
        <f t="array" ref="F611">estimatedTripDuration(C611,$C$8,$C$7)/60</f>
        <v>21.613819343432674</v>
      </c>
      <c r="G611">
        <f t="shared" si="106"/>
        <v>596</v>
      </c>
      <c r="H611" s="50">
        <f t="shared" si="100"/>
        <v>99.333333333333329</v>
      </c>
      <c r="I611" s="7" cm="1">
        <f t="array" ref="I611">CurrentCapacity(K$10,K$6,K$7,H611)</f>
        <v>35626.968000000001</v>
      </c>
      <c r="J611" s="48">
        <f t="shared" si="101"/>
        <v>5.0455292672053932E-2</v>
      </c>
      <c r="K611" s="5" cm="1">
        <f t="array" ref="K611">UseableCapacity(I611,$K$8,$K$9)</f>
        <v>26720.226000000002</v>
      </c>
      <c r="L611" s="59">
        <f t="shared" si="102"/>
        <v>33829.398902542103</v>
      </c>
      <c r="M611" s="7">
        <f t="shared" si="103"/>
        <v>24922.656902542101</v>
      </c>
      <c r="N611" s="7">
        <f t="shared" si="104"/>
        <v>2623.0319999999992</v>
      </c>
      <c r="O611" t="str">
        <f t="shared" si="107"/>
        <v>no</v>
      </c>
      <c r="P611" t="str">
        <f t="shared" si="108"/>
        <v>no</v>
      </c>
    </row>
    <row r="612" spans="2:16" x14ac:dyDescent="0.35">
      <c r="B612">
        <f t="shared" si="105"/>
        <v>597</v>
      </c>
      <c r="C612" s="7">
        <f t="shared" si="99"/>
        <v>597</v>
      </c>
      <c r="D612" s="1" cm="1">
        <f t="array" ref="D612">estimatedTripEnergy(C612,G$5,G$6,C$12,C$7,C$9,C$8,FALSE)/1000</f>
        <v>1650.5357766185</v>
      </c>
      <c r="E612" s="1" cm="1">
        <f t="array" ref="E612">estimatedTripEnergy(C612,G$5,G$6,C$12,C$7,C$9,C$8)/1000</f>
        <v>1798.4957766185</v>
      </c>
      <c r="F612" s="59" cm="1">
        <f t="array" ref="F612">estimatedTripDuration(C612,$C$8,$C$7)/60</f>
        <v>21.647152676766005</v>
      </c>
      <c r="G612">
        <f t="shared" si="106"/>
        <v>597</v>
      </c>
      <c r="H612" s="50">
        <f t="shared" si="100"/>
        <v>99.5</v>
      </c>
      <c r="I612" s="7" cm="1">
        <f t="array" ref="I612">CurrentCapacity(K$10,K$6,K$7,H612)</f>
        <v>35626.738499999999</v>
      </c>
      <c r="J612" s="48">
        <f t="shared" si="101"/>
        <v>5.0481628471786721E-2</v>
      </c>
      <c r="K612" s="5" cm="1">
        <f t="array" ref="K612">UseableCapacity(I612,$K$8,$K$9)</f>
        <v>26720.053874999998</v>
      </c>
      <c r="L612" s="59">
        <f t="shared" si="102"/>
        <v>33828.242723381496</v>
      </c>
      <c r="M612" s="7">
        <f t="shared" si="103"/>
        <v>24921.558098381498</v>
      </c>
      <c r="N612" s="7">
        <f t="shared" si="104"/>
        <v>2623.2615000000005</v>
      </c>
      <c r="O612" t="str">
        <f t="shared" si="107"/>
        <v>no</v>
      </c>
      <c r="P612" t="str">
        <f t="shared" si="108"/>
        <v>no</v>
      </c>
    </row>
    <row r="613" spans="2:16" x14ac:dyDescent="0.35">
      <c r="B613">
        <f t="shared" si="105"/>
        <v>598</v>
      </c>
      <c r="C613" s="7">
        <f t="shared" si="99"/>
        <v>598</v>
      </c>
      <c r="D613" s="1" cm="1">
        <f t="array" ref="D613">estimatedTripEnergy(C613,G$5,G$6,C$12,C$7,C$9,C$8,FALSE)/1000</f>
        <v>1651.4624557791001</v>
      </c>
      <c r="E613" s="1" cm="1">
        <f t="array" ref="E613">estimatedTripEnergy(C613,G$5,G$6,C$12,C$7,C$9,C$8)/1000</f>
        <v>1799.4224557791001</v>
      </c>
      <c r="F613" s="59" cm="1">
        <f t="array" ref="F613">estimatedTripDuration(C613,$C$8,$C$7)/60</f>
        <v>21.68048601009934</v>
      </c>
      <c r="G613">
        <f t="shared" si="106"/>
        <v>598</v>
      </c>
      <c r="H613" s="50">
        <f t="shared" si="100"/>
        <v>99.666666666666671</v>
      </c>
      <c r="I613" s="7" cm="1">
        <f t="array" ref="I613">CurrentCapacity(K$10,K$6,K$7,H613)</f>
        <v>35626.508999999998</v>
      </c>
      <c r="J613" s="48">
        <f t="shared" si="101"/>
        <v>5.0507964610821125E-2</v>
      </c>
      <c r="K613" s="5" cm="1">
        <f t="array" ref="K613">UseableCapacity(I613,$K$8,$K$9)</f>
        <v>26719.88175</v>
      </c>
      <c r="L613" s="59">
        <f t="shared" si="102"/>
        <v>33827.086544220896</v>
      </c>
      <c r="M613" s="7">
        <f t="shared" si="103"/>
        <v>24920.459294220902</v>
      </c>
      <c r="N613" s="7">
        <f t="shared" si="104"/>
        <v>2623.4910000000018</v>
      </c>
      <c r="O613" t="str">
        <f t="shared" si="107"/>
        <v>no</v>
      </c>
      <c r="P613" t="str">
        <f t="shared" si="108"/>
        <v>no</v>
      </c>
    </row>
    <row r="614" spans="2:16" x14ac:dyDescent="0.35">
      <c r="B614">
        <f t="shared" si="105"/>
        <v>599</v>
      </c>
      <c r="C614" s="7">
        <f t="shared" si="99"/>
        <v>599</v>
      </c>
      <c r="D614" s="1" cm="1">
        <f t="array" ref="D614">estimatedTripEnergy(C614,G$5,G$6,C$12,C$7,C$9,C$8,FALSE)/1000</f>
        <v>1652.3891349396999</v>
      </c>
      <c r="E614" s="1" cm="1">
        <f t="array" ref="E614">estimatedTripEnergy(C614,G$5,G$6,C$12,C$7,C$9,C$8)/1000</f>
        <v>1800.3491349397</v>
      </c>
      <c r="F614" s="59" cm="1">
        <f t="array" ref="F614">estimatedTripDuration(C614,$C$8,$C$7)/60</f>
        <v>21.713819343432672</v>
      </c>
      <c r="G614">
        <f t="shared" si="106"/>
        <v>599</v>
      </c>
      <c r="H614" s="50">
        <f t="shared" si="100"/>
        <v>99.833333333333329</v>
      </c>
      <c r="I614" s="7" cm="1">
        <f t="array" ref="I614">CurrentCapacity(K$10,K$6,K$7,H614)</f>
        <v>35626.279500000004</v>
      </c>
      <c r="J614" s="48">
        <f t="shared" si="101"/>
        <v>5.053430108916368E-2</v>
      </c>
      <c r="K614" s="5" cm="1">
        <f t="array" ref="K614">UseableCapacity(I614,$K$8,$K$9)</f>
        <v>26719.709625000003</v>
      </c>
      <c r="L614" s="59">
        <f t="shared" si="102"/>
        <v>33825.930365060303</v>
      </c>
      <c r="M614" s="7">
        <f t="shared" si="103"/>
        <v>24919.360490060302</v>
      </c>
      <c r="N614" s="7">
        <f t="shared" si="104"/>
        <v>2623.7204999999958</v>
      </c>
      <c r="O614" t="str">
        <f t="shared" si="107"/>
        <v>no</v>
      </c>
      <c r="P614" t="str">
        <f t="shared" si="108"/>
        <v>no</v>
      </c>
    </row>
    <row r="615" spans="2:16" x14ac:dyDescent="0.35">
      <c r="B615">
        <f t="shared" si="105"/>
        <v>600</v>
      </c>
      <c r="C615" s="7">
        <f t="shared" si="99"/>
        <v>600</v>
      </c>
      <c r="D615" s="1" cm="1">
        <f t="array" ref="D615">estimatedTripEnergy(C615,G$5,G$6,C$12,C$7,C$9,C$8,FALSE)/1000</f>
        <v>1653.3158141003</v>
      </c>
      <c r="E615" s="1" cm="1">
        <f t="array" ref="E615">estimatedTripEnergy(C615,G$5,G$6,C$12,C$7,C$9,C$8)/1000</f>
        <v>1801.2758141003001</v>
      </c>
      <c r="F615" s="59" cm="1">
        <f t="array" ref="F615">estimatedTripDuration(C615,$C$8,$C$7)/60</f>
        <v>21.747152676766007</v>
      </c>
      <c r="G615">
        <f t="shared" si="106"/>
        <v>600</v>
      </c>
      <c r="H615" s="50">
        <f t="shared" si="100"/>
        <v>100</v>
      </c>
      <c r="I615" s="7" cm="1">
        <f t="array" ref="I615">CurrentCapacity(K$10,K$6,K$7,H615)</f>
        <v>35626.050000000003</v>
      </c>
      <c r="J615" s="48">
        <f t="shared" si="101"/>
        <v>5.0560637906820992E-2</v>
      </c>
      <c r="K615" s="5" cm="1">
        <f t="array" ref="K615">UseableCapacity(I615,$K$8,$K$9)</f>
        <v>26719.537500000002</v>
      </c>
      <c r="L615" s="59">
        <f t="shared" si="102"/>
        <v>33824.774185899703</v>
      </c>
      <c r="M615" s="7">
        <f t="shared" si="103"/>
        <v>24918.261685899703</v>
      </c>
      <c r="N615" s="7">
        <f t="shared" si="104"/>
        <v>2623.9499999999971</v>
      </c>
      <c r="O615" t="str">
        <f t="shared" si="107"/>
        <v>no</v>
      </c>
      <c r="P615" t="str">
        <f t="shared" si="108"/>
        <v>no</v>
      </c>
    </row>
    <row r="616" spans="2:16" x14ac:dyDescent="0.35">
      <c r="B616">
        <f t="shared" si="105"/>
        <v>601</v>
      </c>
      <c r="C616" s="7">
        <f t="shared" si="99"/>
        <v>601</v>
      </c>
      <c r="D616" s="1" cm="1">
        <f t="array" ref="D616">estimatedTripEnergy(C616,G$5,G$6,C$12,C$7,C$9,C$8,FALSE)/1000</f>
        <v>1654.2424932609001</v>
      </c>
      <c r="E616" s="1" cm="1">
        <f t="array" ref="E616">estimatedTripEnergy(C616,G$5,G$6,C$12,C$7,C$9,C$8)/1000</f>
        <v>1802.2024932608999</v>
      </c>
      <c r="F616" s="59" cm="1">
        <f t="array" ref="F616">estimatedTripDuration(C616,$C$8,$C$7)/60</f>
        <v>21.780486010099342</v>
      </c>
      <c r="G616">
        <f t="shared" si="106"/>
        <v>601</v>
      </c>
      <c r="H616" s="50">
        <f t="shared" si="100"/>
        <v>100.16666666666667</v>
      </c>
      <c r="I616" s="7" cm="1">
        <f t="array" ref="I616">CurrentCapacity(K$10,K$6,K$7,H616)</f>
        <v>35625.820500000002</v>
      </c>
      <c r="J616" s="48">
        <f t="shared" si="101"/>
        <v>5.0586975063799576E-2</v>
      </c>
      <c r="K616" s="5" cm="1">
        <f t="array" ref="K616">UseableCapacity(I616,$K$8,$K$9)</f>
        <v>26719.365375000001</v>
      </c>
      <c r="L616" s="59">
        <f t="shared" si="102"/>
        <v>33823.618006739103</v>
      </c>
      <c r="M616" s="7">
        <f t="shared" si="103"/>
        <v>24917.162881739103</v>
      </c>
      <c r="N616" s="7">
        <f t="shared" si="104"/>
        <v>2624.1794999999984</v>
      </c>
      <c r="O616" t="str">
        <f t="shared" si="107"/>
        <v>no</v>
      </c>
      <c r="P616" t="str">
        <f t="shared" si="108"/>
        <v>no</v>
      </c>
    </row>
    <row r="617" spans="2:16" x14ac:dyDescent="0.35">
      <c r="B617">
        <f t="shared" si="105"/>
        <v>602</v>
      </c>
      <c r="C617" s="7">
        <f t="shared" si="99"/>
        <v>602</v>
      </c>
      <c r="D617" s="1" cm="1">
        <f t="array" ref="D617">estimatedTripEnergy(C617,G$5,G$6,C$12,C$7,C$9,C$8,FALSE)/1000</f>
        <v>1655.1691724215</v>
      </c>
      <c r="E617" s="1" cm="1">
        <f t="array" ref="E617">estimatedTripEnergy(C617,G$5,G$6,C$12,C$7,C$9,C$8)/1000</f>
        <v>1803.1291724215</v>
      </c>
      <c r="F617" s="59" cm="1">
        <f t="array" ref="F617">estimatedTripDuration(C617,$C$8,$C$7)/60</f>
        <v>21.813819343432673</v>
      </c>
      <c r="G617">
        <f t="shared" si="106"/>
        <v>602</v>
      </c>
      <c r="H617" s="50">
        <f t="shared" si="100"/>
        <v>100.33333333333333</v>
      </c>
      <c r="I617" s="7" cm="1">
        <f t="array" ref="I617">CurrentCapacity(K$10,K$6,K$7,H617)</f>
        <v>35625.591000000008</v>
      </c>
      <c r="J617" s="48">
        <f t="shared" si="101"/>
        <v>5.0613312560106011E-2</v>
      </c>
      <c r="K617" s="5" cm="1">
        <f t="array" ref="K617">UseableCapacity(I617,$K$8,$K$9)</f>
        <v>26719.193250000004</v>
      </c>
      <c r="L617" s="59">
        <f t="shared" si="102"/>
        <v>33822.461827578511</v>
      </c>
      <c r="M617" s="7">
        <f t="shared" si="103"/>
        <v>24916.064077578503</v>
      </c>
      <c r="N617" s="7">
        <f t="shared" si="104"/>
        <v>2624.4089999999924</v>
      </c>
      <c r="O617" t="str">
        <f t="shared" si="107"/>
        <v>no</v>
      </c>
      <c r="P617" t="str">
        <f t="shared" si="108"/>
        <v>no</v>
      </c>
    </row>
    <row r="618" spans="2:16" x14ac:dyDescent="0.35">
      <c r="B618">
        <f t="shared" si="105"/>
        <v>603</v>
      </c>
      <c r="C618" s="7">
        <f t="shared" si="99"/>
        <v>603</v>
      </c>
      <c r="D618" s="1" cm="1">
        <f t="array" ref="D618">estimatedTripEnergy(C618,G$5,G$6,C$12,C$7,C$9,C$8,FALSE)/1000</f>
        <v>1656.0958515821001</v>
      </c>
      <c r="E618" s="1" cm="1">
        <f t="array" ref="E618">estimatedTripEnergy(C618,G$5,G$6,C$12,C$7,C$9,C$8)/1000</f>
        <v>1804.0558515821001</v>
      </c>
      <c r="F618" s="59" cm="1">
        <f t="array" ref="F618">estimatedTripDuration(C618,$C$8,$C$7)/60</f>
        <v>21.847152676766008</v>
      </c>
      <c r="G618">
        <f t="shared" si="106"/>
        <v>603</v>
      </c>
      <c r="H618" s="50">
        <f t="shared" si="100"/>
        <v>100.5</v>
      </c>
      <c r="I618" s="7" cm="1">
        <f t="array" ref="I618">CurrentCapacity(K$10,K$6,K$7,H618)</f>
        <v>35625.361499999999</v>
      </c>
      <c r="J618" s="48">
        <f t="shared" si="101"/>
        <v>5.0639650395746867E-2</v>
      </c>
      <c r="K618" s="5" cm="1">
        <f t="array" ref="K618">UseableCapacity(I618,$K$8,$K$9)</f>
        <v>26719.021124999999</v>
      </c>
      <c r="L618" s="59">
        <f t="shared" si="102"/>
        <v>33821.305648417896</v>
      </c>
      <c r="M618" s="7">
        <f t="shared" si="103"/>
        <v>24914.9652734179</v>
      </c>
      <c r="N618" s="7">
        <f t="shared" si="104"/>
        <v>2624.6385000000009</v>
      </c>
      <c r="O618" t="str">
        <f t="shared" si="107"/>
        <v>no</v>
      </c>
      <c r="P618" t="str">
        <f t="shared" si="108"/>
        <v>no</v>
      </c>
    </row>
    <row r="619" spans="2:16" x14ac:dyDescent="0.35">
      <c r="B619">
        <f t="shared" si="105"/>
        <v>604</v>
      </c>
      <c r="C619" s="7">
        <f t="shared" si="99"/>
        <v>604</v>
      </c>
      <c r="D619" s="1" cm="1">
        <f t="array" ref="D619">estimatedTripEnergy(C619,G$5,G$6,C$12,C$7,C$9,C$8,FALSE)/1000</f>
        <v>1657.0225307426999</v>
      </c>
      <c r="E619" s="1" cm="1">
        <f t="array" ref="E619">estimatedTripEnergy(C619,G$5,G$6,C$12,C$7,C$9,C$8)/1000</f>
        <v>1804.9825307427</v>
      </c>
      <c r="F619" s="59" cm="1">
        <f t="array" ref="F619">estimatedTripDuration(C619,$C$8,$C$7)/60</f>
        <v>21.880486010099339</v>
      </c>
      <c r="G619">
        <f t="shared" si="106"/>
        <v>604</v>
      </c>
      <c r="H619" s="50">
        <f t="shared" si="100"/>
        <v>100.66666666666667</v>
      </c>
      <c r="I619" s="7" cm="1">
        <f t="array" ref="I619">CurrentCapacity(K$10,K$6,K$7,H619)</f>
        <v>35625.132000000005</v>
      </c>
      <c r="J619" s="48">
        <f t="shared" si="101"/>
        <v>5.0665988570728654E-2</v>
      </c>
      <c r="K619" s="5" cm="1">
        <f t="array" ref="K619">UseableCapacity(I619,$K$8,$K$9)</f>
        <v>26718.849000000002</v>
      </c>
      <c r="L619" s="59">
        <f t="shared" si="102"/>
        <v>33820.149469257303</v>
      </c>
      <c r="M619" s="7">
        <f t="shared" si="103"/>
        <v>24913.8664692573</v>
      </c>
      <c r="N619" s="7">
        <f t="shared" si="104"/>
        <v>2624.8679999999949</v>
      </c>
      <c r="O619" t="str">
        <f t="shared" si="107"/>
        <v>no</v>
      </c>
      <c r="P619" t="str">
        <f t="shared" si="108"/>
        <v>no</v>
      </c>
    </row>
    <row r="620" spans="2:16" x14ac:dyDescent="0.35">
      <c r="B620">
        <f t="shared" si="105"/>
        <v>605</v>
      </c>
      <c r="C620" s="7">
        <f t="shared" si="99"/>
        <v>605</v>
      </c>
      <c r="D620" s="1" cm="1">
        <f t="array" ref="D620">estimatedTripEnergy(C620,G$5,G$6,C$12,C$7,C$9,C$8,FALSE)/1000</f>
        <v>1657.9492099033</v>
      </c>
      <c r="E620" s="1" cm="1">
        <f t="array" ref="E620">estimatedTripEnergy(C620,G$5,G$6,C$12,C$7,C$9,C$8)/1000</f>
        <v>1805.9092099033001</v>
      </c>
      <c r="F620" s="59" cm="1">
        <f t="array" ref="F620">estimatedTripDuration(C620,$C$8,$C$7)/60</f>
        <v>21.913819343432674</v>
      </c>
      <c r="G620">
        <f t="shared" si="106"/>
        <v>605</v>
      </c>
      <c r="H620" s="50">
        <f t="shared" si="100"/>
        <v>100.83333333333333</v>
      </c>
      <c r="I620" s="7" cm="1">
        <f t="array" ref="I620">CurrentCapacity(K$10,K$6,K$7,H620)</f>
        <v>35624.902500000004</v>
      </c>
      <c r="J620" s="48">
        <f t="shared" si="101"/>
        <v>5.0692327085057984E-2</v>
      </c>
      <c r="K620" s="5" cm="1">
        <f t="array" ref="K620">UseableCapacity(I620,$K$8,$K$9)</f>
        <v>26718.676875000005</v>
      </c>
      <c r="L620" s="59">
        <f t="shared" si="102"/>
        <v>33818.993290096703</v>
      </c>
      <c r="M620" s="7">
        <f t="shared" si="103"/>
        <v>24912.767665096704</v>
      </c>
      <c r="N620" s="7">
        <f t="shared" si="104"/>
        <v>2625.0974999999962</v>
      </c>
      <c r="O620" t="str">
        <f t="shared" si="107"/>
        <v>no</v>
      </c>
      <c r="P620" t="str">
        <f t="shared" si="108"/>
        <v>no</v>
      </c>
    </row>
    <row r="621" spans="2:16" x14ac:dyDescent="0.35">
      <c r="B621">
        <f t="shared" si="105"/>
        <v>606</v>
      </c>
      <c r="C621" s="7">
        <f t="shared" si="99"/>
        <v>606</v>
      </c>
      <c r="D621" s="1" cm="1">
        <f t="array" ref="D621">estimatedTripEnergy(C621,G$5,G$6,C$12,C$7,C$9,C$8,FALSE)/1000</f>
        <v>1658.8758890638999</v>
      </c>
      <c r="E621" s="1" cm="1">
        <f t="array" ref="E621">estimatedTripEnergy(C621,G$5,G$6,C$12,C$7,C$9,C$8)/1000</f>
        <v>1806.8358890638999</v>
      </c>
      <c r="F621" s="59" cm="1">
        <f t="array" ref="F621">estimatedTripDuration(C621,$C$8,$C$7)/60</f>
        <v>21.947152676766006</v>
      </c>
      <c r="G621">
        <f t="shared" si="106"/>
        <v>606</v>
      </c>
      <c r="H621" s="50">
        <f t="shared" si="100"/>
        <v>101</v>
      </c>
      <c r="I621" s="7" cm="1">
        <f t="array" ref="I621">CurrentCapacity(K$10,K$6,K$7,H621)</f>
        <v>35624.673000000003</v>
      </c>
      <c r="J621" s="48">
        <f t="shared" si="101"/>
        <v>5.0718665938741379E-2</v>
      </c>
      <c r="K621" s="5" cm="1">
        <f t="array" ref="K621">UseableCapacity(I621,$K$8,$K$9)</f>
        <v>26718.50475</v>
      </c>
      <c r="L621" s="59">
        <f t="shared" si="102"/>
        <v>33817.837110936103</v>
      </c>
      <c r="M621" s="7">
        <f t="shared" si="103"/>
        <v>24911.668860936101</v>
      </c>
      <c r="N621" s="7">
        <f t="shared" si="104"/>
        <v>2625.3269999999975</v>
      </c>
      <c r="O621" t="str">
        <f t="shared" si="107"/>
        <v>no</v>
      </c>
      <c r="P621" t="str">
        <f t="shared" si="108"/>
        <v>no</v>
      </c>
    </row>
    <row r="622" spans="2:16" x14ac:dyDescent="0.35">
      <c r="B622">
        <f t="shared" si="105"/>
        <v>607</v>
      </c>
      <c r="C622" s="7">
        <f t="shared" si="99"/>
        <v>607</v>
      </c>
      <c r="D622" s="1" cm="1">
        <f t="array" ref="D622">estimatedTripEnergy(C622,G$5,G$6,C$12,C$7,C$9,C$8,FALSE)/1000</f>
        <v>1659.8025682245</v>
      </c>
      <c r="E622" s="1" cm="1">
        <f t="array" ref="E622">estimatedTripEnergy(C622,G$5,G$6,C$12,C$7,C$9,C$8)/1000</f>
        <v>1807.7625682245</v>
      </c>
      <c r="F622" s="59" cm="1">
        <f t="array" ref="F622">estimatedTripDuration(C622,$C$8,$C$7)/60</f>
        <v>21.980486010099341</v>
      </c>
      <c r="G622">
        <f t="shared" si="106"/>
        <v>607</v>
      </c>
      <c r="H622" s="50">
        <f t="shared" si="100"/>
        <v>101.16666666666667</v>
      </c>
      <c r="I622" s="7" cm="1">
        <f t="array" ref="I622">CurrentCapacity(K$10,K$6,K$7,H622)</f>
        <v>35624.443500000001</v>
      </c>
      <c r="J622" s="48">
        <f t="shared" si="101"/>
        <v>5.0745005131785426E-2</v>
      </c>
      <c r="K622" s="5" cm="1">
        <f t="array" ref="K622">UseableCapacity(I622,$K$8,$K$9)</f>
        <v>26718.332625000003</v>
      </c>
      <c r="L622" s="59">
        <f t="shared" si="102"/>
        <v>33816.680931775503</v>
      </c>
      <c r="M622" s="7">
        <f t="shared" si="103"/>
        <v>24910.570056775501</v>
      </c>
      <c r="N622" s="7">
        <f t="shared" si="104"/>
        <v>2625.5564999999988</v>
      </c>
      <c r="O622" t="str">
        <f t="shared" si="107"/>
        <v>no</v>
      </c>
      <c r="P622" t="str">
        <f t="shared" si="108"/>
        <v>no</v>
      </c>
    </row>
    <row r="623" spans="2:16" x14ac:dyDescent="0.35">
      <c r="B623">
        <f t="shared" si="105"/>
        <v>608</v>
      </c>
      <c r="C623" s="7">
        <f t="shared" si="99"/>
        <v>608</v>
      </c>
      <c r="D623" s="1" cm="1">
        <f t="array" ref="D623">estimatedTripEnergy(C623,G$5,G$6,C$12,C$7,C$9,C$8,FALSE)/1000</f>
        <v>1660.7292473851001</v>
      </c>
      <c r="E623" s="1" cm="1">
        <f t="array" ref="E623">estimatedTripEnergy(C623,G$5,G$6,C$12,C$7,C$9,C$8)/1000</f>
        <v>1808.6892473851001</v>
      </c>
      <c r="F623" s="59" cm="1">
        <f t="array" ref="F623">estimatedTripDuration(C623,$C$8,$C$7)/60</f>
        <v>22.013819343432672</v>
      </c>
      <c r="G623">
        <f t="shared" si="106"/>
        <v>608</v>
      </c>
      <c r="H623" s="50">
        <f t="shared" si="100"/>
        <v>101.33333333333333</v>
      </c>
      <c r="I623" s="7" cm="1">
        <f t="array" ref="I623">CurrentCapacity(K$10,K$6,K$7,H623)</f>
        <v>35624.214</v>
      </c>
      <c r="J623" s="48">
        <f t="shared" si="101"/>
        <v>5.0771344664196666E-2</v>
      </c>
      <c r="K623" s="5" cm="1">
        <f t="array" ref="K623">UseableCapacity(I623,$K$8,$K$9)</f>
        <v>26718.160499999998</v>
      </c>
      <c r="L623" s="59">
        <f t="shared" si="102"/>
        <v>33815.524752614903</v>
      </c>
      <c r="M623" s="7">
        <f t="shared" si="103"/>
        <v>24909.471252614898</v>
      </c>
      <c r="N623" s="7">
        <f t="shared" si="104"/>
        <v>2625.7860000000001</v>
      </c>
      <c r="O623" t="str">
        <f t="shared" si="107"/>
        <v>no</v>
      </c>
      <c r="P623" t="str">
        <f t="shared" si="108"/>
        <v>no</v>
      </c>
    </row>
    <row r="624" spans="2:16" x14ac:dyDescent="0.35">
      <c r="B624">
        <f t="shared" si="105"/>
        <v>609</v>
      </c>
      <c r="C624" s="7">
        <f t="shared" si="99"/>
        <v>609</v>
      </c>
      <c r="D624" s="1" cm="1">
        <f t="array" ref="D624">estimatedTripEnergy(C624,G$5,G$6,C$12,C$7,C$9,C$8,FALSE)/1000</f>
        <v>1661.6559265457001</v>
      </c>
      <c r="E624" s="1" cm="1">
        <f t="array" ref="E624">estimatedTripEnergy(C624,G$5,G$6,C$12,C$7,C$9,C$8)/1000</f>
        <v>1809.6159265456999</v>
      </c>
      <c r="F624" s="59" cm="1">
        <f t="array" ref="F624">estimatedTripDuration(C624,$C$8,$C$7)/60</f>
        <v>22.047152676766007</v>
      </c>
      <c r="G624">
        <f t="shared" si="106"/>
        <v>609</v>
      </c>
      <c r="H624" s="50">
        <f t="shared" si="100"/>
        <v>101.5</v>
      </c>
      <c r="I624" s="7" cm="1">
        <f t="array" ref="I624">CurrentCapacity(K$10,K$6,K$7,H624)</f>
        <v>35623.984499999999</v>
      </c>
      <c r="J624" s="48">
        <f t="shared" si="101"/>
        <v>5.0797684535981651E-2</v>
      </c>
      <c r="K624" s="5" cm="1">
        <f t="array" ref="K624">UseableCapacity(I624,$K$8,$K$9)</f>
        <v>26717.988375000001</v>
      </c>
      <c r="L624" s="59">
        <f t="shared" si="102"/>
        <v>33814.368573454296</v>
      </c>
      <c r="M624" s="7">
        <f t="shared" si="103"/>
        <v>24908.372448454302</v>
      </c>
      <c r="N624" s="7">
        <f t="shared" si="104"/>
        <v>2626.0155000000013</v>
      </c>
      <c r="O624" t="str">
        <f t="shared" si="107"/>
        <v>no</v>
      </c>
      <c r="P624" t="str">
        <f t="shared" si="108"/>
        <v>no</v>
      </c>
    </row>
    <row r="625" spans="2:16" x14ac:dyDescent="0.35">
      <c r="B625">
        <f t="shared" si="105"/>
        <v>610</v>
      </c>
      <c r="C625" s="7">
        <f t="shared" si="99"/>
        <v>610</v>
      </c>
      <c r="D625" s="1" cm="1">
        <f t="array" ref="D625">estimatedTripEnergy(C625,G$5,G$6,C$12,C$7,C$9,C$8,FALSE)/1000</f>
        <v>1662.5826057063002</v>
      </c>
      <c r="E625" s="1" cm="1">
        <f t="array" ref="E625">estimatedTripEnergy(C625,G$5,G$6,C$12,C$7,C$9,C$8)/1000</f>
        <v>1810.5426057063</v>
      </c>
      <c r="F625" s="59" cm="1">
        <f t="array" ref="F625">estimatedTripDuration(C625,$C$8,$C$7)/60</f>
        <v>22.080486010099339</v>
      </c>
      <c r="G625">
        <f t="shared" si="106"/>
        <v>610</v>
      </c>
      <c r="H625" s="50">
        <f t="shared" si="100"/>
        <v>101.66666666666667</v>
      </c>
      <c r="I625" s="7" cm="1">
        <f t="array" ref="I625">CurrentCapacity(K$10,K$6,K$7,H625)</f>
        <v>35623.755000000005</v>
      </c>
      <c r="J625" s="48">
        <f t="shared" si="101"/>
        <v>5.0824024747146944E-2</v>
      </c>
      <c r="K625" s="5" cm="1">
        <f t="array" ref="K625">UseableCapacity(I625,$K$8,$K$9)</f>
        <v>26717.816250000003</v>
      </c>
      <c r="L625" s="59">
        <f t="shared" si="102"/>
        <v>33813.212394293703</v>
      </c>
      <c r="M625" s="7">
        <f t="shared" si="103"/>
        <v>24907.273644293702</v>
      </c>
      <c r="N625" s="7">
        <f t="shared" si="104"/>
        <v>2626.2449999999953</v>
      </c>
      <c r="O625" t="str">
        <f t="shared" si="107"/>
        <v>no</v>
      </c>
      <c r="P625" t="str">
        <f t="shared" si="108"/>
        <v>no</v>
      </c>
    </row>
    <row r="626" spans="2:16" x14ac:dyDescent="0.35">
      <c r="B626">
        <f t="shared" si="105"/>
        <v>611</v>
      </c>
      <c r="C626" s="7">
        <f t="shared" si="99"/>
        <v>611</v>
      </c>
      <c r="D626" s="1" cm="1">
        <f t="array" ref="D626">estimatedTripEnergy(C626,G$5,G$6,C$12,C$7,C$9,C$8,FALSE)/1000</f>
        <v>1663.5092848668999</v>
      </c>
      <c r="E626" s="1" cm="1">
        <f t="array" ref="E626">estimatedTripEnergy(C626,G$5,G$6,C$12,C$7,C$9,C$8)/1000</f>
        <v>1811.4692848668999</v>
      </c>
      <c r="F626" s="59" cm="1">
        <f t="array" ref="F626">estimatedTripDuration(C626,$C$8,$C$7)/60</f>
        <v>22.113819343432674</v>
      </c>
      <c r="G626">
        <f t="shared" si="106"/>
        <v>611</v>
      </c>
      <c r="H626" s="50">
        <f t="shared" si="100"/>
        <v>101.83333333333333</v>
      </c>
      <c r="I626" s="7" cm="1">
        <f t="array" ref="I626">CurrentCapacity(K$10,K$6,K$7,H626)</f>
        <v>35623.525500000003</v>
      </c>
      <c r="J626" s="48">
        <f t="shared" si="101"/>
        <v>5.0850365297699124E-2</v>
      </c>
      <c r="K626" s="5" cm="1">
        <f t="array" ref="K626">UseableCapacity(I626,$K$8,$K$9)</f>
        <v>26717.644125000003</v>
      </c>
      <c r="L626" s="59">
        <f t="shared" si="102"/>
        <v>33812.056215133103</v>
      </c>
      <c r="M626" s="7">
        <f t="shared" si="103"/>
        <v>24906.174840133102</v>
      </c>
      <c r="N626" s="7">
        <f t="shared" si="104"/>
        <v>2626.4744999999966</v>
      </c>
      <c r="O626" t="str">
        <f t="shared" si="107"/>
        <v>no</v>
      </c>
      <c r="P626" t="str">
        <f t="shared" si="108"/>
        <v>no</v>
      </c>
    </row>
    <row r="627" spans="2:16" x14ac:dyDescent="0.35">
      <c r="B627">
        <f t="shared" si="105"/>
        <v>612</v>
      </c>
      <c r="C627" s="7">
        <f t="shared" si="99"/>
        <v>612</v>
      </c>
      <c r="D627" s="1" cm="1">
        <f t="array" ref="D627">estimatedTripEnergy(C627,G$5,G$6,C$12,C$7,C$9,C$8,FALSE)/1000</f>
        <v>1664.4359640274999</v>
      </c>
      <c r="E627" s="1" cm="1">
        <f t="array" ref="E627">estimatedTripEnergy(C627,G$5,G$6,C$12,C$7,C$9,C$8)/1000</f>
        <v>1812.3959640275</v>
      </c>
      <c r="F627" s="59" cm="1">
        <f t="array" ref="F627">estimatedTripDuration(C627,$C$8,$C$7)/60</f>
        <v>22.147152676766005</v>
      </c>
      <c r="G627">
        <f t="shared" si="106"/>
        <v>612</v>
      </c>
      <c r="H627" s="50">
        <f t="shared" si="100"/>
        <v>102</v>
      </c>
      <c r="I627" s="7" cm="1">
        <f t="array" ref="I627">CurrentCapacity(K$10,K$6,K$7,H627)</f>
        <v>35623.296000000002</v>
      </c>
      <c r="J627" s="48">
        <f t="shared" si="101"/>
        <v>5.0876706187644734E-2</v>
      </c>
      <c r="K627" s="5" cm="1">
        <f t="array" ref="K627">UseableCapacity(I627,$K$8,$K$9)</f>
        <v>26717.472000000002</v>
      </c>
      <c r="L627" s="59">
        <f t="shared" si="102"/>
        <v>33810.900035972503</v>
      </c>
      <c r="M627" s="7">
        <f t="shared" si="103"/>
        <v>24905.076035972503</v>
      </c>
      <c r="N627" s="7">
        <f t="shared" si="104"/>
        <v>2626.7039999999979</v>
      </c>
      <c r="O627" t="str">
        <f t="shared" si="107"/>
        <v>no</v>
      </c>
      <c r="P627" t="str">
        <f t="shared" si="108"/>
        <v>no</v>
      </c>
    </row>
    <row r="628" spans="2:16" x14ac:dyDescent="0.35">
      <c r="B628">
        <f t="shared" si="105"/>
        <v>613</v>
      </c>
      <c r="C628" s="7">
        <f t="shared" si="99"/>
        <v>613</v>
      </c>
      <c r="D628" s="1" cm="1">
        <f t="array" ref="D628">estimatedTripEnergy(C628,G$5,G$6,C$12,C$7,C$9,C$8,FALSE)/1000</f>
        <v>1665.3626431881</v>
      </c>
      <c r="E628" s="1" cm="1">
        <f t="array" ref="E628">estimatedTripEnergy(C628,G$5,G$6,C$12,C$7,C$9,C$8)/1000</f>
        <v>1813.3226431881001</v>
      </c>
      <c r="F628" s="59" cm="1">
        <f t="array" ref="F628">estimatedTripDuration(C628,$C$8,$C$7)/60</f>
        <v>22.18048601009934</v>
      </c>
      <c r="G628">
        <f t="shared" si="106"/>
        <v>613</v>
      </c>
      <c r="H628" s="50">
        <f t="shared" si="100"/>
        <v>102.16666666666667</v>
      </c>
      <c r="I628" s="7" cm="1">
        <f t="array" ref="I628">CurrentCapacity(K$10,K$6,K$7,H628)</f>
        <v>35623.066500000001</v>
      </c>
      <c r="J628" s="48">
        <f t="shared" si="101"/>
        <v>5.0903047416990338E-2</v>
      </c>
      <c r="K628" s="5" cm="1">
        <f t="array" ref="K628">UseableCapacity(I628,$K$8,$K$9)</f>
        <v>26717.299875000001</v>
      </c>
      <c r="L628" s="59">
        <f t="shared" si="102"/>
        <v>33809.743856811903</v>
      </c>
      <c r="M628" s="7">
        <f t="shared" si="103"/>
        <v>24903.977231811899</v>
      </c>
      <c r="N628" s="7">
        <f t="shared" si="104"/>
        <v>2626.9334999999992</v>
      </c>
      <c r="O628" t="str">
        <f t="shared" si="107"/>
        <v>no</v>
      </c>
      <c r="P628" t="str">
        <f t="shared" si="108"/>
        <v>no</v>
      </c>
    </row>
    <row r="629" spans="2:16" x14ac:dyDescent="0.35">
      <c r="B629">
        <f t="shared" si="105"/>
        <v>614</v>
      </c>
      <c r="C629" s="7">
        <f t="shared" si="99"/>
        <v>614</v>
      </c>
      <c r="D629" s="1" cm="1">
        <f t="array" ref="D629">estimatedTripEnergy(C629,G$5,G$6,C$12,C$7,C$9,C$8,FALSE)/1000</f>
        <v>1666.2893223486999</v>
      </c>
      <c r="E629" s="1" cm="1">
        <f t="array" ref="E629">estimatedTripEnergy(C629,G$5,G$6,C$12,C$7,C$9,C$8)/1000</f>
        <v>1814.2493223486999</v>
      </c>
      <c r="F629" s="59" cm="1">
        <f t="array" ref="F629">estimatedTripDuration(C629,$C$8,$C$7)/60</f>
        <v>22.213819343432672</v>
      </c>
      <c r="G629">
        <f t="shared" si="106"/>
        <v>614</v>
      </c>
      <c r="H629" s="50">
        <f t="shared" si="100"/>
        <v>102.33333333333333</v>
      </c>
      <c r="I629" s="7" cm="1">
        <f t="array" ref="I629">CurrentCapacity(K$10,K$6,K$7,H629)</f>
        <v>35622.837</v>
      </c>
      <c r="J629" s="48">
        <f t="shared" si="101"/>
        <v>5.0929388985742487E-2</v>
      </c>
      <c r="K629" s="5" cm="1">
        <f t="array" ref="K629">UseableCapacity(I629,$K$8,$K$9)</f>
        <v>26717.12775</v>
      </c>
      <c r="L629" s="59">
        <f t="shared" si="102"/>
        <v>33808.587677651303</v>
      </c>
      <c r="M629" s="7">
        <f t="shared" si="103"/>
        <v>24902.8784276513</v>
      </c>
      <c r="N629" s="7">
        <f t="shared" si="104"/>
        <v>2627.1630000000005</v>
      </c>
      <c r="O629" t="str">
        <f t="shared" si="107"/>
        <v>no</v>
      </c>
      <c r="P629" t="str">
        <f t="shared" si="108"/>
        <v>no</v>
      </c>
    </row>
    <row r="630" spans="2:16" x14ac:dyDescent="0.35">
      <c r="B630">
        <f t="shared" si="105"/>
        <v>615</v>
      </c>
      <c r="C630" s="7">
        <f t="shared" si="99"/>
        <v>615</v>
      </c>
      <c r="D630" s="1" cm="1">
        <f t="array" ref="D630">estimatedTripEnergy(C630,G$5,G$6,C$12,C$7,C$9,C$8,FALSE)/1000</f>
        <v>1667.2160015093</v>
      </c>
      <c r="E630" s="1" cm="1">
        <f t="array" ref="E630">estimatedTripEnergy(C630,G$5,G$6,C$12,C$7,C$9,C$8)/1000</f>
        <v>1815.1760015093</v>
      </c>
      <c r="F630" s="59" cm="1">
        <f t="array" ref="F630">estimatedTripDuration(C630,$C$8,$C$7)/60</f>
        <v>22.247152676766007</v>
      </c>
      <c r="G630">
        <f t="shared" si="106"/>
        <v>615</v>
      </c>
      <c r="H630" s="50">
        <f t="shared" si="100"/>
        <v>102.5</v>
      </c>
      <c r="I630" s="7" cm="1">
        <f t="array" ref="I630">CurrentCapacity(K$10,K$6,K$7,H630)</f>
        <v>35622.607500000006</v>
      </c>
      <c r="J630" s="48">
        <f t="shared" si="101"/>
        <v>5.0955730893907744E-2</v>
      </c>
      <c r="K630" s="5" cm="1">
        <f t="array" ref="K630">UseableCapacity(I630,$K$8,$K$9)</f>
        <v>26716.955625000002</v>
      </c>
      <c r="L630" s="59">
        <f t="shared" si="102"/>
        <v>33807.431498490703</v>
      </c>
      <c r="M630" s="7">
        <f t="shared" si="103"/>
        <v>24901.779623490704</v>
      </c>
      <c r="N630" s="7">
        <f t="shared" si="104"/>
        <v>2627.3924999999945</v>
      </c>
      <c r="O630" t="str">
        <f t="shared" si="107"/>
        <v>no</v>
      </c>
      <c r="P630" t="str">
        <f t="shared" si="108"/>
        <v>no</v>
      </c>
    </row>
    <row r="631" spans="2:16" x14ac:dyDescent="0.35">
      <c r="B631">
        <f t="shared" si="105"/>
        <v>616</v>
      </c>
      <c r="C631" s="7">
        <f t="shared" si="99"/>
        <v>616</v>
      </c>
      <c r="D631" s="1" cm="1">
        <f t="array" ref="D631">estimatedTripEnergy(C631,G$5,G$6,C$12,C$7,C$9,C$8,FALSE)/1000</f>
        <v>1668.1426806699001</v>
      </c>
      <c r="E631" s="1" cm="1">
        <f t="array" ref="E631">estimatedTripEnergy(C631,G$5,G$6,C$12,C$7,C$9,C$8)/1000</f>
        <v>1816.1026806699001</v>
      </c>
      <c r="F631" s="59" cm="1">
        <f t="array" ref="F631">estimatedTripDuration(C631,$C$8,$C$7)/60</f>
        <v>22.280486010099342</v>
      </c>
      <c r="G631">
        <f t="shared" si="106"/>
        <v>616</v>
      </c>
      <c r="H631" s="50">
        <f t="shared" si="100"/>
        <v>102.66666666666667</v>
      </c>
      <c r="I631" s="7" cm="1">
        <f t="array" ref="I631">CurrentCapacity(K$10,K$6,K$7,H631)</f>
        <v>35622.378000000004</v>
      </c>
      <c r="J631" s="48">
        <f t="shared" si="101"/>
        <v>5.0982073141492681E-2</v>
      </c>
      <c r="K631" s="5" cm="1">
        <f t="array" ref="K631">UseableCapacity(I631,$K$8,$K$9)</f>
        <v>26716.783500000005</v>
      </c>
      <c r="L631" s="59">
        <f t="shared" si="102"/>
        <v>33806.275319330103</v>
      </c>
      <c r="M631" s="7">
        <f t="shared" si="103"/>
        <v>24900.680819330104</v>
      </c>
      <c r="N631" s="7">
        <f t="shared" si="104"/>
        <v>2627.6219999999958</v>
      </c>
      <c r="O631" t="str">
        <f t="shared" si="107"/>
        <v>no</v>
      </c>
      <c r="P631" t="str">
        <f t="shared" si="108"/>
        <v>no</v>
      </c>
    </row>
    <row r="632" spans="2:16" x14ac:dyDescent="0.35">
      <c r="B632">
        <f t="shared" si="105"/>
        <v>617</v>
      </c>
      <c r="C632" s="7">
        <f t="shared" si="99"/>
        <v>617</v>
      </c>
      <c r="D632" s="1" cm="1">
        <f t="array" ref="D632">estimatedTripEnergy(C632,G$5,G$6,C$12,C$7,C$9,C$8,FALSE)/1000</f>
        <v>1669.0693598305002</v>
      </c>
      <c r="E632" s="1" cm="1">
        <f t="array" ref="E632">estimatedTripEnergy(C632,G$5,G$6,C$12,C$7,C$9,C$8)/1000</f>
        <v>1817.0293598305002</v>
      </c>
      <c r="F632" s="59" cm="1">
        <f t="array" ref="F632">estimatedTripDuration(C632,$C$8,$C$7)/60</f>
        <v>22.313819343432673</v>
      </c>
      <c r="G632">
        <f t="shared" si="106"/>
        <v>617</v>
      </c>
      <c r="H632" s="50">
        <f t="shared" si="100"/>
        <v>102.83333333333333</v>
      </c>
      <c r="I632" s="7" cm="1">
        <f t="array" ref="I632">CurrentCapacity(K$10,K$6,K$7,H632)</f>
        <v>35622.148500000003</v>
      </c>
      <c r="J632" s="48">
        <f t="shared" si="101"/>
        <v>5.1008415728503856E-2</v>
      </c>
      <c r="K632" s="5" cm="1">
        <f t="array" ref="K632">UseableCapacity(I632,$K$8,$K$9)</f>
        <v>26716.611375</v>
      </c>
      <c r="L632" s="59">
        <f t="shared" si="102"/>
        <v>33805.119140169503</v>
      </c>
      <c r="M632" s="7">
        <f t="shared" si="103"/>
        <v>24899.582015169501</v>
      </c>
      <c r="N632" s="7">
        <f t="shared" si="104"/>
        <v>2627.851499999997</v>
      </c>
      <c r="O632" t="str">
        <f t="shared" si="107"/>
        <v>no</v>
      </c>
      <c r="P632" t="str">
        <f t="shared" si="108"/>
        <v>no</v>
      </c>
    </row>
    <row r="633" spans="2:16" x14ac:dyDescent="0.35">
      <c r="B633">
        <f t="shared" si="105"/>
        <v>618</v>
      </c>
      <c r="C633" s="7">
        <f t="shared" si="99"/>
        <v>618</v>
      </c>
      <c r="D633" s="1" cm="1">
        <f t="array" ref="D633">estimatedTripEnergy(C633,G$5,G$6,C$12,C$7,C$9,C$8,FALSE)/1000</f>
        <v>1669.9960389911002</v>
      </c>
      <c r="E633" s="1" cm="1">
        <f t="array" ref="E633">estimatedTripEnergy(C633,G$5,G$6,C$12,C$7,C$9,C$8)/1000</f>
        <v>1817.9560389911001</v>
      </c>
      <c r="F633" s="59" cm="1">
        <f t="array" ref="F633">estimatedTripDuration(C633,$C$8,$C$7)/60</f>
        <v>22.347152676766008</v>
      </c>
      <c r="G633">
        <f t="shared" si="106"/>
        <v>618</v>
      </c>
      <c r="H633" s="50">
        <f t="shared" si="100"/>
        <v>103</v>
      </c>
      <c r="I633" s="7" cm="1">
        <f t="array" ref="I633">CurrentCapacity(K$10,K$6,K$7,H633)</f>
        <v>35621.919000000002</v>
      </c>
      <c r="J633" s="48">
        <f t="shared" si="101"/>
        <v>5.1034758654947811E-2</v>
      </c>
      <c r="K633" s="5" cm="1">
        <f t="array" ref="K633">UseableCapacity(I633,$K$8,$K$9)</f>
        <v>26716.439250000003</v>
      </c>
      <c r="L633" s="59">
        <f t="shared" si="102"/>
        <v>33803.962961008903</v>
      </c>
      <c r="M633" s="7">
        <f t="shared" si="103"/>
        <v>24898.483211008905</v>
      </c>
      <c r="N633" s="7">
        <f t="shared" si="104"/>
        <v>2628.0809999999983</v>
      </c>
      <c r="O633" t="str">
        <f t="shared" si="107"/>
        <v>no</v>
      </c>
      <c r="P633" t="str">
        <f t="shared" si="108"/>
        <v>no</v>
      </c>
    </row>
    <row r="634" spans="2:16" x14ac:dyDescent="0.35">
      <c r="B634">
        <f t="shared" si="105"/>
        <v>619</v>
      </c>
      <c r="C634" s="7">
        <f t="shared" si="99"/>
        <v>619</v>
      </c>
      <c r="D634" s="1" cm="1">
        <f t="array" ref="D634">estimatedTripEnergy(C634,G$5,G$6,C$12,C$7,C$9,C$8,FALSE)/1000</f>
        <v>1670.9227181516999</v>
      </c>
      <c r="E634" s="1" cm="1">
        <f t="array" ref="E634">estimatedTripEnergy(C634,G$5,G$6,C$12,C$7,C$9,C$8)/1000</f>
        <v>1818.8827181516999</v>
      </c>
      <c r="F634" s="59" cm="1">
        <f t="array" ref="F634">estimatedTripDuration(C634,$C$8,$C$7)/60</f>
        <v>22.380486010099339</v>
      </c>
      <c r="G634">
        <f t="shared" si="106"/>
        <v>619</v>
      </c>
      <c r="H634" s="50">
        <f t="shared" si="100"/>
        <v>103.16666666666667</v>
      </c>
      <c r="I634" s="7" cm="1">
        <f t="array" ref="I634">CurrentCapacity(K$10,K$6,K$7,H634)</f>
        <v>35621.6895</v>
      </c>
      <c r="J634" s="48">
        <f t="shared" si="101"/>
        <v>5.1061101920831124E-2</v>
      </c>
      <c r="K634" s="5" cm="1">
        <f t="array" ref="K634">UseableCapacity(I634,$K$8,$K$9)</f>
        <v>26716.267124999998</v>
      </c>
      <c r="L634" s="59">
        <f t="shared" si="102"/>
        <v>33802.806781848303</v>
      </c>
      <c r="M634" s="7">
        <f t="shared" si="103"/>
        <v>24897.384406848298</v>
      </c>
      <c r="N634" s="7">
        <f t="shared" si="104"/>
        <v>2628.3104999999996</v>
      </c>
      <c r="O634" t="str">
        <f t="shared" si="107"/>
        <v>no</v>
      </c>
      <c r="P634" t="str">
        <f t="shared" si="108"/>
        <v>no</v>
      </c>
    </row>
    <row r="635" spans="2:16" x14ac:dyDescent="0.35">
      <c r="B635">
        <f t="shared" si="105"/>
        <v>620</v>
      </c>
      <c r="C635" s="7">
        <f t="shared" si="99"/>
        <v>620</v>
      </c>
      <c r="D635" s="1" cm="1">
        <f t="array" ref="D635">estimatedTripEnergy(C635,G$5,G$6,C$12,C$7,C$9,C$8,FALSE)/1000</f>
        <v>1671.8493973123</v>
      </c>
      <c r="E635" s="1" cm="1">
        <f t="array" ref="E635">estimatedTripEnergy(C635,G$5,G$6,C$12,C$7,C$9,C$8)/1000</f>
        <v>1819.8093973123</v>
      </c>
      <c r="F635" s="59" cm="1">
        <f t="array" ref="F635">estimatedTripDuration(C635,$C$8,$C$7)/60</f>
        <v>22.413819343432674</v>
      </c>
      <c r="G635">
        <f t="shared" si="106"/>
        <v>620</v>
      </c>
      <c r="H635" s="50">
        <f t="shared" si="100"/>
        <v>103.33333333333333</v>
      </c>
      <c r="I635" s="7" cm="1">
        <f t="array" ref="I635">CurrentCapacity(K$10,K$6,K$7,H635)</f>
        <v>35621.460000000006</v>
      </c>
      <c r="J635" s="48">
        <f t="shared" si="101"/>
        <v>5.1087445526160347E-2</v>
      </c>
      <c r="K635" s="5" cm="1">
        <f t="array" ref="K635">UseableCapacity(I635,$K$8,$K$9)</f>
        <v>26716.095000000005</v>
      </c>
      <c r="L635" s="59">
        <f t="shared" si="102"/>
        <v>33801.650602687703</v>
      </c>
      <c r="M635" s="7">
        <f t="shared" si="103"/>
        <v>24896.285602687705</v>
      </c>
      <c r="N635" s="7">
        <f t="shared" si="104"/>
        <v>2628.5399999999936</v>
      </c>
      <c r="O635" t="str">
        <f t="shared" si="107"/>
        <v>no</v>
      </c>
      <c r="P635" t="str">
        <f t="shared" si="108"/>
        <v>no</v>
      </c>
    </row>
    <row r="636" spans="2:16" x14ac:dyDescent="0.35">
      <c r="B636">
        <f t="shared" si="105"/>
        <v>621</v>
      </c>
      <c r="C636" s="7">
        <f t="shared" si="99"/>
        <v>621</v>
      </c>
      <c r="D636" s="1" cm="1">
        <f t="array" ref="D636">estimatedTripEnergy(C636,G$5,G$6,C$12,C$7,C$9,C$8,FALSE)/1000</f>
        <v>1672.7760764728998</v>
      </c>
      <c r="E636" s="1" cm="1">
        <f t="array" ref="E636">estimatedTripEnergy(C636,G$5,G$6,C$12,C$7,C$9,C$8)/1000</f>
        <v>1820.7360764728999</v>
      </c>
      <c r="F636" s="59" cm="1">
        <f t="array" ref="F636">estimatedTripDuration(C636,$C$8,$C$7)/60</f>
        <v>22.447152676766006</v>
      </c>
      <c r="G636">
        <f t="shared" si="106"/>
        <v>621</v>
      </c>
      <c r="H636" s="50">
        <f t="shared" si="100"/>
        <v>103.5</v>
      </c>
      <c r="I636" s="7" cm="1">
        <f t="array" ref="I636">CurrentCapacity(K$10,K$6,K$7,H636)</f>
        <v>35621.230500000005</v>
      </c>
      <c r="J636" s="48">
        <f t="shared" si="101"/>
        <v>5.1113789470942042E-2</v>
      </c>
      <c r="K636" s="5" cm="1">
        <f t="array" ref="K636">UseableCapacity(I636,$K$8,$K$9)</f>
        <v>26715.922875000004</v>
      </c>
      <c r="L636" s="59">
        <f t="shared" si="102"/>
        <v>33800.494423527103</v>
      </c>
      <c r="M636" s="7">
        <f t="shared" si="103"/>
        <v>24895.186798527106</v>
      </c>
      <c r="N636" s="7">
        <f t="shared" si="104"/>
        <v>2628.7694999999949</v>
      </c>
      <c r="O636" t="str">
        <f t="shared" si="107"/>
        <v>no</v>
      </c>
      <c r="P636" t="str">
        <f t="shared" si="108"/>
        <v>no</v>
      </c>
    </row>
    <row r="637" spans="2:16" x14ac:dyDescent="0.35">
      <c r="B637">
        <f t="shared" si="105"/>
        <v>622</v>
      </c>
      <c r="C637" s="7">
        <f t="shared" si="99"/>
        <v>622</v>
      </c>
      <c r="D637" s="1" cm="1">
        <f t="array" ref="D637">estimatedTripEnergy(C637,G$5,G$6,C$12,C$7,C$9,C$8,FALSE)/1000</f>
        <v>1673.7027556334999</v>
      </c>
      <c r="E637" s="1" cm="1">
        <f t="array" ref="E637">estimatedTripEnergy(C637,G$5,G$6,C$12,C$7,C$9,C$8)/1000</f>
        <v>1821.6627556335</v>
      </c>
      <c r="F637" s="59" cm="1">
        <f t="array" ref="F637">estimatedTripDuration(C637,$C$8,$C$7)/60</f>
        <v>22.480486010099341</v>
      </c>
      <c r="G637">
        <f t="shared" si="106"/>
        <v>622</v>
      </c>
      <c r="H637" s="50">
        <f t="shared" si="100"/>
        <v>103.66666666666667</v>
      </c>
      <c r="I637" s="7" cm="1">
        <f t="array" ref="I637">CurrentCapacity(K$10,K$6,K$7,H637)</f>
        <v>35621.001000000004</v>
      </c>
      <c r="J637" s="48">
        <f t="shared" si="101"/>
        <v>5.1140133755182789E-2</v>
      </c>
      <c r="K637" s="5" cm="1">
        <f t="array" ref="K637">UseableCapacity(I637,$K$8,$K$9)</f>
        <v>26715.750750000003</v>
      </c>
      <c r="L637" s="59">
        <f t="shared" si="102"/>
        <v>33799.338244366503</v>
      </c>
      <c r="M637" s="7">
        <f t="shared" si="103"/>
        <v>24894.087994366502</v>
      </c>
      <c r="N637" s="7">
        <f t="shared" si="104"/>
        <v>2628.9989999999962</v>
      </c>
      <c r="O637" t="str">
        <f t="shared" si="107"/>
        <v>no</v>
      </c>
      <c r="P637" t="str">
        <f t="shared" si="108"/>
        <v>no</v>
      </c>
    </row>
  </sheetData>
  <mergeCells count="3">
    <mergeCell ref="M5:P5"/>
    <mergeCell ref="M6:P6"/>
    <mergeCell ref="B2:F2"/>
  </mergeCells>
  <conditionalFormatting sqref="L15:M637">
    <cfRule type="cellIs" dxfId="4" priority="4" operator="lessThan">
      <formula>0</formula>
    </cfRule>
  </conditionalFormatting>
  <conditionalFormatting sqref="C15:C637">
    <cfRule type="cellIs" dxfId="3" priority="3" operator="greaterThan">
      <formula>50</formula>
    </cfRule>
  </conditionalFormatting>
  <conditionalFormatting sqref="C12">
    <cfRule type="cellIs" dxfId="2" priority="1" operator="greaterThan">
      <formula>$K$13</formula>
    </cfRule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635AA-068A-4D1C-945B-AAA8158F7EC4}">
  <sheetPr codeName="Sheet6"/>
  <dimension ref="B2:AG72"/>
  <sheetViews>
    <sheetView zoomScaleNormal="100" workbookViewId="0">
      <selection activeCell="K50" sqref="K50"/>
    </sheetView>
  </sheetViews>
  <sheetFormatPr defaultRowHeight="14.5" x14ac:dyDescent="0.35"/>
  <cols>
    <col min="1" max="1" width="2.08984375" customWidth="1"/>
    <col min="2" max="2" width="16.7265625" customWidth="1"/>
    <col min="3" max="3" width="11.453125" customWidth="1"/>
    <col min="4" max="5" width="10" customWidth="1"/>
    <col min="6" max="6" width="17.26953125" customWidth="1"/>
    <col min="7" max="7" width="10.453125" customWidth="1"/>
    <col min="8" max="8" width="13.54296875" customWidth="1"/>
    <col min="10" max="10" width="12.7265625" customWidth="1"/>
    <col min="11" max="11" width="17.1796875" customWidth="1"/>
    <col min="12" max="12" width="10.1796875" customWidth="1"/>
    <col min="22" max="22" width="12.81640625" customWidth="1"/>
  </cols>
  <sheetData>
    <row r="2" spans="2:22" ht="23.5" x14ac:dyDescent="0.55000000000000004">
      <c r="B2" s="150" t="s">
        <v>80</v>
      </c>
      <c r="C2" s="150"/>
      <c r="D2" s="150"/>
      <c r="E2" s="150"/>
      <c r="F2" s="150"/>
    </row>
    <row r="4" spans="2:22" x14ac:dyDescent="0.35">
      <c r="B4" s="51" t="s">
        <v>66</v>
      </c>
      <c r="C4" s="3">
        <v>0.311</v>
      </c>
      <c r="D4" s="3" t="s">
        <v>8</v>
      </c>
      <c r="E4" s="3"/>
      <c r="F4" s="51" t="s">
        <v>71</v>
      </c>
      <c r="G4" s="3">
        <v>6</v>
      </c>
      <c r="H4" s="3" t="s">
        <v>4</v>
      </c>
      <c r="K4" s="51" t="s">
        <v>13</v>
      </c>
      <c r="L4" s="11">
        <v>12</v>
      </c>
      <c r="M4" s="3" t="s">
        <v>15</v>
      </c>
    </row>
    <row r="5" spans="2:22" x14ac:dyDescent="0.35">
      <c r="B5" s="51" t="s">
        <v>93</v>
      </c>
      <c r="C5" s="3">
        <v>500</v>
      </c>
      <c r="D5" s="3" t="s">
        <v>94</v>
      </c>
      <c r="F5" s="51" t="s">
        <v>111</v>
      </c>
      <c r="G5" s="3">
        <f>G7*G6</f>
        <v>720000</v>
      </c>
      <c r="H5" s="3" t="s">
        <v>22</v>
      </c>
      <c r="K5" s="51" t="s">
        <v>14</v>
      </c>
      <c r="L5" s="108">
        <v>885416.66666666663</v>
      </c>
      <c r="M5" s="3" t="s">
        <v>0</v>
      </c>
    </row>
    <row r="6" spans="2:22" x14ac:dyDescent="0.35">
      <c r="B6" s="52" t="s">
        <v>106</v>
      </c>
      <c r="C6" s="52">
        <f>C4*C5</f>
        <v>155.5</v>
      </c>
      <c r="D6" s="52" t="s">
        <v>105</v>
      </c>
      <c r="F6" s="51" t="s">
        <v>112</v>
      </c>
      <c r="G6" s="3">
        <v>3600</v>
      </c>
      <c r="H6" s="3" t="s">
        <v>20</v>
      </c>
      <c r="K6" s="51" t="s">
        <v>1</v>
      </c>
      <c r="L6" s="9">
        <v>-3.6000000000000001E-5</v>
      </c>
      <c r="M6" s="3" t="s">
        <v>3</v>
      </c>
    </row>
    <row r="7" spans="2:22" x14ac:dyDescent="0.35">
      <c r="B7" s="52" t="s">
        <v>115</v>
      </c>
      <c r="C7" s="70">
        <f>xxxxx!C32+G9</f>
        <v>104.6791606</v>
      </c>
      <c r="D7" s="52" t="s">
        <v>7</v>
      </c>
      <c r="F7" s="52" t="s">
        <v>110</v>
      </c>
      <c r="G7" s="69">
        <v>200</v>
      </c>
      <c r="H7" s="52" t="s">
        <v>59</v>
      </c>
      <c r="I7" s="73"/>
      <c r="K7" s="51" t="s">
        <v>2</v>
      </c>
      <c r="L7" s="10">
        <v>0.93500000000000005</v>
      </c>
      <c r="M7" s="3" t="s">
        <v>3</v>
      </c>
    </row>
    <row r="8" spans="2:22" x14ac:dyDescent="0.35">
      <c r="B8" s="51" t="s">
        <v>10</v>
      </c>
      <c r="C8" s="3">
        <v>1</v>
      </c>
      <c r="D8" s="3" t="s">
        <v>5</v>
      </c>
      <c r="K8" s="51" t="s">
        <v>17</v>
      </c>
      <c r="L8" s="12">
        <v>1</v>
      </c>
      <c r="M8" s="3"/>
    </row>
    <row r="9" spans="2:22" x14ac:dyDescent="0.35">
      <c r="B9" s="51" t="s">
        <v>103</v>
      </c>
      <c r="C9" s="3">
        <v>2</v>
      </c>
      <c r="D9" s="3" t="s">
        <v>6</v>
      </c>
      <c r="F9" s="51" t="s">
        <v>118</v>
      </c>
      <c r="G9" s="3">
        <v>100</v>
      </c>
      <c r="H9" s="3" t="s">
        <v>59</v>
      </c>
      <c r="K9" s="51" t="s">
        <v>18</v>
      </c>
      <c r="L9" s="12">
        <v>0.25</v>
      </c>
      <c r="M9" s="3"/>
    </row>
    <row r="10" spans="2:22" x14ac:dyDescent="0.35">
      <c r="B10" s="51" t="s">
        <v>104</v>
      </c>
      <c r="C10" s="3">
        <v>100</v>
      </c>
      <c r="D10" s="3" t="s">
        <v>105</v>
      </c>
      <c r="K10" s="52" t="s">
        <v>114</v>
      </c>
      <c r="L10" s="52">
        <f>L5*3.6/1000*L4</f>
        <v>38250</v>
      </c>
      <c r="M10" s="52" t="s">
        <v>16</v>
      </c>
    </row>
    <row r="11" spans="2:22" x14ac:dyDescent="0.35">
      <c r="B11" s="51" t="s">
        <v>64</v>
      </c>
      <c r="C11" s="12">
        <v>0.5</v>
      </c>
      <c r="D11" s="3"/>
      <c r="F11" s="52" t="s">
        <v>120</v>
      </c>
      <c r="G11" s="70">
        <f>C7+G7+C12</f>
        <v>1126.6791605999999</v>
      </c>
      <c r="H11" s="52" t="s">
        <v>59</v>
      </c>
      <c r="I11" s="73"/>
      <c r="K11" s="52" t="s">
        <v>113</v>
      </c>
      <c r="L11" s="70" cm="1">
        <f t="array" ref="L11">UseableCapacity(L10,L8,L9)</f>
        <v>28687.5</v>
      </c>
      <c r="M11" s="52" t="s">
        <v>16</v>
      </c>
    </row>
    <row r="12" spans="2:22" x14ac:dyDescent="0.35">
      <c r="B12" s="52" t="s">
        <v>19</v>
      </c>
      <c r="C12" s="52" cm="1">
        <f t="array" ref="C12">drivePower(C4,C5,C9,C10,C11)</f>
        <v>822</v>
      </c>
      <c r="D12" s="52" t="s">
        <v>7</v>
      </c>
      <c r="F12" s="52" t="s">
        <v>119</v>
      </c>
      <c r="G12" s="70">
        <f>C12+C7</f>
        <v>926.67916060000005</v>
      </c>
      <c r="H12" s="52" t="s">
        <v>59</v>
      </c>
      <c r="I12" s="73"/>
      <c r="K12" s="52" t="s">
        <v>109</v>
      </c>
      <c r="L12" s="52">
        <f>L5*0.5</f>
        <v>442708.33333333331</v>
      </c>
      <c r="M12" s="52" t="s">
        <v>107</v>
      </c>
    </row>
    <row r="13" spans="2:22" x14ac:dyDescent="0.35">
      <c r="K13" s="52" t="s">
        <v>108</v>
      </c>
      <c r="L13" s="52">
        <f>L12*L4/1000</f>
        <v>5312.5</v>
      </c>
      <c r="M13" s="52" t="s">
        <v>59</v>
      </c>
    </row>
    <row r="14" spans="2:22" ht="15" thickBot="1" x14ac:dyDescent="0.4"/>
    <row r="15" spans="2:22" x14ac:dyDescent="0.35">
      <c r="G15" s="65" t="s">
        <v>85</v>
      </c>
      <c r="H15" s="66"/>
      <c r="I15" s="66"/>
      <c r="J15" s="66"/>
      <c r="K15" s="66"/>
      <c r="L15" s="66"/>
      <c r="M15" s="4"/>
      <c r="N15" s="4"/>
      <c r="O15" s="4"/>
      <c r="R15" s="60" t="s">
        <v>87</v>
      </c>
      <c r="S15" s="61"/>
      <c r="T15" s="62"/>
      <c r="U15" s="4"/>
    </row>
    <row r="16" spans="2:22" x14ac:dyDescent="0.35">
      <c r="G16" s="3"/>
      <c r="H16" s="3"/>
      <c r="I16" s="3"/>
      <c r="J16" s="3"/>
      <c r="K16" s="23"/>
      <c r="L16" s="67"/>
      <c r="R16" s="3"/>
      <c r="S16" s="3"/>
      <c r="T16" s="3"/>
      <c r="U16" s="67"/>
      <c r="V16" s="39"/>
    </row>
    <row r="17" spans="6:24" ht="58" x14ac:dyDescent="0.35">
      <c r="G17" s="25" t="s">
        <v>86</v>
      </c>
      <c r="H17" s="25" t="s">
        <v>95</v>
      </c>
      <c r="I17" s="25" t="s">
        <v>127</v>
      </c>
      <c r="J17" s="25" t="s">
        <v>126</v>
      </c>
      <c r="K17" s="85" t="s">
        <v>150</v>
      </c>
      <c r="L17" s="68" t="s">
        <v>121</v>
      </c>
      <c r="M17" s="68" t="s">
        <v>122</v>
      </c>
      <c r="N17" s="68" t="s">
        <v>123</v>
      </c>
      <c r="O17" s="68" t="s">
        <v>124</v>
      </c>
      <c r="P17" s="68" t="s">
        <v>142</v>
      </c>
      <c r="Q17" s="25" t="s">
        <v>88</v>
      </c>
      <c r="R17" s="25" t="s">
        <v>116</v>
      </c>
      <c r="S17" s="25" t="s">
        <v>117</v>
      </c>
      <c r="T17" s="25" t="s">
        <v>95</v>
      </c>
      <c r="U17" s="25" t="s">
        <v>101</v>
      </c>
      <c r="V17" s="25" t="s">
        <v>82</v>
      </c>
      <c r="W17" s="54" t="s">
        <v>83</v>
      </c>
    </row>
    <row r="18" spans="6:24" x14ac:dyDescent="0.35">
      <c r="F18" s="6"/>
      <c r="G18" s="55">
        <v>1</v>
      </c>
      <c r="H18" s="57" cm="1">
        <f t="array" ref="H18">drivePower($C$4,$C$5,G18,$C$10,$C$11)</f>
        <v>411</v>
      </c>
      <c r="I18" s="72">
        <v>0</v>
      </c>
      <c r="J18" s="72">
        <f>H18+I18</f>
        <v>411</v>
      </c>
      <c r="K18" s="58" cm="1">
        <f t="array" ref="K18">maxDepthToMinSOC($L$8,$L$9,$L$6,$L$7,$U$21,$G$5,$G$6,drivePower($C$4,$S$21,$G18,$C$10,$C$11),I18,$G18,$G$4,$C$8)</f>
        <v>2159</v>
      </c>
      <c r="L18" s="58" cm="1">
        <f t="array" ref="L18">maxDepthToMinSOC($L$8,$L$9,$L$6,$L$7,$U$22,$G$5,$G$6,drivePower($C$4,$S$22,$G18,$C$10,$C$11),I18,$G18,$G$4,$C$8)</f>
        <v>2914</v>
      </c>
      <c r="M18" s="58" cm="1">
        <f t="array" ref="M18">maxDepthToMinSOC($L$8,$L$9,$L$6,$L$7,$U$23,$G$5,$G$6,drivePower($C$4,$S$23,$G18,$C$10,$C$11),I18,$G18,$G$4,$C$8)</f>
        <v>3659</v>
      </c>
      <c r="N18" s="58" cm="1">
        <f t="array" ref="N18">maxDepthToMinSOC($L$8,$L$9,$L$6,$L$7,$U$24,$G$5,$G$6,drivePower($C$4,$S$24,$G18,$C$10,$C$11),I18,$G18,$G$4,$C$8)</f>
        <v>4395</v>
      </c>
      <c r="O18" s="58" cm="1">
        <f t="array" ref="O18">maxDepthToMinSOC($L$8,$L$9,$L$6,$L$7,$U$25,$G$5,$G$6,drivePower($C$4,$S$25,$G18,$C$10,$C$11),I18,$G18,$G$4,$C$8)</f>
        <v>5121</v>
      </c>
      <c r="P18" s="58" cm="1">
        <f t="array" ref="P18">maxDepthToMinSOC($L$8,$L$9,$L$6,$L$7,$U$26,$G$5,$G$6,drivePower($C$4,$S$26,$G18,$C$10,$C$11),I18,$G18,$G$4,$C$8)</f>
        <v>5837</v>
      </c>
      <c r="Q18" s="56">
        <v>21600</v>
      </c>
      <c r="R18" s="55">
        <f t="shared" ref="R18:R26" si="0">(Q18-4400)*(5*0.048)/4400</f>
        <v>0.93818181818181823</v>
      </c>
      <c r="S18" s="57">
        <f t="shared" ref="S18:S26" si="1">$C$5+R18</f>
        <v>500.93818181818182</v>
      </c>
      <c r="T18" s="57" cm="1">
        <f t="array" ref="T18">drivePower($C$4,S18,$C$9,$C$10,$C$11)</f>
        <v>823.16709818181823</v>
      </c>
      <c r="U18" s="56">
        <f t="shared" ref="U18:U26" si="2">Q18*3.6/1000*$L$4</f>
        <v>933.12000000000012</v>
      </c>
      <c r="V18" s="58" cm="1">
        <f t="array" ref="V18">maxDepthToMinSOC($L$8,0,$L$6,$L$7,U18,$G$5,$G$6,T18,$C$7,$C$9,$G$4,$C$8)</f>
        <v>0</v>
      </c>
      <c r="W18" s="58" cm="1">
        <f t="array" ref="W18">maxDepthToMinSOC($L$8,$L$9,$L$6,$L$7,U18,$G$5,$G$6,T18,$C$7,$C$9,$G$4,$C$8)</f>
        <v>0</v>
      </c>
      <c r="X18" t="s">
        <v>89</v>
      </c>
    </row>
    <row r="19" spans="6:24" x14ac:dyDescent="0.35">
      <c r="G19" s="55">
        <v>1</v>
      </c>
      <c r="H19" s="57" cm="1">
        <f t="array" ref="H19">drivePower($C$4,$C$5,G19,$C$10,$C$11)</f>
        <v>411</v>
      </c>
      <c r="I19" s="72">
        <v>100</v>
      </c>
      <c r="J19" s="72">
        <f t="shared" ref="J19:J31" si="3">H19+I19</f>
        <v>511</v>
      </c>
      <c r="K19" s="58" cm="1">
        <f t="array" ref="K19">maxDepthToMinSOC($L$8,$L$9,$L$6,$L$7,$U$21,$G$5,$G$6,drivePower($C$4,$S$21,$G19,$C$10,$C$11),I19,$G19,$G$4,$C$8)</f>
        <v>1401</v>
      </c>
      <c r="L19" s="58" cm="1">
        <f t="array" ref="L19">maxDepthToMinSOC($L$8,$L$9,$L$6,$L$7,$U$22,$G$5,$G$6,drivePower($C$4,$S$22,$G19,$C$10,$C$11),I19,$G19,$G$4,$C$8)</f>
        <v>2016</v>
      </c>
      <c r="M19" s="58" cm="1">
        <f t="array" ref="M19">maxDepthToMinSOC($L$8,$L$9,$L$6,$L$7,$U$23,$G$5,$G$6,drivePower($C$4,$S$23,$G19,$C$10,$C$11),I19,$G19,$G$4,$C$8)</f>
        <v>2625</v>
      </c>
      <c r="N19" s="58" cm="1">
        <f t="array" ref="N19">maxDepthToMinSOC($L$8,$L$9,$L$6,$L$7,$U$24,$G$5,$G$6,drivePower($C$4,$S$24,$G19,$C$10,$C$11),I19,$G19,$G$4,$C$8)</f>
        <v>3228</v>
      </c>
      <c r="O19" s="58" cm="1">
        <f t="array" ref="O19">maxDepthToMinSOC($L$8,$L$9,$L$6,$L$7,$U$25,$G$5,$G$6,drivePower($C$4,$S$25,$G19,$C$10,$C$11),I19,$G19,$G$4,$C$8)</f>
        <v>3824</v>
      </c>
      <c r="P19" s="58" cm="1">
        <f t="array" ref="P19">maxDepthToMinSOC($L$8,$L$9,$L$6,$L$7,$U$26,$G$5,$G$6,drivePower($C$4,$S$26,$G19,$C$10,$C$11),I19,$G19,$G$4,$C$8)</f>
        <v>4413</v>
      </c>
      <c r="Q19" s="56">
        <v>43200</v>
      </c>
      <c r="R19" s="55">
        <f t="shared" si="0"/>
        <v>2.1163636363636362</v>
      </c>
      <c r="S19" s="57">
        <f t="shared" si="1"/>
        <v>502.11636363636364</v>
      </c>
      <c r="T19" s="57" cm="1">
        <f t="array" ref="T19">drivePower($C$4,S19,$C$9,$C$10,$C$11)</f>
        <v>824.63275636363642</v>
      </c>
      <c r="U19" s="56">
        <f t="shared" si="2"/>
        <v>1866.2400000000002</v>
      </c>
      <c r="V19" s="58" cm="1">
        <f t="array" ref="V19">maxDepthToMinSOC($L$8,0,$L$6,$L$7,U19,$G$5,$G$6,T19,$C$7,$C$9,$G$4,$C$8)</f>
        <v>531</v>
      </c>
      <c r="W19" s="58" cm="1">
        <f t="array" ref="W19">maxDepthToMinSOC($L$8,$L$9,$L$6,$L$7,U19,$G$5,$G$6,T19,$C$7,$C$9,$G$4,$C$8)</f>
        <v>68</v>
      </c>
      <c r="X19" t="s">
        <v>90</v>
      </c>
    </row>
    <row r="20" spans="6:24" x14ac:dyDescent="0.35">
      <c r="G20" s="55">
        <v>1</v>
      </c>
      <c r="H20" s="57" cm="1">
        <f t="array" ref="H20">drivePower($C$4,$C$5,G20,$C$10,$C$11)</f>
        <v>411</v>
      </c>
      <c r="I20" s="72">
        <v>200</v>
      </c>
      <c r="J20" s="72">
        <f t="shared" si="3"/>
        <v>611</v>
      </c>
      <c r="K20" s="58" cm="1">
        <f t="array" ref="K20">maxDepthToMinSOC($L$8,$L$9,$L$6,$L$7,$U$21,$G$5,$G$6,drivePower($C$4,$S$21,$G20,$C$10,$C$11),I20,$G20,$G$4,$C$8)</f>
        <v>886</v>
      </c>
      <c r="L20" s="58" cm="1">
        <f t="array" ref="L20">maxDepthToMinSOC($L$8,$L$9,$L$6,$L$7,$U$22,$G$5,$G$6,drivePower($C$4,$S$22,$G20,$C$10,$C$11),I20,$G20,$G$4,$C$8)</f>
        <v>1406</v>
      </c>
      <c r="M20" s="58" cm="1">
        <f t="array" ref="M20">maxDepthToMinSOC($L$8,$L$9,$L$6,$L$7,$U$23,$G$5,$G$6,drivePower($C$4,$S$23,$G20,$C$10,$C$11),I20,$G20,$G$4,$C$8)</f>
        <v>1920</v>
      </c>
      <c r="N20" s="58" cm="1">
        <f t="array" ref="N20">maxDepthToMinSOC($L$8,$L$9,$L$6,$L$7,$U$24,$G$5,$G$6,drivePower($C$4,$S$24,$G20,$C$10,$C$11),I20,$G20,$G$4,$C$8)</f>
        <v>2430</v>
      </c>
      <c r="O20" s="58" cm="1">
        <f t="array" ref="O20">maxDepthToMinSOC($L$8,$L$9,$L$6,$L$7,$U$25,$G$5,$G$6,drivePower($C$4,$S$25,$G20,$C$10,$C$11),I20,$G20,$G$4,$C$8)</f>
        <v>2936</v>
      </c>
      <c r="P20" s="58" cm="1">
        <f t="array" ref="P20">maxDepthToMinSOC($L$8,$L$9,$L$6,$L$7,$U$26,$G$5,$G$6,drivePower($C$4,$S$26,$G20,$C$10,$C$11),I20,$G20,$G$4,$C$8)</f>
        <v>3437</v>
      </c>
      <c r="Q20" s="56">
        <v>64800</v>
      </c>
      <c r="R20" s="55">
        <f t="shared" si="0"/>
        <v>3.2945454545454544</v>
      </c>
      <c r="S20" s="57">
        <f t="shared" si="1"/>
        <v>503.29454545454547</v>
      </c>
      <c r="T20" s="57" cm="1">
        <f t="array" ref="T20">drivePower($C$4,S20,$C$9,$C$10,$C$11)</f>
        <v>826.0984145454546</v>
      </c>
      <c r="U20" s="56">
        <f t="shared" si="2"/>
        <v>2799.36</v>
      </c>
      <c r="V20" s="58" cm="1">
        <f t="array" ref="V20">maxDepthToMinSOC($L$8,0,$L$6,$L$7,U20,$G$5,$G$6,T20,$C$7,$C$9,$G$4,$C$8)</f>
        <v>1448</v>
      </c>
      <c r="W20" s="58" cm="1">
        <f t="array" ref="W20">maxDepthToMinSOC($L$8,$L$9,$L$6,$L$7,U20,$G$5,$G$6,T20,$C$7,$C$9,$G$4,$C$8)</f>
        <v>761</v>
      </c>
      <c r="X20" t="s">
        <v>91</v>
      </c>
    </row>
    <row r="21" spans="6:24" x14ac:dyDescent="0.35">
      <c r="G21" s="55">
        <v>1</v>
      </c>
      <c r="H21" s="57" cm="1">
        <f t="array" ref="H21">drivePower($C$4,$C$5,G21,$C$10,$C$11)</f>
        <v>411</v>
      </c>
      <c r="I21" s="72">
        <v>300</v>
      </c>
      <c r="J21" s="72">
        <f t="shared" si="3"/>
        <v>711</v>
      </c>
      <c r="K21" s="58" cm="1">
        <f t="array" ref="K21">maxDepthToMinSOC($L$8,$L$9,$L$6,$L$7,$U$21,$G$5,$G$6,drivePower($C$4,$S$21,$G21,$C$10,$C$11),I21,$G21,$G$4,$C$8)</f>
        <v>514</v>
      </c>
      <c r="L21" s="58" cm="1">
        <f t="array" ref="L21">maxDepthToMinSOC($L$8,$L$9,$L$6,$L$7,$U$22,$G$5,$G$6,drivePower($C$4,$S$22,$G21,$C$10,$C$11),I21,$G21,$G$4,$C$8)</f>
        <v>964</v>
      </c>
      <c r="M21" s="58" cm="1">
        <f t="array" ref="M21">maxDepthToMinSOC($L$8,$L$9,$L$6,$L$7,$U$23,$G$5,$G$6,drivePower($C$4,$S$23,$G21,$C$10,$C$11),I21,$G21,$G$4,$C$8)</f>
        <v>1409</v>
      </c>
      <c r="N21" s="58" cm="1">
        <f t="array" ref="N21">maxDepthToMinSOC($L$8,$L$9,$L$6,$L$7,$U$24,$G$5,$G$6,drivePower($C$4,$S$24,$G21,$C$10,$C$11),I21,$G21,$G$4,$C$8)</f>
        <v>1851</v>
      </c>
      <c r="O21" s="58" cm="1">
        <f t="array" ref="O21">maxDepthToMinSOC($L$8,$L$9,$L$6,$L$7,$U$25,$G$5,$G$6,drivePower($C$4,$S$25,$G21,$C$10,$C$11),I21,$G21,$G$4,$C$8)</f>
        <v>2290</v>
      </c>
      <c r="P21" s="58" cm="1">
        <f t="array" ref="P21">maxDepthToMinSOC($L$8,$L$9,$L$6,$L$7,$U$26,$G$5,$G$6,drivePower($C$4,$S$26,$G21,$C$10,$C$11),I21,$G21,$G$4,$C$8)</f>
        <v>2726</v>
      </c>
      <c r="Q21" s="56">
        <v>86400</v>
      </c>
      <c r="R21" s="55">
        <f t="shared" si="0"/>
        <v>4.4727272727272727</v>
      </c>
      <c r="S21" s="57">
        <f t="shared" si="1"/>
        <v>504.4727272727273</v>
      </c>
      <c r="T21" s="57" cm="1">
        <f t="array" ref="T21">drivePower($C$4,S21,$C$9,$C$10,$C$11)</f>
        <v>827.56407272727279</v>
      </c>
      <c r="U21" s="56">
        <f t="shared" si="2"/>
        <v>3732.4800000000005</v>
      </c>
      <c r="V21" s="58" cm="1">
        <f t="array" ref="V21">maxDepthToMinSOC($L$8,0,$L$6,$L$7,U21,$G$5,$G$6,T21,$C$7,$C$9,$G$4,$C$8)</f>
        <v>2351</v>
      </c>
      <c r="W21" s="58" cm="1">
        <f t="array" ref="W21">maxDepthToMinSOC($L$8,$L$9,$L$6,$L$7,U21,$G$5,$G$6,T21,$C$7,$C$9,$G$4,$C$8)</f>
        <v>1445</v>
      </c>
      <c r="X21" t="s">
        <v>92</v>
      </c>
    </row>
    <row r="22" spans="6:24" x14ac:dyDescent="0.35">
      <c r="G22" s="55">
        <v>1</v>
      </c>
      <c r="H22" s="57" cm="1">
        <f t="array" ref="H22">drivePower($C$4,$C$5,G22,$C$10,$C$11)</f>
        <v>411</v>
      </c>
      <c r="I22" s="72">
        <v>400</v>
      </c>
      <c r="J22" s="72">
        <f t="shared" si="3"/>
        <v>811</v>
      </c>
      <c r="K22" s="58" cm="1">
        <f t="array" ref="K22">maxDepthToMinSOC($L$8,$L$9,$L$6,$L$7,$U$21,$G$5,$G$6,drivePower($C$4,$S$21,$G22,$C$10,$C$11),I22,$G22,$G$4,$C$8)</f>
        <v>233</v>
      </c>
      <c r="L22" s="58" cm="1">
        <f t="array" ref="L22">maxDepthToMinSOC($L$8,$L$9,$L$6,$L$7,$U$22,$G$5,$G$6,drivePower($C$4,$S$22,$G22,$C$10,$C$11),I22,$G22,$G$4,$C$8)</f>
        <v>629</v>
      </c>
      <c r="M22" s="58" cm="1">
        <f t="array" ref="M22">maxDepthToMinSOC($L$8,$L$9,$L$6,$L$7,$U$23,$G$5,$G$6,drivePower($C$4,$S$23,$G22,$C$10,$C$11),I22,$G22,$G$4,$C$8)</f>
        <v>1022</v>
      </c>
      <c r="N22" s="58" cm="1">
        <f t="array" ref="N22">maxDepthToMinSOC($L$8,$L$9,$L$6,$L$7,$U$24,$G$5,$G$6,drivePower($C$4,$S$24,$G22,$C$10,$C$11),I22,$G22,$G$4,$C$8)</f>
        <v>1412</v>
      </c>
      <c r="O22" s="58" cm="1">
        <f t="array" ref="O22">maxDepthToMinSOC($L$8,$L$9,$L$6,$L$7,$U$25,$G$5,$G$6,drivePower($C$4,$S$25,$G22,$C$10,$C$11),I22,$G22,$G$4,$C$8)</f>
        <v>1800</v>
      </c>
      <c r="P22" s="58" cm="1">
        <f t="array" ref="P22">maxDepthToMinSOC($L$8,$L$9,$L$6,$L$7,$U$26,$G$5,$G$6,drivePower($C$4,$S$26,$G22,$C$10,$C$11),I22,$G22,$G$4,$C$8)</f>
        <v>2185</v>
      </c>
      <c r="Q22" s="56">
        <v>108000</v>
      </c>
      <c r="R22" s="55">
        <f t="shared" si="0"/>
        <v>5.6509090909090913</v>
      </c>
      <c r="S22" s="57">
        <f t="shared" si="1"/>
        <v>505.65090909090907</v>
      </c>
      <c r="T22" s="57" cm="1">
        <f t="array" ref="T22">drivePower($C$4,S22,$C$9,$C$10,$C$11)</f>
        <v>829.02973090909086</v>
      </c>
      <c r="U22" s="56">
        <f t="shared" si="2"/>
        <v>4665.6000000000004</v>
      </c>
      <c r="V22" s="58" cm="1">
        <f t="array" ref="V22">maxDepthToMinSOC($L$8,0,$L$6,$L$7,U22,$G$5,$G$6,T22,$C$7,$C$9,$G$4,$C$8)</f>
        <v>3240</v>
      </c>
      <c r="W22" s="58" cm="1">
        <f t="array" ref="W22">maxDepthToMinSOC($L$8,$L$9,$L$6,$L$7,U22,$G$5,$G$6,T22,$C$7,$C$9,$G$4,$C$8)</f>
        <v>2122</v>
      </c>
    </row>
    <row r="23" spans="6:24" x14ac:dyDescent="0.35">
      <c r="G23" s="55">
        <v>1</v>
      </c>
      <c r="H23" s="57" cm="1">
        <f t="array" ref="H23">drivePower($C$4,$C$5,G23,$C$10,$C$11)</f>
        <v>411</v>
      </c>
      <c r="I23" s="72">
        <v>500</v>
      </c>
      <c r="J23" s="72">
        <f t="shared" si="3"/>
        <v>911</v>
      </c>
      <c r="K23" s="58" cm="1">
        <f t="array" ref="K23">maxDepthToMinSOC($L$8,$L$9,$L$6,$L$7,$U$21,$G$5,$G$6,drivePower($C$4,$S$21,$G23,$C$10,$C$11),I23,$G23,$G$4,$C$8)</f>
        <v>12</v>
      </c>
      <c r="L23" s="58" cm="1">
        <f t="array" ref="L23">maxDepthToMinSOC($L$8,$L$9,$L$6,$L$7,$U$22,$G$5,$G$6,drivePower($C$4,$S$22,$G23,$C$10,$C$11),I23,$G23,$G$4,$C$8)</f>
        <v>366</v>
      </c>
      <c r="M23" s="58" cm="1">
        <f t="array" ref="M23">maxDepthToMinSOC($L$8,$L$9,$L$6,$L$7,$U$23,$G$5,$G$6,drivePower($C$4,$S$23,$G23,$C$10,$C$11),I23,$G23,$G$4,$C$8)</f>
        <v>717</v>
      </c>
      <c r="N23" s="58" cm="1">
        <f t="array" ref="N23">maxDepthToMinSOC($L$8,$L$9,$L$6,$L$7,$U$24,$G$5,$G$6,drivePower($C$4,$S$24,$G23,$C$10,$C$11),I23,$G23,$G$4,$C$8)</f>
        <v>1067</v>
      </c>
      <c r="O23" s="58" cm="1">
        <f t="array" ref="O23">maxDepthToMinSOC($L$8,$L$9,$L$6,$L$7,$U$25,$G$5,$G$6,drivePower($C$4,$S$25,$G23,$C$10,$C$11),I23,$G23,$G$4,$C$8)</f>
        <v>1414</v>
      </c>
      <c r="P23" s="58" cm="1">
        <f t="array" ref="P23">maxDepthToMinSOC($L$8,$L$9,$L$6,$L$7,$U$26,$G$5,$G$6,drivePower($C$4,$S$26,$G23,$C$10,$C$11),I23,$G23,$G$4,$C$8)</f>
        <v>1759</v>
      </c>
      <c r="Q23" s="56">
        <v>129600</v>
      </c>
      <c r="R23" s="55">
        <f t="shared" si="0"/>
        <v>6.8290909090909091</v>
      </c>
      <c r="S23" s="57">
        <f t="shared" si="1"/>
        <v>506.82909090909089</v>
      </c>
      <c r="T23" s="57" cm="1">
        <f t="array" ref="T23">drivePower($C$4,S23,$C$9,$C$10,$C$11)</f>
        <v>830.49538909090904</v>
      </c>
      <c r="U23" s="56">
        <f t="shared" si="2"/>
        <v>5598.72</v>
      </c>
      <c r="V23" s="58" cm="1">
        <f t="array" ref="V23">maxDepthToMinSOC($L$8,0,$L$6,$L$7,U23,$G$5,$G$6,T23,$C$7,$C$9,$G$4,$C$8)</f>
        <v>4117</v>
      </c>
      <c r="W23" s="58" cm="1">
        <f t="array" ref="W23">maxDepthToMinSOC($L$8,$L$9,$L$6,$L$7,U23,$G$5,$G$6,T23,$C$7,$C$9,$G$4,$C$8)</f>
        <v>2790</v>
      </c>
    </row>
    <row r="24" spans="6:24" x14ac:dyDescent="0.35">
      <c r="G24" s="55">
        <v>1</v>
      </c>
      <c r="H24" s="57" cm="1">
        <f t="array" ref="H24">drivePower($C$4,$C$5,G24,$C$10,$C$11)</f>
        <v>411</v>
      </c>
      <c r="I24" s="72">
        <v>600</v>
      </c>
      <c r="J24" s="72">
        <f t="shared" si="3"/>
        <v>1011</v>
      </c>
      <c r="K24" s="58" cm="1">
        <f t="array" ref="K24">maxDepthToMinSOC($L$8,$L$9,$L$6,$L$7,$U$21,$G$5,$G$6,drivePower($C$4,$S$21,$G24,$C$10,$C$11),I24,$G24,$G$4,$C$8)</f>
        <v>0</v>
      </c>
      <c r="L24" s="58" cm="1">
        <f t="array" ref="L24">maxDepthToMinSOC($L$8,$L$9,$L$6,$L$7,$U$22,$G$5,$G$6,drivePower($C$4,$S$22,$G24,$C$10,$C$11),I24,$G24,$G$4,$C$8)</f>
        <v>155</v>
      </c>
      <c r="M24" s="58" cm="1">
        <f t="array" ref="M24">maxDepthToMinSOC($L$8,$L$9,$L$6,$L$7,$U$23,$G$5,$G$6,drivePower($C$4,$S$23,$G24,$C$10,$C$11),I24,$G24,$G$4,$C$8)</f>
        <v>473</v>
      </c>
      <c r="N24" s="58" cm="1">
        <f t="array" ref="N24">maxDepthToMinSOC($L$8,$L$9,$L$6,$L$7,$U$24,$G$5,$G$6,drivePower($C$4,$S$24,$G24,$C$10,$C$11),I24,$G24,$G$4,$C$8)</f>
        <v>789</v>
      </c>
      <c r="O24" s="58" cm="1">
        <f t="array" ref="O24">maxDepthToMinSOC($L$8,$L$9,$L$6,$L$7,$U$25,$G$5,$G$6,drivePower($C$4,$S$25,$G24,$C$10,$C$11),I24,$G24,$G$4,$C$8)</f>
        <v>1103</v>
      </c>
      <c r="P24" s="58" cm="1">
        <f t="array" ref="P24">maxDepthToMinSOC($L$8,$L$9,$L$6,$L$7,$U$26,$G$5,$G$6,drivePower($C$4,$S$26,$G24,$C$10,$C$11),I24,$G24,$G$4,$C$8)</f>
        <v>1416</v>
      </c>
      <c r="Q24" s="56">
        <v>151200</v>
      </c>
      <c r="R24" s="55">
        <f t="shared" si="0"/>
        <v>8.0072727272727278</v>
      </c>
      <c r="S24" s="57">
        <f t="shared" si="1"/>
        <v>508.00727272727272</v>
      </c>
      <c r="T24" s="57" cm="1">
        <f t="array" ref="T24">drivePower($C$4,S24,$C$9,$C$10,$C$11)</f>
        <v>831.96104727272723</v>
      </c>
      <c r="U24" s="56">
        <f t="shared" si="2"/>
        <v>6531.84</v>
      </c>
      <c r="V24" s="58" cm="1">
        <f t="array" ref="V24">maxDepthToMinSOC($L$8,0,$L$6,$L$7,U24,$G$5,$G$6,T24,$C$7,$C$9,$G$4,$C$8)</f>
        <v>4981</v>
      </c>
      <c r="W24" s="58" cm="1">
        <f t="array" ref="W24">maxDepthToMinSOC($L$8,$L$9,$L$6,$L$7,U24,$G$5,$G$6,T24,$C$7,$C$9,$G$4,$C$8)</f>
        <v>3451</v>
      </c>
    </row>
    <row r="25" spans="6:24" x14ac:dyDescent="0.35">
      <c r="G25" s="55">
        <v>1</v>
      </c>
      <c r="H25" s="57" cm="1">
        <f t="array" ref="H25">drivePower($C$4,$C$5,G25,$C$10,$C$11)</f>
        <v>411</v>
      </c>
      <c r="I25" s="72">
        <v>700</v>
      </c>
      <c r="J25" s="72">
        <f t="shared" si="3"/>
        <v>1111</v>
      </c>
      <c r="K25" s="58" cm="1">
        <f t="array" ref="K25">maxDepthToMinSOC($L$8,$L$9,$L$6,$L$7,$U$21,$G$5,$G$6,drivePower($C$4,$S$21,$G25,$C$10,$C$11),I25,$G25,$G$4,$C$8)</f>
        <v>0</v>
      </c>
      <c r="L25" s="58" cm="1">
        <f t="array" ref="L25">maxDepthToMinSOC($L$8,$L$9,$L$6,$L$7,$U$22,$G$5,$G$6,drivePower($C$4,$S$22,$G25,$C$10,$C$11),I25,$G25,$G$4,$C$8)</f>
        <v>0</v>
      </c>
      <c r="M25" s="58" cm="1">
        <f t="array" ref="M25">maxDepthToMinSOC($L$8,$L$9,$L$6,$L$7,$U$23,$G$5,$G$6,drivePower($C$4,$S$23,$G25,$C$10,$C$11),I25,$G25,$G$4,$C$8)</f>
        <v>271</v>
      </c>
      <c r="N25" s="58" cm="1">
        <f t="array" ref="N25">maxDepthToMinSOC($L$8,$L$9,$L$6,$L$7,$U$24,$G$5,$G$6,drivePower($C$4,$S$24,$G25,$C$10,$C$11),I25,$G25,$G$4,$C$8)</f>
        <v>560</v>
      </c>
      <c r="O25" s="58" cm="1">
        <f t="array" ref="O25">maxDepthToMinSOC($L$8,$L$9,$L$6,$L$7,$U$25,$G$5,$G$6,drivePower($C$4,$S$25,$G25,$C$10,$C$11),I25,$G25,$G$4,$C$8)</f>
        <v>847</v>
      </c>
      <c r="P25" s="58" cm="1">
        <f t="array" ref="P25">maxDepthToMinSOC($L$8,$L$9,$L$6,$L$7,$U$26,$G$5,$G$6,drivePower($C$4,$S$26,$G25,$C$10,$C$11),I25,$G25,$G$4,$C$8)</f>
        <v>1133</v>
      </c>
      <c r="Q25" s="56">
        <v>172800</v>
      </c>
      <c r="R25" s="55">
        <f t="shared" si="0"/>
        <v>9.1854545454545455</v>
      </c>
      <c r="S25" s="57">
        <f t="shared" si="1"/>
        <v>509.18545454545455</v>
      </c>
      <c r="T25" s="57" cm="1">
        <f t="array" ref="T25">drivePower($C$4,S25,$C$9,$C$10,$C$11)</f>
        <v>833.42670545454541</v>
      </c>
      <c r="U25" s="56">
        <f t="shared" si="2"/>
        <v>7464.9600000000009</v>
      </c>
      <c r="V25" s="58" cm="1">
        <f t="array" ref="V25">maxDepthToMinSOC($L$8,0,$L$6,$L$7,U25,$G$5,$G$6,T25,$C$7,$C$9,$G$4,$C$8)</f>
        <v>5833</v>
      </c>
      <c r="W25" s="58" cm="1">
        <f t="array" ref="W25">maxDepthToMinSOC($L$8,$L$9,$L$6,$L$7,U25,$G$5,$G$6,T25,$C$7,$C$9,$G$4,$C$8)</f>
        <v>4104</v>
      </c>
    </row>
    <row r="26" spans="6:24" x14ac:dyDescent="0.35">
      <c r="G26" s="55">
        <v>1</v>
      </c>
      <c r="H26" s="57" cm="1">
        <f t="array" ref="H26">drivePower($C$4,$C$5,G26,$C$10,$C$11)</f>
        <v>411</v>
      </c>
      <c r="I26" s="72">
        <v>800</v>
      </c>
      <c r="J26" s="72">
        <f t="shared" si="3"/>
        <v>1211</v>
      </c>
      <c r="K26" s="58" cm="1">
        <f t="array" ref="K26">maxDepthToMinSOC($L$8,$L$9,$L$6,$L$7,$U$21,$G$5,$G$6,drivePower($C$4,$S$21,$G26,$C$10,$C$11),I26,$G26,$G$4,$C$8)</f>
        <v>0</v>
      </c>
      <c r="L26" s="58" cm="1">
        <f t="array" ref="L26">maxDepthToMinSOC($L$8,$L$9,$L$6,$L$7,$U$22,$G$5,$G$6,drivePower($C$4,$S$22,$G26,$C$10,$C$11),I26,$G26,$G$4,$C$8)</f>
        <v>0</v>
      </c>
      <c r="M26" s="58" cm="1">
        <f t="array" ref="M26">maxDepthToMinSOC($L$8,$L$9,$L$6,$L$7,$U$23,$G$5,$G$6,drivePower($C$4,$S$23,$G26,$C$10,$C$11),I26,$G26,$G$4,$C$8)</f>
        <v>102</v>
      </c>
      <c r="N26" s="58" cm="1">
        <f t="array" ref="N26">maxDepthToMinSOC($L$8,$L$9,$L$6,$L$7,$U$24,$G$5,$G$6,drivePower($C$4,$S$24,$G26,$C$10,$C$11),I26,$G26,$G$4,$C$8)</f>
        <v>368</v>
      </c>
      <c r="O26" s="58" cm="1">
        <f t="array" ref="O26">maxDepthToMinSOC($L$8,$L$9,$L$6,$L$7,$U$25,$G$5,$G$6,drivePower($C$4,$S$25,$G26,$C$10,$C$11),I26,$G26,$G$4,$C$8)</f>
        <v>632</v>
      </c>
      <c r="P26" s="58" cm="1">
        <f t="array" ref="P26">maxDepthToMinSOC($L$8,$L$9,$L$6,$L$7,$U$26,$G$5,$G$6,drivePower($C$4,$S$26,$G26,$C$10,$C$11),I26,$G26,$G$4,$C$8)</f>
        <v>895</v>
      </c>
      <c r="Q26" s="86">
        <v>194400</v>
      </c>
      <c r="R26" s="55">
        <f t="shared" si="0"/>
        <v>10.363636363636363</v>
      </c>
      <c r="S26" s="57">
        <f t="shared" si="1"/>
        <v>510.36363636363637</v>
      </c>
      <c r="T26" s="57" cm="1">
        <f t="array" ref="T26">drivePower($C$4,S26,$C$9,$C$10,$C$11)</f>
        <v>834.8923636363636</v>
      </c>
      <c r="U26" s="56">
        <f t="shared" si="2"/>
        <v>8398.08</v>
      </c>
      <c r="V26" s="58" cm="1">
        <f t="array" ref="V26">maxDepthToMinSOC($L$8,0,$L$6,$L$7,U26,$G$5,$G$6,T26,$C$7,$C$9,$G$4,$C$8)</f>
        <v>6672</v>
      </c>
      <c r="W26" s="58" cm="1">
        <f t="array" ref="W26">maxDepthToMinSOC($L$8,$L$9,$L$6,$L$7,U26,$G$5,$G$6,T26,$C$7,$C$9,$G$4,$C$8)</f>
        <v>4750</v>
      </c>
    </row>
    <row r="27" spans="6:24" x14ac:dyDescent="0.35">
      <c r="G27" s="55">
        <v>1</v>
      </c>
      <c r="H27" s="57" cm="1">
        <f t="array" ref="H27">drivePower($C$4,$C$5,G27,$C$10,$C$11)</f>
        <v>411</v>
      </c>
      <c r="I27" s="72">
        <v>900</v>
      </c>
      <c r="J27" s="72">
        <f t="shared" si="3"/>
        <v>1311</v>
      </c>
      <c r="K27" s="58" cm="1">
        <f t="array" ref="K27">maxDepthToMinSOC($L$8,$L$9,$L$6,$L$7,$U$21,$G$5,$G$6,drivePower($C$4,$S$21,$G27,$C$10,$C$11),I27,$G27,$G$4,$C$8)</f>
        <v>0</v>
      </c>
      <c r="L27" s="58" cm="1">
        <f t="array" ref="L27">maxDepthToMinSOC($L$8,$L$9,$L$6,$L$7,$U$22,$G$5,$G$6,drivePower($C$4,$S$22,$G27,$C$10,$C$11),I27,$G27,$G$4,$C$8)</f>
        <v>0</v>
      </c>
      <c r="M27" s="58" cm="1">
        <f t="array" ref="M27">maxDepthToMinSOC($L$8,$L$9,$L$6,$L$7,$U$23,$G$5,$G$6,drivePower($C$4,$S$23,$G27,$C$10,$C$11),I27,$G27,$G$4,$C$8)</f>
        <v>0</v>
      </c>
      <c r="N27" s="58" cm="1">
        <f t="array" ref="N27">maxDepthToMinSOC($L$8,$L$9,$L$6,$L$7,$U$24,$G$5,$G$6,drivePower($C$4,$S$24,$G27,$C$10,$C$11),I27,$G27,$G$4,$C$8)</f>
        <v>205</v>
      </c>
      <c r="O27" s="58" cm="1">
        <f t="array" ref="O27">maxDepthToMinSOC($L$8,$L$9,$L$6,$L$7,$U$25,$G$5,$G$6,drivePower($C$4,$S$25,$G27,$C$10,$C$11),I27,$G27,$G$4,$C$8)</f>
        <v>450</v>
      </c>
      <c r="P27" s="58" cm="1">
        <f t="array" ref="P27">maxDepthToMinSOC($L$8,$L$9,$L$6,$L$7,$U$26,$G$5,$G$6,drivePower($C$4,$S$26,$G27,$C$10,$C$11),I27,$G27,$G$4,$C$8)</f>
        <v>694</v>
      </c>
      <c r="Q27" s="86">
        <v>216000</v>
      </c>
    </row>
    <row r="28" spans="6:24" x14ac:dyDescent="0.35">
      <c r="G28" s="55">
        <v>1</v>
      </c>
      <c r="H28" s="57" cm="1">
        <f t="array" ref="H28">drivePower($C$4,$C$5,G28,$C$10,$C$11)</f>
        <v>411</v>
      </c>
      <c r="I28" s="72">
        <v>1000</v>
      </c>
      <c r="J28" s="72">
        <f t="shared" si="3"/>
        <v>1411</v>
      </c>
      <c r="K28" s="58" cm="1">
        <f t="array" ref="K28">maxDepthToMinSOC($L$8,$L$9,$L$6,$L$7,$U$21,$G$5,$G$6,drivePower($C$4,$S$21,$G28,$C$10,$C$11),I28,$G28,$G$4,$C$8)</f>
        <v>0</v>
      </c>
      <c r="L28" s="58" cm="1">
        <f t="array" ref="L28">maxDepthToMinSOC($L$8,$L$9,$L$6,$L$7,$U$22,$G$5,$G$6,drivePower($C$4,$S$22,$G28,$C$10,$C$11),I28,$G28,$G$4,$C$8)</f>
        <v>0</v>
      </c>
      <c r="M28" s="58" cm="1">
        <f t="array" ref="M28">maxDepthToMinSOC($L$8,$L$9,$L$6,$L$7,$U$23,$G$5,$G$6,drivePower($C$4,$S$23,$G28,$C$10,$C$11),I28,$G28,$G$4,$C$8)</f>
        <v>0</v>
      </c>
      <c r="N28" s="58" cm="1">
        <f t="array" ref="N28">maxDepthToMinSOC($L$8,$L$9,$L$6,$L$7,$U$24,$G$5,$G$6,drivePower($C$4,$S$24,$G28,$C$10,$C$11),I28,$G28,$G$4,$C$8)</f>
        <v>65</v>
      </c>
      <c r="O28" s="58" cm="1">
        <f t="array" ref="O28">maxDepthToMinSOC($L$8,$L$9,$L$6,$L$7,$U$25,$G$5,$G$6,drivePower($C$4,$S$25,$G28,$C$10,$C$11),I28,$G28,$G$4,$C$8)</f>
        <v>293</v>
      </c>
      <c r="P28" s="58" cm="1">
        <f t="array" ref="P28">maxDepthToMinSOC($L$8,$L$9,$L$6,$L$7,$U$26,$G$5,$G$6,drivePower($C$4,$S$26,$G28,$C$10,$C$11),I28,$G28,$G$4,$C$8)</f>
        <v>520</v>
      </c>
      <c r="Q28" s="86">
        <v>237600</v>
      </c>
    </row>
    <row r="29" spans="6:24" x14ac:dyDescent="0.35">
      <c r="G29" s="55">
        <v>1</v>
      </c>
      <c r="H29" s="57" cm="1">
        <f t="array" ref="H29">drivePower($C$4,$C$5,G29,$C$10,$C$11)</f>
        <v>411</v>
      </c>
      <c r="I29" s="72">
        <v>1100</v>
      </c>
      <c r="J29" s="72">
        <f t="shared" si="3"/>
        <v>1511</v>
      </c>
      <c r="K29" s="58" cm="1">
        <f t="array" ref="K29">maxDepthToMinSOC($L$8,$L$9,$L$6,$L$7,$U$21,$G$5,$G$6,drivePower($C$4,$S$21,$G29,$C$10,$C$11),I29,$G29,$G$4,$C$8)</f>
        <v>0</v>
      </c>
      <c r="L29" s="58" cm="1">
        <f t="array" ref="L29">maxDepthToMinSOC($L$8,$L$9,$L$6,$L$7,$U$22,$G$5,$G$6,drivePower($C$4,$S$22,$G29,$C$10,$C$11),I29,$G29,$G$4,$C$8)</f>
        <v>0</v>
      </c>
      <c r="M29" s="58" cm="1">
        <f t="array" ref="M29">maxDepthToMinSOC($L$8,$L$9,$L$6,$L$7,$U$23,$G$5,$G$6,drivePower($C$4,$S$23,$G29,$C$10,$C$11),I29,$G29,$G$4,$C$8)</f>
        <v>0</v>
      </c>
      <c r="N29" s="58" cm="1">
        <f t="array" ref="N29">maxDepthToMinSOC($L$8,$L$9,$L$6,$L$7,$U$24,$G$5,$G$6,drivePower($C$4,$S$24,$G29,$C$10,$C$11),I29,$G29,$G$4,$C$8)</f>
        <v>0</v>
      </c>
      <c r="O29" s="58" cm="1">
        <f t="array" ref="O29">maxDepthToMinSOC($L$8,$L$9,$L$6,$L$7,$U$25,$G$5,$G$6,drivePower($C$4,$S$25,$G29,$C$10,$C$11),I29,$G29,$G$4,$C$8)</f>
        <v>156</v>
      </c>
      <c r="P29" s="58" cm="1">
        <f t="array" ref="P29">maxDepthToMinSOC($L$8,$L$9,$L$6,$L$7,$U$26,$G$5,$G$6,drivePower($C$4,$S$26,$G29,$C$10,$C$11),I29,$G29,$G$4,$C$8)</f>
        <v>369</v>
      </c>
      <c r="Q29" s="86">
        <v>259200</v>
      </c>
    </row>
    <row r="30" spans="6:24" x14ac:dyDescent="0.35">
      <c r="G30" s="55">
        <v>1</v>
      </c>
      <c r="H30" s="57" cm="1">
        <f t="array" ref="H30">drivePower($C$4,$C$5,G30,$C$10,$C$11)</f>
        <v>411</v>
      </c>
      <c r="I30" s="72">
        <v>1200</v>
      </c>
      <c r="J30" s="72">
        <f t="shared" si="3"/>
        <v>1611</v>
      </c>
      <c r="K30" s="58" cm="1">
        <f t="array" ref="K30">maxDepthToMinSOC($L$8,$L$9,$L$6,$L$7,$U$21,$G$5,$G$6,drivePower($C$4,$S$21,$G30,$C$10,$C$11),I30,$G30,$G$4,$C$8)</f>
        <v>0</v>
      </c>
      <c r="L30" s="58" cm="1">
        <f t="array" ref="L30">maxDepthToMinSOC($L$8,$L$9,$L$6,$L$7,$U$22,$G$5,$G$6,drivePower($C$4,$S$22,$G30,$C$10,$C$11),I30,$G30,$G$4,$C$8)</f>
        <v>0</v>
      </c>
      <c r="M30" s="58" cm="1">
        <f t="array" ref="M30">maxDepthToMinSOC($L$8,$L$9,$L$6,$L$7,$U$23,$G$5,$G$6,drivePower($C$4,$S$23,$G30,$C$10,$C$11),I30,$G30,$G$4,$C$8)</f>
        <v>0</v>
      </c>
      <c r="N30" s="58" cm="1">
        <f t="array" ref="N30">maxDepthToMinSOC($L$8,$L$9,$L$6,$L$7,$U$24,$G$5,$G$6,drivePower($C$4,$S$24,$G30,$C$10,$C$11),I30,$G30,$G$4,$C$8)</f>
        <v>0</v>
      </c>
      <c r="O30" s="58" cm="1">
        <f t="array" ref="O30">maxDepthToMinSOC($L$8,$L$9,$L$6,$L$7,$U$25,$G$5,$G$6,drivePower($C$4,$S$25,$G30,$C$10,$C$11),I30,$G30,$G$4,$C$8)</f>
        <v>37</v>
      </c>
      <c r="P30" s="58" cm="1">
        <f t="array" ref="P30">maxDepthToMinSOC($L$8,$L$9,$L$6,$L$7,$U$26,$G$5,$G$6,drivePower($C$4,$S$26,$G30,$C$10,$C$11),I30,$G30,$G$4,$C$8)</f>
        <v>237</v>
      </c>
      <c r="Q30" s="86">
        <v>280800</v>
      </c>
    </row>
    <row r="31" spans="6:24" x14ac:dyDescent="0.35">
      <c r="G31" s="55">
        <v>1</v>
      </c>
      <c r="H31" s="57" cm="1">
        <f t="array" ref="H31">drivePower($C$4,$C$5,G31,$C$10,$C$11)</f>
        <v>411</v>
      </c>
      <c r="I31" s="72">
        <v>1300</v>
      </c>
      <c r="J31" s="72">
        <f t="shared" si="3"/>
        <v>1711</v>
      </c>
      <c r="K31" s="58" cm="1">
        <f t="array" ref="K31">maxDepthToMinSOC($L$8,$L$9,$L$6,$L$7,$U$21,$G$5,$G$6,drivePower($C$4,$S$21,$G31,$C$10,$C$11),I31,$G31,$G$4,$C$8)</f>
        <v>0</v>
      </c>
      <c r="L31" s="58" cm="1">
        <f t="array" ref="L31">maxDepthToMinSOC($L$8,$L$9,$L$6,$L$7,$U$22,$G$5,$G$6,drivePower($C$4,$S$22,$G31,$C$10,$C$11),I31,$G31,$G$4,$C$8)</f>
        <v>0</v>
      </c>
      <c r="M31" s="58" cm="1">
        <f t="array" ref="M31">maxDepthToMinSOC($L$8,$L$9,$L$6,$L$7,$U$23,$G$5,$G$6,drivePower($C$4,$S$23,$G31,$C$10,$C$11),I31,$G31,$G$4,$C$8)</f>
        <v>0</v>
      </c>
      <c r="N31" s="58" cm="1">
        <f t="array" ref="N31">maxDepthToMinSOC($L$8,$L$9,$L$6,$L$7,$U$24,$G$5,$G$6,drivePower($C$4,$S$24,$G31,$C$10,$C$11),I31,$G31,$G$4,$C$8)</f>
        <v>0</v>
      </c>
      <c r="O31" s="58" cm="1">
        <f t="array" ref="O31">maxDepthToMinSOC($L$8,$L$9,$L$6,$L$7,$U$25,$G$5,$G$6,drivePower($C$4,$S$25,$G31,$C$10,$C$11),I31,$G31,$G$4,$C$8)</f>
        <v>0</v>
      </c>
      <c r="P31" s="58" cm="1">
        <f t="array" ref="P31">maxDepthToMinSOC($L$8,$L$9,$L$6,$L$7,$U$26,$G$5,$G$6,drivePower($C$4,$S$26,$G31,$C$10,$C$11),I31,$G31,$G$4,$C$8)</f>
        <v>119</v>
      </c>
      <c r="Q31" s="86">
        <v>302400</v>
      </c>
      <c r="S31" s="106" t="s">
        <v>148</v>
      </c>
    </row>
    <row r="32" spans="6:24" ht="15" thickBot="1" x14ac:dyDescent="0.4"/>
    <row r="33" spans="8:33" x14ac:dyDescent="0.35">
      <c r="R33" s="87" t="s">
        <v>85</v>
      </c>
      <c r="S33" s="88"/>
      <c r="T33" s="88"/>
      <c r="U33" s="88"/>
      <c r="V33" s="88"/>
      <c r="W33" s="88"/>
      <c r="X33" s="89"/>
      <c r="Y33" s="89"/>
      <c r="Z33" s="89"/>
      <c r="AA33" s="90"/>
      <c r="AB33" s="90"/>
      <c r="AC33" s="91" t="s">
        <v>87</v>
      </c>
      <c r="AD33" s="92"/>
      <c r="AE33" s="93"/>
      <c r="AF33" s="89"/>
    </row>
    <row r="34" spans="8:33" x14ac:dyDescent="0.35">
      <c r="R34" s="53"/>
      <c r="S34" s="53"/>
      <c r="T34" s="53"/>
      <c r="U34" s="53"/>
      <c r="V34" s="94"/>
      <c r="W34" s="95"/>
      <c r="X34" s="90"/>
      <c r="Y34" s="90"/>
      <c r="Z34" s="90"/>
      <c r="AA34" s="90"/>
      <c r="AB34" s="90"/>
      <c r="AC34" s="53"/>
      <c r="AD34" s="53"/>
      <c r="AE34" s="53"/>
      <c r="AF34" s="95"/>
      <c r="AG34" s="39"/>
    </row>
    <row r="35" spans="8:33" ht="58" x14ac:dyDescent="0.35">
      <c r="R35" s="96" t="s">
        <v>86</v>
      </c>
      <c r="S35" s="96" t="s">
        <v>95</v>
      </c>
      <c r="T35" s="96" t="s">
        <v>127</v>
      </c>
      <c r="U35" s="96" t="s">
        <v>126</v>
      </c>
      <c r="V35" s="97" t="s">
        <v>128</v>
      </c>
      <c r="W35" s="97"/>
      <c r="X35" s="96" t="s">
        <v>88</v>
      </c>
      <c r="Y35" s="96" t="s">
        <v>116</v>
      </c>
      <c r="Z35" s="96" t="s">
        <v>117</v>
      </c>
      <c r="AA35" s="96" t="s">
        <v>95</v>
      </c>
      <c r="AB35" s="96" t="s">
        <v>101</v>
      </c>
      <c r="AC35" s="96" t="s">
        <v>82</v>
      </c>
      <c r="AD35" s="98" t="s">
        <v>83</v>
      </c>
      <c r="AE35" s="90"/>
      <c r="AF35" s="90"/>
    </row>
    <row r="36" spans="8:33" x14ac:dyDescent="0.35">
      <c r="H36" s="7"/>
      <c r="I36" s="59"/>
      <c r="J36" s="59"/>
      <c r="K36" s="59"/>
      <c r="L36" s="59"/>
      <c r="M36" s="59"/>
      <c r="N36" s="4"/>
      <c r="O36" s="4"/>
      <c r="P36" s="4"/>
      <c r="Q36" s="4"/>
      <c r="R36" s="99">
        <v>1.5</v>
      </c>
      <c r="S36" s="100" cm="1">
        <f t="array" ref="S36">drivePower($C$4,$C$5,R36,$C$10,$C$11)</f>
        <v>616.5</v>
      </c>
      <c r="T36" s="101">
        <v>0</v>
      </c>
      <c r="U36" s="101">
        <f t="shared" ref="U36:U49" si="4">S36+T36</f>
        <v>616.5</v>
      </c>
      <c r="V36" s="102" cm="1">
        <f t="array" ref="V36">maxDepthToMinSOC($L$8,$L$9,$L$6,$L$7,$L$10,$G$5,$G$6,$S36,T36,$R36,$G$4,$C$8)</f>
        <v>26146</v>
      </c>
      <c r="W36" s="103"/>
      <c r="X36" s="104">
        <v>21600</v>
      </c>
      <c r="Y36" s="99">
        <f t="shared" ref="Y36:Y44" si="5">(X36-4400)*(5*0.048)/4400</f>
        <v>0.93818181818181823</v>
      </c>
      <c r="Z36" s="100">
        <f t="shared" ref="Z36:Z44" si="6">$C$5+Y36</f>
        <v>500.93818181818182</v>
      </c>
      <c r="AA36" s="100" cm="1">
        <f t="array" ref="AA36">drivePower($C$4,Z36,$C$9,$C$10,$C$11)</f>
        <v>823.16709818181823</v>
      </c>
      <c r="AB36" s="104">
        <f t="shared" ref="AB36:AB44" si="7">X36*3.6/1000*$L$4</f>
        <v>933.12000000000012</v>
      </c>
      <c r="AC36" s="102" cm="1">
        <f t="array" ref="AC36">maxDepthToMinSOC($L$8,0,$L$6,$L$7,AB36,$G$5,$G$6,AA36,$C$7,$C$9,$G$4,$C$8)</f>
        <v>0</v>
      </c>
      <c r="AD36" s="102" cm="1">
        <f t="array" ref="AD36">maxDepthToMinSOC($L$8,$L$9,$L$6,$L$7,AB36,$G$5,$G$6,AA36,$C$7,$C$9,$G$4,$C$8)</f>
        <v>0</v>
      </c>
      <c r="AE36" s="90"/>
      <c r="AF36" s="90"/>
    </row>
    <row r="37" spans="8:33" x14ac:dyDescent="0.35">
      <c r="H37" s="7"/>
      <c r="I37" s="59"/>
      <c r="J37" s="59"/>
      <c r="K37" s="59"/>
      <c r="L37" s="59"/>
      <c r="M37" s="59"/>
      <c r="R37" s="99">
        <v>1.5</v>
      </c>
      <c r="S37" s="100" cm="1">
        <f t="array" ref="S37">drivePower($C$4,$C$5,R37,$C$10,$C$11)</f>
        <v>616.5</v>
      </c>
      <c r="T37" s="101">
        <v>100</v>
      </c>
      <c r="U37" s="101">
        <f t="shared" si="4"/>
        <v>716.5</v>
      </c>
      <c r="V37" s="102" cm="1">
        <f t="array" ref="V37">maxDepthToMinSOC($L$8,$L$9,$L$6,$L$7,$L$10,$G$5,$G$6,$S37,T37,$R37,$G$4,$C$8)</f>
        <v>22734</v>
      </c>
      <c r="W37" s="103"/>
      <c r="X37" s="104">
        <v>43200</v>
      </c>
      <c r="Y37" s="99">
        <f t="shared" si="5"/>
        <v>2.1163636363636362</v>
      </c>
      <c r="Z37" s="100">
        <f t="shared" si="6"/>
        <v>502.11636363636364</v>
      </c>
      <c r="AA37" s="100" cm="1">
        <f t="array" ref="AA37">drivePower($C$4,Z37,$C$9,$C$10,$C$11)</f>
        <v>824.63275636363642</v>
      </c>
      <c r="AB37" s="104">
        <f t="shared" si="7"/>
        <v>1866.2400000000002</v>
      </c>
      <c r="AC37" s="102" cm="1">
        <f t="array" ref="AC37">maxDepthToMinSOC($L$8,0,$L$6,$L$7,AB37,$G$5,$G$6,AA37,$C$7,$C$9,$G$4,$C$8)</f>
        <v>531</v>
      </c>
      <c r="AD37" s="102" cm="1">
        <f t="array" ref="AD37">maxDepthToMinSOC($L$8,$L$9,$L$6,$L$7,AB37,$G$5,$G$6,AA37,$C$7,$C$9,$G$4,$C$8)</f>
        <v>68</v>
      </c>
      <c r="AE37" s="90"/>
      <c r="AF37" s="90"/>
    </row>
    <row r="38" spans="8:33" x14ac:dyDescent="0.35">
      <c r="H38" s="7"/>
      <c r="I38" s="59"/>
      <c r="J38" s="59"/>
      <c r="K38" s="59"/>
      <c r="L38" s="59"/>
      <c r="M38" s="59"/>
      <c r="N38" s="6"/>
      <c r="O38" s="6"/>
      <c r="P38" s="6"/>
      <c r="Q38" s="6"/>
      <c r="R38" s="99">
        <v>1.5</v>
      </c>
      <c r="S38" s="100" cm="1">
        <f t="array" ref="S38">drivePower($C$4,$C$5,R38,$C$10,$C$11)</f>
        <v>616.5</v>
      </c>
      <c r="T38" s="101">
        <v>200</v>
      </c>
      <c r="U38" s="101">
        <f t="shared" si="4"/>
        <v>816.5</v>
      </c>
      <c r="V38" s="102" cm="1">
        <f t="array" ref="V38">maxDepthToMinSOC($L$8,$L$9,$L$6,$L$7,$L$10,$G$5,$G$6,$S38,T38,$R38,$G$4,$C$8)</f>
        <v>20044</v>
      </c>
      <c r="W38" s="103"/>
      <c r="X38" s="104">
        <v>64800</v>
      </c>
      <c r="Y38" s="99">
        <f t="shared" si="5"/>
        <v>3.2945454545454544</v>
      </c>
      <c r="Z38" s="100">
        <f t="shared" si="6"/>
        <v>503.29454545454547</v>
      </c>
      <c r="AA38" s="100" cm="1">
        <f t="array" ref="AA38">drivePower($C$4,Z38,$C$9,$C$10,$C$11)</f>
        <v>826.0984145454546</v>
      </c>
      <c r="AB38" s="104">
        <f t="shared" si="7"/>
        <v>2799.36</v>
      </c>
      <c r="AC38" s="102" cm="1">
        <f t="array" ref="AC38">maxDepthToMinSOC($L$8,0,$L$6,$L$7,AB38,$G$5,$G$6,AA38,$C$7,$C$9,$G$4,$C$8)</f>
        <v>1448</v>
      </c>
      <c r="AD38" s="102" cm="1">
        <f t="array" ref="AD38">maxDepthToMinSOC($L$8,$L$9,$L$6,$L$7,AB38,$G$5,$G$6,AA38,$C$7,$C$9,$G$4,$C$8)</f>
        <v>761</v>
      </c>
      <c r="AE38" s="90"/>
      <c r="AF38" s="90"/>
    </row>
    <row r="39" spans="8:33" x14ac:dyDescent="0.35">
      <c r="H39" s="7"/>
      <c r="I39" s="59"/>
      <c r="J39" s="59"/>
      <c r="K39" s="59"/>
      <c r="L39" s="59"/>
      <c r="M39" s="59"/>
      <c r="N39" s="50"/>
      <c r="O39" s="50"/>
      <c r="P39" s="50"/>
      <c r="Q39" s="50"/>
      <c r="R39" s="99">
        <v>1.5</v>
      </c>
      <c r="S39" s="100" cm="1">
        <f t="array" ref="S39">drivePower($C$4,$C$5,R39,$C$10,$C$11)</f>
        <v>616.5</v>
      </c>
      <c r="T39" s="101">
        <v>300</v>
      </c>
      <c r="U39" s="101">
        <f t="shared" si="4"/>
        <v>916.5</v>
      </c>
      <c r="V39" s="102" cm="1">
        <f t="array" ref="V39">maxDepthToMinSOC($L$8,$L$9,$L$6,$L$7,$L$10,$G$5,$G$6,$S39,T39,$R39,$G$4,$C$8)</f>
        <v>17869</v>
      </c>
      <c r="W39" s="103"/>
      <c r="X39" s="104">
        <v>86400</v>
      </c>
      <c r="Y39" s="99">
        <f t="shared" si="5"/>
        <v>4.4727272727272727</v>
      </c>
      <c r="Z39" s="100">
        <f t="shared" si="6"/>
        <v>504.4727272727273</v>
      </c>
      <c r="AA39" s="100" cm="1">
        <f t="array" ref="AA39">drivePower($C$4,Z39,$C$9,$C$10,$C$11)</f>
        <v>827.56407272727279</v>
      </c>
      <c r="AB39" s="104">
        <f t="shared" si="7"/>
        <v>3732.4800000000005</v>
      </c>
      <c r="AC39" s="102" cm="1">
        <f t="array" ref="AC39">maxDepthToMinSOC($L$8,0,$L$6,$L$7,AB39,$G$5,$G$6,AA39,$C$7,$C$9,$G$4,$C$8)</f>
        <v>2351</v>
      </c>
      <c r="AD39" s="102" cm="1">
        <f t="array" ref="AD39">maxDepthToMinSOC($L$8,$L$9,$L$6,$L$7,AB39,$G$5,$G$6,AA39,$C$7,$C$9,$G$4,$C$8)</f>
        <v>1445</v>
      </c>
      <c r="AE39" s="90"/>
      <c r="AF39" s="90"/>
    </row>
    <row r="40" spans="8:33" x14ac:dyDescent="0.35">
      <c r="H40" s="7"/>
      <c r="I40" s="59"/>
      <c r="J40" s="59"/>
      <c r="K40" s="59"/>
      <c r="L40" s="59"/>
      <c r="M40" s="59"/>
      <c r="N40" s="50"/>
      <c r="O40" s="50"/>
      <c r="P40" s="50"/>
      <c r="Q40" s="50"/>
      <c r="R40" s="99">
        <v>1.5</v>
      </c>
      <c r="S40" s="100" cm="1">
        <f t="array" ref="S40">drivePower($C$4,$C$5,R40,$C$10,$C$11)</f>
        <v>616.5</v>
      </c>
      <c r="T40" s="101">
        <v>400</v>
      </c>
      <c r="U40" s="101">
        <f t="shared" si="4"/>
        <v>1016.5</v>
      </c>
      <c r="V40" s="102" cm="1">
        <f t="array" ref="V40">maxDepthToMinSOC($L$8,$L$9,$L$6,$L$7,$L$10,$G$5,$G$6,$S40,T40,$R40,$G$4,$C$8)</f>
        <v>16074</v>
      </c>
      <c r="W40" s="103"/>
      <c r="X40" s="104">
        <v>108000</v>
      </c>
      <c r="Y40" s="99">
        <f t="shared" si="5"/>
        <v>5.6509090909090913</v>
      </c>
      <c r="Z40" s="100">
        <f t="shared" si="6"/>
        <v>505.65090909090907</v>
      </c>
      <c r="AA40" s="100" cm="1">
        <f t="array" ref="AA40">drivePower($C$4,Z40,$C$9,$C$10,$C$11)</f>
        <v>829.02973090909086</v>
      </c>
      <c r="AB40" s="104">
        <f t="shared" si="7"/>
        <v>4665.6000000000004</v>
      </c>
      <c r="AC40" s="102" cm="1">
        <f t="array" ref="AC40">maxDepthToMinSOC($L$8,0,$L$6,$L$7,AB40,$G$5,$G$6,AA40,$C$7,$C$9,$G$4,$C$8)</f>
        <v>3240</v>
      </c>
      <c r="AD40" s="102" cm="1">
        <f t="array" ref="AD40">maxDepthToMinSOC($L$8,$L$9,$L$6,$L$7,AB40,$G$5,$G$6,AA40,$C$7,$C$9,$G$4,$C$8)</f>
        <v>2122</v>
      </c>
      <c r="AE40" s="90"/>
      <c r="AF40" s="90"/>
    </row>
    <row r="41" spans="8:33" x14ac:dyDescent="0.35">
      <c r="H41" s="7"/>
      <c r="I41" s="59"/>
      <c r="J41" s="59"/>
      <c r="K41" s="59"/>
      <c r="L41" s="59"/>
      <c r="M41" s="59"/>
      <c r="N41" s="50"/>
      <c r="O41" s="50"/>
      <c r="P41" s="50"/>
      <c r="Q41" s="50"/>
      <c r="R41" s="99">
        <v>1.5</v>
      </c>
      <c r="S41" s="100" cm="1">
        <f t="array" ref="S41">drivePower($C$4,$C$5,R41,$C$10,$C$11)</f>
        <v>616.5</v>
      </c>
      <c r="T41" s="101">
        <v>500</v>
      </c>
      <c r="U41" s="101">
        <f t="shared" si="4"/>
        <v>1116.5</v>
      </c>
      <c r="V41" s="102" cm="1">
        <f t="array" ref="V41">maxDepthToMinSOC($L$8,$L$9,$L$6,$L$7,$L$10,$G$5,$G$6,$S41,T41,$R41,$G$4,$C$8)</f>
        <v>14567</v>
      </c>
      <c r="W41" s="103"/>
      <c r="X41" s="104">
        <v>129600</v>
      </c>
      <c r="Y41" s="99">
        <f t="shared" si="5"/>
        <v>6.8290909090909091</v>
      </c>
      <c r="Z41" s="100">
        <f t="shared" si="6"/>
        <v>506.82909090909089</v>
      </c>
      <c r="AA41" s="100" cm="1">
        <f t="array" ref="AA41">drivePower($C$4,Z41,$C$9,$C$10,$C$11)</f>
        <v>830.49538909090904</v>
      </c>
      <c r="AB41" s="104">
        <f t="shared" si="7"/>
        <v>5598.72</v>
      </c>
      <c r="AC41" s="102" cm="1">
        <f t="array" ref="AC41">maxDepthToMinSOC($L$8,0,$L$6,$L$7,AB41,$G$5,$G$6,AA41,$C$7,$C$9,$G$4,$C$8)</f>
        <v>4117</v>
      </c>
      <c r="AD41" s="102" cm="1">
        <f t="array" ref="AD41">maxDepthToMinSOC($L$8,$L$9,$L$6,$L$7,AB41,$G$5,$G$6,AA41,$C$7,$C$9,$G$4,$C$8)</f>
        <v>2790</v>
      </c>
      <c r="AE41" s="90"/>
      <c r="AF41" s="90"/>
    </row>
    <row r="42" spans="8:33" x14ac:dyDescent="0.35">
      <c r="H42" s="7"/>
      <c r="I42" s="59"/>
      <c r="J42" s="59"/>
      <c r="K42" s="59"/>
      <c r="L42" s="59"/>
      <c r="M42" s="59"/>
      <c r="N42" s="50"/>
      <c r="O42" s="50"/>
      <c r="P42" s="50"/>
      <c r="Q42" s="50"/>
      <c r="R42" s="99">
        <v>1.5</v>
      </c>
      <c r="S42" s="100" cm="1">
        <f t="array" ref="S42">drivePower($C$4,$C$5,R42,$C$10,$C$11)</f>
        <v>616.5</v>
      </c>
      <c r="T42" s="101">
        <v>600</v>
      </c>
      <c r="U42" s="101">
        <f t="shared" si="4"/>
        <v>1216.5</v>
      </c>
      <c r="V42" s="102" cm="1">
        <f t="array" ref="V42">maxDepthToMinSOC($L$8,$L$9,$L$6,$L$7,$L$10,$G$5,$G$6,$S42,T42,$R42,$G$4,$C$8)</f>
        <v>13283</v>
      </c>
      <c r="W42" s="103"/>
      <c r="X42" s="104">
        <v>151200</v>
      </c>
      <c r="Y42" s="99">
        <f t="shared" si="5"/>
        <v>8.0072727272727278</v>
      </c>
      <c r="Z42" s="100">
        <f t="shared" si="6"/>
        <v>508.00727272727272</v>
      </c>
      <c r="AA42" s="100" cm="1">
        <f t="array" ref="AA42">drivePower($C$4,Z42,$C$9,$C$10,$C$11)</f>
        <v>831.96104727272723</v>
      </c>
      <c r="AB42" s="104">
        <f t="shared" si="7"/>
        <v>6531.84</v>
      </c>
      <c r="AC42" s="102" cm="1">
        <f t="array" ref="AC42">maxDepthToMinSOC($L$8,0,$L$6,$L$7,AB42,$G$5,$G$6,AA42,$C$7,$C$9,$G$4,$C$8)</f>
        <v>4981</v>
      </c>
      <c r="AD42" s="102" cm="1">
        <f t="array" ref="AD42">maxDepthToMinSOC($L$8,$L$9,$L$6,$L$7,AB42,$G$5,$G$6,AA42,$C$7,$C$9,$G$4,$C$8)</f>
        <v>3451</v>
      </c>
      <c r="AE42" s="90"/>
      <c r="AF42" s="90"/>
    </row>
    <row r="43" spans="8:33" x14ac:dyDescent="0.35">
      <c r="H43" s="7"/>
      <c r="I43" s="59"/>
      <c r="J43" s="59"/>
      <c r="K43" s="59"/>
      <c r="L43" s="59"/>
      <c r="M43" s="59"/>
      <c r="N43" s="50"/>
      <c r="O43" s="50"/>
      <c r="P43" s="50"/>
      <c r="Q43" s="50"/>
      <c r="R43" s="99">
        <v>1.5</v>
      </c>
      <c r="S43" s="100" cm="1">
        <f t="array" ref="S43">drivePower($C$4,$C$5,R43,$C$10,$C$11)</f>
        <v>616.5</v>
      </c>
      <c r="T43" s="101">
        <v>700</v>
      </c>
      <c r="U43" s="101">
        <f t="shared" si="4"/>
        <v>1316.5</v>
      </c>
      <c r="V43" s="102" cm="1">
        <f t="array" ref="V43">maxDepthToMinSOC($L$8,$L$9,$L$6,$L$7,$L$10,$G$5,$G$6,$S43,T43,$R43,$G$4,$C$8)</f>
        <v>12178</v>
      </c>
      <c r="W43" s="103"/>
      <c r="X43" s="104">
        <v>172800</v>
      </c>
      <c r="Y43" s="99">
        <f t="shared" si="5"/>
        <v>9.1854545454545455</v>
      </c>
      <c r="Z43" s="100">
        <f t="shared" si="6"/>
        <v>509.18545454545455</v>
      </c>
      <c r="AA43" s="100" cm="1">
        <f t="array" ref="AA43">drivePower($C$4,Z43,$C$9,$C$10,$C$11)</f>
        <v>833.42670545454541</v>
      </c>
      <c r="AB43" s="104">
        <f t="shared" si="7"/>
        <v>7464.9600000000009</v>
      </c>
      <c r="AC43" s="102" cm="1">
        <f t="array" ref="AC43">maxDepthToMinSOC($L$8,0,$L$6,$L$7,AB43,$G$5,$G$6,AA43,$C$7,$C$9,$G$4,$C$8)</f>
        <v>5833</v>
      </c>
      <c r="AD43" s="102" cm="1">
        <f t="array" ref="AD43">maxDepthToMinSOC($L$8,$L$9,$L$6,$L$7,AB43,$G$5,$G$6,AA43,$C$7,$C$9,$G$4,$C$8)</f>
        <v>4104</v>
      </c>
      <c r="AE43" s="90"/>
      <c r="AF43" s="90"/>
    </row>
    <row r="44" spans="8:33" x14ac:dyDescent="0.35">
      <c r="H44" s="7"/>
      <c r="I44" s="59"/>
      <c r="J44" s="59"/>
      <c r="K44" s="59"/>
      <c r="L44" s="59"/>
      <c r="M44" s="59"/>
      <c r="N44" s="50"/>
      <c r="O44" s="50"/>
      <c r="P44" s="50"/>
      <c r="Q44" s="50"/>
      <c r="R44" s="99">
        <v>1.5</v>
      </c>
      <c r="S44" s="100" cm="1">
        <f t="array" ref="S44">drivePower($C$4,$C$5,R44,$C$10,$C$11)</f>
        <v>616.5</v>
      </c>
      <c r="T44" s="101">
        <v>800</v>
      </c>
      <c r="U44" s="101">
        <f t="shared" si="4"/>
        <v>1416.5</v>
      </c>
      <c r="V44" s="102" cm="1">
        <f t="array" ref="V44">maxDepthToMinSOC($L$8,$L$9,$L$6,$L$7,$L$10,$G$5,$G$6,$S44,T44,$R44,$G$4,$C$8)</f>
        <v>11215</v>
      </c>
      <c r="W44" s="103"/>
      <c r="X44" s="104">
        <v>194400</v>
      </c>
      <c r="Y44" s="99">
        <f t="shared" si="5"/>
        <v>10.363636363636363</v>
      </c>
      <c r="Z44" s="100">
        <f t="shared" si="6"/>
        <v>510.36363636363637</v>
      </c>
      <c r="AA44" s="100" cm="1">
        <f t="array" ref="AA44">drivePower($C$4,Z44,$C$9,$C$10,$C$11)</f>
        <v>834.8923636363636</v>
      </c>
      <c r="AB44" s="104">
        <f t="shared" si="7"/>
        <v>8398.08</v>
      </c>
      <c r="AC44" s="102" cm="1">
        <f t="array" ref="AC44">maxDepthToMinSOC($L$8,0,$L$6,$L$7,AB44,$G$5,$G$6,AA44,$C$7,$C$9,$G$4,$C$8)</f>
        <v>6672</v>
      </c>
      <c r="AD44" s="102" cm="1">
        <f t="array" ref="AD44">maxDepthToMinSOC($L$8,$L$9,$L$6,$L$7,AB44,$G$5,$G$6,AA44,$C$7,$C$9,$G$4,$C$8)</f>
        <v>4750</v>
      </c>
      <c r="AE44" s="90"/>
      <c r="AF44" s="90"/>
    </row>
    <row r="45" spans="8:33" x14ac:dyDescent="0.35">
      <c r="H45" s="7"/>
      <c r="I45" s="59"/>
      <c r="J45" s="59"/>
      <c r="K45" s="59"/>
      <c r="L45" s="59"/>
      <c r="M45" s="59"/>
      <c r="N45" s="50"/>
      <c r="O45" s="50"/>
      <c r="P45" s="50"/>
      <c r="Q45" s="50"/>
      <c r="R45" s="99">
        <v>1.5</v>
      </c>
      <c r="S45" s="100" cm="1">
        <f t="array" ref="S45">drivePower($C$4,$C$5,R45,$C$10,$C$11)</f>
        <v>616.5</v>
      </c>
      <c r="T45" s="101">
        <v>900</v>
      </c>
      <c r="U45" s="101">
        <f t="shared" si="4"/>
        <v>1516.5</v>
      </c>
      <c r="V45" s="102" cm="1">
        <f t="array" ref="V45">maxDepthToMinSOC($L$8,$L$9,$L$6,$L$7,$L$10,$G$5,$G$6,$S45,T45,$R45,$G$4,$C$8)</f>
        <v>10369</v>
      </c>
      <c r="W45" s="105"/>
      <c r="X45" s="90"/>
      <c r="Y45" s="90"/>
      <c r="Z45" s="90"/>
      <c r="AA45" s="90"/>
      <c r="AB45" s="90"/>
      <c r="AC45" s="90"/>
      <c r="AD45" s="90"/>
      <c r="AE45" s="90"/>
      <c r="AF45" s="90"/>
    </row>
    <row r="46" spans="8:33" x14ac:dyDescent="0.35">
      <c r="H46" s="7"/>
      <c r="I46" s="59"/>
      <c r="J46" s="59"/>
      <c r="K46" s="59"/>
      <c r="L46" s="59"/>
      <c r="M46" s="59"/>
      <c r="N46" s="50"/>
      <c r="O46" s="50"/>
      <c r="P46" s="50"/>
      <c r="Q46" s="50"/>
      <c r="R46" s="99">
        <v>1.5</v>
      </c>
      <c r="S46" s="100" cm="1">
        <f t="array" ref="S46">drivePower($C$4,$C$5,R46,$C$10,$C$11)</f>
        <v>616.5</v>
      </c>
      <c r="T46" s="101">
        <v>1000</v>
      </c>
      <c r="U46" s="101">
        <f t="shared" si="4"/>
        <v>1616.5</v>
      </c>
      <c r="V46" s="102" cm="1">
        <f t="array" ref="V46">maxDepthToMinSOC($L$8,$L$9,$L$6,$L$7,$L$10,$G$5,$G$6,$S46,T46,$R46,$G$4,$C$8)</f>
        <v>9621</v>
      </c>
      <c r="W46" s="105"/>
      <c r="X46" s="90"/>
      <c r="Y46" s="90"/>
      <c r="Z46" s="90"/>
      <c r="AA46" s="90"/>
      <c r="AB46" s="90"/>
      <c r="AC46" s="90"/>
      <c r="AD46" s="90"/>
      <c r="AE46" s="90"/>
      <c r="AF46" s="90"/>
    </row>
    <row r="47" spans="8:33" x14ac:dyDescent="0.35">
      <c r="H47" s="7"/>
      <c r="I47" s="59"/>
      <c r="J47" s="59"/>
      <c r="K47" s="59"/>
      <c r="L47" s="59"/>
      <c r="M47" s="59"/>
      <c r="N47" s="50"/>
      <c r="O47" s="50"/>
      <c r="P47" s="50"/>
      <c r="Q47" s="50"/>
      <c r="R47" s="99">
        <v>1.5</v>
      </c>
      <c r="S47" s="100" cm="1">
        <f t="array" ref="S47">drivePower($C$4,$C$5,R47,$C$10,$C$11)</f>
        <v>616.5</v>
      </c>
      <c r="T47" s="101">
        <v>1100</v>
      </c>
      <c r="U47" s="101">
        <f t="shared" si="4"/>
        <v>1716.5</v>
      </c>
      <c r="V47" s="102" cm="1">
        <f t="array" ref="V47">maxDepthToMinSOC($L$8,$L$9,$L$6,$L$7,$L$10,$G$5,$G$6,$S47,T47,$R47,$G$4,$C$8)</f>
        <v>8953</v>
      </c>
      <c r="W47" s="105"/>
      <c r="X47" s="90"/>
      <c r="Y47" s="90"/>
      <c r="Z47" s="90"/>
      <c r="AA47" s="90"/>
      <c r="AB47" s="90"/>
      <c r="AC47" s="90"/>
      <c r="AD47" s="90"/>
      <c r="AE47" s="90"/>
      <c r="AF47" s="90"/>
    </row>
    <row r="48" spans="8:33" x14ac:dyDescent="0.35">
      <c r="H48" s="7"/>
      <c r="I48" s="59"/>
      <c r="J48" s="59"/>
      <c r="K48" s="59"/>
      <c r="L48" s="59"/>
      <c r="M48" s="59"/>
      <c r="N48" s="50"/>
      <c r="O48" s="50"/>
      <c r="P48" s="50"/>
      <c r="Q48" s="50"/>
      <c r="R48" s="99">
        <v>1.5</v>
      </c>
      <c r="S48" s="100" cm="1">
        <f t="array" ref="S48">drivePower($C$4,$C$5,R48,$C$10,$C$11)</f>
        <v>616.5</v>
      </c>
      <c r="T48" s="101">
        <v>1200</v>
      </c>
      <c r="U48" s="101">
        <f t="shared" si="4"/>
        <v>1816.5</v>
      </c>
      <c r="V48" s="102" cm="1">
        <f t="array" ref="V48">maxDepthToMinSOC($L$8,$L$9,$L$6,$L$7,$L$10,$G$5,$G$6,$S48,T48,$R48,$G$4,$C$8)</f>
        <v>8354</v>
      </c>
      <c r="W48" s="105"/>
      <c r="X48" s="90"/>
      <c r="Y48" s="90"/>
      <c r="Z48" s="90"/>
      <c r="AA48" s="90"/>
      <c r="AB48" s="90"/>
      <c r="AC48" s="90"/>
      <c r="AD48" s="90"/>
      <c r="AE48" s="90"/>
      <c r="AF48" s="90"/>
    </row>
    <row r="49" spans="4:33" x14ac:dyDescent="0.35">
      <c r="H49" s="7"/>
      <c r="I49" s="59"/>
      <c r="J49" s="59"/>
      <c r="K49" s="59"/>
      <c r="L49" s="59"/>
      <c r="M49" s="59"/>
      <c r="N49" s="50"/>
      <c r="O49" s="50"/>
      <c r="P49" s="50"/>
      <c r="Q49" s="50"/>
      <c r="R49" s="99">
        <v>1.5</v>
      </c>
      <c r="S49" s="100" cm="1">
        <f t="array" ref="S49">drivePower($C$4,$C$5,R49,$C$10,$C$11)</f>
        <v>616.5</v>
      </c>
      <c r="T49" s="101">
        <v>1300</v>
      </c>
      <c r="U49" s="101">
        <f t="shared" si="4"/>
        <v>1916.5</v>
      </c>
      <c r="V49" s="102" cm="1">
        <f t="array" ref="V49">maxDepthToMinSOC($L$8,$L$9,$L$6,$L$7,$L$10,$G$5,$G$6,$S49,T49,$R49,$G$4,$C$8)</f>
        <v>7814</v>
      </c>
      <c r="W49" s="105"/>
      <c r="X49" s="90"/>
      <c r="Y49" s="90"/>
      <c r="Z49" s="90"/>
      <c r="AA49" s="90"/>
      <c r="AB49" s="90"/>
      <c r="AC49" s="90"/>
      <c r="AD49" s="90"/>
      <c r="AE49" s="90"/>
      <c r="AF49" s="90"/>
    </row>
    <row r="50" spans="4:33" x14ac:dyDescent="0.35">
      <c r="H50" s="7"/>
      <c r="I50" s="59"/>
      <c r="J50" s="59"/>
      <c r="K50" s="59"/>
      <c r="L50" s="59"/>
      <c r="M50" s="59"/>
      <c r="N50" s="50"/>
      <c r="O50" s="50"/>
      <c r="P50" s="50"/>
      <c r="Q50" s="50"/>
      <c r="R50" s="90"/>
      <c r="S50" s="90"/>
      <c r="T50" s="90"/>
      <c r="U50" s="90"/>
      <c r="V50" s="90"/>
      <c r="W50" s="90"/>
      <c r="X50" s="90"/>
      <c r="Y50" s="90"/>
      <c r="Z50" s="90"/>
      <c r="AA50" s="90"/>
      <c r="AB50" s="90"/>
      <c r="AC50" s="90"/>
      <c r="AD50" s="90"/>
      <c r="AE50" s="90"/>
      <c r="AF50" s="90"/>
    </row>
    <row r="51" spans="4:33" x14ac:dyDescent="0.35">
      <c r="H51" s="7"/>
      <c r="I51" s="59"/>
      <c r="J51" s="59"/>
      <c r="K51" s="59"/>
      <c r="L51" s="59"/>
      <c r="M51" s="59"/>
      <c r="N51" s="50"/>
      <c r="O51" s="50"/>
      <c r="P51" s="50"/>
      <c r="Q51" s="50"/>
      <c r="R51" s="90"/>
      <c r="S51" s="90"/>
      <c r="T51" s="90"/>
      <c r="U51" s="90"/>
      <c r="V51" s="90"/>
      <c r="W51" s="90"/>
      <c r="X51" s="90"/>
      <c r="Y51" s="90"/>
      <c r="Z51" s="90"/>
      <c r="AA51" s="90"/>
      <c r="AB51" s="90"/>
      <c r="AC51" s="90"/>
      <c r="AD51" s="90"/>
      <c r="AE51" s="90"/>
      <c r="AF51" s="90"/>
    </row>
    <row r="52" spans="4:33" ht="15" thickBot="1" x14ac:dyDescent="0.4">
      <c r="D52" s="106" t="s">
        <v>149</v>
      </c>
      <c r="H52" s="7"/>
      <c r="I52" s="59"/>
      <c r="J52" s="59"/>
      <c r="K52" s="59"/>
      <c r="L52" s="59"/>
      <c r="M52" s="59"/>
      <c r="N52" s="50"/>
      <c r="O52" s="50"/>
      <c r="P52" s="50"/>
      <c r="Q52" s="50"/>
      <c r="R52" s="90"/>
      <c r="S52" s="90"/>
      <c r="T52" s="90"/>
      <c r="U52" s="90"/>
      <c r="V52" s="90"/>
      <c r="W52" s="90"/>
      <c r="X52" s="90"/>
      <c r="Y52" s="90"/>
      <c r="Z52" s="90"/>
      <c r="AA52" s="90"/>
      <c r="AB52" s="90"/>
      <c r="AC52" s="90"/>
      <c r="AD52" s="90"/>
      <c r="AE52" s="90"/>
      <c r="AF52" s="90"/>
    </row>
    <row r="53" spans="4:33" x14ac:dyDescent="0.35">
      <c r="H53" s="7"/>
      <c r="I53" s="59"/>
      <c r="J53" s="59"/>
      <c r="K53" s="59"/>
      <c r="L53" s="59"/>
      <c r="M53" s="59"/>
      <c r="R53" s="87" t="s">
        <v>85</v>
      </c>
      <c r="S53" s="88"/>
      <c r="T53" s="88"/>
      <c r="U53" s="88"/>
      <c r="V53" s="88"/>
      <c r="W53" s="88"/>
      <c r="X53" s="89"/>
      <c r="Y53" s="89"/>
      <c r="Z53" s="89"/>
      <c r="AA53" s="90"/>
      <c r="AB53" s="90"/>
      <c r="AC53" s="91" t="s">
        <v>87</v>
      </c>
      <c r="AD53" s="92"/>
      <c r="AE53" s="93"/>
      <c r="AF53" s="89"/>
    </row>
    <row r="54" spans="4:33" x14ac:dyDescent="0.35">
      <c r="H54" s="7"/>
      <c r="I54" s="59"/>
      <c r="J54" s="59"/>
      <c r="K54" s="59"/>
      <c r="L54" s="59"/>
      <c r="M54" s="59"/>
      <c r="R54" s="53"/>
      <c r="S54" s="53"/>
      <c r="T54" s="53"/>
      <c r="U54" s="53"/>
      <c r="V54" s="94"/>
      <c r="W54" s="95"/>
      <c r="X54" s="90"/>
      <c r="Y54" s="90"/>
      <c r="Z54" s="90"/>
      <c r="AA54" s="90"/>
      <c r="AB54" s="90"/>
      <c r="AC54" s="53"/>
      <c r="AD54" s="53"/>
      <c r="AE54" s="53"/>
      <c r="AF54" s="95"/>
      <c r="AG54" s="39"/>
    </row>
    <row r="55" spans="4:33" ht="58" x14ac:dyDescent="0.35">
      <c r="H55" s="7"/>
      <c r="I55" s="59"/>
      <c r="J55" s="59"/>
      <c r="K55" s="59"/>
      <c r="L55" s="59"/>
      <c r="M55" s="59"/>
      <c r="R55" s="96" t="s">
        <v>86</v>
      </c>
      <c r="S55" s="96" t="s">
        <v>95</v>
      </c>
      <c r="T55" s="96" t="s">
        <v>127</v>
      </c>
      <c r="U55" s="96" t="s">
        <v>126</v>
      </c>
      <c r="V55" s="97" t="s">
        <v>128</v>
      </c>
      <c r="W55" s="97"/>
      <c r="X55" s="96" t="s">
        <v>88</v>
      </c>
      <c r="Y55" s="96" t="s">
        <v>116</v>
      </c>
      <c r="Z55" s="96" t="s">
        <v>117</v>
      </c>
      <c r="AA55" s="96" t="s">
        <v>95</v>
      </c>
      <c r="AB55" s="96" t="s">
        <v>101</v>
      </c>
      <c r="AC55" s="96" t="s">
        <v>82</v>
      </c>
      <c r="AD55" s="98" t="s">
        <v>83</v>
      </c>
      <c r="AE55" s="90"/>
      <c r="AF55" s="90"/>
    </row>
    <row r="56" spans="4:33" x14ac:dyDescent="0.35">
      <c r="H56" s="7"/>
      <c r="I56" s="59"/>
      <c r="J56" s="59"/>
      <c r="K56" s="59"/>
      <c r="L56" s="59"/>
      <c r="M56" s="59"/>
      <c r="R56" s="99">
        <v>2</v>
      </c>
      <c r="S56" s="100" cm="1">
        <f t="array" ref="S56">drivePower($C$4,$C$5,R56,$C$10,$C$11)</f>
        <v>822</v>
      </c>
      <c r="T56" s="101">
        <v>0</v>
      </c>
      <c r="U56" s="101">
        <f t="shared" ref="U56:U69" si="8">S56+T56</f>
        <v>822</v>
      </c>
      <c r="V56" s="102" cm="1">
        <f t="array" ref="V56">maxDepthToMinSOC($L$8,$L$9,$L$6,$L$7,$L$10,$G$5,$G$6,$S56,T56,$R56,$G$4,$C$8)</f>
        <v>26108</v>
      </c>
      <c r="W56" s="103"/>
      <c r="X56" s="104">
        <v>21600</v>
      </c>
      <c r="Y56" s="99">
        <f t="shared" ref="Y56:Y64" si="9">(X56-4400)*(5*0.048)/4400</f>
        <v>0.93818181818181823</v>
      </c>
      <c r="Z56" s="100">
        <f t="shared" ref="Z56:Z64" si="10">$C$5+Y56</f>
        <v>500.93818181818182</v>
      </c>
      <c r="AA56" s="100" cm="1">
        <f t="array" ref="AA56">drivePower($C$4,Z56,$C$9,$C$10,$C$11)</f>
        <v>823.16709818181823</v>
      </c>
      <c r="AB56" s="104">
        <f t="shared" ref="AB56:AB64" si="11">X56*3.6/1000*$L$4</f>
        <v>933.12000000000012</v>
      </c>
      <c r="AC56" s="102" cm="1">
        <f t="array" ref="AC56">maxDepthToMinSOC($L$8,0,$L$6,$L$7,AB56,$G$5,$G$6,AA56,$C$7,$C$9,$G$4,$C$8)</f>
        <v>0</v>
      </c>
      <c r="AD56" s="102" cm="1">
        <f t="array" ref="AD56">maxDepthToMinSOC($L$8,$L$9,$L$6,$L$7,AB56,$G$5,$G$6,AA56,$C$7,$C$9,$G$4,$C$8)</f>
        <v>0</v>
      </c>
      <c r="AE56" s="90"/>
      <c r="AF56" s="90"/>
    </row>
    <row r="57" spans="4:33" x14ac:dyDescent="0.35">
      <c r="H57" s="7"/>
      <c r="I57" s="59"/>
      <c r="J57" s="59"/>
      <c r="K57" s="59"/>
      <c r="L57" s="59"/>
      <c r="M57" s="59"/>
      <c r="R57" s="99">
        <v>2</v>
      </c>
      <c r="S57" s="100" cm="1">
        <f t="array" ref="S57">drivePower($C$4,$C$5,R57,$C$10,$C$11)</f>
        <v>822</v>
      </c>
      <c r="T57" s="101">
        <v>100</v>
      </c>
      <c r="U57" s="101">
        <f t="shared" si="8"/>
        <v>922</v>
      </c>
      <c r="V57" s="102" cm="1">
        <f t="array" ref="V57">maxDepthToMinSOC($L$8,$L$9,$L$6,$L$7,$L$10,$G$5,$G$6,$S57,T57,$R57,$G$4,$C$8)</f>
        <v>23393</v>
      </c>
      <c r="W57" s="103"/>
      <c r="X57" s="104">
        <v>43200</v>
      </c>
      <c r="Y57" s="99">
        <f t="shared" si="9"/>
        <v>2.1163636363636362</v>
      </c>
      <c r="Z57" s="100">
        <f t="shared" si="10"/>
        <v>502.11636363636364</v>
      </c>
      <c r="AA57" s="100" cm="1">
        <f t="array" ref="AA57">drivePower($C$4,Z57,$C$9,$C$10,$C$11)</f>
        <v>824.63275636363642</v>
      </c>
      <c r="AB57" s="104">
        <f t="shared" si="11"/>
        <v>1866.2400000000002</v>
      </c>
      <c r="AC57" s="102" cm="1">
        <f t="array" ref="AC57">maxDepthToMinSOC($L$8,0,$L$6,$L$7,AB57,$G$5,$G$6,AA57,$C$7,$C$9,$G$4,$C$8)</f>
        <v>531</v>
      </c>
      <c r="AD57" s="102" cm="1">
        <f t="array" ref="AD57">maxDepthToMinSOC($L$8,$L$9,$L$6,$L$7,AB57,$G$5,$G$6,AA57,$C$7,$C$9,$G$4,$C$8)</f>
        <v>68</v>
      </c>
      <c r="AE57" s="90"/>
      <c r="AF57" s="90"/>
    </row>
    <row r="58" spans="4:33" x14ac:dyDescent="0.35">
      <c r="H58" s="7"/>
      <c r="I58" s="59"/>
      <c r="J58" s="59"/>
      <c r="K58" s="59"/>
      <c r="L58" s="59"/>
      <c r="M58" s="59"/>
      <c r="R58" s="99">
        <v>2</v>
      </c>
      <c r="S58" s="100" cm="1">
        <f t="array" ref="S58">drivePower($C$4,$C$5,R58,$C$10,$C$11)</f>
        <v>822</v>
      </c>
      <c r="T58" s="101">
        <v>200</v>
      </c>
      <c r="U58" s="101">
        <f t="shared" si="8"/>
        <v>1022</v>
      </c>
      <c r="V58" s="102" cm="1">
        <f t="array" ref="V58">maxDepthToMinSOC($L$8,$L$9,$L$6,$L$7,$L$10,$G$5,$G$6,$S58,T58,$R58,$G$4,$C$8)</f>
        <v>21133</v>
      </c>
      <c r="W58" s="103"/>
      <c r="X58" s="104">
        <v>64800</v>
      </c>
      <c r="Y58" s="99">
        <f t="shared" si="9"/>
        <v>3.2945454545454544</v>
      </c>
      <c r="Z58" s="100">
        <f t="shared" si="10"/>
        <v>503.29454545454547</v>
      </c>
      <c r="AA58" s="100" cm="1">
        <f t="array" ref="AA58">drivePower($C$4,Z58,$C$9,$C$10,$C$11)</f>
        <v>826.0984145454546</v>
      </c>
      <c r="AB58" s="104">
        <f t="shared" si="11"/>
        <v>2799.36</v>
      </c>
      <c r="AC58" s="102" cm="1">
        <f t="array" ref="AC58">maxDepthToMinSOC($L$8,0,$L$6,$L$7,AB58,$G$5,$G$6,AA58,$C$7,$C$9,$G$4,$C$8)</f>
        <v>1448</v>
      </c>
      <c r="AD58" s="102" cm="1">
        <f t="array" ref="AD58">maxDepthToMinSOC($L$8,$L$9,$L$6,$L$7,AB58,$G$5,$G$6,AA58,$C$7,$C$9,$G$4,$C$8)</f>
        <v>761</v>
      </c>
      <c r="AE58" s="90"/>
      <c r="AF58" s="90"/>
    </row>
    <row r="59" spans="4:33" x14ac:dyDescent="0.35">
      <c r="R59" s="99">
        <v>2</v>
      </c>
      <c r="S59" s="100" cm="1">
        <f t="array" ref="S59">drivePower($C$4,$C$5,R59,$C$10,$C$11)</f>
        <v>822</v>
      </c>
      <c r="T59" s="101">
        <v>300</v>
      </c>
      <c r="U59" s="101">
        <f t="shared" si="8"/>
        <v>1122</v>
      </c>
      <c r="V59" s="102" cm="1">
        <f t="array" ref="V59">maxDepthToMinSOC($L$8,$L$9,$L$6,$L$7,$L$10,$G$5,$G$6,$S59,T59,$R59,$G$4,$C$8)</f>
        <v>19221</v>
      </c>
      <c r="W59" s="103"/>
      <c r="X59" s="104">
        <v>86400</v>
      </c>
      <c r="Y59" s="99">
        <f t="shared" si="9"/>
        <v>4.4727272727272727</v>
      </c>
      <c r="Z59" s="100">
        <f t="shared" si="10"/>
        <v>504.4727272727273</v>
      </c>
      <c r="AA59" s="100" cm="1">
        <f t="array" ref="AA59">drivePower($C$4,Z59,$C$9,$C$10,$C$11)</f>
        <v>827.56407272727279</v>
      </c>
      <c r="AB59" s="104">
        <f t="shared" si="11"/>
        <v>3732.4800000000005</v>
      </c>
      <c r="AC59" s="102" cm="1">
        <f t="array" ref="AC59">maxDepthToMinSOC($L$8,0,$L$6,$L$7,AB59,$G$5,$G$6,AA59,$C$7,$C$9,$G$4,$C$8)</f>
        <v>2351</v>
      </c>
      <c r="AD59" s="102" cm="1">
        <f t="array" ref="AD59">maxDepthToMinSOC($L$8,$L$9,$L$6,$L$7,AB59,$G$5,$G$6,AA59,$C$7,$C$9,$G$4,$C$8)</f>
        <v>1445</v>
      </c>
      <c r="AE59" s="90"/>
      <c r="AF59" s="90"/>
    </row>
    <row r="60" spans="4:33" x14ac:dyDescent="0.35">
      <c r="R60" s="99">
        <v>2</v>
      </c>
      <c r="S60" s="100" cm="1">
        <f t="array" ref="S60">drivePower($C$4,$C$5,R60,$C$10,$C$11)</f>
        <v>822</v>
      </c>
      <c r="T60" s="101">
        <v>400</v>
      </c>
      <c r="U60" s="101">
        <f t="shared" si="8"/>
        <v>1222</v>
      </c>
      <c r="V60" s="102" cm="1">
        <f t="array" ref="V60">maxDepthToMinSOC($L$8,$L$9,$L$6,$L$7,$L$10,$G$5,$G$6,$S60,T60,$R60,$G$4,$C$8)</f>
        <v>17584</v>
      </c>
      <c r="W60" s="103"/>
      <c r="X60" s="104">
        <v>108000</v>
      </c>
      <c r="Y60" s="99">
        <f t="shared" si="9"/>
        <v>5.6509090909090913</v>
      </c>
      <c r="Z60" s="100">
        <f t="shared" si="10"/>
        <v>505.65090909090907</v>
      </c>
      <c r="AA60" s="100" cm="1">
        <f t="array" ref="AA60">drivePower($C$4,Z60,$C$9,$C$10,$C$11)</f>
        <v>829.02973090909086</v>
      </c>
      <c r="AB60" s="104">
        <f t="shared" si="11"/>
        <v>4665.6000000000004</v>
      </c>
      <c r="AC60" s="102" cm="1">
        <f t="array" ref="AC60">maxDepthToMinSOC($L$8,0,$L$6,$L$7,AB60,$G$5,$G$6,AA60,$C$7,$C$9,$G$4,$C$8)</f>
        <v>3240</v>
      </c>
      <c r="AD60" s="102" cm="1">
        <f t="array" ref="AD60">maxDepthToMinSOC($L$8,$L$9,$L$6,$L$7,AB60,$G$5,$G$6,AA60,$C$7,$C$9,$G$4,$C$8)</f>
        <v>2122</v>
      </c>
      <c r="AE60" s="90"/>
      <c r="AF60" s="90"/>
    </row>
    <row r="61" spans="4:33" x14ac:dyDescent="0.35">
      <c r="R61" s="99">
        <v>2</v>
      </c>
      <c r="S61" s="100" cm="1">
        <f t="array" ref="S61">drivePower($C$4,$C$5,R61,$C$10,$C$11)</f>
        <v>822</v>
      </c>
      <c r="T61" s="101">
        <v>500</v>
      </c>
      <c r="U61" s="101">
        <f t="shared" si="8"/>
        <v>1322</v>
      </c>
      <c r="V61" s="102" cm="1">
        <f t="array" ref="V61">maxDepthToMinSOC($L$8,$L$9,$L$6,$L$7,$L$10,$G$5,$G$6,$S61,T61,$R61,$G$4,$C$8)</f>
        <v>16167</v>
      </c>
      <c r="W61" s="103"/>
      <c r="X61" s="104">
        <v>129600</v>
      </c>
      <c r="Y61" s="99">
        <f t="shared" si="9"/>
        <v>6.8290909090909091</v>
      </c>
      <c r="Z61" s="100">
        <f t="shared" si="10"/>
        <v>506.82909090909089</v>
      </c>
      <c r="AA61" s="100" cm="1">
        <f t="array" ref="AA61">drivePower($C$4,Z61,$C$9,$C$10,$C$11)</f>
        <v>830.49538909090904</v>
      </c>
      <c r="AB61" s="104">
        <f t="shared" si="11"/>
        <v>5598.72</v>
      </c>
      <c r="AC61" s="102" cm="1">
        <f t="array" ref="AC61">maxDepthToMinSOC($L$8,0,$L$6,$L$7,AB61,$G$5,$G$6,AA61,$C$7,$C$9,$G$4,$C$8)</f>
        <v>4117</v>
      </c>
      <c r="AD61" s="102" cm="1">
        <f t="array" ref="AD61">maxDepthToMinSOC($L$8,$L$9,$L$6,$L$7,AB61,$G$5,$G$6,AA61,$C$7,$C$9,$G$4,$C$8)</f>
        <v>2790</v>
      </c>
      <c r="AE61" s="90"/>
      <c r="AF61" s="90"/>
    </row>
    <row r="62" spans="4:33" x14ac:dyDescent="0.35">
      <c r="R62" s="99">
        <v>2</v>
      </c>
      <c r="S62" s="100" cm="1">
        <f t="array" ref="S62">drivePower($C$4,$C$5,R62,$C$10,$C$11)</f>
        <v>822</v>
      </c>
      <c r="T62" s="101">
        <v>600</v>
      </c>
      <c r="U62" s="101">
        <f t="shared" si="8"/>
        <v>1422</v>
      </c>
      <c r="V62" s="102" cm="1">
        <f t="array" ref="V62">maxDepthToMinSOC($L$8,$L$9,$L$6,$L$7,$L$10,$G$5,$G$6,$S62,T62,$R62,$G$4,$C$8)</f>
        <v>14927</v>
      </c>
      <c r="W62" s="103"/>
      <c r="X62" s="104">
        <v>151200</v>
      </c>
      <c r="Y62" s="99">
        <f t="shared" si="9"/>
        <v>8.0072727272727278</v>
      </c>
      <c r="Z62" s="100">
        <f t="shared" si="10"/>
        <v>508.00727272727272</v>
      </c>
      <c r="AA62" s="100" cm="1">
        <f t="array" ref="AA62">drivePower($C$4,Z62,$C$9,$C$10,$C$11)</f>
        <v>831.96104727272723</v>
      </c>
      <c r="AB62" s="104">
        <f t="shared" si="11"/>
        <v>6531.84</v>
      </c>
      <c r="AC62" s="102" cm="1">
        <f t="array" ref="AC62">maxDepthToMinSOC($L$8,0,$L$6,$L$7,AB62,$G$5,$G$6,AA62,$C$7,$C$9,$G$4,$C$8)</f>
        <v>4981</v>
      </c>
      <c r="AD62" s="102" cm="1">
        <f t="array" ref="AD62">maxDepthToMinSOC($L$8,$L$9,$L$6,$L$7,AB62,$G$5,$G$6,AA62,$C$7,$C$9,$G$4,$C$8)</f>
        <v>3451</v>
      </c>
      <c r="AE62" s="90"/>
      <c r="AF62" s="90"/>
    </row>
    <row r="63" spans="4:33" x14ac:dyDescent="0.35">
      <c r="R63" s="99">
        <v>2</v>
      </c>
      <c r="S63" s="100" cm="1">
        <f t="array" ref="S63">drivePower($C$4,$C$5,R63,$C$10,$C$11)</f>
        <v>822</v>
      </c>
      <c r="T63" s="101">
        <v>700</v>
      </c>
      <c r="U63" s="101">
        <f t="shared" si="8"/>
        <v>1522</v>
      </c>
      <c r="V63" s="102" cm="1">
        <f t="array" ref="V63">maxDepthToMinSOC($L$8,$L$9,$L$6,$L$7,$L$10,$G$5,$G$6,$S63,T63,$R63,$G$4,$C$8)</f>
        <v>13833</v>
      </c>
      <c r="W63" s="103"/>
      <c r="X63" s="104">
        <v>172800</v>
      </c>
      <c r="Y63" s="99">
        <f t="shared" si="9"/>
        <v>9.1854545454545455</v>
      </c>
      <c r="Z63" s="100">
        <f t="shared" si="10"/>
        <v>509.18545454545455</v>
      </c>
      <c r="AA63" s="100" cm="1">
        <f t="array" ref="AA63">drivePower($C$4,Z63,$C$9,$C$10,$C$11)</f>
        <v>833.42670545454541</v>
      </c>
      <c r="AB63" s="104">
        <f t="shared" si="11"/>
        <v>7464.9600000000009</v>
      </c>
      <c r="AC63" s="102" cm="1">
        <f t="array" ref="AC63">maxDepthToMinSOC($L$8,0,$L$6,$L$7,AB63,$G$5,$G$6,AA63,$C$7,$C$9,$G$4,$C$8)</f>
        <v>5833</v>
      </c>
      <c r="AD63" s="102" cm="1">
        <f t="array" ref="AD63">maxDepthToMinSOC($L$8,$L$9,$L$6,$L$7,AB63,$G$5,$G$6,AA63,$C$7,$C$9,$G$4,$C$8)</f>
        <v>4104</v>
      </c>
      <c r="AE63" s="90"/>
      <c r="AF63" s="90"/>
    </row>
    <row r="64" spans="4:33" x14ac:dyDescent="0.35">
      <c r="R64" s="99">
        <v>2</v>
      </c>
      <c r="S64" s="100" cm="1">
        <f t="array" ref="S64">drivePower($C$4,$C$5,R64,$C$10,$C$11)</f>
        <v>822</v>
      </c>
      <c r="T64" s="101">
        <v>800</v>
      </c>
      <c r="U64" s="101">
        <f t="shared" si="8"/>
        <v>1622</v>
      </c>
      <c r="V64" s="102" cm="1">
        <f t="array" ref="V64">maxDepthToMinSOC($L$8,$L$9,$L$6,$L$7,$L$10,$G$5,$G$6,$S64,T64,$R64,$G$4,$C$8)</f>
        <v>12861</v>
      </c>
      <c r="W64" s="103"/>
      <c r="X64" s="104">
        <v>194400</v>
      </c>
      <c r="Y64" s="99">
        <f t="shared" si="9"/>
        <v>10.363636363636363</v>
      </c>
      <c r="Z64" s="100">
        <f t="shared" si="10"/>
        <v>510.36363636363637</v>
      </c>
      <c r="AA64" s="100" cm="1">
        <f t="array" ref="AA64">drivePower($C$4,Z64,$C$9,$C$10,$C$11)</f>
        <v>834.8923636363636</v>
      </c>
      <c r="AB64" s="104">
        <f t="shared" si="11"/>
        <v>8398.08</v>
      </c>
      <c r="AC64" s="102" cm="1">
        <f t="array" ref="AC64">maxDepthToMinSOC($L$8,0,$L$6,$L$7,AB64,$G$5,$G$6,AA64,$C$7,$C$9,$G$4,$C$8)</f>
        <v>6672</v>
      </c>
      <c r="AD64" s="102" cm="1">
        <f t="array" ref="AD64">maxDepthToMinSOC($L$8,$L$9,$L$6,$L$7,AB64,$G$5,$G$6,AA64,$C$7,$C$9,$G$4,$C$8)</f>
        <v>4750</v>
      </c>
      <c r="AE64" s="90"/>
      <c r="AF64" s="90"/>
    </row>
    <row r="65" spans="18:32" x14ac:dyDescent="0.35">
      <c r="R65" s="99">
        <v>2</v>
      </c>
      <c r="S65" s="100" cm="1">
        <f t="array" ref="S65">drivePower($C$4,$C$5,R65,$C$10,$C$11)</f>
        <v>822</v>
      </c>
      <c r="T65" s="101">
        <v>900</v>
      </c>
      <c r="U65" s="101">
        <f t="shared" si="8"/>
        <v>1722</v>
      </c>
      <c r="V65" s="102" cm="1">
        <f t="array" ref="V65">maxDepthToMinSOC($L$8,$L$9,$L$6,$L$7,$L$10,$G$5,$G$6,$S65,T65,$R65,$G$4,$C$8)</f>
        <v>11992</v>
      </c>
      <c r="W65" s="105"/>
      <c r="X65" s="90"/>
      <c r="Y65" s="90"/>
      <c r="Z65" s="90"/>
      <c r="AA65" s="90"/>
      <c r="AB65" s="90"/>
      <c r="AC65" s="90"/>
      <c r="AD65" s="90"/>
      <c r="AE65" s="90"/>
      <c r="AF65" s="90"/>
    </row>
    <row r="66" spans="18:32" x14ac:dyDescent="0.35">
      <c r="R66" s="99">
        <v>2</v>
      </c>
      <c r="S66" s="100" cm="1">
        <f t="array" ref="S66">drivePower($C$4,$C$5,R66,$C$10,$C$11)</f>
        <v>822</v>
      </c>
      <c r="T66" s="101">
        <v>1000</v>
      </c>
      <c r="U66" s="101">
        <f t="shared" si="8"/>
        <v>1822</v>
      </c>
      <c r="V66" s="102" cm="1">
        <f t="array" ref="V66">maxDepthToMinSOC($L$8,$L$9,$L$6,$L$7,$L$10,$G$5,$G$6,$S66,T66,$R66,$G$4,$C$8)</f>
        <v>11210</v>
      </c>
      <c r="W66" s="105"/>
      <c r="X66" s="90"/>
      <c r="Y66" s="90"/>
      <c r="Z66" s="90"/>
      <c r="AA66" s="90"/>
      <c r="AB66" s="90"/>
      <c r="AC66" s="90"/>
      <c r="AD66" s="90"/>
      <c r="AE66" s="90"/>
      <c r="AF66" s="90"/>
    </row>
    <row r="67" spans="18:32" x14ac:dyDescent="0.35">
      <c r="R67" s="99">
        <v>2</v>
      </c>
      <c r="S67" s="100" cm="1">
        <f t="array" ref="S67">drivePower($C$4,$C$5,R67,$C$10,$C$11)</f>
        <v>822</v>
      </c>
      <c r="T67" s="101">
        <v>1100</v>
      </c>
      <c r="U67" s="101">
        <f t="shared" si="8"/>
        <v>1922</v>
      </c>
      <c r="V67" s="102" cm="1">
        <f t="array" ref="V67">maxDepthToMinSOC($L$8,$L$9,$L$6,$L$7,$L$10,$G$5,$G$6,$S67,T67,$R67,$G$4,$C$8)</f>
        <v>10503</v>
      </c>
      <c r="W67" s="105"/>
      <c r="X67" s="90"/>
      <c r="Y67" s="90"/>
      <c r="Z67" s="90"/>
      <c r="AA67" s="90"/>
      <c r="AB67" s="90"/>
      <c r="AC67" s="90"/>
      <c r="AD67" s="90"/>
      <c r="AE67" s="90"/>
      <c r="AF67" s="90"/>
    </row>
    <row r="68" spans="18:32" x14ac:dyDescent="0.35">
      <c r="R68" s="99">
        <v>2</v>
      </c>
      <c r="S68" s="100" cm="1">
        <f t="array" ref="S68">drivePower($C$4,$C$5,R68,$C$10,$C$11)</f>
        <v>822</v>
      </c>
      <c r="T68" s="101">
        <v>1200</v>
      </c>
      <c r="U68" s="101">
        <f t="shared" si="8"/>
        <v>2022</v>
      </c>
      <c r="V68" s="102" cm="1">
        <f t="array" ref="V68">maxDepthToMinSOC($L$8,$L$9,$L$6,$L$7,$L$10,$G$5,$G$6,$S68,T68,$R68,$G$4,$C$8)</f>
        <v>9860</v>
      </c>
      <c r="W68" s="105"/>
      <c r="X68" s="90"/>
      <c r="Y68" s="90"/>
      <c r="Z68" s="90"/>
      <c r="AA68" s="90"/>
      <c r="AB68" s="90"/>
      <c r="AC68" s="90"/>
      <c r="AD68" s="90"/>
      <c r="AE68" s="90"/>
      <c r="AF68" s="90"/>
    </row>
    <row r="69" spans="18:32" x14ac:dyDescent="0.35">
      <c r="R69" s="99">
        <v>2</v>
      </c>
      <c r="S69" s="100" cm="1">
        <f t="array" ref="S69">drivePower($C$4,$C$5,R69,$C$10,$C$11)</f>
        <v>822</v>
      </c>
      <c r="T69" s="101">
        <v>1300</v>
      </c>
      <c r="U69" s="101">
        <f t="shared" si="8"/>
        <v>2122</v>
      </c>
      <c r="V69" s="102" cm="1">
        <f t="array" ref="V69">maxDepthToMinSOC($L$8,$L$9,$L$6,$L$7,$L$10,$G$5,$G$6,$S69,T69,$R69,$G$4,$C$8)</f>
        <v>9274</v>
      </c>
      <c r="W69" s="105"/>
      <c r="X69" s="90"/>
      <c r="Y69" s="90"/>
      <c r="Z69" s="90"/>
      <c r="AA69" s="90"/>
      <c r="AB69" s="90"/>
      <c r="AC69" s="90"/>
      <c r="AD69" s="90"/>
      <c r="AE69" s="90"/>
      <c r="AF69" s="90"/>
    </row>
    <row r="70" spans="18:32" x14ac:dyDescent="0.35"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</row>
    <row r="71" spans="18:32" x14ac:dyDescent="0.35">
      <c r="R71" s="90"/>
      <c r="S71" s="90"/>
      <c r="T71" s="90"/>
      <c r="U71" s="90"/>
      <c r="V71" s="90"/>
      <c r="W71" s="90"/>
      <c r="X71" s="90"/>
      <c r="Y71" s="90"/>
      <c r="Z71" s="90"/>
      <c r="AA71" s="90"/>
      <c r="AB71" s="90"/>
      <c r="AC71" s="90"/>
      <c r="AD71" s="90"/>
      <c r="AE71" s="90"/>
      <c r="AF71" s="90"/>
    </row>
    <row r="72" spans="18:32" x14ac:dyDescent="0.35">
      <c r="R72" s="90"/>
      <c r="S72" s="90"/>
      <c r="T72" s="90"/>
      <c r="U72" s="90"/>
      <c r="V72" s="90"/>
      <c r="W72" s="90"/>
      <c r="X72" s="90"/>
      <c r="Y72" s="90"/>
      <c r="Z72" s="90"/>
      <c r="AA72" s="90"/>
      <c r="AB72" s="90"/>
      <c r="AC72" s="90"/>
      <c r="AD72" s="90"/>
      <c r="AE72" s="90"/>
      <c r="AF72" s="90"/>
    </row>
  </sheetData>
  <mergeCells count="1">
    <mergeCell ref="B2:F2"/>
  </mergeCells>
  <conditionalFormatting sqref="C12">
    <cfRule type="cellIs" dxfId="1" priority="1" operator="greaterThan">
      <formula>$L$13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51563-6A16-468F-8657-14518C25CCC0}">
  <sheetPr codeName="Sheet5"/>
  <dimension ref="B2:W68"/>
  <sheetViews>
    <sheetView workbookViewId="0">
      <selection activeCell="M68" sqref="M68"/>
    </sheetView>
  </sheetViews>
  <sheetFormatPr defaultRowHeight="14.5" x14ac:dyDescent="0.35"/>
  <cols>
    <col min="1" max="1" width="2" customWidth="1"/>
    <col min="2" max="2" width="16.7265625" customWidth="1"/>
    <col min="3" max="3" width="11.453125" customWidth="1"/>
    <col min="4" max="5" width="10" customWidth="1"/>
    <col min="6" max="6" width="17.26953125" customWidth="1"/>
    <col min="7" max="7" width="10.453125" customWidth="1"/>
    <col min="10" max="10" width="14.1796875" customWidth="1"/>
    <col min="11" max="11" width="12.08984375" customWidth="1"/>
    <col min="12" max="12" width="11.7265625" customWidth="1"/>
    <col min="13" max="13" width="11.453125" customWidth="1"/>
    <col min="14" max="14" width="12.81640625" customWidth="1"/>
    <col min="15" max="15" width="11.453125" customWidth="1"/>
  </cols>
  <sheetData>
    <row r="2" spans="2:20" ht="23.5" x14ac:dyDescent="0.55000000000000004">
      <c r="B2" s="150" t="s">
        <v>80</v>
      </c>
      <c r="C2" s="150"/>
      <c r="D2" s="150"/>
      <c r="E2" s="150"/>
      <c r="F2" s="150"/>
    </row>
    <row r="4" spans="2:20" x14ac:dyDescent="0.35">
      <c r="B4" s="51" t="s">
        <v>66</v>
      </c>
      <c r="C4" s="3">
        <v>0.311</v>
      </c>
      <c r="D4" s="3" t="s">
        <v>8</v>
      </c>
      <c r="E4" s="3"/>
      <c r="F4" s="51" t="s">
        <v>71</v>
      </c>
      <c r="G4" s="3">
        <v>6</v>
      </c>
      <c r="H4" s="3" t="s">
        <v>4</v>
      </c>
      <c r="J4" s="51" t="s">
        <v>13</v>
      </c>
      <c r="K4" s="11">
        <v>12</v>
      </c>
      <c r="L4" s="3" t="s">
        <v>15</v>
      </c>
    </row>
    <row r="5" spans="2:20" x14ac:dyDescent="0.35">
      <c r="B5" s="51" t="s">
        <v>93</v>
      </c>
      <c r="C5" s="3">
        <v>500</v>
      </c>
      <c r="D5" s="3" t="s">
        <v>94</v>
      </c>
      <c r="F5" s="51" t="s">
        <v>111</v>
      </c>
      <c r="G5" s="3">
        <f>G7*G6</f>
        <v>720000</v>
      </c>
      <c r="H5" s="3" t="s">
        <v>22</v>
      </c>
      <c r="J5" s="51" t="s">
        <v>14</v>
      </c>
      <c r="K5" s="108">
        <v>1770833.3333333333</v>
      </c>
      <c r="L5" s="3" t="s">
        <v>0</v>
      </c>
    </row>
    <row r="6" spans="2:20" x14ac:dyDescent="0.35">
      <c r="B6" s="52" t="s">
        <v>106</v>
      </c>
      <c r="C6" s="52">
        <f>C4*C5</f>
        <v>155.5</v>
      </c>
      <c r="D6" s="52" t="s">
        <v>105</v>
      </c>
      <c r="F6" s="51" t="s">
        <v>112</v>
      </c>
      <c r="G6" s="3">
        <v>3600</v>
      </c>
      <c r="H6" s="3" t="s">
        <v>20</v>
      </c>
      <c r="J6" s="51" t="s">
        <v>1</v>
      </c>
      <c r="K6" s="9">
        <v>-3.6000000000000001E-5</v>
      </c>
      <c r="L6" s="3" t="s">
        <v>3</v>
      </c>
    </row>
    <row r="7" spans="2:20" x14ac:dyDescent="0.35">
      <c r="B7" s="52" t="s">
        <v>115</v>
      </c>
      <c r="C7" s="70">
        <f>xxxxx!C32+G9</f>
        <v>104.6791606</v>
      </c>
      <c r="D7" s="52" t="s">
        <v>7</v>
      </c>
      <c r="F7" s="52" t="s">
        <v>110</v>
      </c>
      <c r="G7" s="69">
        <v>200</v>
      </c>
      <c r="H7" s="52" t="s">
        <v>59</v>
      </c>
      <c r="J7" s="51" t="s">
        <v>2</v>
      </c>
      <c r="K7" s="10">
        <v>0.93500000000000005</v>
      </c>
      <c r="L7" s="3" t="s">
        <v>3</v>
      </c>
    </row>
    <row r="8" spans="2:20" x14ac:dyDescent="0.35">
      <c r="B8" s="51" t="s">
        <v>10</v>
      </c>
      <c r="C8" s="3">
        <v>1.5</v>
      </c>
      <c r="D8" s="3" t="s">
        <v>5</v>
      </c>
      <c r="J8" s="51" t="s">
        <v>17</v>
      </c>
      <c r="K8" s="12">
        <v>1</v>
      </c>
      <c r="L8" s="3"/>
    </row>
    <row r="9" spans="2:20" x14ac:dyDescent="0.35">
      <c r="B9" s="51" t="s">
        <v>103</v>
      </c>
      <c r="C9" s="3">
        <v>3</v>
      </c>
      <c r="D9" s="3" t="s">
        <v>6</v>
      </c>
      <c r="F9" s="51" t="s">
        <v>118</v>
      </c>
      <c r="G9" s="3">
        <v>100</v>
      </c>
      <c r="H9" s="3" t="s">
        <v>59</v>
      </c>
      <c r="J9" s="51" t="s">
        <v>18</v>
      </c>
      <c r="K9" s="12">
        <v>0.25</v>
      </c>
      <c r="L9" s="3"/>
    </row>
    <row r="10" spans="2:20" x14ac:dyDescent="0.35">
      <c r="B10" s="51" t="s">
        <v>104</v>
      </c>
      <c r="C10" s="3">
        <v>100</v>
      </c>
      <c r="D10" s="3" t="s">
        <v>105</v>
      </c>
      <c r="J10" s="52" t="s">
        <v>114</v>
      </c>
      <c r="K10" s="52">
        <f>K5*3.6/1000*K4</f>
        <v>76500</v>
      </c>
      <c r="L10" s="52" t="s">
        <v>16</v>
      </c>
    </row>
    <row r="11" spans="2:20" x14ac:dyDescent="0.35">
      <c r="B11" s="51" t="s">
        <v>64</v>
      </c>
      <c r="C11" s="12">
        <v>0.5</v>
      </c>
      <c r="D11" s="3"/>
      <c r="F11" s="52" t="s">
        <v>120</v>
      </c>
      <c r="G11" s="70">
        <f>C7+G7+C12</f>
        <v>1537.6791605999999</v>
      </c>
      <c r="H11" s="52" t="s">
        <v>59</v>
      </c>
      <c r="J11" s="52" t="s">
        <v>113</v>
      </c>
      <c r="K11" s="70" cm="1">
        <f t="array" ref="K11">UseableCapacity(K10,K8,K9)</f>
        <v>57375</v>
      </c>
      <c r="L11" s="52" t="s">
        <v>16</v>
      </c>
    </row>
    <row r="12" spans="2:20" x14ac:dyDescent="0.35">
      <c r="B12" s="52" t="s">
        <v>19</v>
      </c>
      <c r="C12" s="52" cm="1">
        <f t="array" ref="C12">drivePower(C4,C5,C9,C10,C11)</f>
        <v>1233</v>
      </c>
      <c r="D12" s="52" t="s">
        <v>7</v>
      </c>
      <c r="F12" s="52" t="s">
        <v>119</v>
      </c>
      <c r="G12" s="70">
        <f>C12+C7</f>
        <v>1337.6791605999999</v>
      </c>
      <c r="H12" s="52" t="s">
        <v>59</v>
      </c>
      <c r="J12" s="52" t="s">
        <v>109</v>
      </c>
      <c r="K12" s="52">
        <f>K5*0.5</f>
        <v>885416.66666666663</v>
      </c>
      <c r="L12" s="52" t="s">
        <v>107</v>
      </c>
    </row>
    <row r="13" spans="2:20" x14ac:dyDescent="0.35">
      <c r="J13" s="52" t="s">
        <v>108</v>
      </c>
      <c r="K13" s="52">
        <f>K12*K4/1000</f>
        <v>10625</v>
      </c>
      <c r="L13" s="52" t="s">
        <v>59</v>
      </c>
    </row>
    <row r="14" spans="2:20" ht="15" thickBot="1" x14ac:dyDescent="0.4">
      <c r="N14" t="s">
        <v>125</v>
      </c>
    </row>
    <row r="15" spans="2:20" x14ac:dyDescent="0.35">
      <c r="B15" s="71" t="s">
        <v>84</v>
      </c>
      <c r="C15" s="63"/>
      <c r="D15" s="63"/>
      <c r="E15" s="64"/>
      <c r="G15" s="65" t="s">
        <v>85</v>
      </c>
      <c r="H15" s="66"/>
      <c r="I15" s="66"/>
      <c r="J15" s="66"/>
      <c r="K15" s="4"/>
      <c r="L15" s="4"/>
      <c r="M15" s="4"/>
      <c r="P15" s="60" t="s">
        <v>87</v>
      </c>
      <c r="Q15" s="61"/>
      <c r="R15" s="62"/>
      <c r="S15" s="4"/>
    </row>
    <row r="16" spans="2:20" x14ac:dyDescent="0.35">
      <c r="B16" s="3"/>
      <c r="C16" s="3"/>
      <c r="D16" s="3"/>
      <c r="E16" s="39"/>
      <c r="G16" s="3"/>
      <c r="H16" s="3"/>
      <c r="I16" s="23"/>
      <c r="J16" s="67"/>
      <c r="P16" s="3"/>
      <c r="Q16" s="3"/>
      <c r="R16" s="3"/>
      <c r="S16" s="67"/>
      <c r="T16" s="39"/>
    </row>
    <row r="17" spans="2:23" ht="58" x14ac:dyDescent="0.35">
      <c r="B17" s="25" t="s">
        <v>81</v>
      </c>
      <c r="C17" s="25" t="s">
        <v>95</v>
      </c>
      <c r="D17" s="25" t="s">
        <v>97</v>
      </c>
      <c r="E17" s="54" t="s">
        <v>96</v>
      </c>
      <c r="G17" s="25" t="s">
        <v>86</v>
      </c>
      <c r="H17" s="25" t="s">
        <v>102</v>
      </c>
      <c r="I17" s="25" t="s">
        <v>126</v>
      </c>
      <c r="J17" s="68" t="s">
        <v>83</v>
      </c>
      <c r="K17" s="68" t="s">
        <v>121</v>
      </c>
      <c r="L17" s="68" t="s">
        <v>122</v>
      </c>
      <c r="M17" s="68" t="s">
        <v>123</v>
      </c>
      <c r="N17" s="68" t="s">
        <v>124</v>
      </c>
      <c r="O17" s="68" t="s">
        <v>142</v>
      </c>
      <c r="P17" s="25" t="s">
        <v>88</v>
      </c>
      <c r="Q17" s="25" t="s">
        <v>116</v>
      </c>
      <c r="R17" s="25" t="s">
        <v>117</v>
      </c>
      <c r="S17" s="25" t="s">
        <v>95</v>
      </c>
      <c r="T17" s="25" t="s">
        <v>101</v>
      </c>
      <c r="U17" s="25" t="s">
        <v>82</v>
      </c>
      <c r="V17" s="54" t="s">
        <v>83</v>
      </c>
    </row>
    <row r="18" spans="2:23" x14ac:dyDescent="0.35">
      <c r="B18" s="12">
        <v>0.16</v>
      </c>
      <c r="C18" s="57" cm="1">
        <f t="array" ref="C18">drivePower($C$4,$C$5,$C$9,$C$10,B18)</f>
        <v>3215.625</v>
      </c>
      <c r="D18" s="58" cm="1">
        <f t="array" ref="D18">maxDepthToMinSOC($K$8,0,$K$6,$K$7,$K$10,$G$5,$G$6,C18,$C$7,$C$9,$G$4,$C$8)</f>
        <v>27724.5</v>
      </c>
      <c r="E18" s="58" cm="1">
        <f t="array" ref="E18">maxDepthToMinSOC($K$8,$K$9,$K$6,$K$7,$K$10,$G$5,$G$6,C18,$C$7,$C$9,$G$4,$C$8)</f>
        <v>21273</v>
      </c>
      <c r="F18" s="6"/>
      <c r="G18" s="55">
        <v>0.25</v>
      </c>
      <c r="H18" s="57" cm="1">
        <f t="array" ref="H18">drivePower($C$4,$C$5,G18,$C$10,$C$11)</f>
        <v>102.75</v>
      </c>
      <c r="I18" s="58">
        <f>$C$7+H18</f>
        <v>207.42916059999999</v>
      </c>
      <c r="J18" s="58" cm="1">
        <f t="array" ref="J18">maxDepthToMinSOC($K$8,$K$9,$K$6,$K$7,$T$21,$G$5,$G$6,drivePower($C$4,$R$21,$G18,$C$10,$C$11),$C$7,$G18,$G$4,$C$8)</f>
        <v>895.5</v>
      </c>
      <c r="K18" s="58" cm="1">
        <f t="array" ref="K18">maxDepthToMinSOC($K$8,$K$9,$K$6,$K$7,$T$22,$G$5,$G$6,drivePower($C$4,$R$22,$G18,$C$10,$C$11),$C$7,$G18,$G$4,$C$8)</f>
        <v>1282.5</v>
      </c>
      <c r="L18" s="58" cm="1">
        <f t="array" ref="L18">maxDepthToMinSOC($K$8,$K$9,$K$6,$K$7,$T$23,$G$5,$G$6,drivePower($C$4,$R$23,$G18,$C$10,$C$11),$C$7,$G18,$G$4,$C$8)</f>
        <v>1668</v>
      </c>
      <c r="M18" s="58" cm="1">
        <f t="array" ref="M18">maxDepthToMinSOC($K$8,$K$9,$K$6,$K$7,$T$24,$G$5,$G$6,drivePower($C$4,$R$24,$G18,$C$10,$C$11),$C$7,$G18,$G$4,$C$8)</f>
        <v>2052</v>
      </c>
      <c r="N18" s="58" cm="1">
        <f t="array" ref="N18">maxDepthToMinSOC($K$8,$K$9,$K$6,$K$7,$T$25,$G$5,$G$6,drivePower($C$4,$R$25,$G18,$C$10,$C$11),$C$7,$G18,$G$4,$C$8)</f>
        <v>2433</v>
      </c>
      <c r="O18" s="58" cm="1">
        <f t="array" ref="O18">maxDepthToMinSOC($K$8,$K$9,$K$6,$K$7,$T$26,$G$5,$G$6,drivePower($C$4,$R$26,$G18,$C$10,$C$11),$C$7,$G18,$G$4,$C$8)</f>
        <v>2812.5</v>
      </c>
      <c r="P18" s="56">
        <v>21600</v>
      </c>
      <c r="Q18" s="55">
        <f>(P18-4400)*(5*0.048)/4400</f>
        <v>0.93818181818181823</v>
      </c>
      <c r="R18" s="57">
        <f>$C$5+Q18</f>
        <v>500.93818181818182</v>
      </c>
      <c r="S18" s="57" cm="1">
        <f t="array" ref="S18">drivePower($C$4,R18,$C$9,$C$10,$C$11)</f>
        <v>1234.7506472727273</v>
      </c>
      <c r="T18" s="56">
        <f t="shared" ref="T18:T26" si="0">P18*3.6/1000*$K$4</f>
        <v>933.12000000000012</v>
      </c>
      <c r="U18" s="58" cm="1">
        <f t="array" ref="U18">maxDepthToMinSOC($K$8,0,$K$6,$K$7,T18,$G$5,$G$6,S18,$C$7,$C$9,$G$4,$C$8)</f>
        <v>0</v>
      </c>
      <c r="V18" s="58" cm="1">
        <f t="array" ref="V18">maxDepthToMinSOC($K$8,$K$9,$K$6,$K$7,T18,$G$5,$G$6,S18,$C$7,$C$9,$G$4,$C$8)</f>
        <v>0</v>
      </c>
      <c r="W18" t="s">
        <v>89</v>
      </c>
    </row>
    <row r="19" spans="2:23" x14ac:dyDescent="0.35">
      <c r="B19" s="12">
        <f>B18+0.02</f>
        <v>0.18</v>
      </c>
      <c r="C19" s="57" cm="1">
        <f t="array" ref="C19">drivePower($C$4,$C$5,$C$9,$C$10,B19)</f>
        <v>2891.666666666667</v>
      </c>
      <c r="D19" s="58" cm="1">
        <f t="array" ref="D19">maxDepthToMinSOC($K$8,0,$K$6,$K$7,$K$10,$G$5,$G$6,C19,$C$7,$C$9,$G$4,$C$8)</f>
        <v>30349.5</v>
      </c>
      <c r="E19" s="58" cm="1">
        <f t="array" ref="E19">maxDepthToMinSOC($K$8,$K$9,$K$6,$K$7,$K$10,$G$5,$G$6,C19,$C$7,$C$9,$G$4,$C$8)</f>
        <v>23362.5</v>
      </c>
      <c r="G19" s="55">
        <v>0.5</v>
      </c>
      <c r="H19" s="57" cm="1">
        <f t="array" ref="H19">drivePower($C$4,$C$5,G19,$C$10,$C$11)</f>
        <v>205.5</v>
      </c>
      <c r="I19" s="58">
        <f t="shared" ref="I19:I31" si="1">$C$7+H19</f>
        <v>310.17916059999999</v>
      </c>
      <c r="J19" s="58" cm="1">
        <f t="array" ref="J19">maxDepthToMinSOC($K$8,$K$9,$K$6,$K$7,$T$21,$G$5,$G$6,drivePower($C$4,$R$21,$G19,$C$10,$C$11),$C$7,$G19,$G$4,$C$8)</f>
        <v>1179</v>
      </c>
      <c r="K19" s="58" cm="1">
        <f t="array" ref="K19">maxDepthToMinSOC($K$8,$K$9,$K$6,$K$7,$T$22,$G$5,$G$6,drivePower($C$4,$R$22,$G19,$C$10,$C$11),$C$7,$G19,$G$4,$C$8)</f>
        <v>1693.5</v>
      </c>
      <c r="L19" s="58" cm="1">
        <f t="array" ref="L19">maxDepthToMinSOC($K$8,$K$9,$K$6,$K$7,$T$23,$G$5,$G$6,drivePower($C$4,$R$23,$G19,$C$10,$C$11),$C$7,$G19,$G$4,$C$8)</f>
        <v>2205</v>
      </c>
      <c r="M19" s="58" cm="1">
        <f t="array" ref="M19">maxDepthToMinSOC($K$8,$K$9,$K$6,$K$7,$T$24,$G$5,$G$6,drivePower($C$4,$R$24,$G19,$C$10,$C$11),$C$7,$G19,$G$4,$C$8)</f>
        <v>2713.5</v>
      </c>
      <c r="N19" s="58" cm="1">
        <f t="array" ref="N19">maxDepthToMinSOC($K$8,$K$9,$K$6,$K$7,$T$25,$G$5,$G$6,drivePower($C$4,$R$25,$G19,$C$10,$C$11),$C$7,$G19,$G$4,$C$8)</f>
        <v>3217.5</v>
      </c>
      <c r="O19" s="58" cm="1">
        <f t="array" ref="O19">maxDepthToMinSOC($K$8,$K$9,$K$6,$K$7,$T$26,$G$5,$G$6,drivePower($C$4,$R$26,$G19,$C$10,$C$11),$C$7,$G19,$G$4,$C$8)</f>
        <v>3718.5</v>
      </c>
      <c r="P19" s="56">
        <v>43200</v>
      </c>
      <c r="Q19" s="55">
        <f t="shared" ref="Q19:Q26" si="2">(P19-4400)*(5*0.048)/4400</f>
        <v>2.1163636363636362</v>
      </c>
      <c r="R19" s="57">
        <f t="shared" ref="R19:R26" si="3">$C$5+Q19</f>
        <v>502.11636363636364</v>
      </c>
      <c r="S19" s="57" cm="1">
        <f t="array" ref="S19">drivePower($C$4,R19,$C$9,$C$10,$C$11)</f>
        <v>1236.9491345454546</v>
      </c>
      <c r="T19" s="56">
        <f t="shared" si="0"/>
        <v>1866.2400000000002</v>
      </c>
      <c r="U19" s="58" cm="1">
        <f t="array" ref="U19">maxDepthToMinSOC($K$8,0,$K$6,$K$7,T19,$G$5,$G$6,S19,$C$7,$C$9,$G$4,$C$8)</f>
        <v>471</v>
      </c>
      <c r="V19" s="58" cm="1">
        <f t="array" ref="V19">maxDepthToMinSOC($K$8,$K$9,$K$6,$K$7,T19,$G$5,$G$6,S19,$C$7,$C$9,$G$4,$C$8)</f>
        <v>0</v>
      </c>
      <c r="W19" t="s">
        <v>90</v>
      </c>
    </row>
    <row r="20" spans="2:23" x14ac:dyDescent="0.35">
      <c r="B20" s="12">
        <f t="shared" ref="B20:B42" si="4">B19+0.02</f>
        <v>0.19999999999999998</v>
      </c>
      <c r="C20" s="57" cm="1">
        <f t="array" ref="C20">drivePower($C$4,$C$5,$C$9,$C$10,B20)</f>
        <v>2632.5</v>
      </c>
      <c r="D20" s="58" cm="1">
        <f t="array" ref="D20">maxDepthToMinSOC($K$8,0,$K$6,$K$7,$K$10,$G$5,$G$6,C20,$C$7,$C$9,$G$4,$C$8)</f>
        <v>32832</v>
      </c>
      <c r="E20" s="58" cm="1">
        <f t="array" ref="E20">maxDepthToMinSOC($K$8,$K$9,$K$6,$K$7,$K$10,$G$5,$G$6,C20,$C$7,$C$9,$G$4,$C$8)</f>
        <v>25350</v>
      </c>
      <c r="G20" s="55">
        <v>0.75</v>
      </c>
      <c r="H20" s="57" cm="1">
        <f t="array" ref="H20">drivePower($C$4,$C$5,G20,$C$10,$C$11)</f>
        <v>308.25</v>
      </c>
      <c r="I20" s="58">
        <f t="shared" si="1"/>
        <v>412.92916059999999</v>
      </c>
      <c r="J20" s="58" cm="1">
        <f t="array" ref="J20">maxDepthToMinSOC($K$8,$K$9,$K$6,$K$7,$T$21,$G$5,$G$6,drivePower($C$4,$R$21,$G20,$C$10,$C$11),$C$7,$G20,$G$4,$C$8)</f>
        <v>1309.5</v>
      </c>
      <c r="K20" s="58" cm="1">
        <f t="array" ref="K20">maxDepthToMinSOC($K$8,$K$9,$K$6,$K$7,$T$22,$G$5,$G$6,drivePower($C$4,$R$22,$G20,$C$10,$C$11),$C$7,$G20,$G$4,$C$8)</f>
        <v>1888.5</v>
      </c>
      <c r="L20" s="58" cm="1">
        <f t="array" ref="L20">maxDepthToMinSOC($K$8,$K$9,$K$6,$K$7,$T$23,$G$5,$G$6,drivePower($C$4,$R$23,$G20,$C$10,$C$11),$C$7,$G20,$G$4,$C$8)</f>
        <v>2461.5</v>
      </c>
      <c r="M20" s="58" cm="1">
        <f t="array" ref="M20">maxDepthToMinSOC($K$8,$K$9,$K$6,$K$7,$T$24,$G$5,$G$6,drivePower($C$4,$R$24,$G20,$C$10,$C$11),$C$7,$G20,$G$4,$C$8)</f>
        <v>3031.5</v>
      </c>
      <c r="N20" s="58" cm="1">
        <f t="array" ref="N20">maxDepthToMinSOC($K$8,$K$9,$K$6,$K$7,$T$25,$G$5,$G$6,drivePower($C$4,$R$25,$G20,$C$10,$C$11),$C$7,$G20,$G$4,$C$8)</f>
        <v>3597</v>
      </c>
      <c r="O20" s="58" cm="1">
        <f t="array" ref="O20">maxDepthToMinSOC($K$8,$K$9,$K$6,$K$7,$T$26,$G$5,$G$6,drivePower($C$4,$R$26,$G20,$C$10,$C$11),$C$7,$G20,$G$4,$C$8)</f>
        <v>4156.5</v>
      </c>
      <c r="P20" s="56">
        <v>64800</v>
      </c>
      <c r="Q20" s="55">
        <f t="shared" si="2"/>
        <v>3.2945454545454544</v>
      </c>
      <c r="R20" s="57">
        <f t="shared" si="3"/>
        <v>503.29454545454547</v>
      </c>
      <c r="S20" s="57" cm="1">
        <f t="array" ref="S20">drivePower($C$4,R20,$C$9,$C$10,$C$11)</f>
        <v>1239.147621818182</v>
      </c>
      <c r="T20" s="56">
        <f t="shared" si="0"/>
        <v>2799.36</v>
      </c>
      <c r="U20" s="58" cm="1">
        <f t="array" ref="U20">maxDepthToMinSOC($K$8,0,$K$6,$K$7,T20,$G$5,$G$6,S20,$C$7,$C$9,$G$4,$C$8)</f>
        <v>1431</v>
      </c>
      <c r="V20" s="58" cm="1">
        <f t="array" ref="V20">maxDepthToMinSOC($K$8,$K$9,$K$6,$K$7,T20,$G$5,$G$6,S20,$C$7,$C$9,$G$4,$C$8)</f>
        <v>711</v>
      </c>
      <c r="W20" t="s">
        <v>91</v>
      </c>
    </row>
    <row r="21" spans="2:23" x14ac:dyDescent="0.35">
      <c r="B21" s="12">
        <f t="shared" si="4"/>
        <v>0.21999999999999997</v>
      </c>
      <c r="C21" s="57" cm="1">
        <f t="array" ref="C21">drivePower($C$4,$C$5,$C$9,$C$10,B21)</f>
        <v>2420.4545454545455</v>
      </c>
      <c r="D21" s="58" cm="1">
        <f t="array" ref="D21">maxDepthToMinSOC($K$8,0,$K$6,$K$7,$K$10,$G$5,$G$6,C21,$C$7,$C$9,$G$4,$C$8)</f>
        <v>35184</v>
      </c>
      <c r="E21" s="58" cm="1">
        <f t="array" ref="E21">maxDepthToMinSOC($K$8,$K$9,$K$6,$K$7,$K$10,$G$5,$G$6,C21,$C$7,$C$9,$G$4,$C$8)</f>
        <v>27243</v>
      </c>
      <c r="G21" s="55">
        <v>1</v>
      </c>
      <c r="H21" s="57" cm="1">
        <f t="array" ref="H21">drivePower($C$4,$C$5,G21,$C$10,$C$11)</f>
        <v>411</v>
      </c>
      <c r="I21" s="58">
        <f t="shared" si="1"/>
        <v>515.67916060000005</v>
      </c>
      <c r="J21" s="58" cm="1">
        <f t="array" ref="J21">maxDepthToMinSOC($K$8,$K$9,$K$6,$K$7,$T$21,$G$5,$G$6,drivePower($C$4,$R$21,$G21,$C$10,$C$11),$C$7,$G21,$G$4,$C$8)</f>
        <v>1380</v>
      </c>
      <c r="K21" s="58" cm="1">
        <f t="array" ref="K21">maxDepthToMinSOC($K$8,$K$9,$K$6,$K$7,$T$22,$G$5,$G$6,drivePower($C$4,$R$22,$G21,$C$10,$C$11),$C$7,$G21,$G$4,$C$8)</f>
        <v>1996.5</v>
      </c>
      <c r="L21" s="58" cm="1">
        <f t="array" ref="L21">maxDepthToMinSOC($K$8,$K$9,$K$6,$K$7,$T$23,$G$5,$G$6,drivePower($C$4,$R$23,$G21,$C$10,$C$11),$C$7,$G21,$G$4,$C$8)</f>
        <v>2607</v>
      </c>
      <c r="M21" s="58" cm="1">
        <f t="array" ref="M21">maxDepthToMinSOC($K$8,$K$9,$K$6,$K$7,$T$24,$G$5,$G$6,drivePower($C$4,$R$24,$G21,$C$10,$C$11),$C$7,$G21,$G$4,$C$8)</f>
        <v>3213</v>
      </c>
      <c r="N21" s="58" cm="1">
        <f t="array" ref="N21">maxDepthToMinSOC($K$8,$K$9,$K$6,$K$7,$T$25,$G$5,$G$6,drivePower($C$4,$R$25,$G21,$C$10,$C$11),$C$7,$G21,$G$4,$C$8)</f>
        <v>3814.5</v>
      </c>
      <c r="O21" s="58" cm="1">
        <f t="array" ref="O21">maxDepthToMinSOC($K$8,$K$9,$K$6,$K$7,$T$26,$G$5,$G$6,drivePower($C$4,$R$26,$G21,$C$10,$C$11),$C$7,$G21,$G$4,$C$8)</f>
        <v>4411.5</v>
      </c>
      <c r="P21" s="56">
        <v>86400</v>
      </c>
      <c r="Q21" s="55">
        <f t="shared" si="2"/>
        <v>4.4727272727272727</v>
      </c>
      <c r="R21" s="57">
        <f t="shared" si="3"/>
        <v>504.4727272727273</v>
      </c>
      <c r="S21" s="57" cm="1">
        <f t="array" ref="S21">drivePower($C$4,R21,$C$9,$C$10,$C$11)</f>
        <v>1241.3461090909091</v>
      </c>
      <c r="T21" s="56">
        <f t="shared" si="0"/>
        <v>3732.4800000000005</v>
      </c>
      <c r="U21" s="58" cm="1">
        <f t="array" ref="U21">maxDepthToMinSOC($K$8,0,$K$6,$K$7,T21,$G$5,$G$6,S21,$C$7,$C$9,$G$4,$C$8)</f>
        <v>2377.5</v>
      </c>
      <c r="V21" s="58" cm="1">
        <f t="array" ref="V21">maxDepthToMinSOC($K$8,$K$9,$K$6,$K$7,T21,$G$5,$G$6,S21,$C$7,$C$9,$G$4,$C$8)</f>
        <v>1428</v>
      </c>
      <c r="W21" t="s">
        <v>92</v>
      </c>
    </row>
    <row r="22" spans="2:23" x14ac:dyDescent="0.35">
      <c r="B22" s="12">
        <f t="shared" si="4"/>
        <v>0.23999999999999996</v>
      </c>
      <c r="C22" s="57" cm="1">
        <f t="array" ref="C22">drivePower($C$4,$C$5,$C$9,$C$10,B22)</f>
        <v>2243.75</v>
      </c>
      <c r="D22" s="58" cm="1">
        <f t="array" ref="D22">maxDepthToMinSOC($K$8,0,$K$6,$K$7,$K$10,$G$5,$G$6,C22,$C$7,$C$9,$G$4,$C$8)</f>
        <v>37414.5</v>
      </c>
      <c r="E22" s="58" cm="1">
        <f t="array" ref="E22">maxDepthToMinSOC($K$8,$K$9,$K$6,$K$7,$K$10,$G$5,$G$6,C22,$C$7,$C$9,$G$4,$C$8)</f>
        <v>29047.5</v>
      </c>
      <c r="G22" s="55">
        <v>1.25</v>
      </c>
      <c r="H22" s="57" cm="1">
        <f t="array" ref="H22">drivePower($C$4,$C$5,G22,$C$10,$C$11)</f>
        <v>513.75</v>
      </c>
      <c r="I22" s="58">
        <f t="shared" si="1"/>
        <v>618.42916060000005</v>
      </c>
      <c r="J22" s="58" cm="1">
        <f t="array" ref="J22">maxDepthToMinSOC($K$8,$K$9,$K$6,$K$7,$T$21,$G$5,$G$6,drivePower($C$4,$R$21,$G22,$C$10,$C$11),$C$7,$G22,$G$4,$C$8)</f>
        <v>1419</v>
      </c>
      <c r="K22" s="58" cm="1">
        <f t="array" ref="K22">maxDepthToMinSOC($K$8,$K$9,$K$6,$K$7,$T$22,$G$5,$G$6,drivePower($C$4,$R$22,$G22,$C$10,$C$11),$C$7,$G22,$G$4,$C$8)</f>
        <v>2059.5</v>
      </c>
      <c r="L22" s="58" cm="1">
        <f t="array" ref="L22">maxDepthToMinSOC($K$8,$K$9,$K$6,$K$7,$T$23,$G$5,$G$6,drivePower($C$4,$R$23,$G22,$C$10,$C$11),$C$7,$G22,$G$4,$C$8)</f>
        <v>2695.5</v>
      </c>
      <c r="M22" s="58" cm="1">
        <f t="array" ref="M22">maxDepthToMinSOC($K$8,$K$9,$K$6,$K$7,$T$24,$G$5,$G$6,drivePower($C$4,$R$24,$G22,$C$10,$C$11),$C$7,$G22,$G$4,$C$8)</f>
        <v>3327</v>
      </c>
      <c r="N22" s="58" cm="1">
        <f t="array" ref="N22">maxDepthToMinSOC($K$8,$K$9,$K$6,$K$7,$T$25,$G$5,$G$6,drivePower($C$4,$R$25,$G22,$C$10,$C$11),$C$7,$G22,$G$4,$C$8)</f>
        <v>3952.5</v>
      </c>
      <c r="O22" s="58" cm="1">
        <f t="array" ref="O22">maxDepthToMinSOC($K$8,$K$9,$K$6,$K$7,$T$26,$G$5,$G$6,drivePower($C$4,$R$26,$G22,$C$10,$C$11),$C$7,$G22,$G$4,$C$8)</f>
        <v>4572</v>
      </c>
      <c r="P22" s="56">
        <v>108000</v>
      </c>
      <c r="Q22" s="55">
        <f t="shared" si="2"/>
        <v>5.6509090909090913</v>
      </c>
      <c r="R22" s="57">
        <f t="shared" si="3"/>
        <v>505.65090909090907</v>
      </c>
      <c r="S22" s="57" cm="1">
        <f t="array" ref="S22">drivePower($C$4,R22,$C$9,$C$10,$C$11)</f>
        <v>1243.5445963636362</v>
      </c>
      <c r="T22" s="56">
        <f t="shared" si="0"/>
        <v>4665.6000000000004</v>
      </c>
      <c r="U22" s="58" cm="1">
        <f t="array" ref="U22">maxDepthToMinSOC($K$8,0,$K$6,$K$7,T22,$G$5,$G$6,S22,$C$7,$C$9,$G$4,$C$8)</f>
        <v>3315</v>
      </c>
      <c r="V22" s="58" cm="1">
        <f t="array" ref="V22">maxDepthToMinSOC($K$8,$K$9,$K$6,$K$7,T22,$G$5,$G$6,S22,$C$7,$C$9,$G$4,$C$8)</f>
        <v>2137.5</v>
      </c>
    </row>
    <row r="23" spans="2:23" x14ac:dyDescent="0.35">
      <c r="B23" s="12">
        <f t="shared" si="4"/>
        <v>0.25999999999999995</v>
      </c>
      <c r="C23" s="57" cm="1">
        <f t="array" ref="C23">drivePower($C$4,$C$5,$C$9,$C$10,B23)</f>
        <v>2094.2307692307695</v>
      </c>
      <c r="D23" s="58" cm="1">
        <f t="array" ref="D23">maxDepthToMinSOC($K$8,0,$K$6,$K$7,$K$10,$G$5,$G$6,C23,$C$7,$C$9,$G$4,$C$8)</f>
        <v>39535.5</v>
      </c>
      <c r="E23" s="58" cm="1">
        <f t="array" ref="E23">maxDepthToMinSOC($K$8,$K$9,$K$6,$K$7,$K$10,$G$5,$G$6,C23,$C$7,$C$9,$G$4,$C$8)</f>
        <v>30772.5</v>
      </c>
      <c r="G23" s="55">
        <v>1.5</v>
      </c>
      <c r="H23" s="57" cm="1">
        <f t="array" ref="H23">drivePower($C$4,$C$5,G23,$C$10,$C$11)</f>
        <v>616.5</v>
      </c>
      <c r="I23" s="58">
        <f t="shared" si="1"/>
        <v>721.17916060000005</v>
      </c>
      <c r="J23" s="58" cm="1">
        <f t="array" ref="J23">maxDepthToMinSOC($K$8,$K$9,$K$6,$K$7,$T$21,$G$5,$G$6,drivePower($C$4,$R$21,$G23,$C$10,$C$11),$C$7,$G23,$G$4,$C$8)</f>
        <v>1440</v>
      </c>
      <c r="K23" s="58" cm="1">
        <f t="array" ref="K23">maxDepthToMinSOC($K$8,$K$9,$K$6,$K$7,$T$22,$G$5,$G$6,drivePower($C$4,$R$22,$G23,$C$10,$C$11),$C$7,$G23,$G$4,$C$8)</f>
        <v>2100</v>
      </c>
      <c r="L23" s="58" cm="1">
        <f t="array" ref="L23">maxDepthToMinSOC($K$8,$K$9,$K$6,$K$7,$T$23,$G$5,$G$6,drivePower($C$4,$R$23,$G23,$C$10,$C$11),$C$7,$G23,$G$4,$C$8)</f>
        <v>2754</v>
      </c>
      <c r="M23" s="58" cm="1">
        <f t="array" ref="M23">maxDepthToMinSOC($K$8,$K$9,$K$6,$K$7,$T$24,$G$5,$G$6,drivePower($C$4,$R$24,$G23,$C$10,$C$11),$C$7,$G23,$G$4,$C$8)</f>
        <v>3402</v>
      </c>
      <c r="N23" s="58" cm="1">
        <f t="array" ref="N23">maxDepthToMinSOC($K$8,$K$9,$K$6,$K$7,$T$25,$G$5,$G$6,drivePower($C$4,$R$25,$G23,$C$10,$C$11),$C$7,$G23,$G$4,$C$8)</f>
        <v>4044</v>
      </c>
      <c r="O23" s="58" cm="1">
        <f t="array" ref="O23">maxDepthToMinSOC($K$8,$K$9,$K$6,$K$7,$T$26,$G$5,$G$6,drivePower($C$4,$R$26,$G23,$C$10,$C$11),$C$7,$G23,$G$4,$C$8)</f>
        <v>4681.5</v>
      </c>
      <c r="P23" s="56">
        <v>129600</v>
      </c>
      <c r="Q23" s="55">
        <f t="shared" si="2"/>
        <v>6.8290909090909091</v>
      </c>
      <c r="R23" s="57">
        <f t="shared" si="3"/>
        <v>506.82909090909089</v>
      </c>
      <c r="S23" s="57" cm="1">
        <f t="array" ref="S23">drivePower($C$4,R23,$C$9,$C$10,$C$11)</f>
        <v>1245.7430836363635</v>
      </c>
      <c r="T23" s="56">
        <f t="shared" si="0"/>
        <v>5598.72</v>
      </c>
      <c r="U23" s="58" cm="1">
        <f t="array" ref="U23">maxDepthToMinSOC($K$8,0,$K$6,$K$7,T23,$G$5,$G$6,S23,$C$7,$C$9,$G$4,$C$8)</f>
        <v>4242</v>
      </c>
      <c r="V23" s="58" cm="1">
        <f t="array" ref="V23">maxDepthToMinSOC($K$8,$K$9,$K$6,$K$7,T23,$G$5,$G$6,S23,$C$7,$C$9,$G$4,$C$8)</f>
        <v>2841</v>
      </c>
    </row>
    <row r="24" spans="2:23" x14ac:dyDescent="0.35">
      <c r="B24" s="12">
        <f t="shared" si="4"/>
        <v>0.27999999999999997</v>
      </c>
      <c r="C24" s="57" cm="1">
        <f t="array" ref="C24">drivePower($C$4,$C$5,$C$9,$C$10,B24)</f>
        <v>1966.0714285714287</v>
      </c>
      <c r="D24" s="58" cm="1">
        <f t="array" ref="D24">maxDepthToMinSOC($K$8,0,$K$6,$K$7,$K$10,$G$5,$G$6,C24,$C$7,$C$9,$G$4,$C$8)</f>
        <v>41551.5</v>
      </c>
      <c r="E24" s="58" cm="1">
        <f t="array" ref="E24">maxDepthToMinSOC($K$8,$K$9,$K$6,$K$7,$K$10,$G$5,$G$6,C24,$C$7,$C$9,$G$4,$C$8)</f>
        <v>32419.5</v>
      </c>
      <c r="G24" s="55">
        <v>1.75</v>
      </c>
      <c r="H24" s="57" cm="1">
        <f t="array" ref="H24">drivePower($C$4,$C$5,G24,$C$10,$C$11)</f>
        <v>719.25</v>
      </c>
      <c r="I24" s="58">
        <f t="shared" si="1"/>
        <v>823.92916060000005</v>
      </c>
      <c r="J24" s="58" cm="1">
        <f t="array" ref="J24">maxDepthToMinSOC($K$8,$K$9,$K$6,$K$7,$T$21,$G$5,$G$6,drivePower($C$4,$R$21,$G24,$C$10,$C$11),$C$7,$G24,$G$4,$C$8)</f>
        <v>1450.5</v>
      </c>
      <c r="K24" s="58" cm="1">
        <f t="array" ref="K24">maxDepthToMinSOC($K$8,$K$9,$K$6,$K$7,$T$22,$G$5,$G$6,drivePower($C$4,$R$22,$G24,$C$10,$C$11),$C$7,$G24,$G$4,$C$8)</f>
        <v>2124</v>
      </c>
      <c r="L24" s="58" cm="1">
        <f t="array" ref="L24">maxDepthToMinSOC($K$8,$K$9,$K$6,$K$7,$T$23,$G$5,$G$6,drivePower($C$4,$R$23,$G24,$C$10,$C$11),$C$7,$G24,$G$4,$C$8)</f>
        <v>2791.5</v>
      </c>
      <c r="M24" s="58" cm="1">
        <f t="array" ref="M24">maxDepthToMinSOC($K$8,$K$9,$K$6,$K$7,$T$24,$G$5,$G$6,drivePower($C$4,$R$24,$G24,$C$10,$C$11),$C$7,$G24,$G$4,$C$8)</f>
        <v>3451.5</v>
      </c>
      <c r="N24" s="58" cm="1">
        <f t="array" ref="N24">maxDepthToMinSOC($K$8,$K$9,$K$6,$K$7,$T$25,$G$5,$G$6,drivePower($C$4,$R$25,$G24,$C$10,$C$11),$C$7,$G24,$G$4,$C$8)</f>
        <v>4107</v>
      </c>
      <c r="O24" s="58" cm="1">
        <f t="array" ref="O24">maxDepthToMinSOC($K$8,$K$9,$K$6,$K$7,$T$26,$G$5,$G$6,drivePower($C$4,$R$26,$G24,$C$10,$C$11),$C$7,$G24,$G$4,$C$8)</f>
        <v>4758</v>
      </c>
      <c r="P24" s="56">
        <v>151200</v>
      </c>
      <c r="Q24" s="55">
        <f t="shared" si="2"/>
        <v>8.0072727272727278</v>
      </c>
      <c r="R24" s="57">
        <f t="shared" si="3"/>
        <v>508.00727272727272</v>
      </c>
      <c r="S24" s="57" cm="1">
        <f t="array" ref="S24">drivePower($C$4,R24,$C$9,$C$10,$C$11)</f>
        <v>1247.9415709090908</v>
      </c>
      <c r="T24" s="56">
        <f t="shared" si="0"/>
        <v>6531.84</v>
      </c>
      <c r="U24" s="58" cm="1">
        <f t="array" ref="U24">maxDepthToMinSOC($K$8,0,$K$6,$K$7,T24,$G$5,$G$6,S24,$C$7,$C$9,$G$4,$C$8)</f>
        <v>5158.5</v>
      </c>
      <c r="V24" s="58" cm="1">
        <f t="array" ref="V24">maxDepthToMinSOC($K$8,$K$9,$K$6,$K$7,T24,$G$5,$G$6,S24,$C$7,$C$9,$G$4,$C$8)</f>
        <v>3537</v>
      </c>
    </row>
    <row r="25" spans="2:23" x14ac:dyDescent="0.35">
      <c r="B25" s="12">
        <f t="shared" si="4"/>
        <v>0.3</v>
      </c>
      <c r="C25" s="57" cm="1">
        <f t="array" ref="C25">drivePower($C$4,$C$5,$C$9,$C$10,B25)</f>
        <v>1855</v>
      </c>
      <c r="D25" s="58" cm="1">
        <f t="array" ref="D25">maxDepthToMinSOC($K$8,0,$K$6,$K$7,$K$10,$G$5,$G$6,C25,$C$7,$C$9,$G$4,$C$8)</f>
        <v>43473</v>
      </c>
      <c r="E25" s="58" cm="1">
        <f t="array" ref="E25">maxDepthToMinSOC($K$8,$K$9,$K$6,$K$7,$K$10,$G$5,$G$6,C25,$C$7,$C$9,$G$4,$C$8)</f>
        <v>33994.5</v>
      </c>
      <c r="G25" s="55">
        <v>2</v>
      </c>
      <c r="H25" s="57" cm="1">
        <f t="array" ref="H25">drivePower($C$4,$C$5,G25,$C$10,$C$11)</f>
        <v>822</v>
      </c>
      <c r="I25" s="58">
        <f t="shared" si="1"/>
        <v>926.67916060000005</v>
      </c>
      <c r="J25" s="58" cm="1">
        <f t="array" ref="J25">maxDepthToMinSOC($K$8,$K$9,$K$6,$K$7,$T$21,$G$5,$G$6,drivePower($C$4,$R$21,$G25,$C$10,$C$11),$C$7,$G25,$G$4,$C$8)</f>
        <v>1453.5</v>
      </c>
      <c r="K25" s="58" cm="1">
        <f t="array" ref="K25">maxDepthToMinSOC($K$8,$K$9,$K$6,$K$7,$T$22,$G$5,$G$6,drivePower($C$4,$R$22,$G25,$C$10,$C$11),$C$7,$G25,$G$4,$C$8)</f>
        <v>2137.5</v>
      </c>
      <c r="L25" s="58" cm="1">
        <f t="array" ref="L25">maxDepthToMinSOC($K$8,$K$9,$K$6,$K$7,$T$23,$G$5,$G$6,drivePower($C$4,$R$23,$G25,$C$10,$C$11),$C$7,$G25,$G$4,$C$8)</f>
        <v>2815.5</v>
      </c>
      <c r="M25" s="58" cm="1">
        <f t="array" ref="M25">maxDepthToMinSOC($K$8,$K$9,$K$6,$K$7,$T$24,$G$5,$G$6,drivePower($C$4,$R$24,$G25,$C$10,$C$11),$C$7,$G25,$G$4,$C$8)</f>
        <v>3486</v>
      </c>
      <c r="N25" s="58" cm="1">
        <f t="array" ref="N25">maxDepthToMinSOC($K$8,$K$9,$K$6,$K$7,$T$25,$G$5,$G$6,drivePower($C$4,$R$25,$G25,$C$10,$C$11),$C$7,$G25,$G$4,$C$8)</f>
        <v>4152</v>
      </c>
      <c r="O25" s="58" cm="1">
        <f t="array" ref="O25">maxDepthToMinSOC($K$8,$K$9,$K$6,$K$7,$T$26,$G$5,$G$6,drivePower($C$4,$R$26,$G25,$C$10,$C$11),$C$7,$G25,$G$4,$C$8)</f>
        <v>4812</v>
      </c>
      <c r="P25" s="56">
        <v>172800</v>
      </c>
      <c r="Q25" s="55">
        <f t="shared" si="2"/>
        <v>9.1854545454545455</v>
      </c>
      <c r="R25" s="57">
        <f t="shared" si="3"/>
        <v>509.18545454545455</v>
      </c>
      <c r="S25" s="57" cm="1">
        <f t="array" ref="S25">drivePower($C$4,R25,$C$9,$C$10,$C$11)</f>
        <v>1250.1400581818182</v>
      </c>
      <c r="T25" s="56">
        <f t="shared" si="0"/>
        <v>7464.9600000000009</v>
      </c>
      <c r="U25" s="58" cm="1">
        <f t="array" ref="U25">maxDepthToMinSOC($K$8,0,$K$6,$K$7,T25,$G$5,$G$6,S25,$C$7,$C$9,$G$4,$C$8)</f>
        <v>6063</v>
      </c>
      <c r="V25" s="58" cm="1">
        <f t="array" ref="V25">maxDepthToMinSOC($K$8,$K$9,$K$6,$K$7,T25,$G$5,$G$6,S25,$C$7,$C$9,$G$4,$C$8)</f>
        <v>4227</v>
      </c>
    </row>
    <row r="26" spans="2:23" x14ac:dyDescent="0.35">
      <c r="B26" s="12">
        <f t="shared" si="4"/>
        <v>0.32</v>
      </c>
      <c r="C26" s="57" cm="1">
        <f t="array" ref="C26">drivePower($C$4,$C$5,$C$9,$C$10,B26)</f>
        <v>1757.8125</v>
      </c>
      <c r="D26" s="58" cm="1">
        <f t="array" ref="D26">maxDepthToMinSOC($K$8,0,$K$6,$K$7,$K$10,$G$5,$G$6,C26,$C$7,$C$9,$G$4,$C$8)</f>
        <v>45303</v>
      </c>
      <c r="E26" s="58" cm="1">
        <f t="array" ref="E26">maxDepthToMinSOC($K$8,$K$9,$K$6,$K$7,$K$10,$G$5,$G$6,C26,$C$7,$C$9,$G$4,$C$8)</f>
        <v>35505</v>
      </c>
      <c r="G26" s="55">
        <v>2.25</v>
      </c>
      <c r="H26" s="57" cm="1">
        <f t="array" ref="H26">drivePower($C$4,$C$5,G26,$C$10,$C$11)</f>
        <v>924.75</v>
      </c>
      <c r="I26" s="58">
        <f t="shared" si="1"/>
        <v>1029.4291605999999</v>
      </c>
      <c r="J26" s="58" cm="1">
        <f t="array" ref="J26">maxDepthToMinSOC($K$8,$K$9,$K$6,$K$7,$T$21,$G$5,$G$6,drivePower($C$4,$R$21,$G26,$C$10,$C$11),$C$7,$G26,$G$4,$C$8)</f>
        <v>1452</v>
      </c>
      <c r="K26" s="58" cm="1">
        <f t="array" ref="K26">maxDepthToMinSOC($K$8,$K$9,$K$6,$K$7,$T$22,$G$5,$G$6,drivePower($C$4,$R$22,$G26,$C$10,$C$11),$C$7,$G26,$G$4,$C$8)</f>
        <v>2143.5</v>
      </c>
      <c r="L26" s="58" cm="1">
        <f t="array" ref="L26">maxDepthToMinSOC($K$8,$K$9,$K$6,$K$7,$T$23,$G$5,$G$6,drivePower($C$4,$R$23,$G26,$C$10,$C$11),$C$7,$G26,$G$4,$C$8)</f>
        <v>2830.5</v>
      </c>
      <c r="M26" s="58" cm="1">
        <f t="array" ref="M26">maxDepthToMinSOC($K$8,$K$9,$K$6,$K$7,$T$24,$G$5,$G$6,drivePower($C$4,$R$24,$G26,$C$10,$C$11),$C$7,$G26,$G$4,$C$8)</f>
        <v>3510</v>
      </c>
      <c r="N26" s="58" cm="1">
        <f t="array" ref="N26">maxDepthToMinSOC($K$8,$K$9,$K$6,$K$7,$T$25,$G$5,$G$6,drivePower($C$4,$R$25,$G26,$C$10,$C$11),$C$7,$G26,$G$4,$C$8)</f>
        <v>4183.5</v>
      </c>
      <c r="O26" s="58" cm="1">
        <f t="array" ref="O26">maxDepthToMinSOC($K$8,$K$9,$K$6,$K$7,$T$26,$G$5,$G$6,drivePower($C$4,$R$26,$G26,$C$10,$C$11),$C$7,$G26,$G$4,$C$8)</f>
        <v>4851</v>
      </c>
      <c r="P26" s="56">
        <v>194400</v>
      </c>
      <c r="Q26" s="55">
        <f t="shared" si="2"/>
        <v>10.363636363636363</v>
      </c>
      <c r="R26" s="57">
        <f t="shared" si="3"/>
        <v>510.36363636363637</v>
      </c>
      <c r="S26" s="57" cm="1">
        <f t="array" ref="S26">drivePower($C$4,R26,$C$9,$C$10,$C$11)</f>
        <v>1252.3385454545455</v>
      </c>
      <c r="T26" s="56">
        <f t="shared" si="0"/>
        <v>8398.08</v>
      </c>
      <c r="U26" s="58" cm="1">
        <f t="array" ref="U26">maxDepthToMinSOC($K$8,0,$K$6,$K$7,T26,$G$5,$G$6,S26,$C$7,$C$9,$G$4,$C$8)</f>
        <v>6960</v>
      </c>
      <c r="V26" s="58" cm="1">
        <f t="array" ref="V26">maxDepthToMinSOC($K$8,$K$9,$K$6,$K$7,T26,$G$5,$G$6,S26,$C$7,$C$9,$G$4,$C$8)</f>
        <v>4911</v>
      </c>
    </row>
    <row r="27" spans="2:23" x14ac:dyDescent="0.35">
      <c r="B27" s="12">
        <f t="shared" si="4"/>
        <v>0.34</v>
      </c>
      <c r="C27" s="57" cm="1">
        <f t="array" ref="C27">drivePower($C$4,$C$5,$C$9,$C$10,B27)</f>
        <v>1672.0588235294117</v>
      </c>
      <c r="D27" s="58" cm="1">
        <f t="array" ref="D27">maxDepthToMinSOC($K$8,0,$K$6,$K$7,$K$10,$G$5,$G$6,C27,$C$7,$C$9,$G$4,$C$8)</f>
        <v>47052</v>
      </c>
      <c r="E27" s="58" cm="1">
        <f t="array" ref="E27">maxDepthToMinSOC($K$8,$K$9,$K$6,$K$7,$K$10,$G$5,$G$6,C27,$C$7,$C$9,$G$4,$C$8)</f>
        <v>36951</v>
      </c>
      <c r="G27" s="55">
        <v>2.5</v>
      </c>
      <c r="H27" s="57" cm="1">
        <f t="array" ref="H27">drivePower($C$4,$C$5,G27,$C$10,$C$11)</f>
        <v>1027.5</v>
      </c>
      <c r="I27" s="58">
        <f t="shared" si="1"/>
        <v>1132.1791605999999</v>
      </c>
      <c r="J27" s="58" cm="1">
        <f t="array" ref="J27">maxDepthToMinSOC($K$8,$K$9,$K$6,$K$7,$T$21,$G$5,$G$6,drivePower($C$4,$R$21,$G27,$C$10,$C$11),$C$7,$G27,$G$4,$C$8)</f>
        <v>1446</v>
      </c>
      <c r="K27" s="58" cm="1">
        <f t="array" ref="K27">maxDepthToMinSOC($K$8,$K$9,$K$6,$K$7,$T$22,$G$5,$G$6,drivePower($C$4,$R$22,$G27,$C$10,$C$11),$C$7,$G27,$G$4,$C$8)</f>
        <v>2145</v>
      </c>
      <c r="L27" s="58" cm="1">
        <f t="array" ref="L27">maxDepthToMinSOC($K$8,$K$9,$K$6,$K$7,$T$23,$G$5,$G$6,drivePower($C$4,$R$23,$G27,$C$10,$C$11),$C$7,$G27,$G$4,$C$8)</f>
        <v>2838</v>
      </c>
      <c r="M27" s="58" cm="1">
        <f t="array" ref="M27">maxDepthToMinSOC($K$8,$K$9,$K$6,$K$7,$T$24,$G$5,$G$6,drivePower($C$4,$R$24,$G27,$C$10,$C$11),$C$7,$G27,$G$4,$C$8)</f>
        <v>3525</v>
      </c>
      <c r="N27" s="58" cm="1">
        <f t="array" ref="N27">maxDepthToMinSOC($K$8,$K$9,$K$6,$K$7,$T$25,$G$5,$G$6,drivePower($C$4,$R$25,$G27,$C$10,$C$11),$C$7,$G27,$G$4,$C$8)</f>
        <v>4204.5</v>
      </c>
      <c r="O27" s="58" cm="1">
        <f t="array" ref="O27">maxDepthToMinSOC($K$8,$K$9,$K$6,$K$7,$T$26,$G$5,$G$6,drivePower($C$4,$R$26,$G27,$C$10,$C$11),$C$7,$G27,$G$4,$C$8)</f>
        <v>4878</v>
      </c>
      <c r="P27" s="56">
        <v>216000</v>
      </c>
      <c r="Q27" s="55">
        <f t="shared" ref="Q27:Q31" si="5">(P27-4400)*(5*0.048)/4400</f>
        <v>11.541818181818181</v>
      </c>
      <c r="R27" s="57">
        <f t="shared" ref="R27:R31" si="6">$C$5+Q27</f>
        <v>511.5418181818182</v>
      </c>
      <c r="S27" s="57" cm="1">
        <f t="array" ref="S27">drivePower($C$4,R27,$C$9,$C$10,$C$11)</f>
        <v>1254.5370327272726</v>
      </c>
      <c r="T27" s="56">
        <f t="shared" ref="T27:T31" si="7">P27*3.6/1000*$K$4</f>
        <v>9331.2000000000007</v>
      </c>
      <c r="U27" s="58" cm="1">
        <f t="array" ref="U27">maxDepthToMinSOC($K$8,0,$K$6,$K$7,T27,$G$5,$G$6,S27,$C$7,$C$9,$G$4,$C$8)</f>
        <v>7845</v>
      </c>
      <c r="V27" s="58" cm="1">
        <f t="array" ref="V27">maxDepthToMinSOC($K$8,$K$9,$K$6,$K$7,T27,$G$5,$G$6,S27,$C$7,$C$9,$G$4,$C$8)</f>
        <v>5589</v>
      </c>
    </row>
    <row r="28" spans="2:23" x14ac:dyDescent="0.35">
      <c r="B28" s="12">
        <f t="shared" si="4"/>
        <v>0.36000000000000004</v>
      </c>
      <c r="C28" s="57" cm="1">
        <f t="array" ref="C28">drivePower($C$4,$C$5,$C$9,$C$10,B28)</f>
        <v>1595.8333333333333</v>
      </c>
      <c r="D28" s="58" cm="1">
        <f t="array" ref="D28">maxDepthToMinSOC($K$8,0,$K$6,$K$7,$K$10,$G$5,$G$6,C28,$C$7,$C$9,$G$4,$C$8)</f>
        <v>48721.5</v>
      </c>
      <c r="E28" s="58" cm="1">
        <f t="array" ref="E28">maxDepthToMinSOC($K$8,$K$9,$K$6,$K$7,$K$10,$G$5,$G$6,C28,$C$7,$C$9,$G$4,$C$8)</f>
        <v>38338.5</v>
      </c>
      <c r="G28" s="55">
        <v>2.75</v>
      </c>
      <c r="H28" s="57" cm="1">
        <f t="array" ref="H28">drivePower($C$4,$C$5,G28,$C$10,$C$11)</f>
        <v>1130.25</v>
      </c>
      <c r="I28" s="58">
        <f t="shared" si="1"/>
        <v>1234.9291605999999</v>
      </c>
      <c r="J28" s="58" cm="1">
        <f t="array" ref="J28">maxDepthToMinSOC($K$8,$K$9,$K$6,$K$7,$T$21,$G$5,$G$6,drivePower($C$4,$R$21,$G28,$C$10,$C$11),$C$7,$G28,$G$4,$C$8)</f>
        <v>1438.5</v>
      </c>
      <c r="K28" s="58" cm="1">
        <f t="array" ref="K28">maxDepthToMinSOC($K$8,$K$9,$K$6,$K$7,$T$22,$G$5,$G$6,drivePower($C$4,$R$22,$G28,$C$10,$C$11),$C$7,$G28,$G$4,$C$8)</f>
        <v>2143.5</v>
      </c>
      <c r="L28" s="58" cm="1">
        <f t="array" ref="L28">maxDepthToMinSOC($K$8,$K$9,$K$6,$K$7,$T$23,$G$5,$G$6,drivePower($C$4,$R$23,$G28,$C$10,$C$11),$C$7,$G28,$G$4,$C$8)</f>
        <v>2841</v>
      </c>
      <c r="M28" s="58" cm="1">
        <f t="array" ref="M28">maxDepthToMinSOC($K$8,$K$9,$K$6,$K$7,$T$24,$G$5,$G$6,drivePower($C$4,$R$24,$G28,$C$10,$C$11),$C$7,$G28,$G$4,$C$8)</f>
        <v>3532.5</v>
      </c>
      <c r="N28" s="58" cm="1">
        <f t="array" ref="N28">maxDepthToMinSOC($K$8,$K$9,$K$6,$K$7,$T$25,$G$5,$G$6,drivePower($C$4,$R$25,$G28,$C$10,$C$11),$C$7,$G28,$G$4,$C$8)</f>
        <v>4219.5</v>
      </c>
      <c r="O28" s="58" cm="1">
        <f t="array" ref="O28">maxDepthToMinSOC($K$8,$K$9,$K$6,$K$7,$T$26,$G$5,$G$6,drivePower($C$4,$R$26,$G28,$C$10,$C$11),$C$7,$G28,$G$4,$C$8)</f>
        <v>4897.5</v>
      </c>
      <c r="P28" s="56">
        <v>237600</v>
      </c>
      <c r="Q28" s="55">
        <f t="shared" si="5"/>
        <v>12.72</v>
      </c>
      <c r="R28" s="57">
        <f t="shared" si="6"/>
        <v>512.72</v>
      </c>
      <c r="S28" s="57" cm="1">
        <f t="array" ref="S28">drivePower($C$4,R28,$C$9,$C$10,$C$11)</f>
        <v>1256.7355200000002</v>
      </c>
      <c r="T28" s="56">
        <f t="shared" si="7"/>
        <v>10264.32</v>
      </c>
      <c r="U28" s="58" cm="1">
        <f t="array" ref="U28">maxDepthToMinSOC($K$8,0,$K$6,$K$7,T28,$G$5,$G$6,S28,$C$7,$C$9,$G$4,$C$8)</f>
        <v>8722.5</v>
      </c>
      <c r="V28" s="58" cm="1">
        <f t="array" ref="V28">maxDepthToMinSOC($K$8,$K$9,$K$6,$K$7,T28,$G$5,$G$6,S28,$C$7,$C$9,$G$4,$C$8)</f>
        <v>6261</v>
      </c>
    </row>
    <row r="29" spans="2:23" x14ac:dyDescent="0.35">
      <c r="B29" s="12">
        <f t="shared" si="4"/>
        <v>0.38000000000000006</v>
      </c>
      <c r="C29" s="57" cm="1">
        <f t="array" ref="C29">drivePower($C$4,$C$5,$C$9,$C$10,B29)</f>
        <v>1527.6315789473683</v>
      </c>
      <c r="D29" s="58" cm="1">
        <f t="array" ref="D29">maxDepthToMinSOC($K$8,0,$K$6,$K$7,$K$10,$G$5,$G$6,C29,$C$7,$C$9,$G$4,$C$8)</f>
        <v>50319</v>
      </c>
      <c r="E29" s="58" cm="1">
        <f t="array" ref="E29">maxDepthToMinSOC($K$8,$K$9,$K$6,$K$7,$K$10,$G$5,$G$6,C29,$C$7,$C$9,$G$4,$C$8)</f>
        <v>39670.5</v>
      </c>
      <c r="G29" s="55">
        <v>3</v>
      </c>
      <c r="H29" s="57" cm="1">
        <f t="array" ref="H29">drivePower($C$4,$C$5,G29,$C$10,$C$11)</f>
        <v>1233</v>
      </c>
      <c r="I29" s="58">
        <f t="shared" si="1"/>
        <v>1337.6791605999999</v>
      </c>
      <c r="J29" s="58" cm="1">
        <f t="array" ref="J29">maxDepthToMinSOC($K$8,$K$9,$K$6,$K$7,$T$21,$G$5,$G$6,drivePower($C$4,$R$21,$G29,$C$10,$C$11),$C$7,$G29,$G$4,$C$8)</f>
        <v>1428</v>
      </c>
      <c r="K29" s="58" cm="1">
        <f t="array" ref="K29">maxDepthToMinSOC($K$8,$K$9,$K$6,$K$7,$T$22,$G$5,$G$6,drivePower($C$4,$R$22,$G29,$C$10,$C$11),$C$7,$G29,$G$4,$C$8)</f>
        <v>2137.5</v>
      </c>
      <c r="L29" s="58" cm="1">
        <f t="array" ref="L29">maxDepthToMinSOC($K$8,$K$9,$K$6,$K$7,$T$23,$G$5,$G$6,drivePower($C$4,$R$23,$G29,$C$10,$C$11),$C$7,$G29,$G$4,$C$8)</f>
        <v>2841</v>
      </c>
      <c r="M29" s="58" cm="1">
        <f t="array" ref="M29">maxDepthToMinSOC($K$8,$K$9,$K$6,$K$7,$T$24,$G$5,$G$6,drivePower($C$4,$R$24,$G29,$C$10,$C$11),$C$7,$G29,$G$4,$C$8)</f>
        <v>3537</v>
      </c>
      <c r="N29" s="58" cm="1">
        <f t="array" ref="N29">maxDepthToMinSOC($K$8,$K$9,$K$6,$K$7,$T$25,$G$5,$G$6,drivePower($C$4,$R$25,$G29,$C$10,$C$11),$C$7,$G29,$G$4,$C$8)</f>
        <v>4227</v>
      </c>
      <c r="O29" s="58" cm="1">
        <f t="array" ref="O29">maxDepthToMinSOC($K$8,$K$9,$K$6,$K$7,$T$26,$G$5,$G$6,drivePower($C$4,$R$26,$G29,$C$10,$C$11),$C$7,$G29,$G$4,$C$8)</f>
        <v>4911</v>
      </c>
      <c r="P29" s="56">
        <v>259200</v>
      </c>
      <c r="Q29" s="55">
        <f t="shared" si="5"/>
        <v>13.898181818181818</v>
      </c>
      <c r="R29" s="57">
        <f t="shared" si="6"/>
        <v>513.8981818181818</v>
      </c>
      <c r="S29" s="57" cm="1">
        <f t="array" ref="S29">drivePower($C$4,R29,$C$9,$C$10,$C$11)</f>
        <v>1258.9340072727273</v>
      </c>
      <c r="T29" s="56">
        <f t="shared" si="7"/>
        <v>11197.44</v>
      </c>
      <c r="U29" s="58" cm="1">
        <f t="array" ref="U29">maxDepthToMinSOC($K$8,0,$K$6,$K$7,T29,$G$5,$G$6,S29,$C$7,$C$9,$G$4,$C$8)</f>
        <v>9588</v>
      </c>
      <c r="V29" s="58" cm="1">
        <f t="array" ref="V29">maxDepthToMinSOC($K$8,$K$9,$K$6,$K$7,T29,$G$5,$G$6,S29,$C$7,$C$9,$G$4,$C$8)</f>
        <v>6925.5</v>
      </c>
    </row>
    <row r="30" spans="2:23" x14ac:dyDescent="0.35">
      <c r="B30" s="12">
        <f t="shared" si="4"/>
        <v>0.40000000000000008</v>
      </c>
      <c r="C30" s="57" cm="1">
        <f t="array" ref="C30">drivePower($C$4,$C$5,$C$9,$C$10,B30)</f>
        <v>1466.2499999999998</v>
      </c>
      <c r="D30" s="58" cm="1">
        <f t="array" ref="D30">maxDepthToMinSOC($K$8,0,$K$6,$K$7,$K$10,$G$5,$G$6,C30,$C$7,$C$9,$G$4,$C$8)</f>
        <v>51849</v>
      </c>
      <c r="E30" s="58" cm="1">
        <f t="array" ref="E30">maxDepthToMinSOC($K$8,$K$9,$K$6,$K$7,$K$10,$G$5,$G$6,C30,$C$7,$C$9,$G$4,$C$8)</f>
        <v>40950</v>
      </c>
      <c r="G30" s="55">
        <v>3.25</v>
      </c>
      <c r="H30" s="57" cm="1">
        <f t="array" ref="H30">drivePower($C$4,$C$5,G30,$C$10,$C$11)</f>
        <v>1335.75</v>
      </c>
      <c r="I30" s="58">
        <f t="shared" si="1"/>
        <v>1440.4291605999999</v>
      </c>
      <c r="J30" s="58" cm="1">
        <f t="array" ref="J30">maxDepthToMinSOC($K$8,$K$9,$K$6,$K$7,$T$21,$G$5,$G$6,drivePower($C$4,$R$21,$G30,$C$10,$C$11),$C$7,$G30,$G$4,$C$8)</f>
        <v>1416</v>
      </c>
      <c r="K30" s="58" cm="1">
        <f t="array" ref="K30">maxDepthToMinSOC($K$8,$K$9,$K$6,$K$7,$T$22,$G$5,$G$6,drivePower($C$4,$R$22,$G30,$C$10,$C$11),$C$7,$G30,$G$4,$C$8)</f>
        <v>2130</v>
      </c>
      <c r="L30" s="58" cm="1">
        <f t="array" ref="L30">maxDepthToMinSOC($K$8,$K$9,$K$6,$K$7,$T$23,$G$5,$G$6,drivePower($C$4,$R$23,$G30,$C$10,$C$11),$C$7,$G30,$G$4,$C$8)</f>
        <v>2836.5</v>
      </c>
      <c r="M30" s="58" cm="1">
        <f t="array" ref="M30">maxDepthToMinSOC($K$8,$K$9,$K$6,$K$7,$T$24,$G$5,$G$6,drivePower($C$4,$R$24,$G30,$C$10,$C$11),$C$7,$G30,$G$4,$C$8)</f>
        <v>3537</v>
      </c>
      <c r="N30" s="58" cm="1">
        <f t="array" ref="N30">maxDepthToMinSOC($K$8,$K$9,$K$6,$K$7,$T$25,$G$5,$G$6,drivePower($C$4,$R$25,$G30,$C$10,$C$11),$C$7,$G30,$G$4,$C$8)</f>
        <v>4231.5</v>
      </c>
      <c r="O30" s="58" cm="1">
        <f t="array" ref="O30">maxDepthToMinSOC($K$8,$K$9,$K$6,$K$7,$T$26,$G$5,$G$6,drivePower($C$4,$R$26,$G30,$C$10,$C$11),$C$7,$G30,$G$4,$C$8)</f>
        <v>4920</v>
      </c>
      <c r="P30" s="56">
        <v>280800</v>
      </c>
      <c r="Q30" s="55">
        <f t="shared" si="5"/>
        <v>15.076363636363636</v>
      </c>
      <c r="R30" s="57">
        <f t="shared" si="6"/>
        <v>515.07636363636368</v>
      </c>
      <c r="S30" s="57" cm="1">
        <f t="array" ref="S30">drivePower($C$4,R30,$C$9,$C$10,$C$11)</f>
        <v>1261.1324945454546</v>
      </c>
      <c r="T30" s="56">
        <f t="shared" si="7"/>
        <v>12130.56</v>
      </c>
      <c r="U30" s="58" cm="1">
        <f t="array" ref="U30">maxDepthToMinSOC($K$8,0,$K$6,$K$7,T30,$G$5,$G$6,S30,$C$7,$C$9,$G$4,$C$8)</f>
        <v>10446</v>
      </c>
      <c r="V30" s="58" cm="1">
        <f t="array" ref="V30">maxDepthToMinSOC($K$8,$K$9,$K$6,$K$7,T30,$G$5,$G$6,S30,$C$7,$C$9,$G$4,$C$8)</f>
        <v>7585.5</v>
      </c>
    </row>
    <row r="31" spans="2:23" x14ac:dyDescent="0.35">
      <c r="B31" s="12">
        <f t="shared" si="4"/>
        <v>0.4200000000000001</v>
      </c>
      <c r="C31" s="57" cm="1">
        <f t="array" ref="C31">drivePower($C$4,$C$5,$C$9,$C$10,B31)</f>
        <v>1410.7142857142856</v>
      </c>
      <c r="D31" s="58" cm="1">
        <f t="array" ref="D31">maxDepthToMinSOC($K$8,0,$K$6,$K$7,$K$10,$G$5,$G$6,C31,$C$7,$C$9,$G$4,$C$8)</f>
        <v>53316</v>
      </c>
      <c r="E31" s="58" cm="1">
        <f t="array" ref="E31">maxDepthToMinSOC($K$8,$K$9,$K$6,$K$7,$K$10,$G$5,$G$6,C31,$C$7,$C$9,$G$4,$C$8)</f>
        <v>42181.5</v>
      </c>
      <c r="G31" s="55">
        <v>3.5</v>
      </c>
      <c r="H31" s="57" cm="1">
        <f t="array" ref="H31">drivePower($C$4,$C$5,G31,$C$10,$C$11)</f>
        <v>1438.5</v>
      </c>
      <c r="I31" s="58">
        <f t="shared" si="1"/>
        <v>1543.1791605999999</v>
      </c>
      <c r="J31" s="58" cm="1">
        <f t="array" ref="J31">maxDepthToMinSOC($K$8,$K$9,$K$6,$K$7,$T$21,$G$5,$G$6,drivePower($C$4,$R$21,$G31,$C$10,$C$11),$C$7,$G31,$G$4,$C$8)</f>
        <v>1402.5</v>
      </c>
      <c r="K31" s="58" cm="1">
        <f t="array" ref="K31">maxDepthToMinSOC($K$8,$K$9,$K$6,$K$7,$T$22,$G$5,$G$6,drivePower($C$4,$R$22,$G31,$C$10,$C$11),$C$7,$G31,$G$4,$C$8)</f>
        <v>2119.5</v>
      </c>
      <c r="L31" s="58" cm="1">
        <f t="array" ref="L31">maxDepthToMinSOC($K$8,$K$9,$K$6,$K$7,$T$23,$G$5,$G$6,drivePower($C$4,$R$23,$G31,$C$10,$C$11),$C$7,$G31,$G$4,$C$8)</f>
        <v>2830.5</v>
      </c>
      <c r="M31" s="58" cm="1">
        <f t="array" ref="M31">maxDepthToMinSOC($K$8,$K$9,$K$6,$K$7,$T$24,$G$5,$G$6,drivePower($C$4,$R$24,$G31,$C$10,$C$11),$C$7,$G31,$G$4,$C$8)</f>
        <v>3535.5</v>
      </c>
      <c r="N31" s="58" cm="1">
        <f t="array" ref="N31">maxDepthToMinSOC($K$8,$K$9,$K$6,$K$7,$T$25,$G$5,$G$6,drivePower($C$4,$R$25,$G31,$C$10,$C$11),$C$7,$G31,$G$4,$C$8)</f>
        <v>4233</v>
      </c>
      <c r="O31" s="58" cm="1">
        <f t="array" ref="O31">maxDepthToMinSOC($K$8,$K$9,$K$6,$K$7,$T$26,$G$5,$G$6,drivePower($C$4,$R$26,$G31,$C$10,$C$11),$C$7,$G31,$G$4,$C$8)</f>
        <v>4923</v>
      </c>
      <c r="P31" s="56">
        <v>302400</v>
      </c>
      <c r="Q31" s="55">
        <f t="shared" si="5"/>
        <v>16.254545454545454</v>
      </c>
      <c r="R31" s="57">
        <f t="shared" si="6"/>
        <v>516.25454545454545</v>
      </c>
      <c r="S31" s="57" cm="1">
        <f t="array" ref="S31">drivePower($C$4,R31,$C$9,$C$10,$C$11)</f>
        <v>1263.3309818181817</v>
      </c>
      <c r="T31" s="56">
        <f t="shared" si="7"/>
        <v>13063.68</v>
      </c>
      <c r="U31" s="58" cm="1">
        <f t="array" ref="U31">maxDepthToMinSOC($K$8,0,$K$6,$K$7,T31,$G$5,$G$6,S31,$C$7,$C$9,$G$4,$C$8)</f>
        <v>11293.5</v>
      </c>
      <c r="V31" s="58" cm="1">
        <f t="array" ref="V31">maxDepthToMinSOC($K$8,$K$9,$K$6,$K$7,T31,$G$5,$G$6,S31,$C$7,$C$9,$G$4,$C$8)</f>
        <v>8239.5</v>
      </c>
    </row>
    <row r="32" spans="2:23" x14ac:dyDescent="0.35">
      <c r="B32" s="12">
        <f t="shared" si="4"/>
        <v>0.44000000000000011</v>
      </c>
      <c r="C32" s="57" cm="1">
        <f t="array" ref="C32">drivePower($C$4,$C$5,$C$9,$C$10,B32)</f>
        <v>1360.2272727272725</v>
      </c>
      <c r="D32" s="58" cm="1">
        <f t="array" ref="D32">maxDepthToMinSOC($K$8,0,$K$6,$K$7,$K$10,$G$5,$G$6,C32,$C$7,$C$9,$G$4,$C$8)</f>
        <v>54721.5</v>
      </c>
      <c r="E32" s="58" cm="1">
        <f t="array" ref="E32">maxDepthToMinSOC($K$8,$K$9,$K$6,$K$7,$K$10,$G$5,$G$6,C32,$C$7,$C$9,$G$4,$C$8)</f>
        <v>43366.5</v>
      </c>
      <c r="G32" s="55">
        <v>4.5</v>
      </c>
      <c r="H32" s="57" cm="1">
        <f t="array" ref="H32">drivePower($C$4,$C$5,G32,$C$10,$C$11)</f>
        <v>1849.5</v>
      </c>
      <c r="I32" s="58">
        <f t="shared" ref="I32:I49" si="8">$C$7+H32</f>
        <v>1954.1791605999999</v>
      </c>
      <c r="J32" s="58" cm="1">
        <f t="array" ref="J32">maxDepthToMinSOC($K$8,$K$9,$K$6,$K$7,$T$21,$G$5,$G$6,drivePower($C$4,$R$21,$G32,$C$10,$C$11),$C$7,$G32,$G$4,$C$8)</f>
        <v>1339.5</v>
      </c>
      <c r="K32" s="58" cm="1">
        <f t="array" ref="K32">maxDepthToMinSOC($K$8,$K$9,$K$6,$K$7,$T$22,$G$5,$G$6,drivePower($C$4,$R$22,$G32,$C$10,$C$11),$C$7,$G32,$G$4,$C$8)</f>
        <v>2067</v>
      </c>
      <c r="L32" s="58" cm="1">
        <f t="array" ref="L32">maxDepthToMinSOC($K$8,$K$9,$K$6,$K$7,$T$23,$G$5,$G$6,drivePower($C$4,$R$23,$G32,$C$10,$C$11),$C$7,$G32,$G$4,$C$8)</f>
        <v>2788.5</v>
      </c>
      <c r="M32" s="58" cm="1">
        <f t="array" ref="M32">maxDepthToMinSOC($K$8,$K$9,$K$6,$K$7,$T$24,$G$5,$G$6,drivePower($C$4,$R$24,$G32,$C$10,$C$11),$C$7,$G32,$G$4,$C$8)</f>
        <v>3504</v>
      </c>
      <c r="N32" s="58" cm="1">
        <f t="array" ref="N32">maxDepthToMinSOC($K$8,$K$9,$K$6,$K$7,$T$25,$G$5,$G$6,drivePower($C$4,$R$25,$G32,$C$10,$C$11),$C$7,$G32,$G$4,$C$8)</f>
        <v>4212</v>
      </c>
      <c r="O32" s="58" cm="1">
        <f t="array" ref="O32">maxDepthToMinSOC($K$8,$K$9,$K$6,$K$7,$T$26,$G$5,$G$6,drivePower($C$4,$R$26,$G32,$C$10,$C$11),$C$7,$G32,$G$4,$C$8)</f>
        <v>4912.5</v>
      </c>
      <c r="P32" s="56">
        <v>324000</v>
      </c>
      <c r="Q32" s="55">
        <f t="shared" ref="Q32:Q49" si="9">(P32-4400)*(5*0.048)/4400</f>
        <v>17.432727272727274</v>
      </c>
      <c r="R32" s="57">
        <f t="shared" ref="R32:R49" si="10">$C$5+Q32</f>
        <v>517.43272727272722</v>
      </c>
      <c r="S32" s="57" cm="1">
        <f t="array" ref="S32">drivePower($C$4,R32,$C$9,$C$10,$C$11)</f>
        <v>1265.5294690909091</v>
      </c>
      <c r="T32" s="56">
        <f t="shared" ref="T32:T49" si="11">P32*3.6/1000*$K$4</f>
        <v>13996.800000000001</v>
      </c>
      <c r="U32" s="58" cm="1">
        <f t="array" ref="U32">maxDepthToMinSOC($K$8,0,$K$6,$K$7,T32,$G$5,$G$6,S32,$C$7,$C$9,$G$4,$C$8)</f>
        <v>12133.5</v>
      </c>
      <c r="V32" s="58" cm="1">
        <f t="array" ref="V32">maxDepthToMinSOC($K$8,$K$9,$K$6,$K$7,T32,$G$5,$G$6,S32,$C$7,$C$9,$G$4,$C$8)</f>
        <v>8886</v>
      </c>
    </row>
    <row r="33" spans="2:22" x14ac:dyDescent="0.35">
      <c r="B33" s="12">
        <f t="shared" si="4"/>
        <v>0.46000000000000013</v>
      </c>
      <c r="C33" s="57" cm="1">
        <f t="array" ref="C33">drivePower($C$4,$C$5,$C$9,$C$10,B33)</f>
        <v>1314.1304347826085</v>
      </c>
      <c r="D33" s="58" cm="1">
        <f t="array" ref="D33">maxDepthToMinSOC($K$8,0,$K$6,$K$7,$K$10,$G$5,$G$6,C33,$C$7,$C$9,$G$4,$C$8)</f>
        <v>56071.5</v>
      </c>
      <c r="E33" s="58" cm="1">
        <f t="array" ref="E33">maxDepthToMinSOC($K$8,$K$9,$K$6,$K$7,$K$10,$G$5,$G$6,C33,$C$7,$C$9,$G$4,$C$8)</f>
        <v>44506.5</v>
      </c>
      <c r="G33" s="55">
        <v>5.5</v>
      </c>
      <c r="H33" s="57" cm="1">
        <f t="array" ref="H33">drivePower($C$4,$C$5,G33,$C$10,$C$11)</f>
        <v>2260.5</v>
      </c>
      <c r="I33" s="58">
        <f t="shared" si="8"/>
        <v>2365.1791606000002</v>
      </c>
      <c r="J33" s="58" cm="1">
        <f t="array" ref="J33">maxDepthToMinSOC($K$8,$K$9,$K$6,$K$7,$T$21,$G$5,$G$6,drivePower($C$4,$R$21,$G33,$C$10,$C$11),$C$7,$G33,$G$4,$C$8)</f>
        <v>1267.5</v>
      </c>
      <c r="K33" s="58" cm="1">
        <f t="array" ref="K33">maxDepthToMinSOC($K$8,$K$9,$K$6,$K$7,$T$22,$G$5,$G$6,drivePower($C$4,$R$22,$G33,$C$10,$C$11),$C$7,$G33,$G$4,$C$8)</f>
        <v>2002.5</v>
      </c>
      <c r="L33" s="58" cm="1">
        <f t="array" ref="L33">maxDepthToMinSOC($K$8,$K$9,$K$6,$K$7,$T$23,$G$5,$G$6,drivePower($C$4,$R$23,$G33,$C$10,$C$11),$C$7,$G33,$G$4,$C$8)</f>
        <v>2731.5</v>
      </c>
      <c r="M33" s="58" cm="1">
        <f t="array" ref="M33">maxDepthToMinSOC($K$8,$K$9,$K$6,$K$7,$T$24,$G$5,$G$6,drivePower($C$4,$R$24,$G33,$C$10,$C$11),$C$7,$G33,$G$4,$C$8)</f>
        <v>3453</v>
      </c>
      <c r="N33" s="58" cm="1">
        <f t="array" ref="N33">maxDepthToMinSOC($K$8,$K$9,$K$6,$K$7,$T$25,$G$5,$G$6,drivePower($C$4,$R$25,$G33,$C$10,$C$11),$C$7,$G33,$G$4,$C$8)</f>
        <v>4167</v>
      </c>
      <c r="O33" s="58" cm="1">
        <f t="array" ref="O33">maxDepthToMinSOC($K$8,$K$9,$K$6,$K$7,$T$26,$G$5,$G$6,drivePower($C$4,$R$26,$G33,$C$10,$C$11),$C$7,$G33,$G$4,$C$8)</f>
        <v>4875</v>
      </c>
      <c r="P33" s="56">
        <v>345600</v>
      </c>
      <c r="Q33" s="55">
        <f t="shared" si="9"/>
        <v>18.61090909090909</v>
      </c>
      <c r="R33" s="57">
        <f t="shared" si="10"/>
        <v>518.6109090909091</v>
      </c>
      <c r="S33" s="57" cm="1">
        <f t="array" ref="S33">drivePower($C$4,R33,$C$9,$C$10,$C$11)</f>
        <v>1267.7279563636364</v>
      </c>
      <c r="T33" s="56">
        <f t="shared" si="11"/>
        <v>14929.920000000002</v>
      </c>
      <c r="U33" s="58" cm="1">
        <f t="array" ref="U33">maxDepthToMinSOC($K$8,0,$K$6,$K$7,T33,$G$5,$G$6,S33,$C$7,$C$9,$G$4,$C$8)</f>
        <v>12963</v>
      </c>
      <c r="V33" s="58" cm="1">
        <f t="array" ref="V33">maxDepthToMinSOC($K$8,$K$9,$K$6,$K$7,T33,$G$5,$G$6,S33,$C$7,$C$9,$G$4,$C$8)</f>
        <v>9528</v>
      </c>
    </row>
    <row r="34" spans="2:22" x14ac:dyDescent="0.35">
      <c r="B34" s="12">
        <f t="shared" si="4"/>
        <v>0.48000000000000015</v>
      </c>
      <c r="C34" s="57" cm="1">
        <f t="array" ref="C34">drivePower($C$4,$C$5,$C$9,$C$10,B34)</f>
        <v>1271.8749999999995</v>
      </c>
      <c r="D34" s="58" cm="1">
        <f t="array" ref="D34">maxDepthToMinSOC($K$8,0,$K$6,$K$7,$K$10,$G$5,$G$6,C34,$C$7,$C$9,$G$4,$C$8)</f>
        <v>57369</v>
      </c>
      <c r="E34" s="58" cm="1">
        <f t="array" ref="E34">maxDepthToMinSOC($K$8,$K$9,$K$6,$K$7,$K$10,$G$5,$G$6,C34,$C$7,$C$9,$G$4,$C$8)</f>
        <v>45606</v>
      </c>
      <c r="G34" s="55">
        <v>6.5</v>
      </c>
      <c r="H34" s="57" cm="1">
        <f t="array" ref="H34">drivePower($C$4,$C$5,G34,$C$10,$C$11)</f>
        <v>2671.5</v>
      </c>
      <c r="I34" s="58">
        <f t="shared" si="8"/>
        <v>2776.1791606000002</v>
      </c>
      <c r="J34" s="58" cm="1">
        <f t="array" ref="J34">maxDepthToMinSOC($K$8,$K$9,$K$6,$K$7,$T$21,$G$5,$G$6,drivePower($C$4,$R$21,$G34,$C$10,$C$11),$C$7,$G34,$G$4,$C$8)</f>
        <v>1189.5</v>
      </c>
      <c r="K34" s="58" cm="1">
        <f t="array" ref="K34">maxDepthToMinSOC($K$8,$K$9,$K$6,$K$7,$T$22,$G$5,$G$6,drivePower($C$4,$R$22,$G34,$C$10,$C$11),$C$7,$G34,$G$4,$C$8)</f>
        <v>1930.5</v>
      </c>
      <c r="L34" s="58" cm="1">
        <f t="array" ref="L34">maxDepthToMinSOC($K$8,$K$9,$K$6,$K$7,$T$23,$G$5,$G$6,drivePower($C$4,$R$23,$G34,$C$10,$C$11),$C$7,$G34,$G$4,$C$8)</f>
        <v>2664</v>
      </c>
      <c r="M34" s="58" cm="1">
        <f t="array" ref="M34">maxDepthToMinSOC($K$8,$K$9,$K$6,$K$7,$T$24,$G$5,$G$6,drivePower($C$4,$R$24,$G34,$C$10,$C$11),$C$7,$G34,$G$4,$C$8)</f>
        <v>3391.5</v>
      </c>
      <c r="N34" s="58" cm="1">
        <f t="array" ref="N34">maxDepthToMinSOC($K$8,$K$9,$K$6,$K$7,$T$25,$G$5,$G$6,drivePower($C$4,$R$25,$G34,$C$10,$C$11),$C$7,$G34,$G$4,$C$8)</f>
        <v>4110</v>
      </c>
      <c r="O34" s="58" cm="1">
        <f t="array" ref="O34">maxDepthToMinSOC($K$8,$K$9,$K$6,$K$7,$T$26,$G$5,$G$6,drivePower($C$4,$R$26,$G34,$C$10,$C$11),$C$7,$G34,$G$4,$C$8)</f>
        <v>4824</v>
      </c>
      <c r="P34" s="56">
        <v>367200</v>
      </c>
      <c r="Q34" s="55">
        <f t="shared" si="9"/>
        <v>19.789090909090909</v>
      </c>
      <c r="R34" s="57">
        <f t="shared" si="10"/>
        <v>519.78909090909087</v>
      </c>
      <c r="S34" s="57" cm="1">
        <f t="array" ref="S34">drivePower($C$4,R34,$C$9,$C$10,$C$11)</f>
        <v>1269.9264436363637</v>
      </c>
      <c r="T34" s="56">
        <f t="shared" si="11"/>
        <v>15863.04</v>
      </c>
      <c r="U34" s="58" cm="1">
        <f t="array" ref="U34">maxDepthToMinSOC($K$8,0,$K$6,$K$7,T34,$G$5,$G$6,S34,$C$7,$C$9,$G$4,$C$8)</f>
        <v>13783.5</v>
      </c>
      <c r="V34" s="58" cm="1">
        <f t="array" ref="V34">maxDepthToMinSOC($K$8,$K$9,$K$6,$K$7,T34,$G$5,$G$6,S34,$C$7,$C$9,$G$4,$C$8)</f>
        <v>10164</v>
      </c>
    </row>
    <row r="35" spans="2:22" x14ac:dyDescent="0.35">
      <c r="B35" s="12">
        <f t="shared" si="4"/>
        <v>0.50000000000000011</v>
      </c>
      <c r="C35" s="57" cm="1">
        <f t="array" ref="C35">drivePower($C$4,$C$5,$C$9,$C$10,B35)</f>
        <v>1232.9999999999998</v>
      </c>
      <c r="D35" s="58" cm="1">
        <f t="array" ref="D35">maxDepthToMinSOC($K$8,0,$K$6,$K$7,$K$10,$G$5,$G$6,C35,$C$7,$C$9,$G$4,$C$8)</f>
        <v>58615.5</v>
      </c>
      <c r="E35" s="58" cm="1">
        <f t="array" ref="E35">maxDepthToMinSOC($K$8,$K$9,$K$6,$K$7,$K$10,$G$5,$G$6,C35,$C$7,$C$9,$G$4,$C$8)</f>
        <v>46666.5</v>
      </c>
      <c r="G35" s="55">
        <v>7.5</v>
      </c>
      <c r="H35" s="57" cm="1">
        <f t="array" ref="H35">drivePower($C$4,$C$5,G35,$C$10,$C$11)</f>
        <v>3082.5</v>
      </c>
      <c r="I35" s="58">
        <f t="shared" si="8"/>
        <v>3187.1791606000002</v>
      </c>
      <c r="J35" s="58" cm="1">
        <f t="array" ref="J35">maxDepthToMinSOC($K$8,$K$9,$K$6,$K$7,$T$21,$G$5,$G$6,drivePower($C$4,$R$21,$G35,$C$10,$C$11),$C$7,$G35,$G$4,$C$8)</f>
        <v>1110</v>
      </c>
      <c r="K35" s="58" cm="1">
        <f t="array" ref="K35">maxDepthToMinSOC($K$8,$K$9,$K$6,$K$7,$T$22,$G$5,$G$6,drivePower($C$4,$R$22,$G35,$C$10,$C$11),$C$7,$G35,$G$4,$C$8)</f>
        <v>1854</v>
      </c>
      <c r="L35" s="58" cm="1">
        <f t="array" ref="L35">maxDepthToMinSOC($K$8,$K$9,$K$6,$K$7,$T$23,$G$5,$G$6,drivePower($C$4,$R$23,$G35,$C$10,$C$11),$C$7,$G35,$G$4,$C$8)</f>
        <v>2592</v>
      </c>
      <c r="M35" s="58" cm="1">
        <f t="array" ref="M35">maxDepthToMinSOC($K$8,$K$9,$K$6,$K$7,$T$24,$G$5,$G$6,drivePower($C$4,$R$24,$G35,$C$10,$C$11),$C$7,$G35,$G$4,$C$8)</f>
        <v>3322.5</v>
      </c>
      <c r="N35" s="58" cm="1">
        <f t="array" ref="N35">maxDepthToMinSOC($K$8,$K$9,$K$6,$K$7,$T$25,$G$5,$G$6,drivePower($C$4,$R$25,$G35,$C$10,$C$11),$C$7,$G35,$G$4,$C$8)</f>
        <v>4045.5</v>
      </c>
      <c r="O35" s="58" cm="1">
        <f t="array" ref="O35">maxDepthToMinSOC($K$8,$K$9,$K$6,$K$7,$T$26,$G$5,$G$6,drivePower($C$4,$R$26,$G35,$C$10,$C$11),$C$7,$G35,$G$4,$C$8)</f>
        <v>4762.5</v>
      </c>
      <c r="P35" s="56">
        <v>388800</v>
      </c>
      <c r="Q35" s="55">
        <f t="shared" si="9"/>
        <v>20.967272727272729</v>
      </c>
      <c r="R35" s="57">
        <f t="shared" si="10"/>
        <v>520.96727272727276</v>
      </c>
      <c r="S35" s="57" cm="1">
        <f t="array" ref="S35">drivePower($C$4,R35,$C$9,$C$10,$C$11)</f>
        <v>1272.1249309090908</v>
      </c>
      <c r="T35" s="56">
        <f t="shared" si="11"/>
        <v>16796.16</v>
      </c>
      <c r="U35" s="58" cm="1">
        <f t="array" ref="U35">maxDepthToMinSOC($K$8,0,$K$6,$K$7,T35,$G$5,$G$6,S35,$C$7,$C$9,$G$4,$C$8)</f>
        <v>14596.5</v>
      </c>
      <c r="V35" s="58" cm="1">
        <f t="array" ref="V35">maxDepthToMinSOC($K$8,$K$9,$K$6,$K$7,T35,$G$5,$G$6,S35,$C$7,$C$9,$G$4,$C$8)</f>
        <v>10795.5</v>
      </c>
    </row>
    <row r="36" spans="2:22" x14ac:dyDescent="0.35">
      <c r="B36" s="12">
        <f t="shared" si="4"/>
        <v>0.52000000000000013</v>
      </c>
      <c r="C36" s="57" cm="1">
        <f t="array" ref="C36">drivePower($C$4,$C$5,$C$9,$C$10,B36)</f>
        <v>1197.1153846153843</v>
      </c>
      <c r="D36" s="58" cm="1">
        <f t="array" ref="D36">maxDepthToMinSOC($K$8,0,$K$6,$K$7,$K$10,$G$5,$G$6,C36,$C$7,$C$9,$G$4,$C$8)</f>
        <v>59815.5</v>
      </c>
      <c r="E36" s="58" cm="1">
        <f t="array" ref="E36">maxDepthToMinSOC($K$8,$K$9,$K$6,$K$7,$K$10,$G$5,$G$6,C36,$C$7,$C$9,$G$4,$C$8)</f>
        <v>47689.5</v>
      </c>
      <c r="G36" s="55">
        <v>8.5</v>
      </c>
      <c r="H36" s="57" cm="1">
        <f t="array" ref="H36">drivePower($C$4,$C$5,G36,$C$10,$C$11)</f>
        <v>3493.5</v>
      </c>
      <c r="I36" s="58">
        <f t="shared" si="8"/>
        <v>3598.1791606000002</v>
      </c>
      <c r="J36" s="58" cm="1">
        <f t="array" ref="J36">maxDepthToMinSOC($K$8,$K$9,$K$6,$K$7,$T$21,$G$5,$G$6,drivePower($C$4,$R$21,$G36,$C$10,$C$11),$C$7,$G36,$G$4,$C$8)</f>
        <v>1027.5</v>
      </c>
      <c r="K36" s="58" cm="1">
        <f t="array" ref="K36">maxDepthToMinSOC($K$8,$K$9,$K$6,$K$7,$T$22,$G$5,$G$6,drivePower($C$4,$R$22,$G36,$C$10,$C$11),$C$7,$G36,$G$4,$C$8)</f>
        <v>1776</v>
      </c>
      <c r="L36" s="58" cm="1">
        <f t="array" ref="L36">maxDepthToMinSOC($K$8,$K$9,$K$6,$K$7,$T$23,$G$5,$G$6,drivePower($C$4,$R$23,$G36,$C$10,$C$11),$C$7,$G36,$G$4,$C$8)</f>
        <v>2515.5</v>
      </c>
      <c r="M36" s="58" cm="1">
        <f t="array" ref="M36">maxDepthToMinSOC($K$8,$K$9,$K$6,$K$7,$T$24,$G$5,$G$6,drivePower($C$4,$R$24,$G36,$C$10,$C$11),$C$7,$G36,$G$4,$C$8)</f>
        <v>3249</v>
      </c>
      <c r="N36" s="58" cm="1">
        <f t="array" ref="N36">maxDepthToMinSOC($K$8,$K$9,$K$6,$K$7,$T$25,$G$5,$G$6,drivePower($C$4,$R$25,$G36,$C$10,$C$11),$C$7,$G36,$G$4,$C$8)</f>
        <v>3975</v>
      </c>
      <c r="O36" s="58" cm="1">
        <f t="array" ref="O36">maxDepthToMinSOC($K$8,$K$9,$K$6,$K$7,$T$26,$G$5,$G$6,drivePower($C$4,$R$26,$G36,$C$10,$C$11),$C$7,$G36,$G$4,$C$8)</f>
        <v>4695</v>
      </c>
      <c r="P36" s="56">
        <v>410400</v>
      </c>
      <c r="Q36" s="55">
        <f t="shared" si="9"/>
        <v>22.145454545454545</v>
      </c>
      <c r="R36" s="57">
        <f t="shared" si="10"/>
        <v>522.14545454545453</v>
      </c>
      <c r="S36" s="57" cm="1">
        <f t="array" ref="S36">drivePower($C$4,R36,$C$9,$C$10,$C$11)</f>
        <v>1274.3234181818182</v>
      </c>
      <c r="T36" s="56">
        <f t="shared" si="11"/>
        <v>17729.28</v>
      </c>
      <c r="U36" s="58" cm="1">
        <f t="array" ref="U36">maxDepthToMinSOC($K$8,0,$K$6,$K$7,T36,$G$5,$G$6,S36,$C$7,$C$9,$G$4,$C$8)</f>
        <v>15400.5</v>
      </c>
      <c r="V36" s="58" cm="1">
        <f t="array" ref="V36">maxDepthToMinSOC($K$8,$K$9,$K$6,$K$7,T36,$G$5,$G$6,S36,$C$7,$C$9,$G$4,$C$8)</f>
        <v>11421</v>
      </c>
    </row>
    <row r="37" spans="2:22" x14ac:dyDescent="0.35">
      <c r="B37" s="12">
        <f t="shared" si="4"/>
        <v>0.54000000000000015</v>
      </c>
      <c r="C37" s="57" cm="1">
        <f t="array" ref="C37">drivePower($C$4,$C$5,$C$9,$C$10,B37)</f>
        <v>1163.8888888888887</v>
      </c>
      <c r="D37" s="58" cm="1">
        <f t="array" ref="D37">maxDepthToMinSOC($K$8,0,$K$6,$K$7,$K$10,$G$5,$G$6,C37,$C$7,$C$9,$G$4,$C$8)</f>
        <v>60972</v>
      </c>
      <c r="E37" s="58" cm="1">
        <f t="array" ref="E37">maxDepthToMinSOC($K$8,$K$9,$K$6,$K$7,$K$10,$G$5,$G$6,C37,$C$7,$C$9,$G$4,$C$8)</f>
        <v>48678</v>
      </c>
      <c r="G37" s="55">
        <v>9.5</v>
      </c>
      <c r="H37" s="57" cm="1">
        <f t="array" ref="H37">drivePower($C$4,$C$5,G37,$C$10,$C$11)</f>
        <v>3904.5</v>
      </c>
      <c r="I37" s="58">
        <f t="shared" si="8"/>
        <v>4009.1791606000002</v>
      </c>
      <c r="J37" s="58" cm="1">
        <f t="array" ref="J37">maxDepthToMinSOC($K$8,$K$9,$K$6,$K$7,$T$21,$G$5,$G$6,drivePower($C$4,$R$21,$G37,$C$10,$C$11),$C$7,$G37,$G$4,$C$8)</f>
        <v>945</v>
      </c>
      <c r="K37" s="58" cm="1">
        <f t="array" ref="K37">maxDepthToMinSOC($K$8,$K$9,$K$6,$K$7,$T$22,$G$5,$G$6,drivePower($C$4,$R$22,$G37,$C$10,$C$11),$C$7,$G37,$G$4,$C$8)</f>
        <v>1695</v>
      </c>
      <c r="L37" s="58" cm="1">
        <f t="array" ref="L37">maxDepthToMinSOC($K$8,$K$9,$K$6,$K$7,$T$23,$G$5,$G$6,drivePower($C$4,$R$23,$G37,$C$10,$C$11),$C$7,$G37,$G$4,$C$8)</f>
        <v>2437.5</v>
      </c>
      <c r="M37" s="58" cm="1">
        <f t="array" ref="M37">maxDepthToMinSOC($K$8,$K$9,$K$6,$K$7,$T$24,$G$5,$G$6,drivePower($C$4,$R$24,$G37,$C$10,$C$11),$C$7,$G37,$G$4,$C$8)</f>
        <v>3174</v>
      </c>
      <c r="N37" s="58" cm="1">
        <f t="array" ref="N37">maxDepthToMinSOC($K$8,$K$9,$K$6,$K$7,$T$25,$G$5,$G$6,drivePower($C$4,$R$25,$G37,$C$10,$C$11),$C$7,$G37,$G$4,$C$8)</f>
        <v>3901.5</v>
      </c>
      <c r="O37" s="58" cm="1">
        <f t="array" ref="O37">maxDepthToMinSOC($K$8,$K$9,$K$6,$K$7,$T$26,$G$5,$G$6,drivePower($C$4,$R$26,$G37,$C$10,$C$11),$C$7,$G37,$G$4,$C$8)</f>
        <v>4623</v>
      </c>
      <c r="P37" s="56">
        <v>432000</v>
      </c>
      <c r="Q37" s="55">
        <f t="shared" si="9"/>
        <v>23.323636363636364</v>
      </c>
      <c r="R37" s="57">
        <f t="shared" si="10"/>
        <v>523.32363636363641</v>
      </c>
      <c r="S37" s="57" cm="1">
        <f t="array" ref="S37">drivePower($C$4,R37,$C$9,$C$10,$C$11)</f>
        <v>1276.5219054545455</v>
      </c>
      <c r="T37" s="56">
        <f t="shared" si="11"/>
        <v>18662.400000000001</v>
      </c>
      <c r="U37" s="58" cm="1">
        <f t="array" ref="U37">maxDepthToMinSOC($K$8,0,$K$6,$K$7,T37,$G$5,$G$6,S37,$C$7,$C$9,$G$4,$C$8)</f>
        <v>16197</v>
      </c>
      <c r="V37" s="58" cm="1">
        <f t="array" ref="V37">maxDepthToMinSOC($K$8,$K$9,$K$6,$K$7,T37,$G$5,$G$6,S37,$C$7,$C$9,$G$4,$C$8)</f>
        <v>12040.5</v>
      </c>
    </row>
    <row r="38" spans="2:22" x14ac:dyDescent="0.35">
      <c r="B38" s="12">
        <f t="shared" si="4"/>
        <v>0.56000000000000016</v>
      </c>
      <c r="C38" s="57" cm="1">
        <f t="array" ref="C38">drivePower($C$4,$C$5,$C$9,$C$10,B38)</f>
        <v>1133.035714285714</v>
      </c>
      <c r="D38" s="58" cm="1">
        <f t="array" ref="D38">maxDepthToMinSOC($K$8,0,$K$6,$K$7,$K$10,$G$5,$G$6,C38,$C$7,$C$9,$G$4,$C$8)</f>
        <v>62085</v>
      </c>
      <c r="E38" s="58" cm="1">
        <f t="array" ref="E38">maxDepthToMinSOC($K$8,$K$9,$K$6,$K$7,$K$10,$G$5,$G$6,C38,$C$7,$C$9,$G$4,$C$8)</f>
        <v>49633.5</v>
      </c>
      <c r="G38" s="55">
        <v>10.5</v>
      </c>
      <c r="H38" s="57" cm="1">
        <f t="array" ref="H38">drivePower($C$4,$C$5,G38,$C$10,$C$11)</f>
        <v>4315.5</v>
      </c>
      <c r="I38" s="58">
        <f t="shared" si="8"/>
        <v>4420.1791605999997</v>
      </c>
      <c r="J38" s="58" cm="1">
        <f t="array" ref="J38">maxDepthToMinSOC($K$8,$K$9,$K$6,$K$7,$T$21,$G$5,$G$6,drivePower($C$4,$R$21,$G38,$C$10,$C$11),$C$7,$G38,$G$4,$C$8)</f>
        <v>859.5</v>
      </c>
      <c r="K38" s="58" cm="1">
        <f t="array" ref="K38">maxDepthToMinSOC($K$8,$K$9,$K$6,$K$7,$T$22,$G$5,$G$6,drivePower($C$4,$R$22,$G38,$C$10,$C$11),$C$7,$G38,$G$4,$C$8)</f>
        <v>1612.5</v>
      </c>
      <c r="L38" s="58" cm="1">
        <f t="array" ref="L38">maxDepthToMinSOC($K$8,$K$9,$K$6,$K$7,$T$23,$G$5,$G$6,drivePower($C$4,$R$23,$G38,$C$10,$C$11),$C$7,$G38,$G$4,$C$8)</f>
        <v>2358</v>
      </c>
      <c r="M38" s="58" cm="1">
        <f t="array" ref="M38">maxDepthToMinSOC($K$8,$K$9,$K$6,$K$7,$T$24,$G$5,$G$6,drivePower($C$4,$R$24,$G38,$C$10,$C$11),$C$7,$G38,$G$4,$C$8)</f>
        <v>3094.5</v>
      </c>
      <c r="N38" s="58" cm="1">
        <f t="array" ref="N38">maxDepthToMinSOC($K$8,$K$9,$K$6,$K$7,$T$25,$G$5,$G$6,drivePower($C$4,$R$25,$G38,$C$10,$C$11),$C$7,$G38,$G$4,$C$8)</f>
        <v>3825</v>
      </c>
      <c r="O38" s="58" cm="1">
        <f t="array" ref="O38">maxDepthToMinSOC($K$8,$K$9,$K$6,$K$7,$T$26,$G$5,$G$6,drivePower($C$4,$R$26,$G38,$C$10,$C$11),$C$7,$G38,$G$4,$C$8)</f>
        <v>4549.5</v>
      </c>
      <c r="P38" s="56">
        <v>453600</v>
      </c>
      <c r="Q38" s="55">
        <f t="shared" si="9"/>
        <v>24.50181818181818</v>
      </c>
      <c r="R38" s="57">
        <f t="shared" si="10"/>
        <v>524.50181818181818</v>
      </c>
      <c r="S38" s="57" cm="1">
        <f t="array" ref="S38">drivePower($C$4,R38,$C$9,$C$10,$C$11)</f>
        <v>1278.7203927272726</v>
      </c>
      <c r="T38" s="56">
        <f t="shared" si="11"/>
        <v>19595.52</v>
      </c>
      <c r="U38" s="58" cm="1">
        <f t="array" ref="U38">maxDepthToMinSOC($K$8,0,$K$6,$K$7,T38,$G$5,$G$6,S38,$C$7,$C$9,$G$4,$C$8)</f>
        <v>16984.5</v>
      </c>
      <c r="V38" s="58" cm="1">
        <f t="array" ref="V38">maxDepthToMinSOC($K$8,$K$9,$K$6,$K$7,T38,$G$5,$G$6,S38,$C$7,$C$9,$G$4,$C$8)</f>
        <v>12654</v>
      </c>
    </row>
    <row r="39" spans="2:22" x14ac:dyDescent="0.35">
      <c r="B39" s="12">
        <f t="shared" si="4"/>
        <v>0.58000000000000018</v>
      </c>
      <c r="C39" s="57" cm="1">
        <f t="array" ref="C39">drivePower($C$4,$C$5,$C$9,$C$10,B39)</f>
        <v>1104.3103448275861</v>
      </c>
      <c r="D39" s="58" cm="1">
        <f t="array" ref="D39">maxDepthToMinSOC($K$8,0,$K$6,$K$7,$K$10,$G$5,$G$6,C39,$C$7,$C$9,$G$4,$C$8)</f>
        <v>63159</v>
      </c>
      <c r="E39" s="58" cm="1">
        <f t="array" ref="E39">maxDepthToMinSOC($K$8,$K$9,$K$6,$K$7,$K$10,$G$5,$G$6,C39,$C$7,$C$9,$G$4,$C$8)</f>
        <v>50556</v>
      </c>
      <c r="G39" s="55">
        <v>11.5</v>
      </c>
      <c r="H39" s="57" cm="1">
        <f t="array" ref="H39">drivePower($C$4,$C$5,G39,$C$10,$C$11)</f>
        <v>4726.5</v>
      </c>
      <c r="I39" s="58">
        <f t="shared" si="8"/>
        <v>4831.1791605999997</v>
      </c>
      <c r="J39" s="58" cm="1">
        <f t="array" ref="J39">maxDepthToMinSOC($K$8,$K$9,$K$6,$K$7,$T$21,$G$5,$G$6,drivePower($C$4,$R$21,$G39,$C$10,$C$11),$C$7,$G39,$G$4,$C$8)</f>
        <v>775.5</v>
      </c>
      <c r="K39" s="58" cm="1">
        <f t="array" ref="K39">maxDepthToMinSOC($K$8,$K$9,$K$6,$K$7,$T$22,$G$5,$G$6,drivePower($C$4,$R$22,$G39,$C$10,$C$11),$C$7,$G39,$G$4,$C$8)</f>
        <v>1528.5</v>
      </c>
      <c r="L39" s="58" cm="1">
        <f t="array" ref="L39">maxDepthToMinSOC($K$8,$K$9,$K$6,$K$7,$T$23,$G$5,$G$6,drivePower($C$4,$R$23,$G39,$C$10,$C$11),$C$7,$G39,$G$4,$C$8)</f>
        <v>2275.5</v>
      </c>
      <c r="M39" s="58" cm="1">
        <f t="array" ref="M39">maxDepthToMinSOC($K$8,$K$9,$K$6,$K$7,$T$24,$G$5,$G$6,drivePower($C$4,$R$24,$G39,$C$10,$C$11),$C$7,$G39,$G$4,$C$8)</f>
        <v>3015</v>
      </c>
      <c r="N39" s="58" cm="1">
        <f t="array" ref="N39">maxDepthToMinSOC($K$8,$K$9,$K$6,$K$7,$T$25,$G$5,$G$6,drivePower($C$4,$R$25,$G39,$C$10,$C$11),$C$7,$G39,$G$4,$C$8)</f>
        <v>3747</v>
      </c>
      <c r="O39" s="58" cm="1">
        <f t="array" ref="O39">maxDepthToMinSOC($K$8,$K$9,$K$6,$K$7,$T$26,$G$5,$G$6,drivePower($C$4,$R$26,$G39,$C$10,$C$11),$C$7,$G39,$G$4,$C$8)</f>
        <v>4473</v>
      </c>
      <c r="P39" s="56">
        <v>475200</v>
      </c>
      <c r="Q39" s="55">
        <f t="shared" si="9"/>
        <v>25.68</v>
      </c>
      <c r="R39" s="57">
        <f t="shared" si="10"/>
        <v>525.67999999999995</v>
      </c>
      <c r="S39" s="57" cm="1">
        <f t="array" ref="S39">drivePower($C$4,R39,$C$9,$C$10,$C$11)</f>
        <v>1280.9188799999997</v>
      </c>
      <c r="T39" s="56">
        <f t="shared" si="11"/>
        <v>20528.64</v>
      </c>
      <c r="U39" s="58" cm="1">
        <f t="array" ref="U39">maxDepthToMinSOC($K$8,0,$K$6,$K$7,T39,$G$5,$G$6,S39,$C$7,$C$9,$G$4,$C$8)</f>
        <v>17763</v>
      </c>
      <c r="V39" s="58" cm="1">
        <f t="array" ref="V39">maxDepthToMinSOC($K$8,$K$9,$K$6,$K$7,T39,$G$5,$G$6,S39,$C$7,$C$9,$G$4,$C$8)</f>
        <v>13263</v>
      </c>
    </row>
    <row r="40" spans="2:22" x14ac:dyDescent="0.35">
      <c r="B40" s="12">
        <f t="shared" si="4"/>
        <v>0.6000000000000002</v>
      </c>
      <c r="C40" s="57" cm="1">
        <f t="array" ref="C40">drivePower($C$4,$C$5,$C$9,$C$10,B40)</f>
        <v>1077.4999999999998</v>
      </c>
      <c r="D40" s="58" cm="1">
        <f t="array" ref="D40">maxDepthToMinSOC($K$8,0,$K$6,$K$7,$K$10,$G$5,$G$6,C40,$C$7,$C$9,$G$4,$C$8)</f>
        <v>64195.5</v>
      </c>
      <c r="E40" s="58" cm="1">
        <f t="array" ref="E40">maxDepthToMinSOC($K$8,$K$9,$K$6,$K$7,$K$10,$G$5,$G$6,C40,$C$7,$C$9,$G$4,$C$8)</f>
        <v>51448.5</v>
      </c>
      <c r="G40" s="55">
        <v>12.5</v>
      </c>
      <c r="H40" s="57" cm="1">
        <f t="array" ref="H40">drivePower($C$4,$C$5,G40,$C$10,$C$11)</f>
        <v>5137.5</v>
      </c>
      <c r="I40" s="58">
        <f t="shared" si="8"/>
        <v>5242.1791605999997</v>
      </c>
      <c r="J40" s="58" cm="1">
        <f t="array" ref="J40">maxDepthToMinSOC($K$8,$K$9,$K$6,$K$7,$T$21,$G$5,$G$6,drivePower($C$4,$R$21,$G40,$C$10,$C$11),$C$7,$G40,$G$4,$C$8)</f>
        <v>688.5</v>
      </c>
      <c r="K40" s="58" cm="1">
        <f t="array" ref="K40">maxDepthToMinSOC($K$8,$K$9,$K$6,$K$7,$T$22,$G$5,$G$6,drivePower($C$4,$R$22,$G40,$C$10,$C$11),$C$7,$G40,$G$4,$C$8)</f>
        <v>1444.5</v>
      </c>
      <c r="L40" s="58" cm="1">
        <f t="array" ref="L40">maxDepthToMinSOC($K$8,$K$9,$K$6,$K$7,$T$23,$G$5,$G$6,drivePower($C$4,$R$23,$G40,$C$10,$C$11),$C$7,$G40,$G$4,$C$8)</f>
        <v>2193</v>
      </c>
      <c r="M40" s="58" cm="1">
        <f t="array" ref="M40">maxDepthToMinSOC($K$8,$K$9,$K$6,$K$7,$T$24,$G$5,$G$6,drivePower($C$4,$R$24,$G40,$C$10,$C$11),$C$7,$G40,$G$4,$C$8)</f>
        <v>2934</v>
      </c>
      <c r="N40" s="58" cm="1">
        <f t="array" ref="N40">maxDepthToMinSOC($K$8,$K$9,$K$6,$K$7,$T$25,$G$5,$G$6,drivePower($C$4,$R$25,$G40,$C$10,$C$11),$C$7,$G40,$G$4,$C$8)</f>
        <v>3667.5</v>
      </c>
      <c r="O40" s="58" cm="1">
        <f t="array" ref="O40">maxDepthToMinSOC($K$8,$K$9,$K$6,$K$7,$T$26,$G$5,$G$6,drivePower($C$4,$R$26,$G40,$C$10,$C$11),$C$7,$G40,$G$4,$C$8)</f>
        <v>4395</v>
      </c>
      <c r="P40" s="56">
        <v>496800</v>
      </c>
      <c r="Q40" s="55">
        <f t="shared" si="9"/>
        <v>26.858181818181819</v>
      </c>
      <c r="R40" s="57">
        <f t="shared" si="10"/>
        <v>526.85818181818183</v>
      </c>
      <c r="S40" s="57" cm="1">
        <f t="array" ref="S40">drivePower($C$4,R40,$C$9,$C$10,$C$11)</f>
        <v>1283.1173672727273</v>
      </c>
      <c r="T40" s="56">
        <f t="shared" si="11"/>
        <v>21461.760000000002</v>
      </c>
      <c r="U40" s="58" cm="1">
        <f t="array" ref="U40">maxDepthToMinSOC($K$8,0,$K$6,$K$7,T40,$G$5,$G$6,S40,$C$7,$C$9,$G$4,$C$8)</f>
        <v>18534</v>
      </c>
      <c r="V40" s="58" cm="1">
        <f t="array" ref="V40">maxDepthToMinSOC($K$8,$K$9,$K$6,$K$7,T40,$G$5,$G$6,S40,$C$7,$C$9,$G$4,$C$8)</f>
        <v>13867.5</v>
      </c>
    </row>
    <row r="41" spans="2:22" x14ac:dyDescent="0.35">
      <c r="B41" s="12">
        <f t="shared" si="4"/>
        <v>0.62000000000000022</v>
      </c>
      <c r="C41" s="57" cm="1">
        <f t="array" ref="C41">drivePower($C$4,$C$5,$C$9,$C$10,B41)</f>
        <v>1052.4193548387093</v>
      </c>
      <c r="D41" s="58" cm="1">
        <f t="array" ref="D41">maxDepthToMinSOC($K$8,0,$K$6,$K$7,$K$10,$G$5,$G$6,C41,$C$7,$C$9,$G$4,$C$8)</f>
        <v>65196</v>
      </c>
      <c r="E41" s="58" cm="1">
        <f t="array" ref="E41">maxDepthToMinSOC($K$8,$K$9,$K$6,$K$7,$K$10,$G$5,$G$6,C41,$C$7,$C$9,$G$4,$C$8)</f>
        <v>52312.5</v>
      </c>
      <c r="G41" s="55">
        <v>13.5</v>
      </c>
      <c r="H41" s="57" cm="1">
        <f t="array" ref="H41">drivePower($C$4,$C$5,G41,$C$10,$C$11)</f>
        <v>5548.5</v>
      </c>
      <c r="I41" s="58">
        <f t="shared" si="8"/>
        <v>5653.1791605999997</v>
      </c>
      <c r="J41" s="58" cm="1">
        <f t="array" ref="J41">maxDepthToMinSOC($K$8,$K$9,$K$6,$K$7,$T$21,$G$5,$G$6,drivePower($C$4,$R$21,$G41,$C$10,$C$11),$C$7,$G41,$G$4,$C$8)</f>
        <v>603</v>
      </c>
      <c r="K41" s="58" cm="1">
        <f t="array" ref="K41">maxDepthToMinSOC($K$8,$K$9,$K$6,$K$7,$T$22,$G$5,$G$6,drivePower($C$4,$R$22,$G41,$C$10,$C$11),$C$7,$G41,$G$4,$C$8)</f>
        <v>1360.5</v>
      </c>
      <c r="L41" s="58" cm="1">
        <f t="array" ref="L41">maxDepthToMinSOC($K$8,$K$9,$K$6,$K$7,$T$23,$G$5,$G$6,drivePower($C$4,$R$23,$G41,$C$10,$C$11),$C$7,$G41,$G$4,$C$8)</f>
        <v>2109</v>
      </c>
      <c r="M41" s="58" cm="1">
        <f t="array" ref="M41">maxDepthToMinSOC($K$8,$K$9,$K$6,$K$7,$T$24,$G$5,$G$6,drivePower($C$4,$R$24,$G41,$C$10,$C$11),$C$7,$G41,$G$4,$C$8)</f>
        <v>2851.5</v>
      </c>
      <c r="N41" s="58" cm="1">
        <f t="array" ref="N41">maxDepthToMinSOC($K$8,$K$9,$K$6,$K$7,$T$25,$G$5,$G$6,drivePower($C$4,$R$25,$G41,$C$10,$C$11),$C$7,$G41,$G$4,$C$8)</f>
        <v>3586.5</v>
      </c>
      <c r="O41" s="58" cm="1">
        <f t="array" ref="O41">maxDepthToMinSOC($K$8,$K$9,$K$6,$K$7,$T$26,$G$5,$G$6,drivePower($C$4,$R$26,$G41,$C$10,$C$11),$C$7,$G41,$G$4,$C$8)</f>
        <v>4314</v>
      </c>
      <c r="P41" s="56">
        <v>518400</v>
      </c>
      <c r="Q41" s="55">
        <f t="shared" si="9"/>
        <v>28.036363636363635</v>
      </c>
      <c r="R41" s="57">
        <f t="shared" si="10"/>
        <v>528.0363636363636</v>
      </c>
      <c r="S41" s="57" cm="1">
        <f t="array" ref="S41">drivePower($C$4,R41,$C$9,$C$10,$C$11)</f>
        <v>1285.3158545454546</v>
      </c>
      <c r="T41" s="56">
        <f t="shared" si="11"/>
        <v>22394.880000000001</v>
      </c>
      <c r="U41" s="58" cm="1">
        <f t="array" ref="U41">maxDepthToMinSOC($K$8,0,$K$6,$K$7,T41,$G$5,$G$6,S41,$C$7,$C$9,$G$4,$C$8)</f>
        <v>19297.5</v>
      </c>
      <c r="V41" s="58" cm="1">
        <f t="array" ref="V41">maxDepthToMinSOC($K$8,$K$9,$K$6,$K$7,T41,$G$5,$G$6,S41,$C$7,$C$9,$G$4,$C$8)</f>
        <v>14464.5</v>
      </c>
    </row>
    <row r="42" spans="2:22" x14ac:dyDescent="0.35">
      <c r="B42" s="12">
        <f t="shared" si="4"/>
        <v>0.64000000000000024</v>
      </c>
      <c r="C42" s="57" cm="1">
        <f t="array" ref="C42">drivePower($C$4,$C$5,$C$9,$C$10,B42)</f>
        <v>1028.9062499999998</v>
      </c>
      <c r="D42" s="58" cm="1">
        <f t="array" ref="D42">maxDepthToMinSOC($K$8,0,$K$6,$K$7,$K$10,$G$5,$G$6,C42,$C$7,$C$9,$G$4,$C$8)</f>
        <v>66162</v>
      </c>
      <c r="E42" s="58" cm="1">
        <f t="array" ref="E42">maxDepthToMinSOC($K$8,$K$9,$K$6,$K$7,$K$10,$G$5,$G$6,C42,$C$7,$C$9,$G$4,$C$8)</f>
        <v>53149.5</v>
      </c>
      <c r="G42" s="55">
        <v>14.5</v>
      </c>
      <c r="H42" s="57" cm="1">
        <f t="array" ref="H42">drivePower($C$4,$C$5,G42,$C$10,$C$11)</f>
        <v>5959.5</v>
      </c>
      <c r="I42" s="58">
        <f t="shared" si="8"/>
        <v>6064.1791605999997</v>
      </c>
      <c r="J42" s="58" cm="1">
        <f t="array" ref="J42">maxDepthToMinSOC($K$8,$K$9,$K$6,$K$7,$T$21,$G$5,$G$6,drivePower($C$4,$R$21,$G42,$C$10,$C$11),$C$7,$G42,$G$4,$C$8)</f>
        <v>516</v>
      </c>
      <c r="K42" s="58" cm="1">
        <f t="array" ref="K42">maxDepthToMinSOC($K$8,$K$9,$K$6,$K$7,$T$22,$G$5,$G$6,drivePower($C$4,$R$22,$G42,$C$10,$C$11),$C$7,$G42,$G$4,$C$8)</f>
        <v>1275</v>
      </c>
      <c r="L42" s="58" cm="1">
        <f t="array" ref="L42">maxDepthToMinSOC($K$8,$K$9,$K$6,$K$7,$T$23,$G$5,$G$6,drivePower($C$4,$R$23,$G42,$C$10,$C$11),$C$7,$G42,$G$4,$C$8)</f>
        <v>2025</v>
      </c>
      <c r="M42" s="58" cm="1">
        <f t="array" ref="M42">maxDepthToMinSOC($K$8,$K$9,$K$6,$K$7,$T$24,$G$5,$G$6,drivePower($C$4,$R$24,$G42,$C$10,$C$11),$C$7,$G42,$G$4,$C$8)</f>
        <v>2769</v>
      </c>
      <c r="N42" s="58" cm="1">
        <f t="array" ref="N42">maxDepthToMinSOC($K$8,$K$9,$K$6,$K$7,$T$25,$G$5,$G$6,drivePower($C$4,$R$25,$G42,$C$10,$C$11),$C$7,$G42,$G$4,$C$8)</f>
        <v>3505.5</v>
      </c>
      <c r="O42" s="58" cm="1">
        <f t="array" ref="O42">maxDepthToMinSOC($K$8,$K$9,$K$6,$K$7,$T$26,$G$5,$G$6,drivePower($C$4,$R$26,$G42,$C$10,$C$11),$C$7,$G42,$G$4,$C$8)</f>
        <v>4234.5</v>
      </c>
      <c r="P42" s="56">
        <v>540000</v>
      </c>
      <c r="Q42" s="55">
        <f t="shared" si="9"/>
        <v>29.214545454545455</v>
      </c>
      <c r="R42" s="57">
        <f t="shared" si="10"/>
        <v>529.21454545454549</v>
      </c>
      <c r="S42" s="57" cm="1">
        <f t="array" ref="S42">drivePower($C$4,R42,$C$9,$C$10,$C$11)</f>
        <v>1287.5143418181819</v>
      </c>
      <c r="T42" s="56">
        <f t="shared" si="11"/>
        <v>23328</v>
      </c>
      <c r="U42" s="58" cm="1">
        <f t="array" ref="U42">maxDepthToMinSOC($K$8,0,$K$6,$K$7,T42,$G$5,$G$6,S42,$C$7,$C$9,$G$4,$C$8)</f>
        <v>20053.5</v>
      </c>
      <c r="V42" s="58" cm="1">
        <f t="array" ref="V42">maxDepthToMinSOC($K$8,$K$9,$K$6,$K$7,T42,$G$5,$G$6,S42,$C$7,$C$9,$G$4,$C$8)</f>
        <v>15058.5</v>
      </c>
    </row>
    <row r="43" spans="2:22" x14ac:dyDescent="0.35">
      <c r="G43" s="55">
        <v>15.5</v>
      </c>
      <c r="H43" s="57" cm="1">
        <f t="array" ref="H43">drivePower($C$4,$C$5,G43,$C$10,$C$11)</f>
        <v>6370.5</v>
      </c>
      <c r="I43" s="58">
        <f t="shared" si="8"/>
        <v>6475.1791605999997</v>
      </c>
      <c r="J43" s="58" cm="1">
        <f t="array" ref="J43">maxDepthToMinSOC($K$8,$K$9,$K$6,$K$7,$T$21,$G$5,$G$6,drivePower($C$4,$R$21,$G43,$C$10,$C$11),$C$7,$G43,$G$4,$C$8)</f>
        <v>429</v>
      </c>
      <c r="K43" s="58" cm="1">
        <f t="array" ref="K43">maxDepthToMinSOC($K$8,$K$9,$K$6,$K$7,$T$22,$G$5,$G$6,drivePower($C$4,$R$22,$G43,$C$10,$C$11),$C$7,$G43,$G$4,$C$8)</f>
        <v>1189.5</v>
      </c>
      <c r="L43" s="58" cm="1">
        <f t="array" ref="L43">maxDepthToMinSOC($K$8,$K$9,$K$6,$K$7,$T$23,$G$5,$G$6,drivePower($C$4,$R$23,$G43,$C$10,$C$11),$C$7,$G43,$G$4,$C$8)</f>
        <v>1941</v>
      </c>
      <c r="M43" s="58" cm="1">
        <f t="array" ref="M43">maxDepthToMinSOC($K$8,$K$9,$K$6,$K$7,$T$24,$G$5,$G$6,drivePower($C$4,$R$24,$G43,$C$10,$C$11),$C$7,$G43,$G$4,$C$8)</f>
        <v>2685</v>
      </c>
      <c r="N43" s="58" cm="1">
        <f t="array" ref="N43">maxDepthToMinSOC($K$8,$K$9,$K$6,$K$7,$T$25,$G$5,$G$6,drivePower($C$4,$R$25,$G43,$C$10,$C$11),$C$7,$G43,$G$4,$C$8)</f>
        <v>3423</v>
      </c>
      <c r="O43" s="58" cm="1">
        <f t="array" ref="O43">maxDepthToMinSOC($K$8,$K$9,$K$6,$K$7,$T$26,$G$5,$G$6,drivePower($C$4,$R$26,$G43,$C$10,$C$11),$C$7,$G43,$G$4,$C$8)</f>
        <v>4152</v>
      </c>
      <c r="P43" s="56">
        <v>561600</v>
      </c>
      <c r="Q43" s="55">
        <f t="shared" si="9"/>
        <v>30.392727272727274</v>
      </c>
      <c r="R43" s="57">
        <f t="shared" si="10"/>
        <v>530.39272727272726</v>
      </c>
      <c r="S43" s="57" cm="1">
        <f t="array" ref="S43">drivePower($C$4,R43,$C$9,$C$10,$C$11)</f>
        <v>1289.7128290909091</v>
      </c>
      <c r="T43" s="56">
        <f t="shared" si="11"/>
        <v>24261.119999999999</v>
      </c>
      <c r="U43" s="58" cm="1">
        <f t="array" ref="U43">maxDepthToMinSOC($K$8,0,$K$6,$K$7,T43,$G$5,$G$6,S43,$C$7,$C$9,$G$4,$C$8)</f>
        <v>20800.5</v>
      </c>
      <c r="V43" s="58" cm="1">
        <f t="array" ref="V43">maxDepthToMinSOC($K$8,$K$9,$K$6,$K$7,T43,$G$5,$G$6,S43,$C$7,$C$9,$G$4,$C$8)</f>
        <v>15646.5</v>
      </c>
    </row>
    <row r="44" spans="2:22" x14ac:dyDescent="0.35">
      <c r="G44" s="55">
        <v>16.5</v>
      </c>
      <c r="H44" s="57" cm="1">
        <f t="array" ref="H44">drivePower($C$4,$C$5,G44,$C$10,$C$11)</f>
        <v>6781.5</v>
      </c>
      <c r="I44" s="58">
        <f t="shared" si="8"/>
        <v>6886.1791605999997</v>
      </c>
      <c r="J44" s="58" cm="1">
        <f t="array" ref="J44">maxDepthToMinSOC($K$8,$K$9,$K$6,$K$7,$T$21,$G$5,$G$6,drivePower($C$4,$R$21,$G44,$C$10,$C$11),$C$7,$G44,$G$4,$C$8)</f>
        <v>342</v>
      </c>
      <c r="K44" s="58" cm="1">
        <f t="array" ref="K44">maxDepthToMinSOC($K$8,$K$9,$K$6,$K$7,$T$22,$G$5,$G$6,drivePower($C$4,$R$22,$G44,$C$10,$C$11),$C$7,$G44,$G$4,$C$8)</f>
        <v>1102.5</v>
      </c>
      <c r="L44" s="58" cm="1">
        <f t="array" ref="L44">maxDepthToMinSOC($K$8,$K$9,$K$6,$K$7,$T$23,$G$5,$G$6,drivePower($C$4,$R$23,$G44,$C$10,$C$11),$C$7,$G44,$G$4,$C$8)</f>
        <v>1855.5</v>
      </c>
      <c r="M44" s="58" cm="1">
        <f t="array" ref="M44">maxDepthToMinSOC($K$8,$K$9,$K$6,$K$7,$T$24,$G$5,$G$6,drivePower($C$4,$R$24,$G44,$C$10,$C$11),$C$7,$G44,$G$4,$C$8)</f>
        <v>2601</v>
      </c>
      <c r="N44" s="58" cm="1">
        <f t="array" ref="N44">maxDepthToMinSOC($K$8,$K$9,$K$6,$K$7,$T$25,$G$5,$G$6,drivePower($C$4,$R$25,$G44,$C$10,$C$11),$C$7,$G44,$G$4,$C$8)</f>
        <v>3339</v>
      </c>
      <c r="O44" s="58" cm="1">
        <f t="array" ref="O44">maxDepthToMinSOC($K$8,$K$9,$K$6,$K$7,$T$26,$G$5,$G$6,drivePower($C$4,$R$26,$G44,$C$10,$C$11),$C$7,$G44,$G$4,$C$8)</f>
        <v>4071</v>
      </c>
      <c r="P44" s="56">
        <v>583200</v>
      </c>
      <c r="Q44" s="55">
        <f t="shared" si="9"/>
        <v>31.57090909090909</v>
      </c>
      <c r="R44" s="57">
        <f t="shared" si="10"/>
        <v>531.57090909090914</v>
      </c>
      <c r="S44" s="57" cm="1">
        <f t="array" ref="S44">drivePower($C$4,R44,$C$9,$C$10,$C$11)</f>
        <v>1291.9113163636364</v>
      </c>
      <c r="T44" s="56">
        <f t="shared" si="11"/>
        <v>25194.239999999998</v>
      </c>
      <c r="U44" s="58" cm="1">
        <f t="array" ref="U44">maxDepthToMinSOC($K$8,0,$K$6,$K$7,T44,$G$5,$G$6,S44,$C$7,$C$9,$G$4,$C$8)</f>
        <v>21541.5</v>
      </c>
      <c r="V44" s="58" cm="1">
        <f t="array" ref="V44">maxDepthToMinSOC($K$8,$K$9,$K$6,$K$7,T44,$G$5,$G$6,S44,$C$7,$C$9,$G$4,$C$8)</f>
        <v>16230</v>
      </c>
    </row>
    <row r="45" spans="2:22" x14ac:dyDescent="0.35">
      <c r="G45" s="55">
        <v>17.5</v>
      </c>
      <c r="H45" s="57" cm="1">
        <f t="array" ref="H45">drivePower($C$4,$C$5,G45,$C$10,$C$11)</f>
        <v>7192.5</v>
      </c>
      <c r="I45" s="58">
        <f t="shared" si="8"/>
        <v>7297.1791605999997</v>
      </c>
      <c r="J45" s="58" cm="1">
        <f t="array" ref="J45">maxDepthToMinSOC($K$8,$K$9,$K$6,$K$7,$T$21,$G$5,$G$6,drivePower($C$4,$R$21,$G45,$C$10,$C$11),$C$7,$G45,$G$4,$C$8)</f>
        <v>255</v>
      </c>
      <c r="K45" s="58" cm="1">
        <f t="array" ref="K45">maxDepthToMinSOC($K$8,$K$9,$K$6,$K$7,$T$22,$G$5,$G$6,drivePower($C$4,$R$22,$G45,$C$10,$C$11),$C$7,$G45,$G$4,$C$8)</f>
        <v>1017</v>
      </c>
      <c r="L45" s="58" cm="1">
        <f t="array" ref="L45">maxDepthToMinSOC($K$8,$K$9,$K$6,$K$7,$T$23,$G$5,$G$6,drivePower($C$4,$R$23,$G45,$C$10,$C$11),$C$7,$G45,$G$4,$C$8)</f>
        <v>1770</v>
      </c>
      <c r="M45" s="58" cm="1">
        <f t="array" ref="M45">maxDepthToMinSOC($K$8,$K$9,$K$6,$K$7,$T$24,$G$5,$G$6,drivePower($C$4,$R$24,$G45,$C$10,$C$11),$C$7,$G45,$G$4,$C$8)</f>
        <v>2517</v>
      </c>
      <c r="N45" s="58" cm="1">
        <f t="array" ref="N45">maxDepthToMinSOC($K$8,$K$9,$K$6,$K$7,$T$25,$G$5,$G$6,drivePower($C$4,$R$25,$G45,$C$10,$C$11),$C$7,$G45,$G$4,$C$8)</f>
        <v>3256.5</v>
      </c>
      <c r="O45" s="58" cm="1">
        <f t="array" ref="O45">maxDepthToMinSOC($K$8,$K$9,$K$6,$K$7,$T$26,$G$5,$G$6,drivePower($C$4,$R$26,$G45,$C$10,$C$11),$C$7,$G45,$G$4,$C$8)</f>
        <v>3987</v>
      </c>
      <c r="P45" s="56">
        <v>604800</v>
      </c>
      <c r="Q45" s="55">
        <f t="shared" si="9"/>
        <v>32.74909090909091</v>
      </c>
      <c r="R45" s="57">
        <f t="shared" si="10"/>
        <v>532.74909090909091</v>
      </c>
      <c r="S45" s="57" cm="1">
        <f t="array" ref="S45">drivePower($C$4,R45,$C$9,$C$10,$C$11)</f>
        <v>1294.1098036363637</v>
      </c>
      <c r="T45" s="56">
        <f t="shared" si="11"/>
        <v>26127.360000000001</v>
      </c>
      <c r="U45" s="58" cm="1">
        <f t="array" ref="U45">maxDepthToMinSOC($K$8,0,$K$6,$K$7,T45,$G$5,$G$6,S45,$C$7,$C$9,$G$4,$C$8)</f>
        <v>22275</v>
      </c>
      <c r="V45" s="58" cm="1">
        <f t="array" ref="V45">maxDepthToMinSOC($K$8,$K$9,$K$6,$K$7,T45,$G$5,$G$6,S45,$C$7,$C$9,$G$4,$C$8)</f>
        <v>16809</v>
      </c>
    </row>
    <row r="46" spans="2:22" x14ac:dyDescent="0.35">
      <c r="G46" s="55">
        <v>18.5</v>
      </c>
      <c r="H46" s="57" cm="1">
        <f t="array" ref="H46">drivePower($C$4,$C$5,G46,$C$10,$C$11)</f>
        <v>7603.5</v>
      </c>
      <c r="I46" s="58">
        <f t="shared" si="8"/>
        <v>7708.1791605999997</v>
      </c>
      <c r="J46" s="58" cm="1">
        <f t="array" ref="J46">maxDepthToMinSOC($K$8,$K$9,$K$6,$K$7,$T$21,$G$5,$G$6,drivePower($C$4,$R$21,$G46,$C$10,$C$11),$C$7,$G46,$G$4,$C$8)</f>
        <v>168</v>
      </c>
      <c r="K46" s="58" cm="1">
        <f t="array" ref="K46">maxDepthToMinSOC($K$8,$K$9,$K$6,$K$7,$T$22,$G$5,$G$6,drivePower($C$4,$R$22,$G46,$C$10,$C$11),$C$7,$G46,$G$4,$C$8)</f>
        <v>930</v>
      </c>
      <c r="L46" s="58" cm="1">
        <f t="array" ref="L46">maxDepthToMinSOC($K$8,$K$9,$K$6,$K$7,$T$23,$G$5,$G$6,drivePower($C$4,$R$23,$G46,$C$10,$C$11),$C$7,$G46,$G$4,$C$8)</f>
        <v>1684.5</v>
      </c>
      <c r="M46" s="58" cm="1">
        <f t="array" ref="M46">maxDepthToMinSOC($K$8,$K$9,$K$6,$K$7,$T$24,$G$5,$G$6,drivePower($C$4,$R$24,$G46,$C$10,$C$11),$C$7,$G46,$G$4,$C$8)</f>
        <v>2431.5</v>
      </c>
      <c r="N46" s="58" cm="1">
        <f t="array" ref="N46">maxDepthToMinSOC($K$8,$K$9,$K$6,$K$7,$T$25,$G$5,$G$6,drivePower($C$4,$R$25,$G46,$C$10,$C$11),$C$7,$G46,$G$4,$C$8)</f>
        <v>3171</v>
      </c>
      <c r="O46" s="58" cm="1">
        <f t="array" ref="O46">maxDepthToMinSOC($K$8,$K$9,$K$6,$K$7,$T$26,$G$5,$G$6,drivePower($C$4,$R$26,$G46,$C$10,$C$11),$C$7,$G46,$G$4,$C$8)</f>
        <v>3904.5</v>
      </c>
      <c r="P46" s="56">
        <v>626400</v>
      </c>
      <c r="Q46" s="55">
        <f t="shared" si="9"/>
        <v>33.927272727272729</v>
      </c>
      <c r="R46" s="57">
        <f t="shared" si="10"/>
        <v>533.92727272727268</v>
      </c>
      <c r="S46" s="57" cm="1">
        <f t="array" ref="S46">drivePower($C$4,R46,$C$9,$C$10,$C$11)</f>
        <v>1296.3082909090908</v>
      </c>
      <c r="T46" s="56">
        <f t="shared" si="11"/>
        <v>27060.48</v>
      </c>
      <c r="U46" s="58" cm="1">
        <f t="array" ref="U46">maxDepthToMinSOC($K$8,0,$K$6,$K$7,T46,$G$5,$G$6,S46,$C$7,$C$9,$G$4,$C$8)</f>
        <v>22999.5</v>
      </c>
      <c r="V46" s="58" cm="1">
        <f t="array" ref="V46">maxDepthToMinSOC($K$8,$K$9,$K$6,$K$7,T46,$G$5,$G$6,S46,$C$7,$C$9,$G$4,$C$8)</f>
        <v>17382</v>
      </c>
    </row>
    <row r="47" spans="2:22" x14ac:dyDescent="0.35">
      <c r="G47" s="55">
        <v>19.5</v>
      </c>
      <c r="H47" s="57" cm="1">
        <f t="array" ref="H47">drivePower($C$4,$C$5,G47,$C$10,$C$11)</f>
        <v>8014.5</v>
      </c>
      <c r="I47" s="58">
        <f t="shared" si="8"/>
        <v>8119.1791605999997</v>
      </c>
      <c r="J47" s="58" cm="1">
        <f t="array" ref="J47">maxDepthToMinSOC($K$8,$K$9,$K$6,$K$7,$T$21,$G$5,$G$6,drivePower($C$4,$R$21,$G47,$C$10,$C$11),$C$7,$G47,$G$4,$C$8)</f>
        <v>81</v>
      </c>
      <c r="K47" s="58" cm="1">
        <f t="array" ref="K47">maxDepthToMinSOC($K$8,$K$9,$K$6,$K$7,$T$22,$G$5,$G$6,drivePower($C$4,$R$22,$G47,$C$10,$C$11),$C$7,$G47,$G$4,$C$8)</f>
        <v>843</v>
      </c>
      <c r="L47" s="58" cm="1">
        <f t="array" ref="L47">maxDepthToMinSOC($K$8,$K$9,$K$6,$K$7,$T$23,$G$5,$G$6,drivePower($C$4,$R$23,$G47,$C$10,$C$11),$C$7,$G47,$G$4,$C$8)</f>
        <v>1599</v>
      </c>
      <c r="M47" s="58" cm="1">
        <f t="array" ref="M47">maxDepthToMinSOC($K$8,$K$9,$K$6,$K$7,$T$24,$G$5,$G$6,drivePower($C$4,$R$24,$G47,$C$10,$C$11),$C$7,$G47,$G$4,$C$8)</f>
        <v>2346</v>
      </c>
      <c r="N47" s="58" cm="1">
        <f t="array" ref="N47">maxDepthToMinSOC($K$8,$K$9,$K$6,$K$7,$T$25,$G$5,$G$6,drivePower($C$4,$R$25,$G47,$C$10,$C$11),$C$7,$G47,$G$4,$C$8)</f>
        <v>3087</v>
      </c>
      <c r="O47" s="58" cm="1">
        <f t="array" ref="O47">maxDepthToMinSOC($K$8,$K$9,$K$6,$K$7,$T$26,$G$5,$G$6,drivePower($C$4,$R$26,$G47,$C$10,$C$11),$C$7,$G47,$G$4,$C$8)</f>
        <v>3820.5</v>
      </c>
      <c r="P47" s="56">
        <v>648000</v>
      </c>
      <c r="Q47" s="55">
        <f t="shared" si="9"/>
        <v>35.105454545454542</v>
      </c>
      <c r="R47" s="57">
        <f t="shared" si="10"/>
        <v>535.10545454545456</v>
      </c>
      <c r="S47" s="57" cm="1">
        <f t="array" ref="S47">drivePower($C$4,R47,$C$9,$C$10,$C$11)</f>
        <v>1298.5067781818182</v>
      </c>
      <c r="T47" s="56">
        <f t="shared" si="11"/>
        <v>27993.600000000002</v>
      </c>
      <c r="U47" s="58" cm="1">
        <f t="array" ref="U47">maxDepthToMinSOC($K$8,0,$K$6,$K$7,T47,$G$5,$G$6,S47,$C$7,$C$9,$G$4,$C$8)</f>
        <v>23718</v>
      </c>
      <c r="V47" s="58" cm="1">
        <f t="array" ref="V47">maxDepthToMinSOC($K$8,$K$9,$K$6,$K$7,T47,$G$5,$G$6,S47,$C$7,$C$9,$G$4,$C$8)</f>
        <v>17950.5</v>
      </c>
    </row>
    <row r="48" spans="2:22" x14ac:dyDescent="0.35">
      <c r="G48" s="55">
        <v>20.5</v>
      </c>
      <c r="H48" s="57" cm="1">
        <f t="array" ref="H48">drivePower($C$4,$C$5,G48,$C$10,$C$11)</f>
        <v>8425.5</v>
      </c>
      <c r="I48" s="58">
        <f t="shared" si="8"/>
        <v>8530.1791606000006</v>
      </c>
      <c r="J48" s="58" cm="1">
        <f t="array" ref="J48">maxDepthToMinSOC($K$8,$K$9,$K$6,$K$7,$T$21,$G$5,$G$6,drivePower($C$4,$R$21,$G48,$C$10,$C$11),$C$7,$G48,$G$4,$C$8)</f>
        <v>0</v>
      </c>
      <c r="K48" s="58" cm="1">
        <f t="array" ref="K48">maxDepthToMinSOC($K$8,$K$9,$K$6,$K$7,$T$22,$G$5,$G$6,drivePower($C$4,$R$22,$G48,$C$10,$C$11),$C$7,$G48,$G$4,$C$8)</f>
        <v>756</v>
      </c>
      <c r="L48" s="58" cm="1">
        <f t="array" ref="L48">maxDepthToMinSOC($K$8,$K$9,$K$6,$K$7,$T$23,$G$5,$G$6,drivePower($C$4,$R$23,$G48,$C$10,$C$11),$C$7,$G48,$G$4,$C$8)</f>
        <v>1512</v>
      </c>
      <c r="M48" s="58" cm="1">
        <f t="array" ref="M48">maxDepthToMinSOC($K$8,$K$9,$K$6,$K$7,$T$24,$G$5,$G$6,drivePower($C$4,$R$24,$G48,$C$10,$C$11),$C$7,$G48,$G$4,$C$8)</f>
        <v>2260.5</v>
      </c>
      <c r="N48" s="58" cm="1">
        <f t="array" ref="N48">maxDepthToMinSOC($K$8,$K$9,$K$6,$K$7,$T$25,$G$5,$G$6,drivePower($C$4,$R$25,$G48,$C$10,$C$11),$C$7,$G48,$G$4,$C$8)</f>
        <v>3003</v>
      </c>
      <c r="O48" s="58" cm="1">
        <f t="array" ref="O48">maxDepthToMinSOC($K$8,$K$9,$K$6,$K$7,$T$26,$G$5,$G$6,drivePower($C$4,$R$26,$G48,$C$10,$C$11),$C$7,$G48,$G$4,$C$8)</f>
        <v>3736.5</v>
      </c>
      <c r="P48" s="56">
        <v>669600</v>
      </c>
      <c r="Q48" s="55">
        <f t="shared" si="9"/>
        <v>36.283636363636361</v>
      </c>
      <c r="R48" s="57">
        <f t="shared" si="10"/>
        <v>536.28363636363633</v>
      </c>
      <c r="S48" s="57" cm="1">
        <f t="array" ref="S48">drivePower($C$4,R48,$C$9,$C$10,$C$11)</f>
        <v>1300.7052654545453</v>
      </c>
      <c r="T48" s="56">
        <f t="shared" si="11"/>
        <v>28926.720000000001</v>
      </c>
      <c r="U48" s="58" cm="1">
        <f t="array" ref="U48">maxDepthToMinSOC($K$8,0,$K$6,$K$7,T48,$G$5,$G$6,S48,$C$7,$C$9,$G$4,$C$8)</f>
        <v>24430.5</v>
      </c>
      <c r="V48" s="58" cm="1">
        <f t="array" ref="V48">maxDepthToMinSOC($K$8,$K$9,$K$6,$K$7,T48,$G$5,$G$6,S48,$C$7,$C$9,$G$4,$C$8)</f>
        <v>18514.5</v>
      </c>
    </row>
    <row r="49" spans="3:22" x14ac:dyDescent="0.35">
      <c r="G49" s="55">
        <v>21.5</v>
      </c>
      <c r="H49" s="57" cm="1">
        <f t="array" ref="H49">drivePower($C$4,$C$5,G49,$C$10,$C$11)</f>
        <v>8836.5</v>
      </c>
      <c r="I49" s="58">
        <f t="shared" si="8"/>
        <v>8941.1791606000006</v>
      </c>
      <c r="J49" s="58" cm="1">
        <f t="array" ref="J49">maxDepthToMinSOC($K$8,$K$9,$K$6,$K$7,$T$21,$G$5,$G$6,drivePower($C$4,$R$21,$G49,$C$10,$C$11),$C$7,$G49,$G$4,$C$8)</f>
        <v>0</v>
      </c>
      <c r="K49" s="58" cm="1">
        <f t="array" ref="K49">maxDepthToMinSOC($K$8,$K$9,$K$6,$K$7,$T$22,$G$5,$G$6,drivePower($C$4,$R$22,$G49,$C$10,$C$11),$C$7,$G49,$G$4,$C$8)</f>
        <v>669</v>
      </c>
      <c r="L49" s="58" cm="1">
        <f t="array" ref="L49">maxDepthToMinSOC($K$8,$K$9,$K$6,$K$7,$T$23,$G$5,$G$6,drivePower($C$4,$R$23,$G49,$C$10,$C$11),$C$7,$G49,$G$4,$C$8)</f>
        <v>1426.5</v>
      </c>
      <c r="M49" s="58" cm="1">
        <f t="array" ref="M49">maxDepthToMinSOC($K$8,$K$9,$K$6,$K$7,$T$24,$G$5,$G$6,drivePower($C$4,$R$24,$G49,$C$10,$C$11),$C$7,$G49,$G$4,$C$8)</f>
        <v>2175</v>
      </c>
      <c r="N49" s="58" cm="1">
        <f t="array" ref="N49">maxDepthToMinSOC($K$8,$K$9,$K$6,$K$7,$T$25,$G$5,$G$6,drivePower($C$4,$R$25,$G49,$C$10,$C$11),$C$7,$G49,$G$4,$C$8)</f>
        <v>2917.5</v>
      </c>
      <c r="O49" s="58" cm="1">
        <f t="array" ref="O49">maxDepthToMinSOC($K$8,$K$9,$K$6,$K$7,$T$26,$G$5,$G$6,drivePower($C$4,$R$26,$G49,$C$10,$C$11),$C$7,$G49,$G$4,$C$8)</f>
        <v>3652.5</v>
      </c>
      <c r="P49" s="56">
        <v>691200</v>
      </c>
      <c r="Q49" s="55">
        <f t="shared" si="9"/>
        <v>37.461818181818181</v>
      </c>
      <c r="R49" s="57">
        <f t="shared" si="10"/>
        <v>537.46181818181822</v>
      </c>
      <c r="S49" s="57" cm="1">
        <f t="array" ref="S49">drivePower($C$4,R49,$C$9,$C$10,$C$11)</f>
        <v>1302.9037527272728</v>
      </c>
      <c r="T49" s="56">
        <f t="shared" si="11"/>
        <v>29859.840000000004</v>
      </c>
      <c r="U49" s="58" cm="1">
        <f t="array" ref="U49">maxDepthToMinSOC($K$8,0,$K$6,$K$7,T49,$G$5,$G$6,S49,$C$7,$C$9,$G$4,$C$8)</f>
        <v>25134</v>
      </c>
      <c r="V49" s="58" cm="1">
        <f t="array" ref="V49">maxDepthToMinSOC($K$8,$K$9,$K$6,$K$7,T49,$G$5,$G$6,S49,$C$7,$C$9,$G$4,$C$8)</f>
        <v>19074</v>
      </c>
    </row>
    <row r="50" spans="3:22" x14ac:dyDescent="0.35">
      <c r="G50" s="55">
        <v>22.5</v>
      </c>
      <c r="H50" s="57" cm="1">
        <f t="array" ref="H50">drivePower($C$4,$C$5,G50,$C$10,$C$11)</f>
        <v>9247.5</v>
      </c>
      <c r="I50" s="58">
        <f t="shared" ref="I50:I52" si="12">$C$7+H50</f>
        <v>9352.1791606000006</v>
      </c>
      <c r="J50" s="58" cm="1">
        <f t="array" ref="J50">maxDepthToMinSOC($K$8,$K$9,$K$6,$K$7,$T$21,$G$5,$G$6,drivePower($C$4,$R$21,$G50,$C$10,$C$11),$C$7,$G50,$G$4,$C$8)</f>
        <v>0</v>
      </c>
      <c r="K50" s="58" cm="1">
        <f t="array" ref="K50">maxDepthToMinSOC($K$8,$K$9,$K$6,$K$7,$T$22,$G$5,$G$6,drivePower($C$4,$R$22,$G50,$C$10,$C$11),$C$7,$G50,$G$4,$C$8)</f>
        <v>582</v>
      </c>
      <c r="L50" s="58" cm="1">
        <f t="array" ref="L50">maxDepthToMinSOC($K$8,$K$9,$K$6,$K$7,$T$23,$G$5,$G$6,drivePower($C$4,$R$23,$G50,$C$10,$C$11),$C$7,$G50,$G$4,$C$8)</f>
        <v>1339.5</v>
      </c>
      <c r="M50" s="58" cm="1">
        <f t="array" ref="M50">maxDepthToMinSOC($K$8,$K$9,$K$6,$K$7,$T$24,$G$5,$G$6,drivePower($C$4,$R$24,$G50,$C$10,$C$11),$C$7,$G50,$G$4,$C$8)</f>
        <v>2089.5</v>
      </c>
      <c r="N50" s="58" cm="1">
        <f t="array" ref="N50">maxDepthToMinSOC($K$8,$K$9,$K$6,$K$7,$T$25,$G$5,$G$6,drivePower($C$4,$R$25,$G50,$C$10,$C$11),$C$7,$G50,$G$4,$C$8)</f>
        <v>2832</v>
      </c>
      <c r="O50" s="58" cm="1">
        <f t="array" ref="O50">maxDepthToMinSOC($K$8,$K$9,$K$6,$K$7,$T$26,$G$5,$G$6,drivePower($C$4,$R$26,$G50,$C$10,$C$11),$C$7,$G50,$G$4,$C$8)</f>
        <v>3567</v>
      </c>
      <c r="P50" s="56">
        <v>712800</v>
      </c>
      <c r="Q50" s="55">
        <f t="shared" ref="Q50:Q52" si="13">(P50-4400)*(5*0.048)/4400</f>
        <v>38.64</v>
      </c>
      <c r="R50" s="57">
        <f t="shared" ref="R50:R52" si="14">$C$5+Q50</f>
        <v>538.64</v>
      </c>
      <c r="S50" s="57" cm="1">
        <f t="array" ref="S50">drivePower($C$4,R50,$C$9,$C$10,$C$11)</f>
        <v>1305.1022400000002</v>
      </c>
      <c r="T50" s="56">
        <f t="shared" ref="T50:T52" si="15">P50*3.6/1000*$K$4</f>
        <v>30792.959999999999</v>
      </c>
      <c r="U50" s="58" cm="1">
        <f t="array" ref="U50">maxDepthToMinSOC($K$8,0,$K$6,$K$7,T50,$G$5,$G$6,S50,$C$7,$C$9,$G$4,$C$8)</f>
        <v>25831.5</v>
      </c>
      <c r="V50" s="58" cm="1">
        <f t="array" ref="V50">maxDepthToMinSOC($K$8,$K$9,$K$6,$K$7,T50,$G$5,$G$6,S50,$C$7,$C$9,$G$4,$C$8)</f>
        <v>19629</v>
      </c>
    </row>
    <row r="51" spans="3:22" x14ac:dyDescent="0.35">
      <c r="G51" s="55">
        <v>23.5</v>
      </c>
      <c r="H51" s="57" cm="1">
        <f t="array" ref="H51">drivePower($C$4,$C$5,G51,$C$10,$C$11)</f>
        <v>9658.5</v>
      </c>
      <c r="I51" s="58">
        <f t="shared" si="12"/>
        <v>9763.1791606000006</v>
      </c>
      <c r="J51" s="58" cm="1">
        <f t="array" ref="J51">maxDepthToMinSOC($K$8,$K$9,$K$6,$K$7,$T$21,$G$5,$G$6,drivePower($C$4,$R$21,$G51,$C$10,$C$11),$C$7,$G51,$G$4,$C$8)</f>
        <v>0</v>
      </c>
      <c r="K51" s="58" cm="1">
        <f t="array" ref="K51">maxDepthToMinSOC($K$8,$K$9,$K$6,$K$7,$T$22,$G$5,$G$6,drivePower($C$4,$R$22,$G51,$C$10,$C$11),$C$7,$G51,$G$4,$C$8)</f>
        <v>495</v>
      </c>
      <c r="L51" s="58" cm="1">
        <f t="array" ref="L51">maxDepthToMinSOC($K$8,$K$9,$K$6,$K$7,$T$23,$G$5,$G$6,drivePower($C$4,$R$23,$G51,$C$10,$C$11),$C$7,$G51,$G$4,$C$8)</f>
        <v>1252.5</v>
      </c>
      <c r="M51" s="58" cm="1">
        <f t="array" ref="M51">maxDepthToMinSOC($K$8,$K$9,$K$6,$K$7,$T$24,$G$5,$G$6,drivePower($C$4,$R$24,$G51,$C$10,$C$11),$C$7,$G51,$G$4,$C$8)</f>
        <v>2004</v>
      </c>
      <c r="N51" s="58" cm="1">
        <f t="array" ref="N51">maxDepthToMinSOC($K$8,$K$9,$K$6,$K$7,$T$25,$G$5,$G$6,drivePower($C$4,$R$25,$G51,$C$10,$C$11),$C$7,$G51,$G$4,$C$8)</f>
        <v>2746.5</v>
      </c>
      <c r="O51" s="58" cm="1">
        <f t="array" ref="O51">maxDepthToMinSOC($K$8,$K$9,$K$6,$K$7,$T$26,$G$5,$G$6,drivePower($C$4,$R$26,$G51,$C$10,$C$11),$C$7,$G51,$G$4,$C$8)</f>
        <v>3483</v>
      </c>
      <c r="P51" s="56">
        <v>734400</v>
      </c>
      <c r="Q51" s="55">
        <f t="shared" si="13"/>
        <v>39.81818181818182</v>
      </c>
      <c r="R51" s="57">
        <f t="shared" si="14"/>
        <v>539.81818181818187</v>
      </c>
      <c r="S51" s="57" cm="1">
        <f t="array" ref="S51">drivePower($C$4,R51,$C$9,$C$10,$C$11)</f>
        <v>1307.3007272727273</v>
      </c>
      <c r="T51" s="56">
        <f t="shared" si="15"/>
        <v>31726.080000000002</v>
      </c>
      <c r="U51" s="58" cm="1">
        <f t="array" ref="U51">maxDepthToMinSOC($K$8,0,$K$6,$K$7,T51,$G$5,$G$6,S51,$C$7,$C$9,$G$4,$C$8)</f>
        <v>26523</v>
      </c>
      <c r="V51" s="58" cm="1">
        <f t="array" ref="V51">maxDepthToMinSOC($K$8,$K$9,$K$6,$K$7,T51,$G$5,$G$6,S51,$C$7,$C$9,$G$4,$C$8)</f>
        <v>20179.5</v>
      </c>
    </row>
    <row r="52" spans="3:22" x14ac:dyDescent="0.35">
      <c r="G52" s="55">
        <v>24.5</v>
      </c>
      <c r="H52" s="57" cm="1">
        <f t="array" ref="H52">drivePower($C$4,$C$5,G52,$C$10,$C$11)</f>
        <v>10069.5</v>
      </c>
      <c r="I52" s="58">
        <f t="shared" si="12"/>
        <v>10174.179160600001</v>
      </c>
      <c r="J52" s="58" cm="1">
        <f t="array" ref="J52">maxDepthToMinSOC($K$8,$K$9,$K$6,$K$7,$T$21,$G$5,$G$6,drivePower($C$4,$R$21,$G52,$C$10,$C$11),$C$7,$G52,$G$4,$C$8)</f>
        <v>0</v>
      </c>
      <c r="K52" s="58" cm="1">
        <f t="array" ref="K52">maxDepthToMinSOC($K$8,$K$9,$K$6,$K$7,$T$22,$G$5,$G$6,drivePower($C$4,$R$22,$G52,$C$10,$C$11),$C$7,$G52,$G$4,$C$8)</f>
        <v>408</v>
      </c>
      <c r="L52" s="58" cm="1">
        <f t="array" ref="L52">maxDepthToMinSOC($K$8,$K$9,$K$6,$K$7,$T$23,$G$5,$G$6,drivePower($C$4,$R$23,$G52,$C$10,$C$11),$C$7,$G52,$G$4,$C$8)</f>
        <v>1165.5</v>
      </c>
      <c r="M52" s="58" cm="1">
        <f t="array" ref="M52">maxDepthToMinSOC($K$8,$K$9,$K$6,$K$7,$T$24,$G$5,$G$6,drivePower($C$4,$R$24,$G52,$C$10,$C$11),$C$7,$G52,$G$4,$C$8)</f>
        <v>1917</v>
      </c>
      <c r="N52" s="58" cm="1">
        <f t="array" ref="N52">maxDepthToMinSOC($K$8,$K$9,$K$6,$K$7,$T$25,$G$5,$G$6,drivePower($C$4,$R$25,$G52,$C$10,$C$11),$C$7,$G52,$G$4,$C$8)</f>
        <v>2661</v>
      </c>
      <c r="O52" s="58" cm="1">
        <f t="array" ref="O52">maxDepthToMinSOC($K$8,$K$9,$K$6,$K$7,$T$26,$G$5,$G$6,drivePower($C$4,$R$26,$G52,$C$10,$C$11),$C$7,$G52,$G$4,$C$8)</f>
        <v>3397.5</v>
      </c>
      <c r="P52" s="56">
        <v>756000</v>
      </c>
      <c r="Q52" s="55">
        <f t="shared" si="13"/>
        <v>40.99636363636364</v>
      </c>
      <c r="R52" s="57">
        <f t="shared" si="14"/>
        <v>540.99636363636364</v>
      </c>
      <c r="S52" s="57" cm="1">
        <f t="array" ref="S52">drivePower($C$4,R52,$C$9,$C$10,$C$11)</f>
        <v>1309.4992145454546</v>
      </c>
      <c r="T52" s="56">
        <f t="shared" si="15"/>
        <v>32659.199999999997</v>
      </c>
      <c r="U52" s="58" cm="1">
        <f t="array" ref="U52">maxDepthToMinSOC($K$8,0,$K$6,$K$7,T52,$G$5,$G$6,S52,$C$7,$C$9,$G$4,$C$8)</f>
        <v>27207</v>
      </c>
      <c r="V52" s="58" cm="1">
        <f t="array" ref="V52">maxDepthToMinSOC($K$8,$K$9,$K$6,$K$7,T52,$G$5,$G$6,S52,$C$7,$C$9,$G$4,$C$8)</f>
        <v>20725.5</v>
      </c>
    </row>
    <row r="53" spans="3:22" x14ac:dyDescent="0.35">
      <c r="I53" t="s">
        <v>143</v>
      </c>
    </row>
    <row r="54" spans="3:22" x14ac:dyDescent="0.35">
      <c r="P54" t="s">
        <v>144</v>
      </c>
    </row>
    <row r="55" spans="3:22" x14ac:dyDescent="0.35">
      <c r="I55" t="s">
        <v>145</v>
      </c>
    </row>
    <row r="56" spans="3:22" x14ac:dyDescent="0.35">
      <c r="P56" t="s">
        <v>164</v>
      </c>
    </row>
    <row r="57" spans="3:22" x14ac:dyDescent="0.35">
      <c r="I57" t="s">
        <v>147</v>
      </c>
    </row>
    <row r="63" spans="3:22" x14ac:dyDescent="0.35">
      <c r="C63" t="s">
        <v>165</v>
      </c>
    </row>
    <row r="65" spans="3:3" x14ac:dyDescent="0.35">
      <c r="C65" t="s">
        <v>146</v>
      </c>
    </row>
    <row r="67" spans="3:3" x14ac:dyDescent="0.35">
      <c r="C67" t="s">
        <v>166</v>
      </c>
    </row>
    <row r="68" spans="3:3" x14ac:dyDescent="0.35">
      <c r="C68" t="s">
        <v>167</v>
      </c>
    </row>
  </sheetData>
  <mergeCells count="1">
    <mergeCell ref="B2:F2"/>
  </mergeCells>
  <phoneticPr fontId="8" type="noConversion"/>
  <conditionalFormatting sqref="C12">
    <cfRule type="cellIs" dxfId="0" priority="6" operator="greaterThan">
      <formula>$K$13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6CD4A-3ACB-47CB-8131-2B4FA252C60E}">
  <sheetPr codeName="Sheet3"/>
  <dimension ref="B1:K35"/>
  <sheetViews>
    <sheetView topLeftCell="A8" workbookViewId="0">
      <selection activeCell="K2" sqref="K2"/>
    </sheetView>
  </sheetViews>
  <sheetFormatPr defaultRowHeight="14.5" x14ac:dyDescent="0.35"/>
  <cols>
    <col min="1" max="1" width="2.1796875" style="120" customWidth="1"/>
    <col min="2" max="2" width="8.453125" style="120" customWidth="1"/>
    <col min="3" max="9" width="15.6328125" style="120" customWidth="1"/>
    <col min="10" max="10" width="15" style="120" customWidth="1"/>
    <col min="11" max="11" width="14.54296875" style="120" customWidth="1"/>
    <col min="12" max="12" width="13.6328125" style="120" customWidth="1"/>
    <col min="13" max="13" width="14.08984375" style="120" customWidth="1"/>
    <col min="14" max="14" width="13.26953125" style="120" customWidth="1"/>
    <col min="15" max="16384" width="8.7265625" style="120"/>
  </cols>
  <sheetData>
    <row r="1" spans="2:11" ht="15" thickBot="1" x14ac:dyDescent="0.4"/>
    <row r="2" spans="2:11" ht="15" thickBot="1" x14ac:dyDescent="0.4">
      <c r="C2" s="157" t="s">
        <v>175</v>
      </c>
      <c r="D2" s="158"/>
    </row>
    <row r="3" spans="2:11" ht="15" thickTop="1" x14ac:dyDescent="0.35">
      <c r="C3" s="143" t="s">
        <v>86</v>
      </c>
      <c r="D3" s="131">
        <v>3</v>
      </c>
      <c r="I3" s="125"/>
      <c r="J3" s="125"/>
    </row>
    <row r="4" spans="2:11" x14ac:dyDescent="0.35">
      <c r="C4" s="144" t="s">
        <v>95</v>
      </c>
      <c r="D4" s="140">
        <f>($D$8*D5*$D$3)/($D$9)+($D$7*D3)</f>
        <v>2539.1999999999998</v>
      </c>
    </row>
    <row r="5" spans="2:11" x14ac:dyDescent="0.35">
      <c r="C5" s="145" t="s">
        <v>168</v>
      </c>
      <c r="D5" s="123">
        <v>600</v>
      </c>
    </row>
    <row r="6" spans="2:11" x14ac:dyDescent="0.35">
      <c r="C6" s="145" t="s">
        <v>151</v>
      </c>
      <c r="D6" s="123">
        <v>3600</v>
      </c>
    </row>
    <row r="7" spans="2:11" x14ac:dyDescent="0.35">
      <c r="C7" s="145" t="s">
        <v>169</v>
      </c>
      <c r="D7" s="123">
        <v>100</v>
      </c>
    </row>
    <row r="8" spans="2:11" x14ac:dyDescent="0.35">
      <c r="C8" s="145" t="s">
        <v>173</v>
      </c>
      <c r="D8" s="123">
        <v>0.311</v>
      </c>
    </row>
    <row r="9" spans="2:11" ht="15" thickBot="1" x14ac:dyDescent="0.4">
      <c r="C9" s="146" t="s">
        <v>174</v>
      </c>
      <c r="D9" s="127">
        <v>0.25</v>
      </c>
    </row>
    <row r="11" spans="2:11" x14ac:dyDescent="0.35">
      <c r="B11" s="156" t="s">
        <v>171</v>
      </c>
      <c r="C11" s="156"/>
      <c r="D11" s="156"/>
      <c r="E11" s="156"/>
      <c r="F11" s="156"/>
      <c r="G11" s="156"/>
    </row>
    <row r="12" spans="2:11" x14ac:dyDescent="0.35">
      <c r="B12" s="156" t="s">
        <v>170</v>
      </c>
      <c r="C12" s="156"/>
      <c r="D12" s="156"/>
      <c r="E12" s="156"/>
      <c r="F12" s="156"/>
      <c r="G12" s="156"/>
    </row>
    <row r="13" spans="2:11" ht="15" thickBot="1" x14ac:dyDescent="0.4">
      <c r="J13" s="142"/>
      <c r="K13" s="142"/>
    </row>
    <row r="14" spans="2:11" ht="17.5" customHeight="1" thickBot="1" x14ac:dyDescent="0.4">
      <c r="B14" s="147"/>
      <c r="C14" s="148" t="s">
        <v>172</v>
      </c>
      <c r="D14" s="148" t="s">
        <v>176</v>
      </c>
      <c r="E14" s="148" t="s">
        <v>177</v>
      </c>
      <c r="F14" s="148" t="s">
        <v>178</v>
      </c>
      <c r="G14" s="148" t="s">
        <v>179</v>
      </c>
      <c r="H14" s="148" t="s">
        <v>180</v>
      </c>
      <c r="I14" s="149" t="s">
        <v>181</v>
      </c>
    </row>
    <row r="15" spans="2:11" ht="15" thickTop="1" x14ac:dyDescent="0.35">
      <c r="B15" s="134">
        <v>1</v>
      </c>
      <c r="C15" s="135">
        <v>2500</v>
      </c>
      <c r="D15" s="136">
        <f t="shared" ref="D15:D27" si="0">($E$30/C15*1000-$D$6)/2*$D$3</f>
        <v>9600</v>
      </c>
      <c r="E15" s="136">
        <f t="shared" ref="E15:E27" si="1">($E$31/$C15*1000-$D$6)/2*$D$3</f>
        <v>15600</v>
      </c>
      <c r="F15" s="136">
        <f t="shared" ref="F15:F27" si="2">($E$32/$C15*1000-$D$6)/2*$D$3</f>
        <v>21600</v>
      </c>
      <c r="G15" s="136">
        <f t="shared" ref="G15:G27" si="3">($E$33/$C15*1000-$D$6)/2*$D$3</f>
        <v>27600</v>
      </c>
      <c r="H15" s="136">
        <f t="shared" ref="H15:H27" si="4">($E$34/$C15*1000-$D$6)/2*$D$3</f>
        <v>33600</v>
      </c>
      <c r="I15" s="137">
        <f t="shared" ref="I15:I27" si="5">($E$35/$C15*1000-$D$6)/2*$D$3</f>
        <v>39600</v>
      </c>
    </row>
    <row r="16" spans="2:11" x14ac:dyDescent="0.35">
      <c r="B16" s="132">
        <v>2</v>
      </c>
      <c r="C16" s="121">
        <v>2600</v>
      </c>
      <c r="D16" s="122">
        <f t="shared" si="0"/>
        <v>9023.076923076922</v>
      </c>
      <c r="E16" s="122">
        <f t="shared" si="1"/>
        <v>14792.307692307691</v>
      </c>
      <c r="F16" s="122">
        <f t="shared" si="2"/>
        <v>20561.538461538457</v>
      </c>
      <c r="G16" s="122">
        <f t="shared" si="3"/>
        <v>26330.769230769227</v>
      </c>
      <c r="H16" s="122">
        <f t="shared" si="4"/>
        <v>32100</v>
      </c>
      <c r="I16" s="138">
        <f t="shared" si="5"/>
        <v>37869.230769230773</v>
      </c>
    </row>
    <row r="17" spans="2:9" x14ac:dyDescent="0.35">
      <c r="B17" s="132">
        <v>3</v>
      </c>
      <c r="C17" s="121">
        <v>2700</v>
      </c>
      <c r="D17" s="122">
        <f t="shared" si="0"/>
        <v>8488.8888888888887</v>
      </c>
      <c r="E17" s="122">
        <f t="shared" si="1"/>
        <v>14044.444444444445</v>
      </c>
      <c r="F17" s="122">
        <f t="shared" si="2"/>
        <v>19600</v>
      </c>
      <c r="G17" s="122">
        <f t="shared" si="3"/>
        <v>25155.555555555555</v>
      </c>
      <c r="H17" s="122">
        <f t="shared" si="4"/>
        <v>30711.111111111109</v>
      </c>
      <c r="I17" s="138">
        <f t="shared" si="5"/>
        <v>36266.666666666664</v>
      </c>
    </row>
    <row r="18" spans="2:9" x14ac:dyDescent="0.35">
      <c r="B18" s="132">
        <v>4</v>
      </c>
      <c r="C18" s="121">
        <v>2800</v>
      </c>
      <c r="D18" s="122">
        <f t="shared" si="0"/>
        <v>7992.857142857144</v>
      </c>
      <c r="E18" s="122">
        <f t="shared" si="1"/>
        <v>13350</v>
      </c>
      <c r="F18" s="122">
        <f t="shared" si="2"/>
        <v>18707.142857142859</v>
      </c>
      <c r="G18" s="122">
        <f t="shared" si="3"/>
        <v>24064.28571428571</v>
      </c>
      <c r="H18" s="122">
        <f t="shared" si="4"/>
        <v>29421.428571428572</v>
      </c>
      <c r="I18" s="138">
        <f t="shared" si="5"/>
        <v>34778.571428571428</v>
      </c>
    </row>
    <row r="19" spans="2:9" x14ac:dyDescent="0.35">
      <c r="B19" s="132">
        <v>5</v>
      </c>
      <c r="C19" s="121">
        <v>2900</v>
      </c>
      <c r="D19" s="122">
        <f t="shared" si="0"/>
        <v>7531.0344827586223</v>
      </c>
      <c r="E19" s="122">
        <f t="shared" si="1"/>
        <v>12703.448275862069</v>
      </c>
      <c r="F19" s="122">
        <f t="shared" si="2"/>
        <v>17875.862068965518</v>
      </c>
      <c r="G19" s="122">
        <f t="shared" si="3"/>
        <v>23048.275862068964</v>
      </c>
      <c r="H19" s="122">
        <f t="shared" si="4"/>
        <v>28220.68965517242</v>
      </c>
      <c r="I19" s="138">
        <f t="shared" si="5"/>
        <v>33393.103448275862</v>
      </c>
    </row>
    <row r="20" spans="2:9" x14ac:dyDescent="0.35">
      <c r="B20" s="132">
        <v>6</v>
      </c>
      <c r="C20" s="121">
        <v>3000</v>
      </c>
      <c r="D20" s="122">
        <f t="shared" si="0"/>
        <v>7100.0000000000009</v>
      </c>
      <c r="E20" s="122">
        <f t="shared" si="1"/>
        <v>12100</v>
      </c>
      <c r="F20" s="122">
        <f t="shared" si="2"/>
        <v>17100</v>
      </c>
      <c r="G20" s="122">
        <f t="shared" si="3"/>
        <v>22100</v>
      </c>
      <c r="H20" s="122">
        <f t="shared" si="4"/>
        <v>27100</v>
      </c>
      <c r="I20" s="138">
        <f t="shared" si="5"/>
        <v>32100</v>
      </c>
    </row>
    <row r="21" spans="2:9" x14ac:dyDescent="0.35">
      <c r="B21" s="132">
        <v>7</v>
      </c>
      <c r="C21" s="121">
        <v>3100</v>
      </c>
      <c r="D21" s="122">
        <f t="shared" si="0"/>
        <v>6696.7741935483864</v>
      </c>
      <c r="E21" s="122">
        <f t="shared" si="1"/>
        <v>11535.483870967744</v>
      </c>
      <c r="F21" s="122">
        <f t="shared" si="2"/>
        <v>16374.193548387097</v>
      </c>
      <c r="G21" s="122">
        <f t="shared" si="3"/>
        <v>21212.903225806454</v>
      </c>
      <c r="H21" s="122">
        <f t="shared" si="4"/>
        <v>26051.612903225807</v>
      </c>
      <c r="I21" s="138">
        <f t="shared" si="5"/>
        <v>30890.322580645166</v>
      </c>
    </row>
    <row r="22" spans="2:9" x14ac:dyDescent="0.35">
      <c r="B22" s="132">
        <v>8</v>
      </c>
      <c r="C22" s="121">
        <v>3200</v>
      </c>
      <c r="D22" s="122">
        <f t="shared" si="0"/>
        <v>6318.75</v>
      </c>
      <c r="E22" s="122">
        <f t="shared" si="1"/>
        <v>11006.25</v>
      </c>
      <c r="F22" s="122">
        <f t="shared" si="2"/>
        <v>15693.75</v>
      </c>
      <c r="G22" s="122">
        <f t="shared" si="3"/>
        <v>20381.25</v>
      </c>
      <c r="H22" s="122">
        <f t="shared" si="4"/>
        <v>25068.75</v>
      </c>
      <c r="I22" s="138">
        <f t="shared" si="5"/>
        <v>29756.25</v>
      </c>
    </row>
    <row r="23" spans="2:9" x14ac:dyDescent="0.35">
      <c r="B23" s="132">
        <v>9</v>
      </c>
      <c r="C23" s="121">
        <v>3300</v>
      </c>
      <c r="D23" s="122">
        <f t="shared" si="0"/>
        <v>5963.636363636364</v>
      </c>
      <c r="E23" s="122">
        <f t="shared" si="1"/>
        <v>10509.090909090908</v>
      </c>
      <c r="F23" s="122">
        <f t="shared" si="2"/>
        <v>15054.545454545454</v>
      </c>
      <c r="G23" s="122">
        <f t="shared" si="3"/>
        <v>19600</v>
      </c>
      <c r="H23" s="122">
        <f t="shared" si="4"/>
        <v>24145.454545454544</v>
      </c>
      <c r="I23" s="138">
        <f t="shared" si="5"/>
        <v>28690.909090909092</v>
      </c>
    </row>
    <row r="24" spans="2:9" x14ac:dyDescent="0.35">
      <c r="B24" s="132">
        <v>10</v>
      </c>
      <c r="C24" s="121">
        <v>3400</v>
      </c>
      <c r="D24" s="122">
        <f t="shared" si="0"/>
        <v>5629.4117647058829</v>
      </c>
      <c r="E24" s="122">
        <f t="shared" si="1"/>
        <v>10041.176470588234</v>
      </c>
      <c r="F24" s="122">
        <f t="shared" si="2"/>
        <v>14452.941176470587</v>
      </c>
      <c r="G24" s="122">
        <f t="shared" si="3"/>
        <v>18864.705882352941</v>
      </c>
      <c r="H24" s="122">
        <f t="shared" si="4"/>
        <v>23276.470588235294</v>
      </c>
      <c r="I24" s="138">
        <f t="shared" si="5"/>
        <v>27688.23529411765</v>
      </c>
    </row>
    <row r="25" spans="2:9" x14ac:dyDescent="0.35">
      <c r="B25" s="132">
        <v>11</v>
      </c>
      <c r="C25" s="121">
        <v>3500</v>
      </c>
      <c r="D25" s="122">
        <f t="shared" si="0"/>
        <v>5314.2857142857147</v>
      </c>
      <c r="E25" s="122">
        <f t="shared" si="1"/>
        <v>9600</v>
      </c>
      <c r="F25" s="122">
        <f t="shared" si="2"/>
        <v>13885.714285714286</v>
      </c>
      <c r="G25" s="122">
        <f t="shared" si="3"/>
        <v>18171.428571428572</v>
      </c>
      <c r="H25" s="122">
        <f t="shared" si="4"/>
        <v>22457.142857142859</v>
      </c>
      <c r="I25" s="138">
        <f t="shared" si="5"/>
        <v>26742.857142857141</v>
      </c>
    </row>
    <row r="26" spans="2:9" x14ac:dyDescent="0.35">
      <c r="B26" s="132">
        <v>12</v>
      </c>
      <c r="C26" s="121">
        <v>3600</v>
      </c>
      <c r="D26" s="122">
        <f t="shared" si="0"/>
        <v>5016.6666666666661</v>
      </c>
      <c r="E26" s="122">
        <f t="shared" si="1"/>
        <v>9183.3333333333321</v>
      </c>
      <c r="F26" s="122">
        <f t="shared" si="2"/>
        <v>13350</v>
      </c>
      <c r="G26" s="122">
        <f t="shared" si="3"/>
        <v>17516.666666666668</v>
      </c>
      <c r="H26" s="122">
        <f t="shared" si="4"/>
        <v>21683.333333333336</v>
      </c>
      <c r="I26" s="138">
        <f t="shared" si="5"/>
        <v>25850</v>
      </c>
    </row>
    <row r="27" spans="2:9" ht="15" thickBot="1" x14ac:dyDescent="0.4">
      <c r="B27" s="126">
        <v>13</v>
      </c>
      <c r="C27" s="124">
        <v>3700</v>
      </c>
      <c r="D27" s="133">
        <f t="shared" si="0"/>
        <v>4735.135135135135</v>
      </c>
      <c r="E27" s="133">
        <f t="shared" si="1"/>
        <v>8789.1891891891901</v>
      </c>
      <c r="F27" s="133">
        <f t="shared" si="2"/>
        <v>12843.243243243243</v>
      </c>
      <c r="G27" s="133">
        <f t="shared" si="3"/>
        <v>16897.297297297297</v>
      </c>
      <c r="H27" s="133">
        <f t="shared" si="4"/>
        <v>20951.351351351354</v>
      </c>
      <c r="I27" s="139">
        <f t="shared" si="5"/>
        <v>25005.405405405407</v>
      </c>
    </row>
    <row r="28" spans="2:9" ht="15" customHeight="1" thickBot="1" x14ac:dyDescent="0.55000000000000004">
      <c r="B28" s="141"/>
    </row>
    <row r="29" spans="2:9" ht="15" thickBot="1" x14ac:dyDescent="0.4">
      <c r="B29" s="128" t="s">
        <v>129</v>
      </c>
      <c r="C29" s="129" t="s">
        <v>130</v>
      </c>
      <c r="D29" s="129" t="s">
        <v>13</v>
      </c>
      <c r="E29" s="130" t="s">
        <v>131</v>
      </c>
    </row>
    <row r="30" spans="2:9" ht="15" thickTop="1" x14ac:dyDescent="0.35">
      <c r="B30" s="134">
        <v>1</v>
      </c>
      <c r="C30" s="135">
        <f>E30*D30</f>
        <v>300000</v>
      </c>
      <c r="D30" s="135">
        <v>12</v>
      </c>
      <c r="E30" s="137">
        <v>25000</v>
      </c>
    </row>
    <row r="31" spans="2:9" x14ac:dyDescent="0.35">
      <c r="B31" s="132">
        <v>2</v>
      </c>
      <c r="C31" s="121">
        <f t="shared" ref="C31:C35" si="6">E31*D31</f>
        <v>420000</v>
      </c>
      <c r="D31" s="121">
        <v>12</v>
      </c>
      <c r="E31" s="138">
        <v>35000</v>
      </c>
    </row>
    <row r="32" spans="2:9" x14ac:dyDescent="0.35">
      <c r="B32" s="132">
        <v>3</v>
      </c>
      <c r="C32" s="121">
        <f t="shared" si="6"/>
        <v>540000</v>
      </c>
      <c r="D32" s="121">
        <v>12</v>
      </c>
      <c r="E32" s="138">
        <v>45000</v>
      </c>
    </row>
    <row r="33" spans="2:5" x14ac:dyDescent="0.35">
      <c r="B33" s="132">
        <v>4</v>
      </c>
      <c r="C33" s="121">
        <f t="shared" si="6"/>
        <v>660000</v>
      </c>
      <c r="D33" s="121">
        <v>12</v>
      </c>
      <c r="E33" s="138">
        <v>55000</v>
      </c>
    </row>
    <row r="34" spans="2:5" x14ac:dyDescent="0.35">
      <c r="B34" s="132">
        <v>5</v>
      </c>
      <c r="C34" s="121">
        <f t="shared" si="6"/>
        <v>780000</v>
      </c>
      <c r="D34" s="121">
        <v>12</v>
      </c>
      <c r="E34" s="138">
        <v>65000</v>
      </c>
    </row>
    <row r="35" spans="2:5" ht="15" thickBot="1" x14ac:dyDescent="0.4">
      <c r="B35" s="126">
        <v>6</v>
      </c>
      <c r="C35" s="124">
        <f t="shared" si="6"/>
        <v>900000</v>
      </c>
      <c r="D35" s="124">
        <v>12</v>
      </c>
      <c r="E35" s="139">
        <v>75000</v>
      </c>
    </row>
  </sheetData>
  <mergeCells count="3">
    <mergeCell ref="B11:G11"/>
    <mergeCell ref="B12:G12"/>
    <mergeCell ref="C2:D2"/>
  </mergeCells>
  <phoneticPr fontId="8" type="noConversion"/>
  <pageMargins left="0.7" right="0.7" top="0.75" bottom="0.75" header="0.3" footer="0.3"/>
  <pageSetup orientation="portrait" horizontalDpi="4294967293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AF06FE9-A019-4D5F-9CB3-91310356DD9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</vt:vector>
  </HeadingPairs>
  <TitlesOfParts>
    <vt:vector size="7" baseType="lpstr">
      <vt:lpstr>Depth vs Battery Pluto</vt:lpstr>
      <vt:lpstr>xxxxx</vt:lpstr>
      <vt:lpstr>xxxx</vt:lpstr>
      <vt:lpstr>xxx</vt:lpstr>
      <vt:lpstr>xx</vt:lpstr>
      <vt:lpstr>xxxxxxxxxx</vt:lpstr>
      <vt:lpstr>Pluto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Bowen</dc:creator>
  <cp:lastModifiedBy>Quinn Morley</cp:lastModifiedBy>
  <dcterms:created xsi:type="dcterms:W3CDTF">2015-06-05T18:17:20Z</dcterms:created>
  <dcterms:modified xsi:type="dcterms:W3CDTF">2023-10-06T03:00:20Z</dcterms:modified>
</cp:coreProperties>
</file>